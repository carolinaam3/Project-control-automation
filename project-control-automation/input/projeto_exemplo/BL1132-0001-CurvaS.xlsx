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AlmeidaMarti\Desktop\project-control-automation\input\"/>
    </mc:Choice>
  </mc:AlternateContent>
  <xr:revisionPtr revIDLastSave="0" documentId="8_{9C2E58AB-5E66-4F59-B09E-C31CB19E1913}" xr6:coauthVersionLast="47" xr6:coauthVersionMax="47" xr10:uidLastSave="{00000000-0000-0000-0000-000000000000}"/>
  <bookViews>
    <workbookView xWindow="23880" yWindow="-120" windowWidth="29040" windowHeight="15720" xr2:uid="{691630A0-74CC-485E-888C-C8CE0EA69E53}"/>
  </bookViews>
  <sheets>
    <sheet name="Curva S" sheetId="1" r:id="rId1"/>
    <sheet name="BL" sheetId="3" r:id="rId2"/>
    <sheet name="MC" sheetId="5" r:id="rId3"/>
  </sheets>
  <definedNames>
    <definedName name="_xlnm._FilterDatabase" localSheetId="1" hidden="1">BL!$B$7:$F$246</definedName>
    <definedName name="_xlnm._FilterDatabase" localSheetId="2" hidden="1">MC!$B$7:$F$197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N46" i="1"/>
  <c r="L46" i="1"/>
  <c r="B85" i="5" l="1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141" i="3" l="1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K48" i="1"/>
  <c r="F48" i="1" l="1"/>
  <c r="G48" i="1"/>
  <c r="H48" i="1"/>
  <c r="I48" i="1"/>
  <c r="J48" i="1"/>
  <c r="E48" i="1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M46" i="1"/>
  <c r="O46" i="1"/>
  <c r="P46" i="1"/>
  <c r="Q46" i="1"/>
  <c r="R46" i="1"/>
  <c r="S46" i="1"/>
  <c r="T46" i="1"/>
  <c r="U46" i="1"/>
  <c r="V46" i="1"/>
  <c r="W46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F137" i="3"/>
  <c r="F138" i="3"/>
  <c r="F139" i="3"/>
  <c r="F140" i="3"/>
  <c r="F141" i="3"/>
  <c r="C1" i="3"/>
  <c r="D1" i="3"/>
  <c r="E1" i="3"/>
  <c r="F1" i="3"/>
  <c r="G1" i="3"/>
  <c r="H1" i="3"/>
  <c r="I1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CS1" i="3"/>
  <c r="CT1" i="3"/>
  <c r="CU1" i="3"/>
  <c r="CV1" i="3"/>
  <c r="CW1" i="3"/>
  <c r="CX1" i="3"/>
  <c r="CY1" i="3"/>
  <c r="CZ1" i="3"/>
  <c r="DA1" i="3"/>
  <c r="DB1" i="3"/>
  <c r="DC1" i="3"/>
  <c r="DD1" i="3"/>
  <c r="DE1" i="3"/>
  <c r="DF1" i="3"/>
  <c r="DG1" i="3"/>
  <c r="DH1" i="3"/>
  <c r="DI1" i="3"/>
  <c r="DJ1" i="3"/>
  <c r="DK1" i="3"/>
  <c r="DL1" i="3"/>
  <c r="DM1" i="3"/>
  <c r="DN1" i="3"/>
  <c r="DO1" i="3"/>
  <c r="DP1" i="3"/>
  <c r="DQ1" i="3"/>
  <c r="DR1" i="3"/>
  <c r="DS1" i="3"/>
  <c r="DT1" i="3"/>
  <c r="DU1" i="3"/>
  <c r="DV1" i="3"/>
  <c r="DW1" i="3"/>
  <c r="DX1" i="3"/>
  <c r="DY1" i="3"/>
  <c r="DZ1" i="3"/>
  <c r="EA1" i="3"/>
  <c r="EB1" i="3"/>
  <c r="EC1" i="3"/>
  <c r="ED1" i="3"/>
  <c r="EE1" i="3"/>
  <c r="EF1" i="3"/>
  <c r="D48" i="1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9" i="3" l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8" i="3"/>
  <c r="E42" i="1" l="1"/>
  <c r="D42" i="1"/>
  <c r="F17" i="1" l="1"/>
</calcChain>
</file>

<file path=xl/sharedStrings.xml><?xml version="1.0" encoding="utf-8"?>
<sst xmlns="http://schemas.openxmlformats.org/spreadsheetml/2006/main" count="433" uniqueCount="16">
  <si>
    <t>Período</t>
  </si>
  <si>
    <t>Planejado BL</t>
  </si>
  <si>
    <t>Planejado Acumulado BL</t>
  </si>
  <si>
    <t>Planejado Semanal BL 1</t>
  </si>
  <si>
    <t>Planejado Acumulado BL 1</t>
  </si>
  <si>
    <t>Tendência Semanal</t>
  </si>
  <si>
    <t>Tendência Acumulada</t>
  </si>
  <si>
    <t>Realizado Semanal</t>
  </si>
  <si>
    <t>Realizado Acumulado</t>
  </si>
  <si>
    <t>Sábado</t>
  </si>
  <si>
    <t>Domingo</t>
  </si>
  <si>
    <t>Segunda-feira</t>
  </si>
  <si>
    <t>Terça-feira</t>
  </si>
  <si>
    <t>Quarta-feira</t>
  </si>
  <si>
    <t>Quinta-feira</t>
  </si>
  <si>
    <t>Sexta-feira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</si>
</sst>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3"/>
      <name val="Arial"/>
      <family val="2"/>
    </font>
    <font>
      <b/>
      <sz val="10"/>
      <color theme="3"/>
      <name val="Aptos Narrow"/>
      <family val="2"/>
      <scheme val="minor"/>
    </font>
    <font>
      <b/>
      <sz val="9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2" fillId="0" borderId="0" xfId="3"/>
    <xf numFmtId="0" fontId="2" fillId="0" borderId="2" xfId="3" applyBorder="1"/>
    <xf numFmtId="0" fontId="2" fillId="0" borderId="3" xfId="3" applyBorder="1"/>
    <xf numFmtId="0" fontId="2" fillId="0" borderId="4" xfId="3" applyBorder="1"/>
    <xf numFmtId="0" fontId="2" fillId="0" borderId="5" xfId="3" applyBorder="1"/>
    <xf numFmtId="0" fontId="2" fillId="0" borderId="6" xfId="3" applyBorder="1"/>
    <xf numFmtId="10" fontId="2" fillId="0" borderId="0" xfId="3" applyNumberFormat="1"/>
    <xf numFmtId="0" fontId="2" fillId="0" borderId="7" xfId="3" applyBorder="1"/>
    <xf numFmtId="0" fontId="2" fillId="0" borderId="8" xfId="3" applyBorder="1"/>
    <xf numFmtId="0" fontId="2" fillId="0" borderId="9" xfId="3" applyBorder="1"/>
    <xf numFmtId="4" fontId="0" fillId="0" borderId="0" xfId="0" applyNumberFormat="1"/>
    <xf numFmtId="10" fontId="6" fillId="3" borderId="1" xfId="1" applyNumberFormat="1" applyFont="1" applyFill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10" fontId="8" fillId="2" borderId="1" xfId="1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/>
    </xf>
    <xf numFmtId="14" fontId="3" fillId="2" borderId="1" xfId="2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3" fontId="0" fillId="0" borderId="0" xfId="0" applyNumberFormat="1"/>
    <xf numFmtId="0" fontId="11" fillId="3" borderId="4" xfId="3" applyFont="1" applyFill="1" applyBorder="1"/>
    <xf numFmtId="0" fontId="12" fillId="2" borderId="1" xfId="2" applyFont="1" applyFill="1" applyBorder="1" applyAlignment="1">
      <alignment horizontal="left" vertical="center"/>
    </xf>
    <xf numFmtId="10" fontId="13" fillId="3" borderId="1" xfId="1" applyNumberFormat="1" applyFont="1" applyFill="1" applyBorder="1" applyAlignment="1">
      <alignment horizontal="center" vertical="center"/>
    </xf>
    <xf numFmtId="0" fontId="11" fillId="3" borderId="8" xfId="3" applyFont="1" applyFill="1" applyBorder="1"/>
    <xf numFmtId="0" fontId="11" fillId="3" borderId="0" xfId="3" applyFont="1" applyFill="1"/>
    <xf numFmtId="10" fontId="13" fillId="0" borderId="1" xfId="1" applyNumberFormat="1" applyFont="1" applyFill="1" applyBorder="1" applyAlignment="1">
      <alignment horizontal="center" vertical="center"/>
    </xf>
    <xf numFmtId="9" fontId="2" fillId="0" borderId="0" xfId="1" applyFont="1"/>
  </cellXfs>
  <cellStyles count="4">
    <cellStyle name="Normal" xfId="0" builtinId="0"/>
    <cellStyle name="Normal 2" xfId="3" xr:uid="{937C2389-82F5-4FAC-AB18-24693CF696CB}"/>
    <cellStyle name="Normal_Curvas - TOTAL" xfId="2" xr:uid="{62B9F1A1-0DD5-4349-A500-74839D2EF692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407848434542365E-2"/>
          <c:y val="5.8053930853197058E-2"/>
          <c:w val="0.92838799700436359"/>
          <c:h val="0.80892388451443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S'!$C$42</c:f>
              <c:strCache>
                <c:ptCount val="1"/>
                <c:pt idx="0">
                  <c:v>Planejado BL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S'!$D$42:$W$42</c:f>
              <c:numCache>
                <c:formatCode>0.00%</c:formatCode>
                <c:ptCount val="20"/>
                <c:pt idx="0">
                  <c:v>0</c:v>
                </c:pt>
                <c:pt idx="1">
                  <c:v>3.1570208636205966E-4</c:v>
                </c:pt>
                <c:pt idx="2">
                  <c:v>4.9927700324666462E-3</c:v>
                </c:pt>
                <c:pt idx="3">
                  <c:v>8.8934446995178745E-3</c:v>
                </c:pt>
                <c:pt idx="4">
                  <c:v>2.1059277938660255E-2</c:v>
                </c:pt>
                <c:pt idx="5">
                  <c:v>2.6484676756141579E-2</c:v>
                </c:pt>
                <c:pt idx="6">
                  <c:v>5.4554128486851587E-2</c:v>
                </c:pt>
                <c:pt idx="7">
                  <c:v>8.0700000000000008E-2</c:v>
                </c:pt>
                <c:pt idx="8">
                  <c:v>7.7199999999999991E-2</c:v>
                </c:pt>
                <c:pt idx="9">
                  <c:v>6.9099999999999995E-2</c:v>
                </c:pt>
                <c:pt idx="10">
                  <c:v>7.2300000000000031E-2</c:v>
                </c:pt>
                <c:pt idx="11">
                  <c:v>7.7999999999999958E-2</c:v>
                </c:pt>
                <c:pt idx="12">
                  <c:v>0.10020000000000001</c:v>
                </c:pt>
                <c:pt idx="13">
                  <c:v>0.12139999999999995</c:v>
                </c:pt>
                <c:pt idx="14">
                  <c:v>0.11220000000000008</c:v>
                </c:pt>
                <c:pt idx="15">
                  <c:v>8.7099999999999955E-2</c:v>
                </c:pt>
                <c:pt idx="16">
                  <c:v>4.9800000000000066E-2</c:v>
                </c:pt>
                <c:pt idx="17">
                  <c:v>2.6599999999999957E-2</c:v>
                </c:pt>
                <c:pt idx="18">
                  <c:v>8.700000000000041E-3</c:v>
                </c:pt>
                <c:pt idx="19">
                  <c:v>3.9999999999995595E-4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B-4383-91A6-406F89033265}"/>
            </c:ext>
          </c:extLst>
        </c:ser>
        <c:ser>
          <c:idx val="1"/>
          <c:order val="2"/>
          <c:tx>
            <c:strRef>
              <c:f>'Curva S'!$C$44</c:f>
              <c:strCache>
                <c:ptCount val="1"/>
                <c:pt idx="0">
                  <c:v>Planejado Semanal BL 1</c:v>
                </c:pt>
              </c:strCache>
            </c:strRef>
          </c:tx>
          <c:invertIfNegative val="0"/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S'!$D$44:$W$44</c:f>
            </c:numRef>
          </c:val>
          <c:extLst>
            <c:ext xmlns:c16="http://schemas.microsoft.com/office/drawing/2014/chart" uri="{C3380CC4-5D6E-409C-BE32-E72D297353CC}">
              <c16:uniqueId val="{00000027-95FB-4383-91A6-406F89033265}"/>
            </c:ext>
          </c:extLst>
        </c:ser>
        <c:ser>
          <c:idx val="4"/>
          <c:order val="4"/>
          <c:tx>
            <c:strRef>
              <c:f>'Curva S'!$C$46</c:f>
              <c:strCache>
                <c:ptCount val="1"/>
                <c:pt idx="0">
                  <c:v>Tendência Semanal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8DA-4A05-B8C1-9B0B6DE6A70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8DA-4A05-B8C1-9B0B6DE6A700}"/>
              </c:ext>
            </c:extLst>
          </c:dPt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S'!$D$46:$W$46</c:f>
              <c:numCache>
                <c:formatCode>0.00%</c:formatCode>
                <c:ptCount val="20"/>
                <c:pt idx="7">
                  <c:v>0.19789999999999999</c:v>
                </c:pt>
                <c:pt idx="8">
                  <c:v>7.4899999999999994E-2</c:v>
                </c:pt>
                <c:pt idx="9">
                  <c:v>6.0138049961613371E-2</c:v>
                </c:pt>
                <c:pt idx="10">
                  <c:v>7.8371621488612042E-2</c:v>
                </c:pt>
                <c:pt idx="11">
                  <c:v>0.1124604815055415</c:v>
                </c:pt>
                <c:pt idx="12">
                  <c:v>0.10753282544931986</c:v>
                </c:pt>
                <c:pt idx="13">
                  <c:v>0.10888403315025885</c:v>
                </c:pt>
                <c:pt idx="14">
                  <c:v>8.4815055414476648E-2</c:v>
                </c:pt>
                <c:pt idx="15">
                  <c:v>8.5701687041083385E-2</c:v>
                </c:pt>
                <c:pt idx="16">
                  <c:v>5.4305793421130399E-2</c:v>
                </c:pt>
                <c:pt idx="17">
                  <c:v>2.5881611842752839E-2</c:v>
                </c:pt>
                <c:pt idx="18">
                  <c:v>8.4363865430421292E-3</c:v>
                </c:pt>
                <c:pt idx="19">
                  <c:v>6.7245418216899111E-4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5FB-4383-91A6-406F89033265}"/>
            </c:ext>
          </c:extLst>
        </c:ser>
        <c:ser>
          <c:idx val="6"/>
          <c:order val="6"/>
          <c:tx>
            <c:strRef>
              <c:f>'Curva S'!$C$48</c:f>
              <c:strCache>
                <c:ptCount val="1"/>
                <c:pt idx="0">
                  <c:v>Realizado Semanal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S'!$D$48:$W$48</c:f>
              <c:numCache>
                <c:formatCode>0.00%</c:formatCode>
                <c:ptCount val="20"/>
                <c:pt idx="0">
                  <c:v>0</c:v>
                </c:pt>
                <c:pt idx="1">
                  <c:v>3.1570208636205966E-4</c:v>
                </c:pt>
                <c:pt idx="2">
                  <c:v>4.9927700324666462E-3</c:v>
                </c:pt>
                <c:pt idx="3">
                  <c:v>8.8934446995178745E-3</c:v>
                </c:pt>
                <c:pt idx="4">
                  <c:v>2.1059277938660255E-2</c:v>
                </c:pt>
                <c:pt idx="5">
                  <c:v>2.6484676756141579E-2</c:v>
                </c:pt>
                <c:pt idx="6">
                  <c:v>4.5054128486851593E-2</c:v>
                </c:pt>
                <c:pt idx="7">
                  <c:v>9.1099999999999987E-2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5FB-4383-91A6-406F8903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356975"/>
        <c:axId val="1"/>
      </c:barChart>
      <c:lineChart>
        <c:grouping val="standard"/>
        <c:varyColors val="0"/>
        <c:ser>
          <c:idx val="3"/>
          <c:order val="1"/>
          <c:tx>
            <c:strRef>
              <c:f>'Curva S'!$C$43</c:f>
              <c:strCache>
                <c:ptCount val="1"/>
                <c:pt idx="0">
                  <c:v>Planejado Acumulado BL</c:v>
                </c:pt>
              </c:strCache>
            </c:strRef>
          </c:tx>
          <c:spPr>
            <a:ln w="38100">
              <a:solidFill>
                <a:schemeClr val="tx2"/>
              </a:solidFill>
            </a:ln>
          </c:spPr>
          <c:marker>
            <c:symbol val="circle"/>
            <c:size val="7"/>
            <c:spPr>
              <a:solidFill>
                <a:schemeClr val="tx2"/>
              </a:solidFill>
              <a:ln w="38100">
                <a:solidFill>
                  <a:schemeClr val="tx2"/>
                </a:solidFill>
              </a:ln>
            </c:spPr>
          </c:marker>
          <c:dLbls>
            <c:dLbl>
              <c:idx val="1"/>
              <c:numFmt formatCode="0.00%" sourceLinked="0"/>
              <c:spPr/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5FB-4383-91A6-406F89033265}"/>
                </c:ext>
              </c:extLst>
            </c:dLbl>
            <c:dLbl>
              <c:idx val="3"/>
              <c:numFmt formatCode="0.00%" sourceLinked="0"/>
              <c:spPr/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5FB-4383-91A6-406F89033265}"/>
                </c:ext>
              </c:extLst>
            </c:dLbl>
            <c:dLbl>
              <c:idx val="5"/>
              <c:numFmt formatCode="0.00%" sourceLinked="0"/>
              <c:spPr/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206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5FB-4383-91A6-406F89033265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 i="0" u="none" strike="noStrike" baseline="0">
                    <a:solidFill>
                      <a:srgbClr val="00206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S'!$D$43:$W$43</c:f>
              <c:numCache>
                <c:formatCode>0.00%</c:formatCode>
                <c:ptCount val="20"/>
                <c:pt idx="0">
                  <c:v>0</c:v>
                </c:pt>
                <c:pt idx="1">
                  <c:v>3.1570208636205966E-4</c:v>
                </c:pt>
                <c:pt idx="2">
                  <c:v>5.3084721188287063E-3</c:v>
                </c:pt>
                <c:pt idx="3">
                  <c:v>1.420191681834658E-2</c:v>
                </c:pt>
                <c:pt idx="4">
                  <c:v>3.5261194757006835E-2</c:v>
                </c:pt>
                <c:pt idx="5">
                  <c:v>6.1745871513148413E-2</c:v>
                </c:pt>
                <c:pt idx="6">
                  <c:v>0.1163</c:v>
                </c:pt>
                <c:pt idx="7">
                  <c:v>0.19700000000000001</c:v>
                </c:pt>
                <c:pt idx="8">
                  <c:v>0.2742</c:v>
                </c:pt>
                <c:pt idx="9">
                  <c:v>0.34329999999999999</c:v>
                </c:pt>
                <c:pt idx="10">
                  <c:v>0.41560000000000002</c:v>
                </c:pt>
                <c:pt idx="11">
                  <c:v>0.49359999999999998</c:v>
                </c:pt>
                <c:pt idx="12">
                  <c:v>0.59379999999999999</c:v>
                </c:pt>
                <c:pt idx="13">
                  <c:v>0.71519999999999995</c:v>
                </c:pt>
                <c:pt idx="14">
                  <c:v>0.82740000000000002</c:v>
                </c:pt>
                <c:pt idx="15">
                  <c:v>0.91449999999999998</c:v>
                </c:pt>
                <c:pt idx="16">
                  <c:v>0.96430000000000005</c:v>
                </c:pt>
                <c:pt idx="17">
                  <c:v>0.9909</c:v>
                </c:pt>
                <c:pt idx="18">
                  <c:v>0.99960000000000004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5FB-4383-91A6-406F89033265}"/>
            </c:ext>
          </c:extLst>
        </c:ser>
        <c:ser>
          <c:idx val="2"/>
          <c:order val="3"/>
          <c:tx>
            <c:strRef>
              <c:f>'Curva S'!$C$45</c:f>
              <c:strCache>
                <c:ptCount val="1"/>
                <c:pt idx="0">
                  <c:v>Planejado Acumulado BL 1</c:v>
                </c:pt>
              </c:strCache>
            </c:strRef>
          </c:tx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S'!$D$45:$W$45</c:f>
            </c:numRef>
          </c:val>
          <c:smooth val="0"/>
          <c:extLst>
            <c:ext xmlns:c16="http://schemas.microsoft.com/office/drawing/2014/chart" uri="{C3380CC4-5D6E-409C-BE32-E72D297353CC}">
              <c16:uniqueId val="{00000028-95FB-4383-91A6-406F89033265}"/>
            </c:ext>
          </c:extLst>
        </c:ser>
        <c:ser>
          <c:idx val="5"/>
          <c:order val="5"/>
          <c:tx>
            <c:strRef>
              <c:f>'Curva S'!$C$47</c:f>
              <c:strCache>
                <c:ptCount val="1"/>
                <c:pt idx="0">
                  <c:v>Tendência Acumulada</c:v>
                </c:pt>
              </c:strCache>
            </c:strRef>
          </c:tx>
          <c:spPr>
            <a:ln w="381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S'!$D$47:$W$47</c:f>
              <c:numCache>
                <c:formatCode>0.00%</c:formatCode>
                <c:ptCount val="20"/>
                <c:pt idx="7">
                  <c:v>0.19789999999999999</c:v>
                </c:pt>
                <c:pt idx="8">
                  <c:v>0.27279999999999999</c:v>
                </c:pt>
                <c:pt idx="9">
                  <c:v>0.33293804996161336</c:v>
                </c:pt>
                <c:pt idx="10">
                  <c:v>0.4113096714502254</c:v>
                </c:pt>
                <c:pt idx="11">
                  <c:v>0.5237701529557669</c:v>
                </c:pt>
                <c:pt idx="12">
                  <c:v>0.63130297840508676</c:v>
                </c:pt>
                <c:pt idx="13">
                  <c:v>0.74018701155534561</c:v>
                </c:pt>
                <c:pt idx="14">
                  <c:v>0.82500206696982226</c:v>
                </c:pt>
                <c:pt idx="15">
                  <c:v>0.91070375401090564</c:v>
                </c:pt>
                <c:pt idx="16">
                  <c:v>0.96500954743203604</c:v>
                </c:pt>
                <c:pt idx="17">
                  <c:v>0.99089115927478888</c:v>
                </c:pt>
                <c:pt idx="18">
                  <c:v>0.99932754581783101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FB-4383-91A6-406F89033265}"/>
            </c:ext>
          </c:extLst>
        </c:ser>
        <c:ser>
          <c:idx val="7"/>
          <c:order val="7"/>
          <c:tx>
            <c:strRef>
              <c:f>'Curva S'!$C$49</c:f>
              <c:strCache>
                <c:ptCount val="1"/>
                <c:pt idx="0">
                  <c:v>Realizado Acumulado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Pt>
            <c:idx val="0"/>
            <c:marker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</c:spPr>
            </c:marker>
            <c:bubble3D val="0"/>
            <c:spPr>
              <a:ln w="38100"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8DA-4A05-B8C1-9B0B6DE6A70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DA-4A05-B8C1-9B0B6DE6A700}"/>
                </c:ext>
              </c:extLst>
            </c:dLbl>
            <c:dLbl>
              <c:idx val="12"/>
              <c:numFmt formatCode="0.00%" sourceLinked="0"/>
              <c:spPr>
                <a:noFill/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9D0-4412-A5AF-2811E724C4AF}"/>
                </c:ext>
              </c:extLst>
            </c:dLbl>
            <c:dLbl>
              <c:idx val="13"/>
              <c:numFmt formatCode="0.00%" sourceLinked="0"/>
              <c:spPr>
                <a:noFill/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9D0-4412-A5AF-2811E724C4AF}"/>
                </c:ext>
              </c:extLst>
            </c:dLbl>
            <c:numFmt formatCode="0.00%" sourceLinked="0"/>
            <c:spPr>
              <a:noFill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'Curva S'!$D$41:$W$41</c:f>
              <c:numCache>
                <c:formatCode>m/d/yyyy</c:formatCode>
                <c:ptCount val="20"/>
                <c:pt idx="0">
                  <c:v>46159</c:v>
                </c:pt>
                <c:pt idx="1">
                  <c:v>46166</c:v>
                </c:pt>
                <c:pt idx="2">
                  <c:v>46173</c:v>
                </c:pt>
                <c:pt idx="3">
                  <c:v>46180</c:v>
                </c:pt>
                <c:pt idx="4">
                  <c:v>46187</c:v>
                </c:pt>
                <c:pt idx="5">
                  <c:v>46194</c:v>
                </c:pt>
                <c:pt idx="6">
                  <c:v>46201</c:v>
                </c:pt>
                <c:pt idx="7">
                  <c:v>46208</c:v>
                </c:pt>
                <c:pt idx="8">
                  <c:v>46215</c:v>
                </c:pt>
                <c:pt idx="9">
                  <c:v>46222</c:v>
                </c:pt>
                <c:pt idx="10">
                  <c:v>46229</c:v>
                </c:pt>
                <c:pt idx="11">
                  <c:v>46236</c:v>
                </c:pt>
                <c:pt idx="12">
                  <c:v>46243</c:v>
                </c:pt>
                <c:pt idx="13">
                  <c:v>46250</c:v>
                </c:pt>
                <c:pt idx="14">
                  <c:v>46257</c:v>
                </c:pt>
                <c:pt idx="15">
                  <c:v>46264</c:v>
                </c:pt>
                <c:pt idx="16">
                  <c:v>46271</c:v>
                </c:pt>
                <c:pt idx="17">
                  <c:v>46278</c:v>
                </c:pt>
                <c:pt idx="18">
                  <c:v>46285</c:v>
                </c:pt>
                <c:pt idx="19">
                  <c:v>46292</c:v>
                </c:pt>
              </c:numCache>
            </c:numRef>
          </c:cat>
          <c:val>
            <c:numRef>
              <c:f>'Curva S'!$D$49:$W$49</c:f>
              <c:numCache>
                <c:formatCode>0.00%</c:formatCode>
                <c:ptCount val="20"/>
                <c:pt idx="0">
                  <c:v>0</c:v>
                </c:pt>
                <c:pt idx="1">
                  <c:v>3.1570208636205966E-4</c:v>
                </c:pt>
                <c:pt idx="2">
                  <c:v>5.3084721188287063E-3</c:v>
                </c:pt>
                <c:pt idx="3">
                  <c:v>1.420191681834658E-2</c:v>
                </c:pt>
                <c:pt idx="4">
                  <c:v>3.5261194757006835E-2</c:v>
                </c:pt>
                <c:pt idx="5">
                  <c:v>6.1745871513148413E-2</c:v>
                </c:pt>
                <c:pt idx="6">
                  <c:v>0.10680000000000001</c:v>
                </c:pt>
                <c:pt idx="7">
                  <c:v>0.19789999999999999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FB-4383-91A6-406F8903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356975"/>
        <c:axId val="1"/>
      </c:lineChart>
      <c:catAx>
        <c:axId val="1581356975"/>
        <c:scaling>
          <c:orientation val="minMax"/>
        </c:scaling>
        <c:delete val="0"/>
        <c:axPos val="b"/>
        <c:minorGridlines/>
        <c:numFmt formatCode="d/m;@" sourceLinked="0"/>
        <c:majorTickMark val="none"/>
        <c:minorTickMark val="none"/>
        <c:tickLblPos val="low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0"/>
        <c:lblAlgn val="ctr"/>
        <c:lblOffset val="350"/>
        <c:tickLblSkip val="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581356975"/>
        <c:crosses val="autoZero"/>
        <c:crossBetween val="between"/>
        <c:majorUnit val="0.1"/>
        <c:minorUnit val="2.0000000000000004E-2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</c:dTable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 alignWithMargins="0"/>
    <c:pageMargins b="0.98425196850393704" l="0.39370078740157483" r="0.39370078740157483" t="0.98425196850393704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152400</xdr:rowOff>
    </xdr:from>
    <xdr:to>
      <xdr:col>23</xdr:col>
      <xdr:colOff>320040</xdr:colOff>
      <xdr:row>37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0BC4A-8662-4439-9633-E4C6BA249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661146</xdr:colOff>
      <xdr:row>1</xdr:row>
      <xdr:rowOff>70903</xdr:rowOff>
    </xdr:from>
    <xdr:ext cx="5818044" cy="1066801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81CCCD-3103-4DCF-9417-9470637AC3BA}"/>
            </a:ext>
          </a:extLst>
        </xdr:cNvPr>
        <xdr:cNvSpPr txBox="1"/>
      </xdr:nvSpPr>
      <xdr:spPr>
        <a:xfrm>
          <a:off x="2689411" y="205374"/>
          <a:ext cx="5818044" cy="1066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>
            <a:lnSpc>
              <a:spcPts val="3400"/>
            </a:lnSpc>
          </a:pPr>
          <a:r>
            <a:rPr lang="en-US" sz="30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20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CURVA S DE AVANÇO FÍSICO</a:t>
          </a:r>
        </a:p>
        <a:p>
          <a:pPr marL="0" marR="0" lvl="0" indent="0" algn="ctr" defTabSz="914400" eaLnBrk="1" fontAlgn="auto" latinLnBrk="0" hangingPunct="1">
            <a:lnSpc>
              <a:spcPts val="2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BL1132-0001</a:t>
          </a:r>
        </a:p>
        <a:p>
          <a:pPr marL="0" marR="0" lvl="0" indent="0" algn="ctr" defTabSz="914400" eaLnBrk="1" fontAlgn="auto" latinLnBrk="0" hangingPunct="1">
            <a:lnSpc>
              <a:spcPts val="2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800" b="1" i="0" baseline="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2</xdr:col>
      <xdr:colOff>235323</xdr:colOff>
      <xdr:row>1</xdr:row>
      <xdr:rowOff>55307</xdr:rowOff>
    </xdr:from>
    <xdr:to>
      <xdr:col>2</xdr:col>
      <xdr:colOff>1479176</xdr:colOff>
      <xdr:row>4</xdr:row>
      <xdr:rowOff>26592</xdr:rowOff>
    </xdr:to>
    <xdr:pic>
      <xdr:nvPicPr>
        <xdr:cNvPr id="5" name="Picture 5" descr="A pink tree with black background&#10;&#10;Description automatically generated">
          <a:extLst>
            <a:ext uri="{FF2B5EF4-FFF2-40B4-BE49-F238E27FC236}">
              <a16:creationId xmlns:a16="http://schemas.microsoft.com/office/drawing/2014/main" id="{EC451937-EE1C-8D38-4627-4E8387C87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294" y="189778"/>
          <a:ext cx="1243853" cy="699667"/>
        </a:xfrm>
        <a:prstGeom prst="rect">
          <a:avLst/>
        </a:prstGeom>
      </xdr:spPr>
    </xdr:pic>
    <xdr:clientData/>
  </xdr:twoCellAnchor>
  <xdr:twoCellAnchor editAs="oneCell">
    <xdr:from>
      <xdr:col>11</xdr:col>
      <xdr:colOff>627530</xdr:colOff>
      <xdr:row>1</xdr:row>
      <xdr:rowOff>65503</xdr:rowOff>
    </xdr:from>
    <xdr:to>
      <xdr:col>14</xdr:col>
      <xdr:colOff>661147</xdr:colOff>
      <xdr:row>3</xdr:row>
      <xdr:rowOff>135762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7F143955-121C-BF9F-99EC-4EC13CC9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3559" y="199974"/>
          <a:ext cx="2151529" cy="608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8E98-8DEF-435F-B3DB-4C2E275E7A15}">
  <dimension ref="B1:AB52"/>
  <sheetViews>
    <sheetView showGridLines="0" tabSelected="1" topLeftCell="A3" zoomScale="85" zoomScaleNormal="85" zoomScalePageLayoutView="55" workbookViewId="0">
      <selection activeCell="AF27" sqref="AF27"/>
    </sheetView>
  </sheetViews>
  <sheetFormatPr defaultColWidth="8.5703125" defaultRowHeight="12.75" x14ac:dyDescent="0.2"/>
  <cols>
    <col min="1" max="1" width="2.42578125" style="6" customWidth="1"/>
    <col min="2" max="2" width="2.5703125" style="6" customWidth="1"/>
    <col min="3" max="3" width="25.5703125" style="6" bestFit="1" customWidth="1"/>
    <col min="4" max="9" width="10.5703125" style="6" bestFit="1" customWidth="1"/>
    <col min="10" max="14" width="10.5703125" style="6" customWidth="1"/>
    <col min="15" max="17" width="10.5703125" style="6" bestFit="1" customWidth="1"/>
    <col min="18" max="23" width="10.5703125" style="6" customWidth="1"/>
    <col min="24" max="24" width="7.42578125" style="6" customWidth="1"/>
    <col min="25" max="25" width="10.140625" style="6" bestFit="1" customWidth="1"/>
    <col min="26" max="26" width="6.5703125" style="6" customWidth="1"/>
    <col min="27" max="28" width="6.140625" style="6" bestFit="1" customWidth="1"/>
    <col min="29" max="34" width="6.85546875" style="6" customWidth="1"/>
    <col min="35" max="36" width="6.140625" style="6" bestFit="1" customWidth="1"/>
    <col min="37" max="39" width="6.42578125" style="6" bestFit="1" customWidth="1"/>
    <col min="40" max="198" width="9.140625" style="6" customWidth="1"/>
    <col min="199" max="199" width="2.42578125" style="6" customWidth="1"/>
    <col min="200" max="200" width="15.5703125" style="6" customWidth="1"/>
    <col min="201" max="16384" width="8.5703125" style="6"/>
  </cols>
  <sheetData>
    <row r="1" spans="2:24" ht="11.1" customHeight="1" thickBot="1" x14ac:dyDescent="0.25"/>
    <row r="2" spans="2:24" ht="13.5" customHeight="1" x14ac:dyDescent="0.2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13"/>
    </row>
    <row r="3" spans="2:24" ht="29.25" customHeight="1" x14ac:dyDescent="0.2">
      <c r="B3" s="9"/>
      <c r="X3" s="14"/>
    </row>
    <row r="4" spans="2:24" ht="15" customHeight="1" x14ac:dyDescent="0.2">
      <c r="B4" s="9"/>
      <c r="X4" s="14"/>
    </row>
    <row r="5" spans="2:24" ht="15" customHeight="1" x14ac:dyDescent="0.2">
      <c r="B5" s="9"/>
      <c r="X5" s="14"/>
    </row>
    <row r="6" spans="2:24" ht="15" customHeight="1" x14ac:dyDescent="0.2">
      <c r="B6" s="9"/>
      <c r="X6" s="14"/>
    </row>
    <row r="7" spans="2:24" ht="15" customHeight="1" x14ac:dyDescent="0.2">
      <c r="B7" s="9"/>
      <c r="X7" s="14"/>
    </row>
    <row r="8" spans="2:24" ht="15" customHeight="1" x14ac:dyDescent="0.2">
      <c r="B8" s="9"/>
      <c r="X8" s="14"/>
    </row>
    <row r="9" spans="2:24" ht="15" customHeight="1" x14ac:dyDescent="0.2">
      <c r="B9" s="9"/>
      <c r="X9" s="14"/>
    </row>
    <row r="10" spans="2:24" ht="15" customHeight="1" x14ac:dyDescent="0.2">
      <c r="B10" s="9"/>
      <c r="X10" s="14"/>
    </row>
    <row r="11" spans="2:24" x14ac:dyDescent="0.2">
      <c r="B11" s="9"/>
      <c r="X11" s="14"/>
    </row>
    <row r="12" spans="2:24" x14ac:dyDescent="0.2">
      <c r="B12" s="9"/>
      <c r="X12" s="14"/>
    </row>
    <row r="13" spans="2:24" x14ac:dyDescent="0.2">
      <c r="B13" s="9"/>
      <c r="X13" s="14"/>
    </row>
    <row r="14" spans="2:24" x14ac:dyDescent="0.2">
      <c r="B14" s="9"/>
      <c r="X14" s="14"/>
    </row>
    <row r="15" spans="2:24" x14ac:dyDescent="0.2">
      <c r="B15" s="9"/>
      <c r="X15" s="14"/>
    </row>
    <row r="16" spans="2:24" x14ac:dyDescent="0.2">
      <c r="B16" s="9"/>
      <c r="X16" s="14"/>
    </row>
    <row r="17" spans="2:28" x14ac:dyDescent="0.2">
      <c r="B17" s="9"/>
      <c r="F17" s="6">
        <f>67.65-28.57</f>
        <v>39.080000000000005</v>
      </c>
      <c r="X17" s="14"/>
    </row>
    <row r="18" spans="2:28" x14ac:dyDescent="0.2">
      <c r="B18" s="9"/>
      <c r="X18" s="14"/>
      <c r="AB18" s="31"/>
    </row>
    <row r="19" spans="2:28" x14ac:dyDescent="0.2">
      <c r="B19" s="9"/>
      <c r="X19" s="14"/>
    </row>
    <row r="20" spans="2:28" x14ac:dyDescent="0.2">
      <c r="B20" s="9"/>
      <c r="X20" s="14"/>
    </row>
    <row r="21" spans="2:28" x14ac:dyDescent="0.2">
      <c r="B21" s="9"/>
      <c r="X21" s="14"/>
    </row>
    <row r="22" spans="2:28" x14ac:dyDescent="0.2">
      <c r="B22" s="9"/>
      <c r="X22" s="14"/>
    </row>
    <row r="23" spans="2:28" x14ac:dyDescent="0.2">
      <c r="B23" s="9"/>
      <c r="X23" s="14"/>
    </row>
    <row r="24" spans="2:28" x14ac:dyDescent="0.2">
      <c r="B24" s="9"/>
      <c r="X24" s="14"/>
    </row>
    <row r="25" spans="2:28" x14ac:dyDescent="0.2">
      <c r="B25" s="9"/>
      <c r="X25" s="14"/>
    </row>
    <row r="26" spans="2:28" x14ac:dyDescent="0.2">
      <c r="B26" s="9"/>
      <c r="X26" s="14"/>
    </row>
    <row r="27" spans="2:28" x14ac:dyDescent="0.2">
      <c r="B27" s="9"/>
      <c r="X27" s="14"/>
    </row>
    <row r="28" spans="2:28" x14ac:dyDescent="0.2">
      <c r="B28" s="9"/>
      <c r="X28" s="14"/>
    </row>
    <row r="29" spans="2:28" x14ac:dyDescent="0.2">
      <c r="B29" s="9"/>
      <c r="X29" s="14"/>
    </row>
    <row r="30" spans="2:28" x14ac:dyDescent="0.2">
      <c r="B30" s="9"/>
      <c r="X30" s="14"/>
    </row>
    <row r="31" spans="2:28" x14ac:dyDescent="0.2">
      <c r="B31" s="9"/>
      <c r="X31" s="14"/>
    </row>
    <row r="32" spans="2:28" x14ac:dyDescent="0.2">
      <c r="B32" s="9"/>
      <c r="X32" s="14"/>
    </row>
    <row r="33" spans="2:24" x14ac:dyDescent="0.2">
      <c r="B33" s="9"/>
      <c r="X33" s="14"/>
    </row>
    <row r="34" spans="2:24" x14ac:dyDescent="0.2">
      <c r="B34" s="9"/>
      <c r="X34" s="14"/>
    </row>
    <row r="35" spans="2:24" x14ac:dyDescent="0.2">
      <c r="B35" s="9"/>
      <c r="X35" s="14"/>
    </row>
    <row r="36" spans="2:24" x14ac:dyDescent="0.2">
      <c r="B36" s="9"/>
      <c r="X36" s="14"/>
    </row>
    <row r="37" spans="2:24" x14ac:dyDescent="0.2">
      <c r="B37" s="9"/>
      <c r="X37" s="14"/>
    </row>
    <row r="38" spans="2:24" ht="13.5" thickBot="1" x14ac:dyDescent="0.25"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5"/>
    </row>
    <row r="39" spans="2:24" x14ac:dyDescent="0.2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13"/>
    </row>
    <row r="40" spans="2:24" x14ac:dyDescent="0.2">
      <c r="B40" s="9"/>
      <c r="X40" s="14"/>
    </row>
    <row r="41" spans="2:24" ht="13.5" x14ac:dyDescent="0.2">
      <c r="B41" s="9"/>
      <c r="C41" s="3" t="s">
        <v>0</v>
      </c>
      <c r="D41" s="22">
        <v>46159</v>
      </c>
      <c r="E41" s="22">
        <v>46166</v>
      </c>
      <c r="F41" s="22">
        <v>46173</v>
      </c>
      <c r="G41" s="22">
        <v>46180</v>
      </c>
      <c r="H41" s="22">
        <v>46187</v>
      </c>
      <c r="I41" s="22">
        <v>46194</v>
      </c>
      <c r="J41" s="22">
        <v>46201</v>
      </c>
      <c r="K41" s="22">
        <v>46208</v>
      </c>
      <c r="L41" s="22">
        <v>46215</v>
      </c>
      <c r="M41" s="22">
        <v>46222</v>
      </c>
      <c r="N41" s="22">
        <v>46229</v>
      </c>
      <c r="O41" s="22">
        <v>46236</v>
      </c>
      <c r="P41" s="22">
        <v>46243</v>
      </c>
      <c r="Q41" s="22">
        <v>46250</v>
      </c>
      <c r="R41" s="22">
        <v>46257</v>
      </c>
      <c r="S41" s="22">
        <v>46264</v>
      </c>
      <c r="T41" s="22">
        <v>46271</v>
      </c>
      <c r="U41" s="22">
        <v>46278</v>
      </c>
      <c r="V41" s="22">
        <v>46285</v>
      </c>
      <c r="W41" s="22">
        <v>46292</v>
      </c>
      <c r="X41" s="14"/>
    </row>
    <row r="42" spans="2:24" s="29" customFormat="1" ht="13.5" x14ac:dyDescent="0.2">
      <c r="B42" s="25"/>
      <c r="C42" s="26" t="s">
        <v>1</v>
      </c>
      <c r="D42" s="27">
        <f>D43</f>
        <v>0</v>
      </c>
      <c r="E42" s="27">
        <f>E43-D43</f>
        <v>3.1570208636205966E-4</v>
      </c>
      <c r="F42" s="27">
        <f t="shared" ref="F42:W42" si="0">F43-E43</f>
        <v>4.9927700324666462E-3</v>
      </c>
      <c r="G42" s="27">
        <f t="shared" si="0"/>
        <v>8.8934446995178745E-3</v>
      </c>
      <c r="H42" s="27">
        <f t="shared" si="0"/>
        <v>2.1059277938660255E-2</v>
      </c>
      <c r="I42" s="27">
        <f t="shared" si="0"/>
        <v>2.6484676756141579E-2</v>
      </c>
      <c r="J42" s="27">
        <f t="shared" si="0"/>
        <v>5.4554128486851587E-2</v>
      </c>
      <c r="K42" s="27">
        <f t="shared" si="0"/>
        <v>8.0700000000000008E-2</v>
      </c>
      <c r="L42" s="27">
        <f t="shared" si="0"/>
        <v>7.7199999999999991E-2</v>
      </c>
      <c r="M42" s="27">
        <f t="shared" si="0"/>
        <v>6.9099999999999995E-2</v>
      </c>
      <c r="N42" s="27">
        <f t="shared" si="0"/>
        <v>7.2300000000000031E-2</v>
      </c>
      <c r="O42" s="27">
        <f t="shared" si="0"/>
        <v>7.7999999999999958E-2</v>
      </c>
      <c r="P42" s="27">
        <f t="shared" si="0"/>
        <v>0.10020000000000001</v>
      </c>
      <c r="Q42" s="27">
        <f t="shared" si="0"/>
        <v>0.12139999999999995</v>
      </c>
      <c r="R42" s="27">
        <f t="shared" si="0"/>
        <v>0.11220000000000008</v>
      </c>
      <c r="S42" s="27">
        <f t="shared" si="0"/>
        <v>8.7099999999999955E-2</v>
      </c>
      <c r="T42" s="27">
        <f t="shared" si="0"/>
        <v>4.9800000000000066E-2</v>
      </c>
      <c r="U42" s="27">
        <f t="shared" si="0"/>
        <v>2.6599999999999957E-2</v>
      </c>
      <c r="V42" s="27">
        <f t="shared" si="0"/>
        <v>8.700000000000041E-3</v>
      </c>
      <c r="W42" s="27">
        <f t="shared" si="0"/>
        <v>3.9999999999995595E-4</v>
      </c>
      <c r="X42" s="28"/>
    </row>
    <row r="43" spans="2:24" s="29" customFormat="1" ht="13.5" x14ac:dyDescent="0.2">
      <c r="B43" s="25"/>
      <c r="C43" s="26" t="s">
        <v>2</v>
      </c>
      <c r="D43" s="27">
        <v>0</v>
      </c>
      <c r="E43" s="27">
        <v>3.1570208636205966E-4</v>
      </c>
      <c r="F43" s="27">
        <v>5.3084721188287063E-3</v>
      </c>
      <c r="G43" s="27">
        <v>1.420191681834658E-2</v>
      </c>
      <c r="H43" s="27">
        <v>3.5261194757006835E-2</v>
      </c>
      <c r="I43" s="30">
        <v>6.1745871513148413E-2</v>
      </c>
      <c r="J43" s="30">
        <v>0.1163</v>
      </c>
      <c r="K43" s="30">
        <v>0.19700000000000001</v>
      </c>
      <c r="L43" s="30">
        <v>0.2742</v>
      </c>
      <c r="M43" s="30">
        <v>0.34329999999999999</v>
      </c>
      <c r="N43" s="30">
        <v>0.41560000000000002</v>
      </c>
      <c r="O43" s="30">
        <v>0.49359999999999998</v>
      </c>
      <c r="P43" s="30">
        <v>0.59379999999999999</v>
      </c>
      <c r="Q43" s="27">
        <v>0.71519999999999995</v>
      </c>
      <c r="R43" s="27">
        <v>0.82740000000000002</v>
      </c>
      <c r="S43" s="27">
        <v>0.91449999999999998</v>
      </c>
      <c r="T43" s="27">
        <v>0.96430000000000005</v>
      </c>
      <c r="U43" s="27">
        <v>0.9909</v>
      </c>
      <c r="V43" s="27">
        <v>0.99960000000000004</v>
      </c>
      <c r="W43" s="27">
        <v>1</v>
      </c>
      <c r="X43" s="28"/>
    </row>
    <row r="44" spans="2:24" ht="21.75" hidden="1" customHeight="1" x14ac:dyDescent="0.2">
      <c r="B44" s="9"/>
      <c r="C44" s="4" t="s">
        <v>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14"/>
    </row>
    <row r="45" spans="2:24" ht="13.5" hidden="1" x14ac:dyDescent="0.2">
      <c r="B45" s="9"/>
      <c r="C45" s="4" t="s">
        <v>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14"/>
    </row>
    <row r="46" spans="2:24" ht="13.5" x14ac:dyDescent="0.2">
      <c r="B46" s="9"/>
      <c r="C46" s="21" t="s">
        <v>5</v>
      </c>
      <c r="D46" s="17"/>
      <c r="E46" s="17"/>
      <c r="F46" s="17"/>
      <c r="G46" s="17"/>
      <c r="H46" s="17"/>
      <c r="I46" s="17"/>
      <c r="J46" s="17"/>
      <c r="K46" s="17">
        <f>K47-J47</f>
        <v>0.19789999999999999</v>
      </c>
      <c r="L46" s="17">
        <f>L47-K47</f>
        <v>7.4899999999999994E-2</v>
      </c>
      <c r="M46" s="17">
        <f>M47-L47</f>
        <v>6.0138049961613371E-2</v>
      </c>
      <c r="N46" s="17">
        <f>N47-M47</f>
        <v>7.8371621488612042E-2</v>
      </c>
      <c r="O46" s="17">
        <f t="shared" ref="N46:W46" si="1">O47-N47</f>
        <v>0.1124604815055415</v>
      </c>
      <c r="P46" s="17">
        <f t="shared" si="1"/>
        <v>0.10753282544931986</v>
      </c>
      <c r="Q46" s="17">
        <f t="shared" si="1"/>
        <v>0.10888403315025885</v>
      </c>
      <c r="R46" s="17">
        <f t="shared" si="1"/>
        <v>8.4815055414476648E-2</v>
      </c>
      <c r="S46" s="17">
        <f t="shared" si="1"/>
        <v>8.5701687041083385E-2</v>
      </c>
      <c r="T46" s="17">
        <f t="shared" si="1"/>
        <v>5.4305793421130399E-2</v>
      </c>
      <c r="U46" s="17">
        <f t="shared" si="1"/>
        <v>2.5881611842752839E-2</v>
      </c>
      <c r="V46" s="17">
        <f t="shared" si="1"/>
        <v>8.4363865430421292E-3</v>
      </c>
      <c r="W46" s="17">
        <f t="shared" si="1"/>
        <v>6.7245418216899111E-4</v>
      </c>
      <c r="X46" s="14"/>
    </row>
    <row r="47" spans="2:24" ht="13.5" x14ac:dyDescent="0.2">
      <c r="B47" s="9"/>
      <c r="C47" s="21" t="s">
        <v>6</v>
      </c>
      <c r="D47" s="17"/>
      <c r="E47" s="17"/>
      <c r="F47" s="17"/>
      <c r="G47" s="17"/>
      <c r="H47" s="17"/>
      <c r="I47" s="18"/>
      <c r="J47" s="18"/>
      <c r="K47" s="18">
        <v>0.19789999999999999</v>
      </c>
      <c r="L47" s="18">
        <v>0.27279999999999999</v>
      </c>
      <c r="M47" s="18">
        <v>0.33293804996161336</v>
      </c>
      <c r="N47" s="18">
        <v>0.4113096714502254</v>
      </c>
      <c r="O47" s="18">
        <v>0.5237701529557669</v>
      </c>
      <c r="P47" s="18">
        <v>0.63130297840508676</v>
      </c>
      <c r="Q47" s="18">
        <v>0.74018701155534561</v>
      </c>
      <c r="R47" s="18">
        <v>0.82500206696982226</v>
      </c>
      <c r="S47" s="18">
        <v>0.91070375401090564</v>
      </c>
      <c r="T47" s="18">
        <v>0.96500954743203604</v>
      </c>
      <c r="U47" s="18">
        <v>0.99089115927478888</v>
      </c>
      <c r="V47" s="18">
        <v>0.99932754581783101</v>
      </c>
      <c r="W47" s="18">
        <v>1</v>
      </c>
      <c r="X47" s="14"/>
    </row>
    <row r="48" spans="2:24" ht="13.5" x14ac:dyDescent="0.2">
      <c r="B48" s="9"/>
      <c r="C48" s="19" t="s">
        <v>7</v>
      </c>
      <c r="D48" s="20">
        <f>D49</f>
        <v>0</v>
      </c>
      <c r="E48" s="20">
        <f>E49-D49</f>
        <v>3.1570208636205966E-4</v>
      </c>
      <c r="F48" s="20">
        <f t="shared" ref="F48:L48" si="2">F49-E49</f>
        <v>4.9927700324666462E-3</v>
      </c>
      <c r="G48" s="20">
        <f t="shared" si="2"/>
        <v>8.8934446995178745E-3</v>
      </c>
      <c r="H48" s="20">
        <f t="shared" si="2"/>
        <v>2.1059277938660255E-2</v>
      </c>
      <c r="I48" s="20">
        <f t="shared" si="2"/>
        <v>2.6484676756141579E-2</v>
      </c>
      <c r="J48" s="20">
        <f t="shared" si="2"/>
        <v>4.5054128486851593E-2</v>
      </c>
      <c r="K48" s="20">
        <f t="shared" si="2"/>
        <v>9.1099999999999987E-2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4"/>
    </row>
    <row r="49" spans="2:24" ht="13.5" x14ac:dyDescent="0.2">
      <c r="B49" s="9"/>
      <c r="C49" s="19" t="s">
        <v>8</v>
      </c>
      <c r="D49" s="20">
        <v>0</v>
      </c>
      <c r="E49" s="20">
        <v>3.1570208636205966E-4</v>
      </c>
      <c r="F49" s="20">
        <v>5.3084721188287063E-3</v>
      </c>
      <c r="G49" s="20">
        <v>1.420191681834658E-2</v>
      </c>
      <c r="H49" s="20">
        <v>3.5261194757006835E-2</v>
      </c>
      <c r="I49" s="20">
        <v>6.1745871513148413E-2</v>
      </c>
      <c r="J49" s="20">
        <v>0.10680000000000001</v>
      </c>
      <c r="K49" s="20">
        <v>0.19789999999999999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14"/>
    </row>
    <row r="50" spans="2:24" x14ac:dyDescent="0.2">
      <c r="B50" s="9"/>
      <c r="O50" s="12"/>
      <c r="P50" s="12"/>
      <c r="Q50" s="12"/>
      <c r="R50" s="12"/>
      <c r="S50" s="12"/>
      <c r="T50" s="12"/>
      <c r="U50" s="12"/>
      <c r="V50" s="12"/>
      <c r="W50" s="12"/>
      <c r="X50" s="14"/>
    </row>
    <row r="51" spans="2:24" ht="13.5" thickBot="1" x14ac:dyDescent="0.25"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5"/>
    </row>
    <row r="52" spans="2:24" x14ac:dyDescent="0.2">
      <c r="P52" s="12"/>
      <c r="Q52" s="12"/>
      <c r="R52" s="12"/>
      <c r="S52" s="12"/>
      <c r="T52" s="12"/>
      <c r="U52" s="12"/>
      <c r="V52" s="12"/>
      <c r="W52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C854-9AD5-4F60-87C9-2AD3EE50288F}">
  <sheetPr filterMode="1"/>
  <dimension ref="B1:IF269"/>
  <sheetViews>
    <sheetView topLeftCell="A247" zoomScale="85" zoomScaleNormal="85" workbookViewId="0">
      <selection activeCell="L248" sqref="L248:AE248"/>
    </sheetView>
  </sheetViews>
  <sheetFormatPr defaultRowHeight="15" x14ac:dyDescent="0.25"/>
  <cols>
    <col min="1" max="16383" width="12.28515625" bestFit="1" customWidth="1"/>
    <col min="16384" max="16384" width="12.28515625" customWidth="1"/>
  </cols>
  <sheetData>
    <row r="1" spans="2:240" s="2" customFormat="1" x14ac:dyDescent="0.25">
      <c r="C1" s="2" t="str">
        <f t="shared" ref="C1" si="0">IF(C2="Domingo","I","")</f>
        <v>I</v>
      </c>
      <c r="D1" s="2" t="str">
        <f t="shared" ref="D1" si="1">IF(D2="Domingo","I","")</f>
        <v/>
      </c>
      <c r="E1" s="2" t="str">
        <f t="shared" ref="E1" si="2">IF(E2="Domingo","I","")</f>
        <v/>
      </c>
      <c r="F1" s="2" t="str">
        <f t="shared" ref="F1" si="3">IF(F2="Domingo","I","")</f>
        <v/>
      </c>
      <c r="G1" s="2" t="str">
        <f t="shared" ref="G1" si="4">IF(G2="Domingo","I","")</f>
        <v/>
      </c>
      <c r="H1" s="2" t="str">
        <f t="shared" ref="H1" si="5">IF(H2="Domingo","I","")</f>
        <v/>
      </c>
      <c r="I1" s="2" t="str">
        <f t="shared" ref="I1" si="6">IF(I2="Domingo","I","")</f>
        <v/>
      </c>
      <c r="J1" s="2" t="str">
        <f t="shared" ref="J1:BU1" si="7">IF(J2="Domingo","I","")</f>
        <v>I</v>
      </c>
      <c r="K1" s="2" t="str">
        <f t="shared" si="7"/>
        <v/>
      </c>
      <c r="L1" s="2" t="str">
        <f t="shared" si="7"/>
        <v/>
      </c>
      <c r="M1" s="2" t="str">
        <f t="shared" si="7"/>
        <v/>
      </c>
      <c r="N1" s="2" t="str">
        <f t="shared" si="7"/>
        <v/>
      </c>
      <c r="O1" s="2" t="str">
        <f t="shared" si="7"/>
        <v/>
      </c>
      <c r="P1" s="2" t="str">
        <f t="shared" si="7"/>
        <v/>
      </c>
      <c r="Q1" s="2" t="str">
        <f t="shared" si="7"/>
        <v>I</v>
      </c>
      <c r="R1" s="2" t="str">
        <f t="shared" si="7"/>
        <v/>
      </c>
      <c r="S1" s="2" t="str">
        <f t="shared" si="7"/>
        <v/>
      </c>
      <c r="T1" s="2" t="str">
        <f t="shared" si="7"/>
        <v/>
      </c>
      <c r="U1" s="2" t="str">
        <f t="shared" si="7"/>
        <v/>
      </c>
      <c r="V1" s="2" t="str">
        <f t="shared" si="7"/>
        <v/>
      </c>
      <c r="W1" s="2" t="str">
        <f t="shared" si="7"/>
        <v/>
      </c>
      <c r="X1" s="2" t="str">
        <f t="shared" si="7"/>
        <v>I</v>
      </c>
      <c r="Y1" s="2" t="str">
        <f t="shared" si="7"/>
        <v/>
      </c>
      <c r="Z1" s="2" t="str">
        <f t="shared" si="7"/>
        <v/>
      </c>
      <c r="AA1" s="2" t="str">
        <f t="shared" si="7"/>
        <v/>
      </c>
      <c r="AB1" s="2" t="str">
        <f t="shared" si="7"/>
        <v/>
      </c>
      <c r="AC1" s="2" t="str">
        <f t="shared" si="7"/>
        <v/>
      </c>
      <c r="AD1" s="2" t="str">
        <f t="shared" si="7"/>
        <v/>
      </c>
      <c r="AE1" s="2" t="str">
        <f t="shared" si="7"/>
        <v>I</v>
      </c>
      <c r="AF1" s="2" t="str">
        <f t="shared" si="7"/>
        <v/>
      </c>
      <c r="AG1" s="2" t="str">
        <f t="shared" si="7"/>
        <v/>
      </c>
      <c r="AH1" s="2" t="str">
        <f t="shared" si="7"/>
        <v/>
      </c>
      <c r="AI1" s="2" t="str">
        <f t="shared" si="7"/>
        <v/>
      </c>
      <c r="AJ1" s="2" t="str">
        <f t="shared" si="7"/>
        <v/>
      </c>
      <c r="AK1" s="2" t="str">
        <f t="shared" si="7"/>
        <v/>
      </c>
      <c r="AL1" s="2" t="str">
        <f t="shared" si="7"/>
        <v>I</v>
      </c>
      <c r="AM1" s="2" t="str">
        <f t="shared" si="7"/>
        <v/>
      </c>
      <c r="AN1" s="2" t="str">
        <f t="shared" si="7"/>
        <v/>
      </c>
      <c r="AO1" s="2" t="str">
        <f t="shared" si="7"/>
        <v/>
      </c>
      <c r="AP1" s="2" t="str">
        <f t="shared" si="7"/>
        <v/>
      </c>
      <c r="AQ1" s="2" t="str">
        <f t="shared" si="7"/>
        <v/>
      </c>
      <c r="AR1" s="2" t="str">
        <f t="shared" si="7"/>
        <v/>
      </c>
      <c r="AS1" s="2" t="str">
        <f t="shared" si="7"/>
        <v>I</v>
      </c>
      <c r="AT1" s="2" t="str">
        <f t="shared" si="7"/>
        <v/>
      </c>
      <c r="AU1" s="2" t="str">
        <f t="shared" si="7"/>
        <v/>
      </c>
      <c r="AV1" s="2" t="str">
        <f t="shared" si="7"/>
        <v/>
      </c>
      <c r="AW1" s="2" t="str">
        <f t="shared" si="7"/>
        <v/>
      </c>
      <c r="AX1" s="2" t="str">
        <f t="shared" si="7"/>
        <v/>
      </c>
      <c r="AY1" s="2" t="str">
        <f t="shared" si="7"/>
        <v/>
      </c>
      <c r="AZ1" s="2" t="str">
        <f t="shared" si="7"/>
        <v>I</v>
      </c>
      <c r="BA1" s="2" t="str">
        <f t="shared" si="7"/>
        <v/>
      </c>
      <c r="BB1" s="2" t="str">
        <f t="shared" si="7"/>
        <v/>
      </c>
      <c r="BC1" s="2" t="str">
        <f t="shared" si="7"/>
        <v/>
      </c>
      <c r="BD1" s="2" t="str">
        <f t="shared" si="7"/>
        <v/>
      </c>
      <c r="BE1" s="2" t="str">
        <f t="shared" si="7"/>
        <v/>
      </c>
      <c r="BF1" s="2" t="str">
        <f t="shared" si="7"/>
        <v/>
      </c>
      <c r="BG1" s="2" t="str">
        <f t="shared" si="7"/>
        <v>I</v>
      </c>
      <c r="BH1" s="2" t="str">
        <f t="shared" si="7"/>
        <v/>
      </c>
      <c r="BI1" s="2" t="str">
        <f t="shared" si="7"/>
        <v/>
      </c>
      <c r="BJ1" s="2" t="str">
        <f t="shared" si="7"/>
        <v/>
      </c>
      <c r="BK1" s="2" t="str">
        <f t="shared" si="7"/>
        <v/>
      </c>
      <c r="BL1" s="2" t="str">
        <f t="shared" si="7"/>
        <v/>
      </c>
      <c r="BM1" s="2" t="str">
        <f t="shared" si="7"/>
        <v/>
      </c>
      <c r="BN1" s="2" t="str">
        <f t="shared" si="7"/>
        <v>I</v>
      </c>
      <c r="BO1" s="2" t="str">
        <f t="shared" si="7"/>
        <v/>
      </c>
      <c r="BP1" s="2" t="str">
        <f t="shared" si="7"/>
        <v/>
      </c>
      <c r="BQ1" s="2" t="str">
        <f t="shared" si="7"/>
        <v/>
      </c>
      <c r="BR1" s="2" t="str">
        <f t="shared" si="7"/>
        <v/>
      </c>
      <c r="BS1" s="2" t="str">
        <f t="shared" si="7"/>
        <v/>
      </c>
      <c r="BT1" s="2" t="str">
        <f t="shared" si="7"/>
        <v/>
      </c>
      <c r="BU1" s="2" t="str">
        <f t="shared" si="7"/>
        <v>I</v>
      </c>
      <c r="BV1" s="2" t="str">
        <f t="shared" ref="BV1:EF1" si="8">IF(BV2="Domingo","I","")</f>
        <v/>
      </c>
      <c r="BW1" s="2" t="str">
        <f t="shared" si="8"/>
        <v/>
      </c>
      <c r="BX1" s="2" t="str">
        <f t="shared" si="8"/>
        <v/>
      </c>
      <c r="BY1" s="2" t="str">
        <f t="shared" si="8"/>
        <v/>
      </c>
      <c r="BZ1" s="2" t="str">
        <f t="shared" si="8"/>
        <v/>
      </c>
      <c r="CA1" s="2" t="str">
        <f t="shared" si="8"/>
        <v/>
      </c>
      <c r="CB1" s="2" t="str">
        <f t="shared" si="8"/>
        <v>I</v>
      </c>
      <c r="CC1" s="2" t="str">
        <f t="shared" si="8"/>
        <v/>
      </c>
      <c r="CD1" s="2" t="str">
        <f t="shared" si="8"/>
        <v/>
      </c>
      <c r="CE1" s="2" t="str">
        <f t="shared" si="8"/>
        <v/>
      </c>
      <c r="CF1" s="2" t="str">
        <f t="shared" si="8"/>
        <v/>
      </c>
      <c r="CG1" s="2" t="str">
        <f t="shared" si="8"/>
        <v/>
      </c>
      <c r="CH1" s="2" t="str">
        <f t="shared" si="8"/>
        <v/>
      </c>
      <c r="CI1" s="2" t="str">
        <f t="shared" si="8"/>
        <v>I</v>
      </c>
      <c r="CJ1" s="2" t="str">
        <f t="shared" si="8"/>
        <v/>
      </c>
      <c r="CK1" s="2" t="str">
        <f t="shared" si="8"/>
        <v/>
      </c>
      <c r="CL1" s="2" t="str">
        <f t="shared" si="8"/>
        <v/>
      </c>
      <c r="CM1" s="2" t="str">
        <f t="shared" si="8"/>
        <v/>
      </c>
      <c r="CN1" s="2" t="str">
        <f t="shared" si="8"/>
        <v/>
      </c>
      <c r="CO1" s="2" t="str">
        <f t="shared" si="8"/>
        <v/>
      </c>
      <c r="CP1" s="2" t="str">
        <f t="shared" si="8"/>
        <v>I</v>
      </c>
      <c r="CQ1" s="2" t="str">
        <f t="shared" si="8"/>
        <v/>
      </c>
      <c r="CR1" s="2" t="str">
        <f t="shared" si="8"/>
        <v/>
      </c>
      <c r="CS1" s="2" t="str">
        <f t="shared" si="8"/>
        <v/>
      </c>
      <c r="CT1" s="2" t="str">
        <f t="shared" si="8"/>
        <v/>
      </c>
      <c r="CU1" s="2" t="str">
        <f t="shared" si="8"/>
        <v/>
      </c>
      <c r="CV1" s="2" t="str">
        <f t="shared" si="8"/>
        <v/>
      </c>
      <c r="CW1" s="2" t="str">
        <f t="shared" si="8"/>
        <v>I</v>
      </c>
      <c r="CX1" s="2" t="str">
        <f t="shared" si="8"/>
        <v/>
      </c>
      <c r="CY1" s="2" t="str">
        <f t="shared" si="8"/>
        <v/>
      </c>
      <c r="CZ1" s="2" t="str">
        <f t="shared" si="8"/>
        <v/>
      </c>
      <c r="DA1" s="2" t="str">
        <f t="shared" si="8"/>
        <v/>
      </c>
      <c r="DB1" s="2" t="str">
        <f t="shared" si="8"/>
        <v/>
      </c>
      <c r="DC1" s="2" t="str">
        <f t="shared" si="8"/>
        <v/>
      </c>
      <c r="DD1" s="2" t="str">
        <f t="shared" si="8"/>
        <v>I</v>
      </c>
      <c r="DE1" s="2" t="str">
        <f t="shared" si="8"/>
        <v/>
      </c>
      <c r="DF1" s="2" t="str">
        <f t="shared" si="8"/>
        <v/>
      </c>
      <c r="DG1" s="2" t="str">
        <f t="shared" si="8"/>
        <v/>
      </c>
      <c r="DH1" s="2" t="str">
        <f t="shared" si="8"/>
        <v/>
      </c>
      <c r="DI1" s="2" t="str">
        <f t="shared" si="8"/>
        <v/>
      </c>
      <c r="DJ1" s="2" t="str">
        <f t="shared" si="8"/>
        <v/>
      </c>
      <c r="DK1" s="2" t="str">
        <f t="shared" si="8"/>
        <v>I</v>
      </c>
      <c r="DL1" s="2" t="str">
        <f t="shared" si="8"/>
        <v/>
      </c>
      <c r="DM1" s="2" t="str">
        <f t="shared" si="8"/>
        <v/>
      </c>
      <c r="DN1" s="2" t="str">
        <f t="shared" si="8"/>
        <v/>
      </c>
      <c r="DO1" s="2" t="str">
        <f t="shared" si="8"/>
        <v/>
      </c>
      <c r="DP1" s="2" t="str">
        <f t="shared" si="8"/>
        <v/>
      </c>
      <c r="DQ1" s="2" t="str">
        <f t="shared" si="8"/>
        <v/>
      </c>
      <c r="DR1" s="2" t="str">
        <f t="shared" si="8"/>
        <v>I</v>
      </c>
      <c r="DS1" s="2" t="str">
        <f t="shared" si="8"/>
        <v/>
      </c>
      <c r="DT1" s="2" t="str">
        <f t="shared" si="8"/>
        <v/>
      </c>
      <c r="DU1" s="2" t="str">
        <f t="shared" si="8"/>
        <v/>
      </c>
      <c r="DV1" s="2" t="str">
        <f t="shared" si="8"/>
        <v/>
      </c>
      <c r="DW1" s="2" t="str">
        <f t="shared" si="8"/>
        <v/>
      </c>
      <c r="DX1" s="2" t="str">
        <f t="shared" si="8"/>
        <v/>
      </c>
      <c r="DY1" s="2" t="str">
        <f t="shared" si="8"/>
        <v>I</v>
      </c>
      <c r="DZ1" s="2" t="str">
        <f t="shared" si="8"/>
        <v/>
      </c>
      <c r="EA1" s="2" t="str">
        <f t="shared" si="8"/>
        <v/>
      </c>
      <c r="EB1" s="2" t="str">
        <f t="shared" si="8"/>
        <v/>
      </c>
      <c r="EC1" s="2" t="str">
        <f t="shared" si="8"/>
        <v/>
      </c>
      <c r="ED1" s="2" t="str">
        <f t="shared" si="8"/>
        <v/>
      </c>
      <c r="EE1" s="2" t="str">
        <f t="shared" si="8"/>
        <v/>
      </c>
      <c r="EF1" s="2" t="str">
        <f t="shared" si="8"/>
        <v>I</v>
      </c>
    </row>
    <row r="2" spans="2:240" s="2" customFormat="1" x14ac:dyDescent="0.25"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2" t="s">
        <v>14</v>
      </c>
      <c r="AQ2" s="2" t="s">
        <v>15</v>
      </c>
      <c r="AR2" s="2" t="s">
        <v>9</v>
      </c>
      <c r="AS2" s="2" t="s">
        <v>10</v>
      </c>
      <c r="AT2" s="2" t="s">
        <v>11</v>
      </c>
      <c r="AU2" s="2" t="s">
        <v>12</v>
      </c>
      <c r="AV2" s="2" t="s">
        <v>13</v>
      </c>
      <c r="AW2" s="2" t="s">
        <v>14</v>
      </c>
      <c r="AX2" s="2" t="s">
        <v>15</v>
      </c>
      <c r="AY2" s="2" t="s">
        <v>9</v>
      </c>
      <c r="AZ2" s="2" t="s">
        <v>10</v>
      </c>
      <c r="BA2" s="2" t="s">
        <v>11</v>
      </c>
      <c r="BB2" s="2" t="s">
        <v>12</v>
      </c>
      <c r="BC2" s="2" t="s">
        <v>13</v>
      </c>
      <c r="BD2" s="2" t="s">
        <v>14</v>
      </c>
      <c r="BE2" s="2" t="s">
        <v>15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14</v>
      </c>
      <c r="BL2" s="2" t="s">
        <v>15</v>
      </c>
      <c r="BM2" s="2" t="s">
        <v>9</v>
      </c>
      <c r="BN2" s="2" t="s">
        <v>10</v>
      </c>
      <c r="BO2" s="2" t="s">
        <v>11</v>
      </c>
      <c r="BP2" s="2" t="s">
        <v>12</v>
      </c>
      <c r="BQ2" s="2" t="s">
        <v>13</v>
      </c>
      <c r="BR2" s="2" t="s">
        <v>14</v>
      </c>
      <c r="BS2" s="2" t="s">
        <v>15</v>
      </c>
      <c r="BT2" s="2" t="s">
        <v>9</v>
      </c>
      <c r="BU2" s="2" t="s">
        <v>10</v>
      </c>
      <c r="BV2" s="2" t="s">
        <v>11</v>
      </c>
      <c r="BW2" s="2" t="s">
        <v>12</v>
      </c>
      <c r="BX2" s="2" t="s">
        <v>13</v>
      </c>
      <c r="BY2" s="2" t="s">
        <v>14</v>
      </c>
      <c r="BZ2" s="2" t="s">
        <v>15</v>
      </c>
      <c r="CA2" s="2" t="s">
        <v>9</v>
      </c>
      <c r="CB2" s="2" t="s">
        <v>10</v>
      </c>
      <c r="CC2" s="2" t="s">
        <v>11</v>
      </c>
      <c r="CD2" s="2" t="s">
        <v>12</v>
      </c>
      <c r="CE2" s="2" t="s">
        <v>13</v>
      </c>
      <c r="CF2" s="2" t="s">
        <v>14</v>
      </c>
      <c r="CG2" s="2" t="s">
        <v>15</v>
      </c>
      <c r="CH2" s="2" t="s">
        <v>9</v>
      </c>
      <c r="CI2" s="2" t="s">
        <v>10</v>
      </c>
      <c r="CJ2" s="2" t="s">
        <v>11</v>
      </c>
      <c r="CK2" s="2" t="s">
        <v>12</v>
      </c>
      <c r="CL2" s="2" t="s">
        <v>13</v>
      </c>
      <c r="CM2" s="2" t="s">
        <v>14</v>
      </c>
      <c r="CN2" s="2" t="s">
        <v>15</v>
      </c>
      <c r="CO2" s="2" t="s">
        <v>9</v>
      </c>
      <c r="CP2" s="2" t="s">
        <v>10</v>
      </c>
      <c r="CQ2" s="2" t="s">
        <v>11</v>
      </c>
      <c r="CR2" s="2" t="s">
        <v>12</v>
      </c>
      <c r="CS2" s="2" t="s">
        <v>13</v>
      </c>
      <c r="CT2" s="2" t="s">
        <v>14</v>
      </c>
      <c r="CU2" s="2" t="s">
        <v>15</v>
      </c>
      <c r="CV2" s="2" t="s">
        <v>9</v>
      </c>
      <c r="CW2" s="2" t="s">
        <v>10</v>
      </c>
      <c r="CX2" s="2" t="s">
        <v>11</v>
      </c>
      <c r="CY2" s="2" t="s">
        <v>12</v>
      </c>
      <c r="CZ2" s="2" t="s">
        <v>13</v>
      </c>
      <c r="DA2" s="2" t="s">
        <v>14</v>
      </c>
      <c r="DB2" s="2" t="s">
        <v>15</v>
      </c>
      <c r="DC2" s="2" t="s">
        <v>9</v>
      </c>
      <c r="DD2" s="2" t="s">
        <v>10</v>
      </c>
      <c r="DE2" s="2" t="s">
        <v>11</v>
      </c>
      <c r="DF2" s="2" t="s">
        <v>12</v>
      </c>
      <c r="DG2" s="2" t="s">
        <v>13</v>
      </c>
      <c r="DH2" s="2" t="s">
        <v>14</v>
      </c>
      <c r="DI2" s="2" t="s">
        <v>15</v>
      </c>
      <c r="DJ2" s="2" t="s">
        <v>9</v>
      </c>
      <c r="DK2" s="2" t="s">
        <v>10</v>
      </c>
      <c r="DL2" s="2" t="s">
        <v>11</v>
      </c>
      <c r="DM2" s="2" t="s">
        <v>12</v>
      </c>
      <c r="DN2" s="2" t="s">
        <v>13</v>
      </c>
      <c r="DO2" s="2" t="s">
        <v>14</v>
      </c>
      <c r="DP2" s="2" t="s">
        <v>15</v>
      </c>
      <c r="DQ2" s="2" t="s">
        <v>9</v>
      </c>
      <c r="DR2" s="2" t="s">
        <v>10</v>
      </c>
      <c r="DS2" s="2" t="s">
        <v>11</v>
      </c>
      <c r="DT2" s="2" t="s">
        <v>12</v>
      </c>
      <c r="DU2" s="2" t="s">
        <v>13</v>
      </c>
      <c r="DV2" s="2" t="s">
        <v>14</v>
      </c>
      <c r="DW2" s="2" t="s">
        <v>15</v>
      </c>
      <c r="DX2" s="2" t="s">
        <v>9</v>
      </c>
      <c r="DY2" s="2" t="s">
        <v>10</v>
      </c>
      <c r="DZ2" s="2" t="s">
        <v>11</v>
      </c>
      <c r="EA2" s="2" t="s">
        <v>12</v>
      </c>
      <c r="EB2" s="2" t="s">
        <v>13</v>
      </c>
      <c r="EC2" s="2" t="s">
        <v>14</v>
      </c>
      <c r="ED2" s="2" t="s">
        <v>15</v>
      </c>
      <c r="EE2" s="2" t="s">
        <v>9</v>
      </c>
      <c r="EF2" s="2" t="s">
        <v>10</v>
      </c>
    </row>
    <row r="3" spans="2:240" s="1" customFormat="1" x14ac:dyDescent="0.25">
      <c r="C3" s="1">
        <v>46159</v>
      </c>
      <c r="D3" s="1">
        <v>46160</v>
      </c>
      <c r="E3" s="1">
        <v>46161</v>
      </c>
      <c r="F3" s="1">
        <v>46162</v>
      </c>
      <c r="G3" s="1">
        <v>46163</v>
      </c>
      <c r="H3" s="1">
        <v>46164</v>
      </c>
      <c r="I3" s="1">
        <v>46165</v>
      </c>
      <c r="J3" s="1">
        <v>46166</v>
      </c>
      <c r="K3" s="1">
        <v>46167</v>
      </c>
      <c r="L3" s="1">
        <v>46168</v>
      </c>
      <c r="M3" s="1">
        <v>46169</v>
      </c>
      <c r="N3" s="1">
        <v>46170</v>
      </c>
      <c r="O3" s="1">
        <v>46171</v>
      </c>
      <c r="P3" s="1">
        <v>46172</v>
      </c>
      <c r="Q3" s="1">
        <v>46173</v>
      </c>
      <c r="R3" s="1">
        <v>46174</v>
      </c>
      <c r="S3" s="1">
        <v>46175</v>
      </c>
      <c r="T3" s="1">
        <v>46176</v>
      </c>
      <c r="U3" s="1">
        <v>46177</v>
      </c>
      <c r="V3" s="1">
        <v>46178</v>
      </c>
      <c r="W3" s="1">
        <v>46179</v>
      </c>
      <c r="X3" s="1">
        <v>46180</v>
      </c>
      <c r="Y3" s="1">
        <v>46181</v>
      </c>
      <c r="Z3" s="1">
        <v>46182</v>
      </c>
      <c r="AA3" s="1">
        <v>46183</v>
      </c>
      <c r="AB3" s="1">
        <v>46184</v>
      </c>
      <c r="AC3" s="1">
        <v>46185</v>
      </c>
      <c r="AD3" s="1">
        <v>46186</v>
      </c>
      <c r="AE3" s="1">
        <v>46187</v>
      </c>
      <c r="AF3" s="1">
        <v>46188</v>
      </c>
      <c r="AG3" s="1">
        <v>46189</v>
      </c>
      <c r="AH3" s="1">
        <v>46190</v>
      </c>
      <c r="AI3" s="1">
        <v>46191</v>
      </c>
      <c r="AJ3" s="1">
        <v>46192</v>
      </c>
      <c r="AK3" s="1">
        <v>46193</v>
      </c>
      <c r="AL3" s="1">
        <v>46194</v>
      </c>
      <c r="AM3" s="1">
        <v>46195</v>
      </c>
      <c r="AN3" s="1">
        <v>46196</v>
      </c>
      <c r="AO3" s="1">
        <v>46197</v>
      </c>
      <c r="AP3" s="1">
        <v>46198</v>
      </c>
      <c r="AQ3" s="1">
        <v>46199</v>
      </c>
      <c r="AR3" s="1">
        <v>46200</v>
      </c>
      <c r="AS3" s="1">
        <v>46201</v>
      </c>
      <c r="AT3" s="1">
        <v>46202</v>
      </c>
      <c r="AU3" s="1">
        <v>46203</v>
      </c>
      <c r="AV3" s="1">
        <v>46204</v>
      </c>
      <c r="AW3" s="1">
        <v>46205</v>
      </c>
      <c r="AX3" s="1">
        <v>46206</v>
      </c>
      <c r="AY3" s="1">
        <v>46207</v>
      </c>
      <c r="AZ3" s="1">
        <v>46208</v>
      </c>
      <c r="BA3" s="1">
        <v>46209</v>
      </c>
      <c r="BB3" s="1">
        <v>46210</v>
      </c>
      <c r="BC3" s="1">
        <v>46211</v>
      </c>
      <c r="BD3" s="1">
        <v>46212</v>
      </c>
      <c r="BE3" s="1">
        <v>46213</v>
      </c>
      <c r="BF3" s="1">
        <v>46214</v>
      </c>
      <c r="BG3" s="1">
        <v>46215</v>
      </c>
      <c r="BH3" s="1">
        <v>46216</v>
      </c>
      <c r="BI3" s="1">
        <v>46217</v>
      </c>
      <c r="BJ3" s="1">
        <v>46218</v>
      </c>
      <c r="BK3" s="1">
        <v>46219</v>
      </c>
      <c r="BL3" s="1">
        <v>46220</v>
      </c>
      <c r="BM3" s="1">
        <v>46221</v>
      </c>
      <c r="BN3" s="1">
        <v>46222</v>
      </c>
      <c r="BO3" s="1">
        <v>46223</v>
      </c>
      <c r="BP3" s="1">
        <v>46224</v>
      </c>
      <c r="BQ3" s="1">
        <v>46225</v>
      </c>
      <c r="BR3" s="1">
        <v>46226</v>
      </c>
      <c r="BS3" s="1">
        <v>46227</v>
      </c>
      <c r="BT3" s="1">
        <v>46228</v>
      </c>
      <c r="BU3" s="1">
        <v>46229</v>
      </c>
      <c r="BV3" s="1">
        <v>46230</v>
      </c>
      <c r="BW3" s="1">
        <v>46231</v>
      </c>
      <c r="BX3" s="1">
        <v>46232</v>
      </c>
      <c r="BY3" s="1">
        <v>46233</v>
      </c>
      <c r="BZ3" s="1">
        <v>46234</v>
      </c>
      <c r="CA3" s="1">
        <v>46235</v>
      </c>
      <c r="CB3" s="1">
        <v>46236</v>
      </c>
      <c r="CC3" s="1">
        <v>46237</v>
      </c>
      <c r="CD3" s="1">
        <v>46238</v>
      </c>
      <c r="CE3" s="1">
        <v>46239</v>
      </c>
      <c r="CF3" s="1">
        <v>46240</v>
      </c>
      <c r="CG3" s="1">
        <v>46241</v>
      </c>
      <c r="CH3" s="1">
        <v>46242</v>
      </c>
      <c r="CI3" s="1">
        <v>46243</v>
      </c>
      <c r="CJ3" s="1">
        <v>46244</v>
      </c>
      <c r="CK3" s="1">
        <v>46245</v>
      </c>
      <c r="CL3" s="1">
        <v>46246</v>
      </c>
      <c r="CM3" s="1">
        <v>46247</v>
      </c>
      <c r="CN3" s="1">
        <v>46248</v>
      </c>
      <c r="CO3" s="1">
        <v>46249</v>
      </c>
      <c r="CP3" s="1">
        <v>46250</v>
      </c>
      <c r="CQ3" s="1">
        <v>46251</v>
      </c>
      <c r="CR3" s="1">
        <v>46252</v>
      </c>
      <c r="CS3" s="1">
        <v>46253</v>
      </c>
      <c r="CT3" s="1">
        <v>46254</v>
      </c>
      <c r="CU3" s="1">
        <v>46255</v>
      </c>
      <c r="CV3" s="1">
        <v>46256</v>
      </c>
      <c r="CW3" s="1">
        <v>46257</v>
      </c>
      <c r="CX3" s="1">
        <v>46258</v>
      </c>
      <c r="CY3" s="1">
        <v>46259</v>
      </c>
      <c r="CZ3" s="1">
        <v>46260</v>
      </c>
      <c r="DA3" s="1">
        <v>46261</v>
      </c>
      <c r="DB3" s="1">
        <v>46262</v>
      </c>
      <c r="DC3" s="1">
        <v>46263</v>
      </c>
      <c r="DD3" s="1">
        <v>46264</v>
      </c>
      <c r="DE3" s="1">
        <v>46265</v>
      </c>
      <c r="DF3" s="1">
        <v>46266</v>
      </c>
      <c r="DG3" s="1">
        <v>46267</v>
      </c>
      <c r="DH3" s="1">
        <v>46268</v>
      </c>
      <c r="DI3" s="1">
        <v>46269</v>
      </c>
      <c r="DJ3" s="1">
        <v>46270</v>
      </c>
      <c r="DK3" s="1">
        <v>46271</v>
      </c>
      <c r="DL3" s="1">
        <v>46272</v>
      </c>
      <c r="DM3" s="1">
        <v>46273</v>
      </c>
      <c r="DN3" s="1">
        <v>46274</v>
      </c>
      <c r="DO3" s="1">
        <v>46275</v>
      </c>
      <c r="DP3" s="1">
        <v>46276</v>
      </c>
      <c r="DQ3" s="1">
        <v>46277</v>
      </c>
      <c r="DR3" s="1">
        <v>46278</v>
      </c>
      <c r="DS3" s="1">
        <v>46279</v>
      </c>
      <c r="DT3" s="1">
        <v>46280</v>
      </c>
      <c r="DU3" s="1">
        <v>46281</v>
      </c>
      <c r="DV3" s="1">
        <v>46282</v>
      </c>
      <c r="DW3" s="1">
        <v>46283</v>
      </c>
      <c r="DX3" s="1">
        <v>46284</v>
      </c>
      <c r="DY3" s="1">
        <v>46285</v>
      </c>
      <c r="DZ3" s="1">
        <v>46286</v>
      </c>
      <c r="EA3" s="1">
        <v>46287</v>
      </c>
      <c r="EB3" s="1">
        <v>46288</v>
      </c>
      <c r="EC3" s="1">
        <v>46289</v>
      </c>
      <c r="ED3" s="1">
        <v>46290</v>
      </c>
      <c r="EE3" s="1">
        <v>46291</v>
      </c>
      <c r="EF3" s="1">
        <v>46292</v>
      </c>
    </row>
    <row r="4" spans="2:240" x14ac:dyDescent="0.25">
      <c r="C4">
        <v>0</v>
      </c>
      <c r="D4">
        <v>0</v>
      </c>
      <c r="E4">
        <v>0</v>
      </c>
      <c r="F4">
        <v>0</v>
      </c>
      <c r="G4">
        <v>0</v>
      </c>
      <c r="H4">
        <v>4.05</v>
      </c>
      <c r="I4">
        <v>4.05</v>
      </c>
      <c r="J4">
        <v>4.05</v>
      </c>
      <c r="K4">
        <v>14.85</v>
      </c>
      <c r="L4">
        <v>25.65</v>
      </c>
      <c r="M4">
        <v>36.450000000000003</v>
      </c>
      <c r="N4">
        <v>47.25</v>
      </c>
      <c r="O4">
        <v>68.099999999999994</v>
      </c>
      <c r="P4">
        <v>68.099999999999994</v>
      </c>
      <c r="Q4">
        <v>68.099999999999994</v>
      </c>
      <c r="R4">
        <v>105.7</v>
      </c>
      <c r="S4">
        <v>143.30000000000001</v>
      </c>
      <c r="T4">
        <v>182.19</v>
      </c>
      <c r="U4">
        <v>182.19</v>
      </c>
      <c r="V4">
        <v>182.19</v>
      </c>
      <c r="W4">
        <v>182.19</v>
      </c>
      <c r="X4">
        <v>182.19</v>
      </c>
      <c r="Y4">
        <v>223.21</v>
      </c>
      <c r="Z4">
        <v>271.47000000000003</v>
      </c>
      <c r="AA4">
        <v>331.76</v>
      </c>
      <c r="AB4">
        <v>392.06</v>
      </c>
      <c r="AC4">
        <v>452.35</v>
      </c>
      <c r="AD4">
        <v>452.35</v>
      </c>
      <c r="AE4">
        <v>452.35</v>
      </c>
      <c r="AF4">
        <v>512.65</v>
      </c>
      <c r="AG4">
        <v>576.34</v>
      </c>
      <c r="AH4">
        <v>647.85</v>
      </c>
      <c r="AI4">
        <v>722.93</v>
      </c>
      <c r="AJ4">
        <v>792.11</v>
      </c>
      <c r="AK4">
        <v>792.11</v>
      </c>
      <c r="AL4">
        <v>792.11</v>
      </c>
      <c r="AM4" s="16">
        <v>851.46</v>
      </c>
      <c r="AN4" s="16">
        <v>914.91</v>
      </c>
      <c r="AO4" s="16">
        <v>989.46</v>
      </c>
      <c r="AP4" s="16">
        <v>1078.32</v>
      </c>
      <c r="AQ4" s="16">
        <v>1181.6199999999999</v>
      </c>
      <c r="AR4" s="16">
        <v>1181.6199999999999</v>
      </c>
      <c r="AS4" s="16">
        <v>1181.6199999999999</v>
      </c>
      <c r="AT4" s="16">
        <v>1304.01</v>
      </c>
      <c r="AU4" s="16">
        <v>1459.02</v>
      </c>
      <c r="AV4" s="16">
        <v>1643.44</v>
      </c>
      <c r="AW4" s="16">
        <v>1859.43</v>
      </c>
      <c r="AX4" s="16">
        <v>2093.15</v>
      </c>
      <c r="AY4" s="16">
        <v>2093.15</v>
      </c>
      <c r="AZ4" s="16">
        <v>2093.15</v>
      </c>
      <c r="BA4" s="24">
        <v>2303</v>
      </c>
      <c r="BB4" s="16">
        <v>2436.56</v>
      </c>
      <c r="BC4" s="16">
        <v>2567.4</v>
      </c>
      <c r="BD4" s="16">
        <v>2718.99</v>
      </c>
      <c r="BE4" s="16">
        <v>2909.25</v>
      </c>
      <c r="BF4" s="16">
        <v>2909.25</v>
      </c>
      <c r="BG4" s="16">
        <v>2909.25</v>
      </c>
      <c r="BH4" s="16">
        <v>3136.86</v>
      </c>
      <c r="BI4" s="16">
        <v>3352.95</v>
      </c>
      <c r="BJ4" s="16">
        <v>3550.49</v>
      </c>
      <c r="BK4" s="16">
        <v>3733.74</v>
      </c>
      <c r="BL4" s="16">
        <v>3933.15</v>
      </c>
      <c r="BM4" s="16">
        <v>3933.15</v>
      </c>
      <c r="BN4" s="16">
        <v>3933.15</v>
      </c>
      <c r="BO4" s="16">
        <v>4151.9799999999996</v>
      </c>
      <c r="BP4" s="16">
        <v>4366.7</v>
      </c>
      <c r="BQ4" s="16">
        <v>4571.8100000000004</v>
      </c>
      <c r="BR4" s="16">
        <v>4798.18</v>
      </c>
      <c r="BS4" s="16">
        <v>5014.62</v>
      </c>
      <c r="BT4" s="16">
        <v>5014.62</v>
      </c>
      <c r="BU4" s="16">
        <v>5014.62</v>
      </c>
      <c r="BV4" s="16">
        <v>5223.08</v>
      </c>
      <c r="BW4" s="16">
        <v>5454.37</v>
      </c>
      <c r="BX4" s="16">
        <v>5700.9</v>
      </c>
      <c r="BY4" s="16">
        <v>5933.03</v>
      </c>
      <c r="BZ4" s="16">
        <v>6139.6</v>
      </c>
      <c r="CA4" s="24">
        <v>6139.6</v>
      </c>
      <c r="CB4" s="24">
        <v>6139.6</v>
      </c>
      <c r="CC4" s="24">
        <v>6358.3</v>
      </c>
      <c r="CD4" s="24">
        <v>6616.7</v>
      </c>
      <c r="CE4" s="24">
        <v>6898.73</v>
      </c>
      <c r="CF4" s="24">
        <v>7188.54</v>
      </c>
      <c r="CG4" s="24">
        <v>7461.51</v>
      </c>
      <c r="CH4" s="16">
        <v>7461.51</v>
      </c>
      <c r="CI4" s="16">
        <v>7461.51</v>
      </c>
      <c r="CJ4" s="16">
        <v>7747.76</v>
      </c>
      <c r="CK4" s="16">
        <v>8077.49</v>
      </c>
      <c r="CL4" s="16">
        <v>8394.1299999999992</v>
      </c>
      <c r="CM4" s="16">
        <v>8686.7199999999993</v>
      </c>
      <c r="CN4" s="16">
        <v>9003.27</v>
      </c>
      <c r="CO4" s="16">
        <v>9003.27</v>
      </c>
      <c r="CP4" s="16">
        <v>9003.27</v>
      </c>
      <c r="CQ4" s="16">
        <v>9329.57</v>
      </c>
      <c r="CR4" s="16">
        <v>9640.73</v>
      </c>
      <c r="CS4" s="16">
        <v>9925.49</v>
      </c>
      <c r="CT4" s="16">
        <v>10202.620000000001</v>
      </c>
      <c r="CU4" s="16">
        <v>10463.73</v>
      </c>
      <c r="CV4" s="16">
        <v>10463.73</v>
      </c>
      <c r="CW4" s="16">
        <v>10463.73</v>
      </c>
      <c r="CX4" s="16">
        <v>10724.87</v>
      </c>
      <c r="CY4" s="16">
        <v>10982.02</v>
      </c>
      <c r="CZ4" s="16">
        <v>11206.88</v>
      </c>
      <c r="DA4" s="16">
        <v>11442.06</v>
      </c>
      <c r="DB4" s="16">
        <v>11645.95</v>
      </c>
      <c r="DC4" s="16">
        <v>11645.95</v>
      </c>
      <c r="DD4" s="16">
        <v>11645.95</v>
      </c>
      <c r="DE4" s="16">
        <v>11817</v>
      </c>
      <c r="DF4" s="16">
        <v>11955.57</v>
      </c>
      <c r="DG4" s="16">
        <v>12081</v>
      </c>
      <c r="DH4" s="16">
        <v>12197.19</v>
      </c>
      <c r="DI4" s="16">
        <v>12323.55</v>
      </c>
      <c r="DJ4" s="16">
        <v>12323.55</v>
      </c>
      <c r="DK4" s="16">
        <v>12323.55</v>
      </c>
      <c r="DL4" s="16">
        <v>12323.55</v>
      </c>
      <c r="DM4" s="16">
        <v>12451.8</v>
      </c>
      <c r="DN4" s="16">
        <v>12566.34</v>
      </c>
      <c r="DO4" s="16">
        <v>12646.18</v>
      </c>
      <c r="DP4" s="16">
        <v>12688.63</v>
      </c>
      <c r="DQ4" s="16">
        <v>12688.63</v>
      </c>
      <c r="DR4" s="16">
        <v>12688.63</v>
      </c>
      <c r="DS4" s="16">
        <v>12723.79</v>
      </c>
      <c r="DT4" s="16">
        <v>12754.53</v>
      </c>
      <c r="DU4" s="16">
        <v>12782.48</v>
      </c>
      <c r="DV4" s="16">
        <v>12804.48</v>
      </c>
      <c r="DW4" s="16">
        <v>12819.47</v>
      </c>
      <c r="DX4" s="16">
        <v>12819.47</v>
      </c>
      <c r="DY4" s="16">
        <v>12819.47</v>
      </c>
      <c r="DZ4" s="16">
        <v>12823.13</v>
      </c>
      <c r="EA4" s="16">
        <v>12826.47</v>
      </c>
      <c r="EB4" s="16">
        <v>12828.55</v>
      </c>
      <c r="EC4" s="16">
        <v>12828.55</v>
      </c>
      <c r="ED4" s="16">
        <v>12828.55</v>
      </c>
      <c r="EE4" s="16">
        <v>12828.55</v>
      </c>
      <c r="EF4" s="16">
        <v>12828.55</v>
      </c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24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24"/>
      <c r="IB4" s="24"/>
      <c r="IC4" s="24"/>
      <c r="ID4" s="24"/>
      <c r="IE4" s="24"/>
      <c r="IF4" s="24"/>
    </row>
    <row r="7" spans="2:240" x14ac:dyDescent="0.25">
      <c r="F7">
        <v>12828.55</v>
      </c>
    </row>
    <row r="8" spans="2:240" x14ac:dyDescent="0.25">
      <c r="B8" s="2" t="str">
        <f t="shared" ref="B8:B39" si="9">IF(C8="Domingo","I","")</f>
        <v>I</v>
      </c>
      <c r="C8" s="2" t="s">
        <v>10</v>
      </c>
      <c r="D8" s="1">
        <v>46159</v>
      </c>
      <c r="E8">
        <v>0</v>
      </c>
      <c r="F8" s="23">
        <f>E8/$F$7</f>
        <v>0</v>
      </c>
    </row>
    <row r="9" spans="2:240" hidden="1" x14ac:dyDescent="0.25">
      <c r="B9" s="2" t="str">
        <f t="shared" si="9"/>
        <v/>
      </c>
      <c r="C9" s="2" t="s">
        <v>11</v>
      </c>
      <c r="D9" s="1">
        <v>46160</v>
      </c>
      <c r="E9">
        <v>0</v>
      </c>
      <c r="F9" s="23">
        <f t="shared" ref="F9:F72" si="10">E9/$F$7</f>
        <v>0</v>
      </c>
    </row>
    <row r="10" spans="2:240" hidden="1" x14ac:dyDescent="0.25">
      <c r="B10" s="2" t="str">
        <f t="shared" si="9"/>
        <v/>
      </c>
      <c r="C10" s="2" t="s">
        <v>12</v>
      </c>
      <c r="D10" s="1">
        <v>46161</v>
      </c>
      <c r="E10">
        <v>0</v>
      </c>
      <c r="F10" s="23">
        <f t="shared" si="10"/>
        <v>0</v>
      </c>
    </row>
    <row r="11" spans="2:240" hidden="1" x14ac:dyDescent="0.25">
      <c r="B11" s="2" t="str">
        <f t="shared" si="9"/>
        <v/>
      </c>
      <c r="C11" s="2" t="s">
        <v>13</v>
      </c>
      <c r="D11" s="1">
        <v>46162</v>
      </c>
      <c r="E11">
        <v>0</v>
      </c>
      <c r="F11" s="23">
        <f t="shared" si="10"/>
        <v>0</v>
      </c>
    </row>
    <row r="12" spans="2:240" hidden="1" x14ac:dyDescent="0.25">
      <c r="B12" s="2" t="str">
        <f t="shared" si="9"/>
        <v/>
      </c>
      <c r="C12" s="2" t="s">
        <v>14</v>
      </c>
      <c r="D12" s="1">
        <v>46163</v>
      </c>
      <c r="E12">
        <v>0</v>
      </c>
      <c r="F12" s="23">
        <f t="shared" si="10"/>
        <v>0</v>
      </c>
    </row>
    <row r="13" spans="2:240" hidden="1" x14ac:dyDescent="0.25">
      <c r="B13" s="2" t="str">
        <f t="shared" si="9"/>
        <v/>
      </c>
      <c r="C13" s="2" t="s">
        <v>15</v>
      </c>
      <c r="D13" s="1">
        <v>46164</v>
      </c>
      <c r="E13">
        <v>4.05</v>
      </c>
      <c r="F13" s="23">
        <f t="shared" si="10"/>
        <v>3.1570208636205966E-4</v>
      </c>
    </row>
    <row r="14" spans="2:240" hidden="1" x14ac:dyDescent="0.25">
      <c r="B14" s="2" t="str">
        <f t="shared" si="9"/>
        <v/>
      </c>
      <c r="C14" s="2" t="s">
        <v>9</v>
      </c>
      <c r="D14" s="1">
        <v>46165</v>
      </c>
      <c r="E14">
        <v>4.05</v>
      </c>
      <c r="F14" s="23">
        <f t="shared" si="10"/>
        <v>3.1570208636205966E-4</v>
      </c>
    </row>
    <row r="15" spans="2:240" x14ac:dyDescent="0.25">
      <c r="B15" s="2" t="str">
        <f t="shared" si="9"/>
        <v>I</v>
      </c>
      <c r="C15" s="2" t="s">
        <v>10</v>
      </c>
      <c r="D15" s="1">
        <v>46166</v>
      </c>
      <c r="E15">
        <v>4.05</v>
      </c>
      <c r="F15" s="23">
        <f t="shared" si="10"/>
        <v>3.1570208636205966E-4</v>
      </c>
    </row>
    <row r="16" spans="2:240" hidden="1" x14ac:dyDescent="0.25">
      <c r="B16" s="2" t="str">
        <f t="shared" si="9"/>
        <v/>
      </c>
      <c r="C16" s="2" t="s">
        <v>11</v>
      </c>
      <c r="D16" s="1">
        <v>46167</v>
      </c>
      <c r="E16">
        <v>14.85</v>
      </c>
      <c r="F16" s="23">
        <f t="shared" si="10"/>
        <v>1.1575743166608854E-3</v>
      </c>
    </row>
    <row r="17" spans="2:6" hidden="1" x14ac:dyDescent="0.25">
      <c r="B17" s="2" t="str">
        <f t="shared" si="9"/>
        <v/>
      </c>
      <c r="C17" s="2" t="s">
        <v>12</v>
      </c>
      <c r="D17" s="1">
        <v>46168</v>
      </c>
      <c r="E17">
        <v>25.65</v>
      </c>
      <c r="F17" s="23">
        <f t="shared" si="10"/>
        <v>1.9994465469597108E-3</v>
      </c>
    </row>
    <row r="18" spans="2:6" hidden="1" x14ac:dyDescent="0.25">
      <c r="B18" s="2" t="str">
        <f t="shared" si="9"/>
        <v/>
      </c>
      <c r="C18" s="2" t="s">
        <v>13</v>
      </c>
      <c r="D18" s="1">
        <v>46169</v>
      </c>
      <c r="E18">
        <v>36.450000000000003</v>
      </c>
      <c r="F18" s="23">
        <f t="shared" si="10"/>
        <v>2.8413187772585368E-3</v>
      </c>
    </row>
    <row r="19" spans="2:6" hidden="1" x14ac:dyDescent="0.25">
      <c r="B19" s="2" t="str">
        <f t="shared" si="9"/>
        <v/>
      </c>
      <c r="C19" s="2" t="s">
        <v>14</v>
      </c>
      <c r="D19" s="1">
        <v>46170</v>
      </c>
      <c r="E19">
        <v>47.25</v>
      </c>
      <c r="F19" s="23">
        <f t="shared" si="10"/>
        <v>3.6831910075573624E-3</v>
      </c>
    </row>
    <row r="20" spans="2:6" hidden="1" x14ac:dyDescent="0.25">
      <c r="B20" s="2" t="str">
        <f t="shared" si="9"/>
        <v/>
      </c>
      <c r="C20" s="2" t="s">
        <v>15</v>
      </c>
      <c r="D20" s="1">
        <v>46171</v>
      </c>
      <c r="E20">
        <v>68.099999999999994</v>
      </c>
      <c r="F20" s="23">
        <f t="shared" si="10"/>
        <v>5.3084721188287063E-3</v>
      </c>
    </row>
    <row r="21" spans="2:6" hidden="1" x14ac:dyDescent="0.25">
      <c r="B21" s="2" t="str">
        <f t="shared" si="9"/>
        <v/>
      </c>
      <c r="C21" s="2" t="s">
        <v>9</v>
      </c>
      <c r="D21" s="1">
        <v>46172</v>
      </c>
      <c r="E21">
        <v>68.099999999999994</v>
      </c>
      <c r="F21" s="23">
        <f t="shared" si="10"/>
        <v>5.3084721188287063E-3</v>
      </c>
    </row>
    <row r="22" spans="2:6" x14ac:dyDescent="0.25">
      <c r="B22" s="2" t="str">
        <f t="shared" si="9"/>
        <v>I</v>
      </c>
      <c r="C22" s="2" t="s">
        <v>10</v>
      </c>
      <c r="D22" s="1">
        <v>46173</v>
      </c>
      <c r="E22">
        <v>68.099999999999994</v>
      </c>
      <c r="F22" s="23">
        <f t="shared" si="10"/>
        <v>5.3084721188287063E-3</v>
      </c>
    </row>
    <row r="23" spans="2:6" hidden="1" x14ac:dyDescent="0.25">
      <c r="B23" s="2" t="str">
        <f t="shared" si="9"/>
        <v/>
      </c>
      <c r="C23" s="2" t="s">
        <v>11</v>
      </c>
      <c r="D23" s="1">
        <v>46174</v>
      </c>
      <c r="E23">
        <v>105.7</v>
      </c>
      <c r="F23" s="23">
        <f t="shared" si="10"/>
        <v>8.2394346983875807E-3</v>
      </c>
    </row>
    <row r="24" spans="2:6" hidden="1" x14ac:dyDescent="0.25">
      <c r="B24" s="2" t="str">
        <f t="shared" si="9"/>
        <v/>
      </c>
      <c r="C24" s="2" t="s">
        <v>12</v>
      </c>
      <c r="D24" s="1">
        <v>46175</v>
      </c>
      <c r="E24">
        <v>143.30000000000001</v>
      </c>
      <c r="F24" s="23">
        <f t="shared" si="10"/>
        <v>1.1170397277946456E-2</v>
      </c>
    </row>
    <row r="25" spans="2:6" hidden="1" x14ac:dyDescent="0.25">
      <c r="B25" s="2" t="str">
        <f t="shared" si="9"/>
        <v/>
      </c>
      <c r="C25" s="2" t="s">
        <v>13</v>
      </c>
      <c r="D25" s="1">
        <v>46176</v>
      </c>
      <c r="E25">
        <v>182.19</v>
      </c>
      <c r="F25" s="23">
        <f t="shared" si="10"/>
        <v>1.420191681834658E-2</v>
      </c>
    </row>
    <row r="26" spans="2:6" hidden="1" x14ac:dyDescent="0.25">
      <c r="B26" s="2" t="str">
        <f t="shared" si="9"/>
        <v/>
      </c>
      <c r="C26" s="2" t="s">
        <v>14</v>
      </c>
      <c r="D26" s="1">
        <v>46177</v>
      </c>
      <c r="E26">
        <v>182.19</v>
      </c>
      <c r="F26" s="23">
        <f t="shared" si="10"/>
        <v>1.420191681834658E-2</v>
      </c>
    </row>
    <row r="27" spans="2:6" hidden="1" x14ac:dyDescent="0.25">
      <c r="B27" s="2" t="str">
        <f t="shared" si="9"/>
        <v/>
      </c>
      <c r="C27" s="2" t="s">
        <v>15</v>
      </c>
      <c r="D27" s="1">
        <v>46178</v>
      </c>
      <c r="E27">
        <v>182.19</v>
      </c>
      <c r="F27" s="23">
        <f t="shared" si="10"/>
        <v>1.420191681834658E-2</v>
      </c>
    </row>
    <row r="28" spans="2:6" hidden="1" x14ac:dyDescent="0.25">
      <c r="B28" s="2" t="str">
        <f t="shared" si="9"/>
        <v/>
      </c>
      <c r="C28" s="2" t="s">
        <v>9</v>
      </c>
      <c r="D28" s="1">
        <v>46179</v>
      </c>
      <c r="E28">
        <v>182.19</v>
      </c>
      <c r="F28" s="23">
        <f t="shared" si="10"/>
        <v>1.420191681834658E-2</v>
      </c>
    </row>
    <row r="29" spans="2:6" x14ac:dyDescent="0.25">
      <c r="B29" s="2" t="str">
        <f t="shared" si="9"/>
        <v>I</v>
      </c>
      <c r="C29" s="2" t="s">
        <v>10</v>
      </c>
      <c r="D29" s="1">
        <v>46180</v>
      </c>
      <c r="E29">
        <v>182.19</v>
      </c>
      <c r="F29" s="23">
        <f t="shared" si="10"/>
        <v>1.420191681834658E-2</v>
      </c>
    </row>
    <row r="30" spans="2:6" hidden="1" x14ac:dyDescent="0.25">
      <c r="B30" s="2" t="str">
        <f t="shared" si="9"/>
        <v/>
      </c>
      <c r="C30" s="2" t="s">
        <v>11</v>
      </c>
      <c r="D30" s="1">
        <v>46181</v>
      </c>
      <c r="E30">
        <v>223.21</v>
      </c>
      <c r="F30" s="23">
        <f t="shared" si="10"/>
        <v>1.7399472270833417E-2</v>
      </c>
    </row>
    <row r="31" spans="2:6" hidden="1" x14ac:dyDescent="0.25">
      <c r="B31" s="2" t="str">
        <f t="shared" si="9"/>
        <v/>
      </c>
      <c r="C31" s="2" t="s">
        <v>12</v>
      </c>
      <c r="D31" s="1">
        <v>46182</v>
      </c>
      <c r="E31">
        <v>271.47000000000003</v>
      </c>
      <c r="F31" s="23">
        <f t="shared" si="10"/>
        <v>2.1161393922150207E-2</v>
      </c>
    </row>
    <row r="32" spans="2:6" hidden="1" x14ac:dyDescent="0.25">
      <c r="B32" s="2" t="str">
        <f t="shared" si="9"/>
        <v/>
      </c>
      <c r="C32" s="2" t="s">
        <v>13</v>
      </c>
      <c r="D32" s="1">
        <v>46183</v>
      </c>
      <c r="E32">
        <v>331.76</v>
      </c>
      <c r="F32" s="23">
        <f t="shared" si="10"/>
        <v>2.5861067696660963E-2</v>
      </c>
    </row>
    <row r="33" spans="2:6" hidden="1" x14ac:dyDescent="0.25">
      <c r="B33" s="2" t="str">
        <f t="shared" si="9"/>
        <v/>
      </c>
      <c r="C33" s="2" t="s">
        <v>14</v>
      </c>
      <c r="D33" s="1">
        <v>46184</v>
      </c>
      <c r="E33">
        <v>392.06</v>
      </c>
      <c r="F33" s="23">
        <f t="shared" si="10"/>
        <v>3.0561520982496076E-2</v>
      </c>
    </row>
    <row r="34" spans="2:6" hidden="1" x14ac:dyDescent="0.25">
      <c r="B34" s="2" t="str">
        <f t="shared" si="9"/>
        <v/>
      </c>
      <c r="C34" s="2" t="s">
        <v>15</v>
      </c>
      <c r="D34" s="1">
        <v>46185</v>
      </c>
      <c r="E34">
        <v>452.35</v>
      </c>
      <c r="F34" s="23">
        <f t="shared" si="10"/>
        <v>3.5261194757006835E-2</v>
      </c>
    </row>
    <row r="35" spans="2:6" hidden="1" x14ac:dyDescent="0.25">
      <c r="B35" s="2" t="str">
        <f t="shared" si="9"/>
        <v/>
      </c>
      <c r="C35" s="2" t="s">
        <v>9</v>
      </c>
      <c r="D35" s="1">
        <v>46186</v>
      </c>
      <c r="E35">
        <v>452.35</v>
      </c>
      <c r="F35" s="23">
        <f t="shared" si="10"/>
        <v>3.5261194757006835E-2</v>
      </c>
    </row>
    <row r="36" spans="2:6" x14ac:dyDescent="0.25">
      <c r="B36" s="2" t="str">
        <f t="shared" si="9"/>
        <v>I</v>
      </c>
      <c r="C36" s="2" t="s">
        <v>10</v>
      </c>
      <c r="D36" s="1">
        <v>46187</v>
      </c>
      <c r="E36">
        <v>452.35</v>
      </c>
      <c r="F36" s="23">
        <f t="shared" si="10"/>
        <v>3.5261194757006835E-2</v>
      </c>
    </row>
    <row r="37" spans="2:6" hidden="1" x14ac:dyDescent="0.25">
      <c r="B37" s="2" t="str">
        <f t="shared" si="9"/>
        <v/>
      </c>
      <c r="C37" s="2" t="s">
        <v>11</v>
      </c>
      <c r="D37" s="1">
        <v>46188</v>
      </c>
      <c r="E37">
        <v>512.65</v>
      </c>
      <c r="F37" s="23">
        <f t="shared" si="10"/>
        <v>3.9961648042841941E-2</v>
      </c>
    </row>
    <row r="38" spans="2:6" hidden="1" x14ac:dyDescent="0.25">
      <c r="B38" s="2" t="str">
        <f t="shared" si="9"/>
        <v/>
      </c>
      <c r="C38" s="2" t="s">
        <v>12</v>
      </c>
      <c r="D38" s="1">
        <v>46189</v>
      </c>
      <c r="E38">
        <v>576.34</v>
      </c>
      <c r="F38" s="23">
        <f t="shared" si="10"/>
        <v>4.4926355667631965E-2</v>
      </c>
    </row>
    <row r="39" spans="2:6" hidden="1" x14ac:dyDescent="0.25">
      <c r="B39" s="2" t="str">
        <f t="shared" si="9"/>
        <v/>
      </c>
      <c r="C39" s="2" t="s">
        <v>13</v>
      </c>
      <c r="D39" s="1">
        <v>46190</v>
      </c>
      <c r="E39">
        <v>647.85</v>
      </c>
      <c r="F39" s="23">
        <f t="shared" si="10"/>
        <v>5.0500641148064282E-2</v>
      </c>
    </row>
    <row r="40" spans="2:6" hidden="1" x14ac:dyDescent="0.25">
      <c r="B40" s="2" t="str">
        <f t="shared" ref="B40:B71" si="11">IF(C40="Domingo","I","")</f>
        <v/>
      </c>
      <c r="C40" s="2" t="s">
        <v>14</v>
      </c>
      <c r="D40" s="1">
        <v>46191</v>
      </c>
      <c r="E40">
        <v>722.93</v>
      </c>
      <c r="F40" s="23">
        <f t="shared" si="10"/>
        <v>5.6353212171289815E-2</v>
      </c>
    </row>
    <row r="41" spans="2:6" hidden="1" x14ac:dyDescent="0.25">
      <c r="B41" s="2" t="str">
        <f t="shared" si="11"/>
        <v/>
      </c>
      <c r="C41" s="2" t="s">
        <v>15</v>
      </c>
      <c r="D41" s="1">
        <v>46192</v>
      </c>
      <c r="E41">
        <v>792.11</v>
      </c>
      <c r="F41" s="23">
        <f t="shared" si="10"/>
        <v>6.1745871513148413E-2</v>
      </c>
    </row>
    <row r="42" spans="2:6" hidden="1" x14ac:dyDescent="0.25">
      <c r="B42" s="2" t="str">
        <f t="shared" si="11"/>
        <v/>
      </c>
      <c r="C42" s="2" t="s">
        <v>9</v>
      </c>
      <c r="D42" s="1">
        <v>46193</v>
      </c>
      <c r="E42">
        <v>792.11</v>
      </c>
      <c r="F42" s="23">
        <f t="shared" si="10"/>
        <v>6.1745871513148413E-2</v>
      </c>
    </row>
    <row r="43" spans="2:6" x14ac:dyDescent="0.25">
      <c r="B43" s="2" t="str">
        <f t="shared" si="11"/>
        <v>I</v>
      </c>
      <c r="C43" s="2" t="s">
        <v>10</v>
      </c>
      <c r="D43" s="1">
        <v>46194</v>
      </c>
      <c r="E43">
        <v>792.11</v>
      </c>
      <c r="F43" s="23">
        <f t="shared" si="10"/>
        <v>6.1745871513148413E-2</v>
      </c>
    </row>
    <row r="44" spans="2:6" hidden="1" x14ac:dyDescent="0.25">
      <c r="B44" s="2" t="str">
        <f t="shared" si="11"/>
        <v/>
      </c>
      <c r="C44" s="2" t="s">
        <v>11</v>
      </c>
      <c r="D44" s="1">
        <v>46195</v>
      </c>
      <c r="E44" s="16">
        <v>851.46</v>
      </c>
      <c r="F44" s="23">
        <f t="shared" si="10"/>
        <v>6.6372271223170201E-2</v>
      </c>
    </row>
    <row r="45" spans="2:6" hidden="1" x14ac:dyDescent="0.25">
      <c r="B45" s="2" t="str">
        <f t="shared" si="11"/>
        <v/>
      </c>
      <c r="C45" s="2" t="s">
        <v>12</v>
      </c>
      <c r="D45" s="1">
        <v>46196</v>
      </c>
      <c r="E45" s="16">
        <v>914.91</v>
      </c>
      <c r="F45" s="23">
        <f t="shared" si="10"/>
        <v>7.1318270576175791E-2</v>
      </c>
    </row>
    <row r="46" spans="2:6" hidden="1" x14ac:dyDescent="0.25">
      <c r="B46" s="2" t="str">
        <f t="shared" si="11"/>
        <v/>
      </c>
      <c r="C46" s="2" t="s">
        <v>13</v>
      </c>
      <c r="D46" s="1">
        <v>46197</v>
      </c>
      <c r="E46" s="16">
        <v>989.46</v>
      </c>
      <c r="F46" s="23">
        <f t="shared" si="10"/>
        <v>7.7129527499210745E-2</v>
      </c>
    </row>
    <row r="47" spans="2:6" hidden="1" x14ac:dyDescent="0.25">
      <c r="B47" s="2" t="str">
        <f t="shared" si="11"/>
        <v/>
      </c>
      <c r="C47" s="2" t="s">
        <v>14</v>
      </c>
      <c r="D47" s="1">
        <v>46198</v>
      </c>
      <c r="E47" s="16">
        <v>1078.32</v>
      </c>
      <c r="F47" s="23">
        <f t="shared" si="10"/>
        <v>8.4056265127391644E-2</v>
      </c>
    </row>
    <row r="48" spans="2:6" hidden="1" x14ac:dyDescent="0.25">
      <c r="B48" s="2" t="str">
        <f t="shared" si="11"/>
        <v/>
      </c>
      <c r="C48" s="2" t="s">
        <v>15</v>
      </c>
      <c r="D48" s="1">
        <v>46199</v>
      </c>
      <c r="E48" s="16">
        <v>1181.6199999999999</v>
      </c>
      <c r="F48" s="23">
        <f t="shared" si="10"/>
        <v>9.2108617107935026E-2</v>
      </c>
    </row>
    <row r="49" spans="2:6" hidden="1" x14ac:dyDescent="0.25">
      <c r="B49" s="2" t="str">
        <f t="shared" si="11"/>
        <v/>
      </c>
      <c r="C49" s="2" t="s">
        <v>9</v>
      </c>
      <c r="D49" s="1">
        <v>46200</v>
      </c>
      <c r="E49" s="16">
        <v>1181.6199999999999</v>
      </c>
      <c r="F49" s="23">
        <f t="shared" si="10"/>
        <v>9.2108617107935026E-2</v>
      </c>
    </row>
    <row r="50" spans="2:6" x14ac:dyDescent="0.25">
      <c r="B50" s="2" t="str">
        <f t="shared" si="11"/>
        <v>I</v>
      </c>
      <c r="C50" s="2" t="s">
        <v>10</v>
      </c>
      <c r="D50" s="1">
        <v>46201</v>
      </c>
      <c r="E50" s="16">
        <v>1181.6199999999999</v>
      </c>
      <c r="F50" s="23">
        <f t="shared" si="10"/>
        <v>9.2108617107935026E-2</v>
      </c>
    </row>
    <row r="51" spans="2:6" hidden="1" x14ac:dyDescent="0.25">
      <c r="B51" s="2" t="str">
        <f t="shared" si="11"/>
        <v/>
      </c>
      <c r="C51" s="2" t="s">
        <v>11</v>
      </c>
      <c r="D51" s="1">
        <v>46202</v>
      </c>
      <c r="E51" s="16">
        <v>1304.01</v>
      </c>
      <c r="F51" s="23">
        <f t="shared" si="10"/>
        <v>0.10164905620666405</v>
      </c>
    </row>
    <row r="52" spans="2:6" hidden="1" x14ac:dyDescent="0.25">
      <c r="B52" s="2" t="str">
        <f t="shared" si="11"/>
        <v/>
      </c>
      <c r="C52" s="2" t="s">
        <v>12</v>
      </c>
      <c r="D52" s="1">
        <v>46203</v>
      </c>
      <c r="E52" s="16">
        <v>1459.02</v>
      </c>
      <c r="F52" s="23">
        <f t="shared" si="10"/>
        <v>0.11373226124542525</v>
      </c>
    </row>
    <row r="53" spans="2:6" hidden="1" x14ac:dyDescent="0.25">
      <c r="B53" s="2" t="str">
        <f t="shared" si="11"/>
        <v/>
      </c>
      <c r="C53" s="2" t="s">
        <v>13</v>
      </c>
      <c r="D53" s="1">
        <v>46204</v>
      </c>
      <c r="E53" s="16">
        <v>1643.44</v>
      </c>
      <c r="F53" s="23">
        <f t="shared" si="10"/>
        <v>0.12810800908910205</v>
      </c>
    </row>
    <row r="54" spans="2:6" hidden="1" x14ac:dyDescent="0.25">
      <c r="B54" s="2" t="str">
        <f t="shared" si="11"/>
        <v/>
      </c>
      <c r="C54" s="2" t="s">
        <v>14</v>
      </c>
      <c r="D54" s="1">
        <v>46205</v>
      </c>
      <c r="E54" s="16">
        <v>1859.43</v>
      </c>
      <c r="F54" s="23">
        <f t="shared" si="10"/>
        <v>0.14494467418375423</v>
      </c>
    </row>
    <row r="55" spans="2:6" hidden="1" x14ac:dyDescent="0.25">
      <c r="B55" s="2" t="str">
        <f t="shared" si="11"/>
        <v/>
      </c>
      <c r="C55" s="2" t="s">
        <v>15</v>
      </c>
      <c r="D55" s="1">
        <v>46206</v>
      </c>
      <c r="E55" s="16">
        <v>2093.15</v>
      </c>
      <c r="F55" s="23">
        <f t="shared" si="10"/>
        <v>0.16316341285648028</v>
      </c>
    </row>
    <row r="56" spans="2:6" hidden="1" x14ac:dyDescent="0.25">
      <c r="B56" s="2" t="str">
        <f t="shared" si="11"/>
        <v/>
      </c>
      <c r="C56" s="2" t="s">
        <v>9</v>
      </c>
      <c r="D56" s="1">
        <v>46207</v>
      </c>
      <c r="E56" s="16">
        <v>2093.15</v>
      </c>
      <c r="F56" s="23">
        <f t="shared" si="10"/>
        <v>0.16316341285648028</v>
      </c>
    </row>
    <row r="57" spans="2:6" x14ac:dyDescent="0.25">
      <c r="B57" s="2" t="str">
        <f t="shared" si="11"/>
        <v>I</v>
      </c>
      <c r="C57" s="2" t="s">
        <v>10</v>
      </c>
      <c r="D57" s="1">
        <v>46208</v>
      </c>
      <c r="E57" s="16">
        <v>2093.15</v>
      </c>
      <c r="F57" s="23">
        <f t="shared" si="10"/>
        <v>0.16316341285648028</v>
      </c>
    </row>
    <row r="58" spans="2:6" hidden="1" x14ac:dyDescent="0.25">
      <c r="B58" s="2" t="str">
        <f t="shared" si="11"/>
        <v/>
      </c>
      <c r="C58" s="2" t="s">
        <v>11</v>
      </c>
      <c r="D58" s="1">
        <v>46209</v>
      </c>
      <c r="E58" s="24">
        <v>2303</v>
      </c>
      <c r="F58" s="23">
        <f t="shared" si="10"/>
        <v>0.17952145799798108</v>
      </c>
    </row>
    <row r="59" spans="2:6" hidden="1" x14ac:dyDescent="0.25">
      <c r="B59" s="2" t="str">
        <f t="shared" si="11"/>
        <v/>
      </c>
      <c r="C59" s="2" t="s">
        <v>12</v>
      </c>
      <c r="D59" s="1">
        <v>46210</v>
      </c>
      <c r="E59" s="16">
        <v>2436.56</v>
      </c>
      <c r="F59" s="23">
        <f t="shared" si="10"/>
        <v>0.18993261124600988</v>
      </c>
    </row>
    <row r="60" spans="2:6" hidden="1" x14ac:dyDescent="0.25">
      <c r="B60" s="2" t="str">
        <f t="shared" si="11"/>
        <v/>
      </c>
      <c r="C60" s="2" t="s">
        <v>13</v>
      </c>
      <c r="D60" s="1">
        <v>46211</v>
      </c>
      <c r="E60" s="16">
        <v>2567.4</v>
      </c>
      <c r="F60" s="23">
        <f t="shared" si="10"/>
        <v>0.20013173741381529</v>
      </c>
    </row>
    <row r="61" spans="2:6" hidden="1" x14ac:dyDescent="0.25">
      <c r="B61" s="2" t="str">
        <f t="shared" si="11"/>
        <v/>
      </c>
      <c r="C61" s="2" t="s">
        <v>14</v>
      </c>
      <c r="D61" s="1">
        <v>46212</v>
      </c>
      <c r="E61" s="16">
        <v>2718.99</v>
      </c>
      <c r="F61" s="23">
        <f t="shared" si="10"/>
        <v>0.2119483495796485</v>
      </c>
    </row>
    <row r="62" spans="2:6" hidden="1" x14ac:dyDescent="0.25">
      <c r="B62" s="2" t="str">
        <f t="shared" si="11"/>
        <v/>
      </c>
      <c r="C62" s="2" t="s">
        <v>15</v>
      </c>
      <c r="D62" s="1">
        <v>46213</v>
      </c>
      <c r="E62" s="16">
        <v>2909.25</v>
      </c>
      <c r="F62" s="23">
        <f t="shared" si="10"/>
        <v>0.22677933203674619</v>
      </c>
    </row>
    <row r="63" spans="2:6" hidden="1" x14ac:dyDescent="0.25">
      <c r="B63" s="2" t="str">
        <f t="shared" si="11"/>
        <v/>
      </c>
      <c r="C63" s="2" t="s">
        <v>9</v>
      </c>
      <c r="D63" s="1">
        <v>46214</v>
      </c>
      <c r="E63" s="16">
        <v>2909.25</v>
      </c>
      <c r="F63" s="23">
        <f t="shared" si="10"/>
        <v>0.22677933203674619</v>
      </c>
    </row>
    <row r="64" spans="2:6" x14ac:dyDescent="0.25">
      <c r="B64" s="2" t="str">
        <f t="shared" si="11"/>
        <v>I</v>
      </c>
      <c r="C64" s="2" t="s">
        <v>10</v>
      </c>
      <c r="D64" s="1">
        <v>46215</v>
      </c>
      <c r="E64" s="16">
        <v>2909.25</v>
      </c>
      <c r="F64" s="23">
        <f t="shared" si="10"/>
        <v>0.22677933203674619</v>
      </c>
    </row>
    <row r="65" spans="2:6" hidden="1" x14ac:dyDescent="0.25">
      <c r="B65" s="2" t="str">
        <f t="shared" si="11"/>
        <v/>
      </c>
      <c r="C65" s="2" t="s">
        <v>11</v>
      </c>
      <c r="D65" s="1">
        <v>46216</v>
      </c>
      <c r="E65" s="16">
        <v>3136.86</v>
      </c>
      <c r="F65" s="23">
        <f t="shared" si="10"/>
        <v>0.24452178929029394</v>
      </c>
    </row>
    <row r="66" spans="2:6" hidden="1" x14ac:dyDescent="0.25">
      <c r="B66" s="2" t="str">
        <f t="shared" si="11"/>
        <v/>
      </c>
      <c r="C66" s="2" t="s">
        <v>12</v>
      </c>
      <c r="D66" s="1">
        <v>46217</v>
      </c>
      <c r="E66" s="16">
        <v>3352.95</v>
      </c>
      <c r="F66" s="23">
        <f t="shared" si="10"/>
        <v>0.2613662494981896</v>
      </c>
    </row>
    <row r="67" spans="2:6" hidden="1" x14ac:dyDescent="0.25">
      <c r="B67" s="2" t="str">
        <f t="shared" si="11"/>
        <v/>
      </c>
      <c r="C67" s="2" t="s">
        <v>13</v>
      </c>
      <c r="D67" s="1">
        <v>46218</v>
      </c>
      <c r="E67" s="16">
        <v>3550.49</v>
      </c>
      <c r="F67" s="23">
        <f t="shared" si="10"/>
        <v>0.27676471619941456</v>
      </c>
    </row>
    <row r="68" spans="2:6" hidden="1" x14ac:dyDescent="0.25">
      <c r="B68" s="2" t="str">
        <f t="shared" si="11"/>
        <v/>
      </c>
      <c r="C68" s="2" t="s">
        <v>14</v>
      </c>
      <c r="D68" s="1">
        <v>46219</v>
      </c>
      <c r="E68" s="16">
        <v>3733.74</v>
      </c>
      <c r="F68" s="23">
        <f t="shared" si="10"/>
        <v>0.29104926121814234</v>
      </c>
    </row>
    <row r="69" spans="2:6" hidden="1" x14ac:dyDescent="0.25">
      <c r="B69" s="2" t="str">
        <f t="shared" si="11"/>
        <v/>
      </c>
      <c r="C69" s="2" t="s">
        <v>15</v>
      </c>
      <c r="D69" s="1">
        <v>46220</v>
      </c>
      <c r="E69" s="16">
        <v>3933.15</v>
      </c>
      <c r="F69" s="23">
        <f t="shared" si="10"/>
        <v>0.30659349653702095</v>
      </c>
    </row>
    <row r="70" spans="2:6" hidden="1" x14ac:dyDescent="0.25">
      <c r="B70" s="2" t="str">
        <f t="shared" si="11"/>
        <v/>
      </c>
      <c r="C70" s="2" t="s">
        <v>9</v>
      </c>
      <c r="D70" s="1">
        <v>46221</v>
      </c>
      <c r="E70" s="16">
        <v>3933.15</v>
      </c>
      <c r="F70" s="23">
        <f t="shared" si="10"/>
        <v>0.30659349653702095</v>
      </c>
    </row>
    <row r="71" spans="2:6" x14ac:dyDescent="0.25">
      <c r="B71" s="2" t="str">
        <f t="shared" si="11"/>
        <v>I</v>
      </c>
      <c r="C71" s="2" t="s">
        <v>10</v>
      </c>
      <c r="D71" s="1">
        <v>46222</v>
      </c>
      <c r="E71" s="16">
        <v>3933.15</v>
      </c>
      <c r="F71" s="23">
        <f t="shared" si="10"/>
        <v>0.30659349653702095</v>
      </c>
    </row>
    <row r="72" spans="2:6" hidden="1" x14ac:dyDescent="0.25">
      <c r="B72" s="2" t="str">
        <f t="shared" ref="B72:B103" si="12">IF(C72="Domingo","I","")</f>
        <v/>
      </c>
      <c r="C72" s="2" t="s">
        <v>11</v>
      </c>
      <c r="D72" s="1">
        <v>46223</v>
      </c>
      <c r="E72" s="16">
        <v>4151.9799999999996</v>
      </c>
      <c r="F72" s="23">
        <f t="shared" si="10"/>
        <v>0.32365154284778869</v>
      </c>
    </row>
    <row r="73" spans="2:6" hidden="1" x14ac:dyDescent="0.25">
      <c r="B73" s="2" t="str">
        <f t="shared" si="12"/>
        <v/>
      </c>
      <c r="C73" s="2" t="s">
        <v>12</v>
      </c>
      <c r="D73" s="1">
        <v>46224</v>
      </c>
      <c r="E73" s="16">
        <v>4366.7</v>
      </c>
      <c r="F73" s="23">
        <f t="shared" ref="F73:F137" si="13">E73/$F$7</f>
        <v>0.34038921000424832</v>
      </c>
    </row>
    <row r="74" spans="2:6" hidden="1" x14ac:dyDescent="0.25">
      <c r="B74" s="2" t="str">
        <f t="shared" si="12"/>
        <v/>
      </c>
      <c r="C74" s="2" t="s">
        <v>13</v>
      </c>
      <c r="D74" s="1">
        <v>46225</v>
      </c>
      <c r="E74" s="16">
        <v>4571.8100000000004</v>
      </c>
      <c r="F74" s="23">
        <f t="shared" si="13"/>
        <v>0.35637776677800692</v>
      </c>
    </row>
    <row r="75" spans="2:6" hidden="1" x14ac:dyDescent="0.25">
      <c r="B75" s="2" t="str">
        <f t="shared" si="12"/>
        <v/>
      </c>
      <c r="C75" s="2" t="s">
        <v>14</v>
      </c>
      <c r="D75" s="1">
        <v>46226</v>
      </c>
      <c r="E75" s="16">
        <v>4798.18</v>
      </c>
      <c r="F75" s="23">
        <f t="shared" si="13"/>
        <v>0.37402356462733516</v>
      </c>
    </row>
    <row r="76" spans="2:6" hidden="1" x14ac:dyDescent="0.25">
      <c r="B76" s="2" t="str">
        <f t="shared" si="12"/>
        <v/>
      </c>
      <c r="C76" s="2" t="s">
        <v>15</v>
      </c>
      <c r="D76" s="1">
        <v>46227</v>
      </c>
      <c r="E76" s="16">
        <v>5014.62</v>
      </c>
      <c r="F76" s="23">
        <f t="shared" si="13"/>
        <v>0.3908953077315831</v>
      </c>
    </row>
    <row r="77" spans="2:6" hidden="1" x14ac:dyDescent="0.25">
      <c r="B77" s="2" t="str">
        <f t="shared" si="12"/>
        <v/>
      </c>
      <c r="C77" s="2" t="s">
        <v>9</v>
      </c>
      <c r="D77" s="1">
        <v>46228</v>
      </c>
      <c r="E77" s="16">
        <v>5014.62</v>
      </c>
      <c r="F77" s="23">
        <f t="shared" si="13"/>
        <v>0.3908953077315831</v>
      </c>
    </row>
    <row r="78" spans="2:6" x14ac:dyDescent="0.25">
      <c r="B78" s="2" t="str">
        <f t="shared" si="12"/>
        <v>I</v>
      </c>
      <c r="C78" s="2" t="s">
        <v>10</v>
      </c>
      <c r="D78" s="1">
        <v>46229</v>
      </c>
      <c r="E78" s="16">
        <v>5014.62</v>
      </c>
      <c r="F78" s="23">
        <f t="shared" si="13"/>
        <v>0.3908953077315831</v>
      </c>
    </row>
    <row r="79" spans="2:6" hidden="1" x14ac:dyDescent="0.25">
      <c r="B79" s="2" t="str">
        <f t="shared" si="12"/>
        <v/>
      </c>
      <c r="C79" s="2" t="s">
        <v>11</v>
      </c>
      <c r="D79" s="1">
        <v>46230</v>
      </c>
      <c r="E79" s="16">
        <v>5223.08</v>
      </c>
      <c r="F79" s="23">
        <f t="shared" si="13"/>
        <v>0.40714500079899912</v>
      </c>
    </row>
    <row r="80" spans="2:6" hidden="1" x14ac:dyDescent="0.25">
      <c r="B80" s="2" t="str">
        <f t="shared" si="12"/>
        <v/>
      </c>
      <c r="C80" s="2" t="s">
        <v>12</v>
      </c>
      <c r="D80" s="1">
        <v>46231</v>
      </c>
      <c r="E80" s="16">
        <v>5454.37</v>
      </c>
      <c r="F80" s="23">
        <f t="shared" si="13"/>
        <v>0.42517431821990798</v>
      </c>
    </row>
    <row r="81" spans="2:6" hidden="1" x14ac:dyDescent="0.25">
      <c r="B81" s="2" t="str">
        <f t="shared" si="12"/>
        <v/>
      </c>
      <c r="C81" s="2" t="s">
        <v>13</v>
      </c>
      <c r="D81" s="1">
        <v>46232</v>
      </c>
      <c r="E81" s="16">
        <v>5700.9</v>
      </c>
      <c r="F81" s="23">
        <f t="shared" si="13"/>
        <v>0.44439161089912732</v>
      </c>
    </row>
    <row r="82" spans="2:6" hidden="1" x14ac:dyDescent="0.25">
      <c r="B82" s="2" t="str">
        <f t="shared" si="12"/>
        <v/>
      </c>
      <c r="C82" s="2" t="s">
        <v>14</v>
      </c>
      <c r="D82" s="1">
        <v>46233</v>
      </c>
      <c r="E82" s="16">
        <v>5933.03</v>
      </c>
      <c r="F82" s="23">
        <f t="shared" si="13"/>
        <v>0.46248640727128165</v>
      </c>
    </row>
    <row r="83" spans="2:6" hidden="1" x14ac:dyDescent="0.25">
      <c r="B83" s="2" t="str">
        <f t="shared" si="12"/>
        <v/>
      </c>
      <c r="C83" s="2" t="s">
        <v>15</v>
      </c>
      <c r="D83" s="1">
        <v>46234</v>
      </c>
      <c r="E83" s="16">
        <v>6139.6</v>
      </c>
      <c r="F83" s="23">
        <f t="shared" si="13"/>
        <v>0.47858877269839545</v>
      </c>
    </row>
    <row r="84" spans="2:6" hidden="1" x14ac:dyDescent="0.25">
      <c r="B84" s="2" t="str">
        <f t="shared" si="12"/>
        <v/>
      </c>
      <c r="C84" s="2" t="s">
        <v>9</v>
      </c>
      <c r="D84" s="1">
        <v>46235</v>
      </c>
      <c r="E84" s="24">
        <v>6139.6</v>
      </c>
      <c r="F84" s="23">
        <f t="shared" si="13"/>
        <v>0.47858877269839545</v>
      </c>
    </row>
    <row r="85" spans="2:6" x14ac:dyDescent="0.25">
      <c r="B85" s="2" t="str">
        <f t="shared" si="12"/>
        <v>I</v>
      </c>
      <c r="C85" s="2" t="s">
        <v>10</v>
      </c>
      <c r="D85" s="1">
        <v>46236</v>
      </c>
      <c r="E85" s="24">
        <v>6139.6</v>
      </c>
      <c r="F85" s="23">
        <f t="shared" si="13"/>
        <v>0.47858877269839545</v>
      </c>
    </row>
    <row r="86" spans="2:6" hidden="1" x14ac:dyDescent="0.25">
      <c r="B86" s="2" t="str">
        <f t="shared" si="12"/>
        <v/>
      </c>
      <c r="C86" s="2" t="s">
        <v>11</v>
      </c>
      <c r="D86" s="1">
        <v>46237</v>
      </c>
      <c r="E86" s="24">
        <v>6358.3</v>
      </c>
      <c r="F86" s="23">
        <f t="shared" si="13"/>
        <v>0.49563668536194666</v>
      </c>
    </row>
    <row r="87" spans="2:6" hidden="1" x14ac:dyDescent="0.25">
      <c r="B87" s="2" t="str">
        <f t="shared" si="12"/>
        <v/>
      </c>
      <c r="C87" s="2" t="s">
        <v>12</v>
      </c>
      <c r="D87" s="1">
        <v>46238</v>
      </c>
      <c r="E87" s="24">
        <v>6616.7</v>
      </c>
      <c r="F87" s="23">
        <f t="shared" si="13"/>
        <v>0.51577925798317037</v>
      </c>
    </row>
    <row r="88" spans="2:6" hidden="1" x14ac:dyDescent="0.25">
      <c r="B88" s="2" t="str">
        <f t="shared" si="12"/>
        <v/>
      </c>
      <c r="C88" s="2" t="s">
        <v>13</v>
      </c>
      <c r="D88" s="1">
        <v>46239</v>
      </c>
      <c r="E88" s="24">
        <v>6898.73</v>
      </c>
      <c r="F88" s="23">
        <f t="shared" si="13"/>
        <v>0.53776381586383493</v>
      </c>
    </row>
    <row r="89" spans="2:6" hidden="1" x14ac:dyDescent="0.25">
      <c r="B89" s="2" t="str">
        <f t="shared" si="12"/>
        <v/>
      </c>
      <c r="C89" s="2" t="s">
        <v>14</v>
      </c>
      <c r="D89" s="1">
        <v>46240</v>
      </c>
      <c r="E89" s="24">
        <v>7188.54</v>
      </c>
      <c r="F89" s="23">
        <f t="shared" si="13"/>
        <v>0.5603548335548445</v>
      </c>
    </row>
    <row r="90" spans="2:6" hidden="1" x14ac:dyDescent="0.25">
      <c r="B90" s="2" t="str">
        <f t="shared" si="12"/>
        <v/>
      </c>
      <c r="C90" s="2" t="s">
        <v>15</v>
      </c>
      <c r="D90" s="1">
        <v>46241</v>
      </c>
      <c r="E90" s="24">
        <v>7461.51</v>
      </c>
      <c r="F90" s="23">
        <f t="shared" si="13"/>
        <v>0.58163315417564732</v>
      </c>
    </row>
    <row r="91" spans="2:6" hidden="1" x14ac:dyDescent="0.25">
      <c r="B91" s="2" t="str">
        <f t="shared" si="12"/>
        <v/>
      </c>
      <c r="C91" s="2" t="s">
        <v>9</v>
      </c>
      <c r="D91" s="1">
        <v>46242</v>
      </c>
      <c r="E91" s="16">
        <v>7461.51</v>
      </c>
      <c r="F91" s="23">
        <f t="shared" si="13"/>
        <v>0.58163315417564732</v>
      </c>
    </row>
    <row r="92" spans="2:6" x14ac:dyDescent="0.25">
      <c r="B92" s="2" t="str">
        <f t="shared" si="12"/>
        <v>I</v>
      </c>
      <c r="C92" s="2" t="s">
        <v>10</v>
      </c>
      <c r="D92" s="1">
        <v>46243</v>
      </c>
      <c r="E92" s="16">
        <v>7461.51</v>
      </c>
      <c r="F92" s="23">
        <f t="shared" si="13"/>
        <v>0.58163315417564732</v>
      </c>
    </row>
    <row r="93" spans="2:6" hidden="1" x14ac:dyDescent="0.25">
      <c r="B93" s="2" t="str">
        <f t="shared" si="12"/>
        <v/>
      </c>
      <c r="C93" s="2" t="s">
        <v>11</v>
      </c>
      <c r="D93" s="1">
        <v>46244</v>
      </c>
      <c r="E93" s="16">
        <v>7747.76</v>
      </c>
      <c r="F93" s="23">
        <f t="shared" si="13"/>
        <v>0.60394666583518797</v>
      </c>
    </row>
    <row r="94" spans="2:6" hidden="1" x14ac:dyDescent="0.25">
      <c r="B94" s="2" t="str">
        <f t="shared" si="12"/>
        <v/>
      </c>
      <c r="C94" s="2" t="s">
        <v>12</v>
      </c>
      <c r="D94" s="1">
        <v>46245</v>
      </c>
      <c r="E94" s="16">
        <v>8077.49</v>
      </c>
      <c r="F94" s="23">
        <f t="shared" si="13"/>
        <v>0.62964949273300574</v>
      </c>
    </row>
    <row r="95" spans="2:6" hidden="1" x14ac:dyDescent="0.25">
      <c r="B95" s="2" t="str">
        <f t="shared" si="12"/>
        <v/>
      </c>
      <c r="C95" s="2" t="s">
        <v>13</v>
      </c>
      <c r="D95" s="1">
        <v>46246</v>
      </c>
      <c r="E95" s="16">
        <v>8394.1299999999992</v>
      </c>
      <c r="F95" s="23">
        <f t="shared" si="13"/>
        <v>0.65433193930724831</v>
      </c>
    </row>
    <row r="96" spans="2:6" hidden="1" x14ac:dyDescent="0.25">
      <c r="B96" s="2" t="str">
        <f t="shared" si="12"/>
        <v/>
      </c>
      <c r="C96" s="2" t="s">
        <v>14</v>
      </c>
      <c r="D96" s="1">
        <v>46247</v>
      </c>
      <c r="E96" s="16">
        <v>8686.7199999999993</v>
      </c>
      <c r="F96" s="23">
        <f t="shared" si="13"/>
        <v>0.67713966114642732</v>
      </c>
    </row>
    <row r="97" spans="2:6" hidden="1" x14ac:dyDescent="0.25">
      <c r="B97" s="2" t="str">
        <f t="shared" si="12"/>
        <v/>
      </c>
      <c r="C97" s="2" t="s">
        <v>15</v>
      </c>
      <c r="D97" s="1">
        <v>46248</v>
      </c>
      <c r="E97" s="16">
        <v>9003.27</v>
      </c>
      <c r="F97" s="23">
        <f t="shared" si="13"/>
        <v>0.70181509211875082</v>
      </c>
    </row>
    <row r="98" spans="2:6" hidden="1" x14ac:dyDescent="0.25">
      <c r="B98" s="2" t="str">
        <f t="shared" si="12"/>
        <v/>
      </c>
      <c r="C98" s="2" t="s">
        <v>9</v>
      </c>
      <c r="D98" s="1">
        <v>46249</v>
      </c>
      <c r="E98" s="16">
        <v>9003.27</v>
      </c>
      <c r="F98" s="23">
        <f t="shared" si="13"/>
        <v>0.70181509211875082</v>
      </c>
    </row>
    <row r="99" spans="2:6" x14ac:dyDescent="0.25">
      <c r="B99" s="2" t="str">
        <f t="shared" si="12"/>
        <v>I</v>
      </c>
      <c r="C99" s="2" t="s">
        <v>10</v>
      </c>
      <c r="D99" s="1">
        <v>46250</v>
      </c>
      <c r="E99" s="16">
        <v>9003.27</v>
      </c>
      <c r="F99" s="23">
        <f t="shared" si="13"/>
        <v>0.70181509211875082</v>
      </c>
    </row>
    <row r="100" spans="2:6" hidden="1" x14ac:dyDescent="0.25">
      <c r="B100" s="2" t="str">
        <f t="shared" si="12"/>
        <v/>
      </c>
      <c r="C100" s="2" t="s">
        <v>11</v>
      </c>
      <c r="D100" s="1">
        <v>46251</v>
      </c>
      <c r="E100" s="16">
        <v>9329.57</v>
      </c>
      <c r="F100" s="23">
        <f t="shared" si="13"/>
        <v>0.72725054663231625</v>
      </c>
    </row>
    <row r="101" spans="2:6" hidden="1" x14ac:dyDescent="0.25">
      <c r="B101" s="2" t="str">
        <f t="shared" si="12"/>
        <v/>
      </c>
      <c r="C101" s="2" t="s">
        <v>12</v>
      </c>
      <c r="D101" s="1">
        <v>46252</v>
      </c>
      <c r="E101" s="16">
        <v>9640.73</v>
      </c>
      <c r="F101" s="23">
        <f t="shared" si="13"/>
        <v>0.75150582100081464</v>
      </c>
    </row>
    <row r="102" spans="2:6" hidden="1" x14ac:dyDescent="0.25">
      <c r="B102" s="2" t="str">
        <f t="shared" si="12"/>
        <v/>
      </c>
      <c r="C102" s="2" t="s">
        <v>13</v>
      </c>
      <c r="D102" s="1">
        <v>46253</v>
      </c>
      <c r="E102" s="16">
        <v>9925.49</v>
      </c>
      <c r="F102" s="23">
        <f t="shared" si="13"/>
        <v>0.77370318547302697</v>
      </c>
    </row>
    <row r="103" spans="2:6" hidden="1" x14ac:dyDescent="0.25">
      <c r="B103" s="2" t="str">
        <f t="shared" si="12"/>
        <v/>
      </c>
      <c r="C103" s="2" t="s">
        <v>14</v>
      </c>
      <c r="D103" s="1">
        <v>46254</v>
      </c>
      <c r="E103" s="16">
        <v>10202.620000000001</v>
      </c>
      <c r="F103" s="23">
        <f t="shared" si="13"/>
        <v>0.79530578280475983</v>
      </c>
    </row>
    <row r="104" spans="2:6" hidden="1" x14ac:dyDescent="0.25">
      <c r="B104" s="2" t="str">
        <f t="shared" ref="B104:B135" si="14">IF(C104="Domingo","I","")</f>
        <v/>
      </c>
      <c r="C104" s="2" t="s">
        <v>15</v>
      </c>
      <c r="D104" s="1">
        <v>46255</v>
      </c>
      <c r="E104" s="16">
        <v>10463.73</v>
      </c>
      <c r="F104" s="23">
        <f t="shared" si="13"/>
        <v>0.81565960299488249</v>
      </c>
    </row>
    <row r="105" spans="2:6" hidden="1" x14ac:dyDescent="0.25">
      <c r="B105" s="2" t="str">
        <f t="shared" si="14"/>
        <v/>
      </c>
      <c r="C105" s="2" t="s">
        <v>9</v>
      </c>
      <c r="D105" s="1">
        <v>46256</v>
      </c>
      <c r="E105" s="16">
        <v>10463.73</v>
      </c>
      <c r="F105" s="23">
        <f t="shared" si="13"/>
        <v>0.81565960299488249</v>
      </c>
    </row>
    <row r="106" spans="2:6" x14ac:dyDescent="0.25">
      <c r="B106" s="2" t="str">
        <f t="shared" si="14"/>
        <v>I</v>
      </c>
      <c r="C106" s="2" t="s">
        <v>10</v>
      </c>
      <c r="D106" s="1">
        <v>46257</v>
      </c>
      <c r="E106" s="16">
        <v>10463.73</v>
      </c>
      <c r="F106" s="23">
        <f t="shared" si="13"/>
        <v>0.81565960299488249</v>
      </c>
    </row>
    <row r="107" spans="2:6" hidden="1" x14ac:dyDescent="0.25">
      <c r="B107" s="2" t="str">
        <f t="shared" si="14"/>
        <v/>
      </c>
      <c r="C107" s="2" t="s">
        <v>11</v>
      </c>
      <c r="D107" s="1">
        <v>46258</v>
      </c>
      <c r="E107" s="16">
        <v>10724.87</v>
      </c>
      <c r="F107" s="23">
        <f t="shared" si="13"/>
        <v>0.83601576171897851</v>
      </c>
    </row>
    <row r="108" spans="2:6" hidden="1" x14ac:dyDescent="0.25">
      <c r="B108" s="2" t="str">
        <f t="shared" si="14"/>
        <v/>
      </c>
      <c r="C108" s="2" t="s">
        <v>12</v>
      </c>
      <c r="D108" s="1">
        <v>46259</v>
      </c>
      <c r="E108" s="16">
        <v>10982.02</v>
      </c>
      <c r="F108" s="23">
        <f t="shared" si="13"/>
        <v>0.85606089542465835</v>
      </c>
    </row>
    <row r="109" spans="2:6" hidden="1" x14ac:dyDescent="0.25">
      <c r="B109" s="2" t="str">
        <f t="shared" si="14"/>
        <v/>
      </c>
      <c r="C109" s="2" t="s">
        <v>13</v>
      </c>
      <c r="D109" s="1">
        <v>46260</v>
      </c>
      <c r="E109" s="16">
        <v>11206.88</v>
      </c>
      <c r="F109" s="23">
        <f t="shared" si="13"/>
        <v>0.87358898706400956</v>
      </c>
    </row>
    <row r="110" spans="2:6" hidden="1" x14ac:dyDescent="0.25">
      <c r="B110" s="2" t="str">
        <f t="shared" si="14"/>
        <v/>
      </c>
      <c r="C110" s="2" t="s">
        <v>14</v>
      </c>
      <c r="D110" s="1">
        <v>46261</v>
      </c>
      <c r="E110" s="16">
        <v>11442.06</v>
      </c>
      <c r="F110" s="23">
        <f t="shared" si="13"/>
        <v>0.89192153439009081</v>
      </c>
    </row>
    <row r="111" spans="2:6" hidden="1" x14ac:dyDescent="0.25">
      <c r="B111" s="2" t="str">
        <f t="shared" si="14"/>
        <v/>
      </c>
      <c r="C111" s="2" t="s">
        <v>15</v>
      </c>
      <c r="D111" s="1">
        <v>46262</v>
      </c>
      <c r="E111" s="16">
        <v>11645.95</v>
      </c>
      <c r="F111" s="23">
        <f t="shared" si="13"/>
        <v>0.90781499078227867</v>
      </c>
    </row>
    <row r="112" spans="2:6" hidden="1" x14ac:dyDescent="0.25">
      <c r="B112" s="2" t="str">
        <f t="shared" si="14"/>
        <v/>
      </c>
      <c r="C112" s="2" t="s">
        <v>9</v>
      </c>
      <c r="D112" s="1">
        <v>46263</v>
      </c>
      <c r="E112" s="16">
        <v>11645.95</v>
      </c>
      <c r="F112" s="23">
        <f t="shared" si="13"/>
        <v>0.90781499078227867</v>
      </c>
    </row>
    <row r="113" spans="2:6" x14ac:dyDescent="0.25">
      <c r="B113" s="2" t="str">
        <f t="shared" si="14"/>
        <v>I</v>
      </c>
      <c r="C113" s="2" t="s">
        <v>10</v>
      </c>
      <c r="D113" s="1">
        <v>46264</v>
      </c>
      <c r="E113" s="16">
        <v>11645.95</v>
      </c>
      <c r="F113" s="23">
        <f t="shared" si="13"/>
        <v>0.90781499078227867</v>
      </c>
    </row>
    <row r="114" spans="2:6" hidden="1" x14ac:dyDescent="0.25">
      <c r="B114" s="2" t="str">
        <f t="shared" si="14"/>
        <v/>
      </c>
      <c r="C114" s="2" t="s">
        <v>11</v>
      </c>
      <c r="D114" s="1">
        <v>46265</v>
      </c>
      <c r="E114" s="16">
        <v>11817</v>
      </c>
      <c r="F114" s="23">
        <f t="shared" si="13"/>
        <v>0.92114853198529845</v>
      </c>
    </row>
    <row r="115" spans="2:6" hidden="1" x14ac:dyDescent="0.25">
      <c r="B115" s="2" t="str">
        <f t="shared" si="14"/>
        <v/>
      </c>
      <c r="C115" s="2" t="s">
        <v>12</v>
      </c>
      <c r="D115" s="1">
        <v>46266</v>
      </c>
      <c r="E115" s="16">
        <v>11955.57</v>
      </c>
      <c r="F115" s="23">
        <f t="shared" si="13"/>
        <v>0.93195022040682696</v>
      </c>
    </row>
    <row r="116" spans="2:6" hidden="1" x14ac:dyDescent="0.25">
      <c r="B116" s="2" t="str">
        <f t="shared" si="14"/>
        <v/>
      </c>
      <c r="C116" s="2" t="s">
        <v>13</v>
      </c>
      <c r="D116" s="1">
        <v>46267</v>
      </c>
      <c r="E116" s="16">
        <v>12081</v>
      </c>
      <c r="F116" s="23">
        <f t="shared" si="13"/>
        <v>0.9417276309481587</v>
      </c>
    </row>
    <row r="117" spans="2:6" hidden="1" x14ac:dyDescent="0.25">
      <c r="B117" s="2" t="str">
        <f t="shared" si="14"/>
        <v/>
      </c>
      <c r="C117" s="2" t="s">
        <v>14</v>
      </c>
      <c r="D117" s="1">
        <v>46268</v>
      </c>
      <c r="E117" s="16">
        <v>12197.19</v>
      </c>
      <c r="F117" s="23">
        <f t="shared" si="13"/>
        <v>0.95078477302579023</v>
      </c>
    </row>
    <row r="118" spans="2:6" hidden="1" x14ac:dyDescent="0.25">
      <c r="B118" s="2" t="str">
        <f t="shared" si="14"/>
        <v/>
      </c>
      <c r="C118" s="2" t="s">
        <v>15</v>
      </c>
      <c r="D118" s="1">
        <v>46269</v>
      </c>
      <c r="E118" s="16">
        <v>12323.55</v>
      </c>
      <c r="F118" s="23">
        <f t="shared" si="13"/>
        <v>0.96063467812028636</v>
      </c>
    </row>
    <row r="119" spans="2:6" hidden="1" x14ac:dyDescent="0.25">
      <c r="B119" s="2" t="str">
        <f t="shared" si="14"/>
        <v/>
      </c>
      <c r="C119" s="2" t="s">
        <v>9</v>
      </c>
      <c r="D119" s="1">
        <v>46270</v>
      </c>
      <c r="E119" s="16">
        <v>12323.55</v>
      </c>
      <c r="F119" s="23">
        <f t="shared" si="13"/>
        <v>0.96063467812028636</v>
      </c>
    </row>
    <row r="120" spans="2:6" x14ac:dyDescent="0.25">
      <c r="B120" s="2" t="str">
        <f t="shared" si="14"/>
        <v>I</v>
      </c>
      <c r="C120" s="2" t="s">
        <v>10</v>
      </c>
      <c r="D120" s="1">
        <v>46271</v>
      </c>
      <c r="E120" s="16">
        <v>12323.55</v>
      </c>
      <c r="F120" s="23">
        <f t="shared" si="13"/>
        <v>0.96063467812028636</v>
      </c>
    </row>
    <row r="121" spans="2:6" hidden="1" x14ac:dyDescent="0.25">
      <c r="B121" s="2" t="str">
        <f t="shared" si="14"/>
        <v/>
      </c>
      <c r="C121" s="2" t="s">
        <v>11</v>
      </c>
      <c r="D121" s="1">
        <v>46272</v>
      </c>
      <c r="E121" s="16">
        <v>12323.55</v>
      </c>
      <c r="F121" s="23">
        <f t="shared" si="13"/>
        <v>0.96063467812028636</v>
      </c>
    </row>
    <row r="122" spans="2:6" hidden="1" x14ac:dyDescent="0.25">
      <c r="B122" s="2" t="str">
        <f t="shared" si="14"/>
        <v/>
      </c>
      <c r="C122" s="2" t="s">
        <v>12</v>
      </c>
      <c r="D122" s="1">
        <v>46273</v>
      </c>
      <c r="E122" s="16">
        <v>12451.8</v>
      </c>
      <c r="F122" s="23">
        <f t="shared" si="13"/>
        <v>0.97063191085508493</v>
      </c>
    </row>
    <row r="123" spans="2:6" hidden="1" x14ac:dyDescent="0.25">
      <c r="B123" s="2" t="str">
        <f t="shared" si="14"/>
        <v/>
      </c>
      <c r="C123" s="2" t="s">
        <v>13</v>
      </c>
      <c r="D123" s="1">
        <v>46274</v>
      </c>
      <c r="E123" s="16">
        <v>12566.34</v>
      </c>
      <c r="F123" s="23">
        <f t="shared" si="13"/>
        <v>0.97956043356419864</v>
      </c>
    </row>
    <row r="124" spans="2:6" hidden="1" x14ac:dyDescent="0.25">
      <c r="B124" s="2" t="str">
        <f t="shared" si="14"/>
        <v/>
      </c>
      <c r="C124" s="2" t="s">
        <v>14</v>
      </c>
      <c r="D124" s="1">
        <v>46275</v>
      </c>
      <c r="E124" s="16">
        <v>12646.18</v>
      </c>
      <c r="F124" s="23">
        <f t="shared" si="13"/>
        <v>0.98578405197781516</v>
      </c>
    </row>
    <row r="125" spans="2:6" hidden="1" x14ac:dyDescent="0.25">
      <c r="B125" s="2" t="str">
        <f t="shared" si="14"/>
        <v/>
      </c>
      <c r="C125" s="2" t="s">
        <v>15</v>
      </c>
      <c r="D125" s="1">
        <v>46276</v>
      </c>
      <c r="E125" s="16">
        <v>12688.63</v>
      </c>
      <c r="F125" s="23">
        <f t="shared" si="13"/>
        <v>0.98909307754968412</v>
      </c>
    </row>
    <row r="126" spans="2:6" hidden="1" x14ac:dyDescent="0.25">
      <c r="B126" s="2" t="str">
        <f t="shared" si="14"/>
        <v/>
      </c>
      <c r="C126" s="2" t="s">
        <v>9</v>
      </c>
      <c r="D126" s="1">
        <v>46277</v>
      </c>
      <c r="E126" s="16">
        <v>12688.63</v>
      </c>
      <c r="F126" s="23">
        <f t="shared" si="13"/>
        <v>0.98909307754968412</v>
      </c>
    </row>
    <row r="127" spans="2:6" x14ac:dyDescent="0.25">
      <c r="B127" s="2" t="str">
        <f t="shared" si="14"/>
        <v>I</v>
      </c>
      <c r="C127" s="2" t="s">
        <v>10</v>
      </c>
      <c r="D127" s="1">
        <v>46278</v>
      </c>
      <c r="E127" s="16">
        <v>12688.63</v>
      </c>
      <c r="F127" s="23">
        <f t="shared" si="13"/>
        <v>0.98909307754968412</v>
      </c>
    </row>
    <row r="128" spans="2:6" hidden="1" x14ac:dyDescent="0.25">
      <c r="B128" s="2" t="str">
        <f t="shared" si="14"/>
        <v/>
      </c>
      <c r="C128" s="2" t="s">
        <v>11</v>
      </c>
      <c r="D128" s="1">
        <v>46279</v>
      </c>
      <c r="E128" s="16">
        <v>12723.79</v>
      </c>
      <c r="F128" s="23">
        <f t="shared" si="13"/>
        <v>0.99183383936610148</v>
      </c>
    </row>
    <row r="129" spans="2:6" hidden="1" x14ac:dyDescent="0.25">
      <c r="B129" s="2" t="str">
        <f t="shared" si="14"/>
        <v/>
      </c>
      <c r="C129" s="2" t="s">
        <v>12</v>
      </c>
      <c r="D129" s="1">
        <v>46280</v>
      </c>
      <c r="E129" s="16">
        <v>12754.53</v>
      </c>
      <c r="F129" s="23">
        <f t="shared" si="13"/>
        <v>0.99423005717715573</v>
      </c>
    </row>
    <row r="130" spans="2:6" hidden="1" x14ac:dyDescent="0.25">
      <c r="B130" s="2" t="str">
        <f t="shared" si="14"/>
        <v/>
      </c>
      <c r="C130" s="2" t="s">
        <v>13</v>
      </c>
      <c r="D130" s="1">
        <v>46281</v>
      </c>
      <c r="E130" s="16">
        <v>12782.48</v>
      </c>
      <c r="F130" s="23">
        <f t="shared" si="13"/>
        <v>0.99640879132871607</v>
      </c>
    </row>
    <row r="131" spans="2:6" hidden="1" x14ac:dyDescent="0.25">
      <c r="B131" s="2" t="str">
        <f t="shared" si="14"/>
        <v/>
      </c>
      <c r="C131" s="2" t="s">
        <v>14</v>
      </c>
      <c r="D131" s="1">
        <v>46282</v>
      </c>
      <c r="E131" s="16">
        <v>12804.48</v>
      </c>
      <c r="F131" s="23">
        <f t="shared" si="13"/>
        <v>0.99812371624228768</v>
      </c>
    </row>
    <row r="132" spans="2:6" hidden="1" x14ac:dyDescent="0.25">
      <c r="B132" s="2" t="str">
        <f t="shared" si="14"/>
        <v/>
      </c>
      <c r="C132" s="2" t="s">
        <v>15</v>
      </c>
      <c r="D132" s="1">
        <v>46283</v>
      </c>
      <c r="E132" s="16">
        <v>12819.47</v>
      </c>
      <c r="F132" s="23">
        <f t="shared" si="13"/>
        <v>0.9992922037174895</v>
      </c>
    </row>
    <row r="133" spans="2:6" hidden="1" x14ac:dyDescent="0.25">
      <c r="B133" s="2" t="str">
        <f t="shared" si="14"/>
        <v/>
      </c>
      <c r="C133" s="2" t="s">
        <v>9</v>
      </c>
      <c r="D133" s="1">
        <v>46284</v>
      </c>
      <c r="E133" s="16">
        <v>12819.47</v>
      </c>
      <c r="F133" s="23">
        <f t="shared" si="13"/>
        <v>0.9992922037174895</v>
      </c>
    </row>
    <row r="134" spans="2:6" x14ac:dyDescent="0.25">
      <c r="B134" s="2" t="str">
        <f t="shared" si="14"/>
        <v>I</v>
      </c>
      <c r="C134" s="2" t="s">
        <v>10</v>
      </c>
      <c r="D134" s="1">
        <v>46285</v>
      </c>
      <c r="E134" s="16">
        <v>12819.47</v>
      </c>
      <c r="F134" s="23">
        <f t="shared" si="13"/>
        <v>0.9992922037174895</v>
      </c>
    </row>
    <row r="135" spans="2:6" hidden="1" x14ac:dyDescent="0.25">
      <c r="B135" s="2" t="str">
        <f t="shared" si="14"/>
        <v/>
      </c>
      <c r="C135" s="2" t="s">
        <v>11</v>
      </c>
      <c r="D135" s="1">
        <v>46286</v>
      </c>
      <c r="E135" s="16">
        <v>12823.13</v>
      </c>
      <c r="F135" s="23">
        <f t="shared" si="13"/>
        <v>0.99957750486220187</v>
      </c>
    </row>
    <row r="136" spans="2:6" hidden="1" x14ac:dyDescent="0.25">
      <c r="B136" s="2" t="str">
        <f t="shared" ref="B136:B141" si="15">IF(C136="Domingo","I","")</f>
        <v/>
      </c>
      <c r="C136" s="2" t="s">
        <v>12</v>
      </c>
      <c r="D136" s="1">
        <v>46287</v>
      </c>
      <c r="E136" s="16">
        <v>12826.47</v>
      </c>
      <c r="F136" s="23">
        <f t="shared" si="13"/>
        <v>0.99983786164453503</v>
      </c>
    </row>
    <row r="137" spans="2:6" hidden="1" x14ac:dyDescent="0.25">
      <c r="B137" s="2" t="str">
        <f t="shared" si="15"/>
        <v/>
      </c>
      <c r="C137" s="2" t="s">
        <v>13</v>
      </c>
      <c r="D137" s="1">
        <v>46288</v>
      </c>
      <c r="E137" s="16">
        <v>12828.55</v>
      </c>
      <c r="F137" s="23">
        <f t="shared" si="13"/>
        <v>1</v>
      </c>
    </row>
    <row r="138" spans="2:6" hidden="1" x14ac:dyDescent="0.25">
      <c r="B138" s="2" t="str">
        <f t="shared" si="15"/>
        <v/>
      </c>
      <c r="C138" s="2" t="s">
        <v>14</v>
      </c>
      <c r="D138" s="1">
        <v>46289</v>
      </c>
      <c r="E138" s="16">
        <v>12828.55</v>
      </c>
      <c r="F138" s="23">
        <f t="shared" ref="F138:F141" si="16">E138/$F$7</f>
        <v>1</v>
      </c>
    </row>
    <row r="139" spans="2:6" hidden="1" x14ac:dyDescent="0.25">
      <c r="B139" s="2" t="str">
        <f t="shared" si="15"/>
        <v/>
      </c>
      <c r="C139" s="2" t="s">
        <v>15</v>
      </c>
      <c r="D139" s="1">
        <v>46290</v>
      </c>
      <c r="E139" s="16">
        <v>12828.55</v>
      </c>
      <c r="F139" s="23">
        <f t="shared" si="16"/>
        <v>1</v>
      </c>
    </row>
    <row r="140" spans="2:6" hidden="1" x14ac:dyDescent="0.25">
      <c r="B140" s="2" t="str">
        <f t="shared" si="15"/>
        <v/>
      </c>
      <c r="C140" s="2" t="s">
        <v>9</v>
      </c>
      <c r="D140" s="1">
        <v>46291</v>
      </c>
      <c r="E140" s="16">
        <v>12828.55</v>
      </c>
      <c r="F140" s="23">
        <f t="shared" si="16"/>
        <v>1</v>
      </c>
    </row>
    <row r="141" spans="2:6" x14ac:dyDescent="0.25">
      <c r="B141" s="2" t="str">
        <f t="shared" si="15"/>
        <v>I</v>
      </c>
      <c r="C141" s="2" t="s">
        <v>10</v>
      </c>
      <c r="D141" s="1">
        <v>46292</v>
      </c>
      <c r="E141" s="16">
        <v>12828.55</v>
      </c>
      <c r="F141" s="23">
        <f t="shared" si="16"/>
        <v>1</v>
      </c>
    </row>
    <row r="142" spans="2:6" hidden="1" x14ac:dyDescent="0.25">
      <c r="B142" s="2"/>
      <c r="C142" s="2"/>
      <c r="D142" s="1"/>
      <c r="E142" s="16"/>
      <c r="F142" s="23"/>
    </row>
    <row r="143" spans="2:6" hidden="1" x14ac:dyDescent="0.25">
      <c r="B143" s="2"/>
      <c r="C143" s="2"/>
      <c r="D143" s="1"/>
      <c r="E143" s="16"/>
      <c r="F143" s="23"/>
    </row>
    <row r="144" spans="2:6" hidden="1" x14ac:dyDescent="0.25">
      <c r="B144" s="2"/>
      <c r="C144" s="2"/>
      <c r="D144" s="1"/>
      <c r="E144" s="16"/>
      <c r="F144" s="23"/>
    </row>
    <row r="145" spans="2:6" hidden="1" x14ac:dyDescent="0.25">
      <c r="B145" s="2"/>
      <c r="C145" s="2"/>
      <c r="D145" s="1"/>
      <c r="E145" s="16"/>
      <c r="F145" s="23"/>
    </row>
    <row r="146" spans="2:6" hidden="1" x14ac:dyDescent="0.25">
      <c r="B146" s="2"/>
      <c r="C146" s="2"/>
      <c r="D146" s="1"/>
      <c r="E146" s="16"/>
      <c r="F146" s="23"/>
    </row>
    <row r="147" spans="2:6" hidden="1" x14ac:dyDescent="0.25">
      <c r="B147" s="2"/>
      <c r="C147" s="2"/>
      <c r="D147" s="1"/>
      <c r="E147" s="16"/>
      <c r="F147" s="23"/>
    </row>
    <row r="148" spans="2:6" hidden="1" x14ac:dyDescent="0.25">
      <c r="B148" s="2"/>
      <c r="C148" s="2"/>
      <c r="D148" s="1"/>
      <c r="E148" s="16"/>
      <c r="F148" s="23"/>
    </row>
    <row r="149" spans="2:6" hidden="1" x14ac:dyDescent="0.25">
      <c r="B149" s="2"/>
      <c r="C149" s="2"/>
      <c r="D149" s="1"/>
      <c r="E149" s="16"/>
      <c r="F149" s="23"/>
    </row>
    <row r="150" spans="2:6" hidden="1" x14ac:dyDescent="0.25">
      <c r="B150" s="2"/>
      <c r="C150" s="2"/>
      <c r="D150" s="1"/>
      <c r="E150" s="16"/>
      <c r="F150" s="23"/>
    </row>
    <row r="151" spans="2:6" hidden="1" x14ac:dyDescent="0.25">
      <c r="B151" s="2"/>
      <c r="C151" s="2"/>
      <c r="D151" s="1"/>
      <c r="E151" s="16"/>
      <c r="F151" s="23"/>
    </row>
    <row r="152" spans="2:6" hidden="1" x14ac:dyDescent="0.25">
      <c r="B152" s="2"/>
      <c r="C152" s="2"/>
      <c r="D152" s="1"/>
      <c r="E152" s="16"/>
      <c r="F152" s="23"/>
    </row>
    <row r="153" spans="2:6" hidden="1" x14ac:dyDescent="0.25">
      <c r="B153" s="2"/>
      <c r="C153" s="2"/>
      <c r="D153" s="1"/>
      <c r="E153" s="16"/>
      <c r="F153" s="23"/>
    </row>
    <row r="154" spans="2:6" hidden="1" x14ac:dyDescent="0.25">
      <c r="B154" s="2"/>
      <c r="C154" s="2"/>
      <c r="D154" s="1"/>
      <c r="E154" s="16"/>
      <c r="F154" s="23"/>
    </row>
    <row r="155" spans="2:6" hidden="1" x14ac:dyDescent="0.25">
      <c r="B155" s="2"/>
      <c r="C155" s="2"/>
      <c r="D155" s="1"/>
      <c r="E155" s="16"/>
      <c r="F155" s="23"/>
    </row>
    <row r="156" spans="2:6" hidden="1" x14ac:dyDescent="0.25">
      <c r="B156" s="2"/>
      <c r="C156" s="2"/>
      <c r="D156" s="1"/>
      <c r="E156" s="16"/>
      <c r="F156" s="23"/>
    </row>
    <row r="157" spans="2:6" hidden="1" x14ac:dyDescent="0.25">
      <c r="B157" s="2"/>
      <c r="C157" s="2"/>
      <c r="D157" s="1"/>
      <c r="E157" s="16"/>
      <c r="F157" s="23"/>
    </row>
    <row r="158" spans="2:6" hidden="1" x14ac:dyDescent="0.25">
      <c r="B158" s="2"/>
      <c r="C158" s="2"/>
      <c r="D158" s="1"/>
      <c r="E158" s="16"/>
      <c r="F158" s="23"/>
    </row>
    <row r="159" spans="2:6" hidden="1" x14ac:dyDescent="0.25">
      <c r="B159" s="2"/>
      <c r="C159" s="2"/>
      <c r="D159" s="1"/>
      <c r="E159" s="16"/>
      <c r="F159" s="23"/>
    </row>
    <row r="160" spans="2:6" hidden="1" x14ac:dyDescent="0.25">
      <c r="B160" s="2"/>
      <c r="C160" s="2"/>
      <c r="D160" s="1"/>
      <c r="E160" s="16"/>
      <c r="F160" s="23"/>
    </row>
    <row r="161" spans="2:6" hidden="1" x14ac:dyDescent="0.25">
      <c r="B161" s="2"/>
      <c r="C161" s="2"/>
      <c r="D161" s="1"/>
      <c r="E161" s="16"/>
      <c r="F161" s="23"/>
    </row>
    <row r="162" spans="2:6" hidden="1" x14ac:dyDescent="0.25">
      <c r="B162" s="2"/>
      <c r="C162" s="2"/>
      <c r="D162" s="1"/>
      <c r="E162" s="16"/>
      <c r="F162" s="23"/>
    </row>
    <row r="163" spans="2:6" hidden="1" x14ac:dyDescent="0.25">
      <c r="B163" s="2"/>
      <c r="C163" s="2"/>
      <c r="D163" s="1"/>
      <c r="E163" s="16"/>
      <c r="F163" s="23"/>
    </row>
    <row r="164" spans="2:6" hidden="1" x14ac:dyDescent="0.25">
      <c r="B164" s="2"/>
      <c r="C164" s="2"/>
      <c r="D164" s="1"/>
      <c r="E164" s="16"/>
      <c r="F164" s="23"/>
    </row>
    <row r="165" spans="2:6" hidden="1" x14ac:dyDescent="0.25">
      <c r="B165" s="2"/>
      <c r="C165" s="2"/>
      <c r="D165" s="1"/>
      <c r="E165" s="16"/>
      <c r="F165" s="23"/>
    </row>
    <row r="166" spans="2:6" hidden="1" x14ac:dyDescent="0.25">
      <c r="B166" s="2"/>
      <c r="C166" s="2"/>
      <c r="D166" s="1"/>
      <c r="E166" s="16"/>
      <c r="F166" s="23"/>
    </row>
    <row r="167" spans="2:6" hidden="1" x14ac:dyDescent="0.25">
      <c r="B167" s="2"/>
      <c r="C167" s="2"/>
      <c r="D167" s="1"/>
      <c r="E167" s="16"/>
      <c r="F167" s="23"/>
    </row>
    <row r="168" spans="2:6" hidden="1" x14ac:dyDescent="0.25">
      <c r="B168" s="2"/>
      <c r="C168" s="2"/>
      <c r="D168" s="1"/>
      <c r="E168" s="16"/>
      <c r="F168" s="23"/>
    </row>
    <row r="169" spans="2:6" hidden="1" x14ac:dyDescent="0.25">
      <c r="B169" s="2"/>
      <c r="C169" s="2"/>
      <c r="D169" s="1"/>
      <c r="E169" s="16"/>
      <c r="F169" s="23"/>
    </row>
    <row r="170" spans="2:6" hidden="1" x14ac:dyDescent="0.25">
      <c r="B170" s="2"/>
      <c r="C170" s="2"/>
      <c r="D170" s="1"/>
      <c r="E170" s="16"/>
      <c r="F170" s="23"/>
    </row>
    <row r="171" spans="2:6" hidden="1" x14ac:dyDescent="0.25">
      <c r="B171" s="2"/>
      <c r="C171" s="2"/>
      <c r="D171" s="1"/>
      <c r="E171" s="16"/>
      <c r="F171" s="23"/>
    </row>
    <row r="172" spans="2:6" hidden="1" x14ac:dyDescent="0.25">
      <c r="B172" s="2"/>
      <c r="C172" s="2"/>
      <c r="D172" s="1"/>
      <c r="E172" s="16"/>
      <c r="F172" s="23"/>
    </row>
    <row r="173" spans="2:6" hidden="1" x14ac:dyDescent="0.25">
      <c r="B173" s="2"/>
      <c r="C173" s="2"/>
      <c r="D173" s="1"/>
      <c r="E173" s="16"/>
      <c r="F173" s="23"/>
    </row>
    <row r="174" spans="2:6" hidden="1" x14ac:dyDescent="0.25">
      <c r="B174" s="2"/>
      <c r="C174" s="2"/>
      <c r="D174" s="1"/>
      <c r="E174" s="16"/>
      <c r="F174" s="23"/>
    </row>
    <row r="175" spans="2:6" hidden="1" x14ac:dyDescent="0.25">
      <c r="B175" s="2"/>
      <c r="C175" s="2"/>
      <c r="D175" s="1"/>
      <c r="E175" s="16"/>
      <c r="F175" s="23"/>
    </row>
    <row r="176" spans="2:6" hidden="1" x14ac:dyDescent="0.25">
      <c r="B176" s="2"/>
      <c r="C176" s="2"/>
      <c r="D176" s="1"/>
      <c r="E176" s="16"/>
      <c r="F176" s="23"/>
    </row>
    <row r="177" spans="2:6" hidden="1" x14ac:dyDescent="0.25">
      <c r="B177" s="2"/>
      <c r="C177" s="2"/>
      <c r="D177" s="1"/>
      <c r="E177" s="16"/>
      <c r="F177" s="23"/>
    </row>
    <row r="178" spans="2:6" hidden="1" x14ac:dyDescent="0.25">
      <c r="B178" s="2"/>
      <c r="C178" s="2"/>
      <c r="D178" s="1"/>
      <c r="E178" s="16"/>
      <c r="F178" s="23"/>
    </row>
    <row r="179" spans="2:6" hidden="1" x14ac:dyDescent="0.25">
      <c r="B179" s="2"/>
      <c r="C179" s="2"/>
      <c r="D179" s="1"/>
      <c r="E179" s="16"/>
      <c r="F179" s="23"/>
    </row>
    <row r="180" spans="2:6" hidden="1" x14ac:dyDescent="0.25">
      <c r="B180" s="2"/>
      <c r="C180" s="2"/>
      <c r="D180" s="1"/>
      <c r="E180" s="16"/>
      <c r="F180" s="23"/>
    </row>
    <row r="181" spans="2:6" hidden="1" x14ac:dyDescent="0.25">
      <c r="B181" s="2"/>
      <c r="C181" s="2"/>
      <c r="D181" s="1"/>
      <c r="E181" s="16"/>
      <c r="F181" s="23"/>
    </row>
    <row r="182" spans="2:6" hidden="1" x14ac:dyDescent="0.25">
      <c r="B182" s="2"/>
      <c r="C182" s="2"/>
      <c r="D182" s="1"/>
      <c r="E182" s="16"/>
      <c r="F182" s="23"/>
    </row>
    <row r="183" spans="2:6" hidden="1" x14ac:dyDescent="0.25">
      <c r="B183" s="2"/>
      <c r="C183" s="2"/>
      <c r="D183" s="1"/>
      <c r="E183" s="16"/>
      <c r="F183" s="23"/>
    </row>
    <row r="184" spans="2:6" hidden="1" x14ac:dyDescent="0.25">
      <c r="B184" s="2"/>
      <c r="C184" s="2"/>
      <c r="D184" s="1"/>
      <c r="E184" s="16"/>
      <c r="F184" s="23"/>
    </row>
    <row r="185" spans="2:6" hidden="1" x14ac:dyDescent="0.25">
      <c r="B185" s="2"/>
      <c r="C185" s="2"/>
      <c r="D185" s="1"/>
      <c r="E185" s="16"/>
      <c r="F185" s="23"/>
    </row>
    <row r="186" spans="2:6" hidden="1" x14ac:dyDescent="0.25">
      <c r="B186" s="2"/>
      <c r="C186" s="2"/>
      <c r="D186" s="1"/>
      <c r="E186" s="16"/>
      <c r="F186" s="23"/>
    </row>
    <row r="187" spans="2:6" hidden="1" x14ac:dyDescent="0.25">
      <c r="B187" s="2"/>
      <c r="C187" s="2"/>
      <c r="D187" s="1"/>
      <c r="E187" s="16"/>
      <c r="F187" s="23"/>
    </row>
    <row r="188" spans="2:6" hidden="1" x14ac:dyDescent="0.25">
      <c r="B188" s="2"/>
      <c r="C188" s="2"/>
      <c r="D188" s="1"/>
      <c r="E188" s="16"/>
      <c r="F188" s="23"/>
    </row>
    <row r="189" spans="2:6" hidden="1" x14ac:dyDescent="0.25">
      <c r="B189" s="2"/>
      <c r="C189" s="2"/>
      <c r="D189" s="1"/>
      <c r="E189" s="16"/>
      <c r="F189" s="23"/>
    </row>
    <row r="190" spans="2:6" hidden="1" x14ac:dyDescent="0.25">
      <c r="B190" s="2"/>
      <c r="C190" s="2"/>
      <c r="D190" s="1"/>
      <c r="E190" s="16"/>
      <c r="F190" s="23"/>
    </row>
    <row r="191" spans="2:6" hidden="1" x14ac:dyDescent="0.25">
      <c r="B191" s="2"/>
      <c r="C191" s="2"/>
      <c r="D191" s="1"/>
      <c r="E191" s="16"/>
      <c r="F191" s="23"/>
    </row>
    <row r="192" spans="2:6" hidden="1" x14ac:dyDescent="0.25">
      <c r="B192" s="2"/>
      <c r="C192" s="2"/>
      <c r="D192" s="1"/>
      <c r="E192" s="16"/>
      <c r="F192" s="23"/>
    </row>
    <row r="193" spans="2:6" hidden="1" x14ac:dyDescent="0.25">
      <c r="B193" s="2"/>
      <c r="C193" s="2"/>
      <c r="D193" s="1"/>
      <c r="E193" s="16"/>
      <c r="F193" s="23"/>
    </row>
    <row r="194" spans="2:6" hidden="1" x14ac:dyDescent="0.25">
      <c r="B194" s="2"/>
      <c r="C194" s="2"/>
      <c r="D194" s="1"/>
      <c r="E194" s="16"/>
      <c r="F194" s="23"/>
    </row>
    <row r="195" spans="2:6" hidden="1" x14ac:dyDescent="0.25">
      <c r="B195" s="2"/>
      <c r="C195" s="2"/>
      <c r="D195" s="1"/>
      <c r="E195" s="16"/>
      <c r="F195" s="23"/>
    </row>
    <row r="196" spans="2:6" hidden="1" x14ac:dyDescent="0.25">
      <c r="B196" s="2"/>
      <c r="C196" s="2"/>
      <c r="D196" s="1"/>
      <c r="E196" s="16"/>
      <c r="F196" s="23"/>
    </row>
    <row r="197" spans="2:6" hidden="1" x14ac:dyDescent="0.25">
      <c r="B197" s="2"/>
      <c r="C197" s="2"/>
      <c r="D197" s="1"/>
      <c r="E197" s="16"/>
      <c r="F197" s="23"/>
    </row>
    <row r="198" spans="2:6" hidden="1" x14ac:dyDescent="0.25">
      <c r="B198" s="2"/>
      <c r="C198" s="2"/>
      <c r="D198" s="1"/>
      <c r="E198" s="16"/>
      <c r="F198" s="23"/>
    </row>
    <row r="199" spans="2:6" hidden="1" x14ac:dyDescent="0.25">
      <c r="B199" s="2"/>
      <c r="C199" s="2"/>
      <c r="D199" s="1"/>
      <c r="E199" s="16"/>
      <c r="F199" s="23"/>
    </row>
    <row r="200" spans="2:6" hidden="1" x14ac:dyDescent="0.25">
      <c r="B200" s="2"/>
      <c r="C200" s="2"/>
      <c r="D200" s="1"/>
      <c r="E200" s="16"/>
      <c r="F200" s="23"/>
    </row>
    <row r="201" spans="2:6" hidden="1" x14ac:dyDescent="0.25">
      <c r="B201" s="2"/>
      <c r="C201" s="2"/>
      <c r="D201" s="1"/>
      <c r="E201" s="16"/>
      <c r="F201" s="23"/>
    </row>
    <row r="202" spans="2:6" hidden="1" x14ac:dyDescent="0.25">
      <c r="B202" s="2"/>
      <c r="C202" s="2"/>
      <c r="D202" s="1"/>
      <c r="E202" s="16"/>
      <c r="F202" s="23"/>
    </row>
    <row r="203" spans="2:6" hidden="1" x14ac:dyDescent="0.25">
      <c r="B203" s="2"/>
      <c r="C203" s="2"/>
      <c r="D203" s="1"/>
      <c r="E203" s="16"/>
      <c r="F203" s="23"/>
    </row>
    <row r="204" spans="2:6" hidden="1" x14ac:dyDescent="0.25">
      <c r="B204" s="2"/>
      <c r="C204" s="2"/>
      <c r="D204" s="1"/>
      <c r="E204" s="16"/>
      <c r="F204" s="23"/>
    </row>
    <row r="205" spans="2:6" hidden="1" x14ac:dyDescent="0.25">
      <c r="B205" s="2"/>
      <c r="C205" s="2"/>
      <c r="D205" s="1"/>
      <c r="E205" s="16"/>
      <c r="F205" s="23"/>
    </row>
    <row r="206" spans="2:6" hidden="1" x14ac:dyDescent="0.25">
      <c r="B206" s="2"/>
      <c r="C206" s="2"/>
      <c r="D206" s="1"/>
      <c r="E206" s="16"/>
      <c r="F206" s="23"/>
    </row>
    <row r="207" spans="2:6" hidden="1" x14ac:dyDescent="0.25">
      <c r="B207" s="2"/>
      <c r="C207" s="2"/>
      <c r="D207" s="1"/>
      <c r="E207" s="16"/>
      <c r="F207" s="23"/>
    </row>
    <row r="208" spans="2:6" hidden="1" x14ac:dyDescent="0.25">
      <c r="B208" s="2"/>
      <c r="C208" s="2"/>
      <c r="D208" s="1"/>
      <c r="E208" s="16"/>
      <c r="F208" s="23"/>
    </row>
    <row r="209" spans="2:6" hidden="1" x14ac:dyDescent="0.25">
      <c r="B209" s="2"/>
      <c r="C209" s="2"/>
      <c r="D209" s="1"/>
      <c r="E209" s="16"/>
      <c r="F209" s="23"/>
    </row>
    <row r="210" spans="2:6" hidden="1" x14ac:dyDescent="0.25">
      <c r="B210" s="2"/>
      <c r="C210" s="2"/>
      <c r="D210" s="1"/>
      <c r="E210" s="16"/>
      <c r="F210" s="23"/>
    </row>
    <row r="211" spans="2:6" hidden="1" x14ac:dyDescent="0.25">
      <c r="B211" s="2"/>
      <c r="C211" s="2"/>
      <c r="D211" s="1"/>
      <c r="E211" s="16"/>
      <c r="F211" s="23"/>
    </row>
    <row r="212" spans="2:6" hidden="1" x14ac:dyDescent="0.25">
      <c r="B212" s="2"/>
      <c r="C212" s="2"/>
      <c r="D212" s="1"/>
      <c r="E212" s="16"/>
      <c r="F212" s="23"/>
    </row>
    <row r="213" spans="2:6" hidden="1" x14ac:dyDescent="0.25">
      <c r="B213" s="2"/>
      <c r="C213" s="2"/>
      <c r="D213" s="1"/>
      <c r="E213" s="16"/>
      <c r="F213" s="23"/>
    </row>
    <row r="214" spans="2:6" hidden="1" x14ac:dyDescent="0.25">
      <c r="B214" s="2"/>
      <c r="C214" s="2"/>
      <c r="D214" s="1"/>
      <c r="E214" s="24"/>
      <c r="F214" s="23"/>
    </row>
    <row r="215" spans="2:6" hidden="1" x14ac:dyDescent="0.25">
      <c r="B215" s="2"/>
      <c r="C215" s="2"/>
      <c r="D215" s="1"/>
      <c r="E215" s="16"/>
      <c r="F215" s="23"/>
    </row>
    <row r="216" spans="2:6" hidden="1" x14ac:dyDescent="0.25">
      <c r="B216" s="2"/>
      <c r="C216" s="2"/>
      <c r="D216" s="1"/>
      <c r="E216" s="16"/>
      <c r="F216" s="23"/>
    </row>
    <row r="217" spans="2:6" hidden="1" x14ac:dyDescent="0.25">
      <c r="B217" s="2"/>
      <c r="C217" s="2"/>
      <c r="D217" s="1"/>
      <c r="E217" s="16"/>
      <c r="F217" s="23"/>
    </row>
    <row r="218" spans="2:6" hidden="1" x14ac:dyDescent="0.25">
      <c r="B218" s="2"/>
      <c r="C218" s="2"/>
      <c r="D218" s="1"/>
      <c r="E218" s="16"/>
      <c r="F218" s="23"/>
    </row>
    <row r="219" spans="2:6" hidden="1" x14ac:dyDescent="0.25">
      <c r="B219" s="2"/>
      <c r="C219" s="2"/>
      <c r="D219" s="1"/>
      <c r="E219" s="16"/>
      <c r="F219" s="23"/>
    </row>
    <row r="220" spans="2:6" hidden="1" x14ac:dyDescent="0.25">
      <c r="B220" s="2"/>
      <c r="C220" s="2"/>
      <c r="D220" s="1"/>
      <c r="E220" s="16"/>
      <c r="F220" s="23"/>
    </row>
    <row r="221" spans="2:6" hidden="1" x14ac:dyDescent="0.25">
      <c r="B221" s="2"/>
      <c r="C221" s="2"/>
      <c r="D221" s="1"/>
      <c r="E221" s="16"/>
      <c r="F221" s="23"/>
    </row>
    <row r="222" spans="2:6" hidden="1" x14ac:dyDescent="0.25">
      <c r="B222" s="2"/>
      <c r="C222" s="2"/>
      <c r="D222" s="1"/>
      <c r="E222" s="16"/>
      <c r="F222" s="23"/>
    </row>
    <row r="223" spans="2:6" hidden="1" x14ac:dyDescent="0.25">
      <c r="B223" s="2"/>
      <c r="C223" s="2"/>
      <c r="D223" s="1"/>
      <c r="E223" s="16"/>
      <c r="F223" s="23"/>
    </row>
    <row r="224" spans="2:6" hidden="1" x14ac:dyDescent="0.25">
      <c r="B224" s="2"/>
      <c r="C224" s="2"/>
      <c r="D224" s="1"/>
      <c r="E224" s="16"/>
      <c r="F224" s="23"/>
    </row>
    <row r="225" spans="2:6" hidden="1" x14ac:dyDescent="0.25">
      <c r="B225" s="2"/>
      <c r="C225" s="2"/>
      <c r="D225" s="1"/>
      <c r="E225" s="16"/>
      <c r="F225" s="23"/>
    </row>
    <row r="226" spans="2:6" hidden="1" x14ac:dyDescent="0.25">
      <c r="B226" s="2"/>
      <c r="C226" s="2"/>
      <c r="D226" s="1"/>
      <c r="E226" s="16"/>
      <c r="F226" s="23"/>
    </row>
    <row r="227" spans="2:6" hidden="1" x14ac:dyDescent="0.25">
      <c r="B227" s="2"/>
      <c r="C227" s="2"/>
      <c r="D227" s="1"/>
      <c r="E227" s="16"/>
      <c r="F227" s="23"/>
    </row>
    <row r="228" spans="2:6" hidden="1" x14ac:dyDescent="0.25">
      <c r="B228" s="2"/>
      <c r="C228" s="2"/>
      <c r="D228" s="1"/>
      <c r="E228" s="16"/>
      <c r="F228" s="23"/>
    </row>
    <row r="229" spans="2:6" hidden="1" x14ac:dyDescent="0.25">
      <c r="B229" s="2"/>
      <c r="C229" s="2"/>
      <c r="D229" s="1"/>
      <c r="E229" s="16"/>
      <c r="F229" s="23"/>
    </row>
    <row r="230" spans="2:6" hidden="1" x14ac:dyDescent="0.25">
      <c r="B230" s="2"/>
      <c r="C230" s="2"/>
      <c r="D230" s="1"/>
      <c r="E230" s="16"/>
      <c r="F230" s="23"/>
    </row>
    <row r="231" spans="2:6" hidden="1" x14ac:dyDescent="0.25">
      <c r="B231" s="2"/>
      <c r="C231" s="2"/>
      <c r="D231" s="1"/>
      <c r="E231" s="16"/>
      <c r="F231" s="23"/>
    </row>
    <row r="232" spans="2:6" hidden="1" x14ac:dyDescent="0.25">
      <c r="B232" s="2"/>
      <c r="C232" s="2"/>
      <c r="D232" s="1"/>
      <c r="E232" s="16"/>
      <c r="F232" s="23"/>
    </row>
    <row r="233" spans="2:6" hidden="1" x14ac:dyDescent="0.25">
      <c r="B233" s="2"/>
      <c r="C233" s="2"/>
      <c r="D233" s="1"/>
      <c r="E233" s="16"/>
      <c r="F233" s="23"/>
    </row>
    <row r="234" spans="2:6" hidden="1" x14ac:dyDescent="0.25">
      <c r="B234" s="2"/>
      <c r="C234" s="2"/>
      <c r="D234" s="1"/>
      <c r="E234" s="16"/>
      <c r="F234" s="23"/>
    </row>
    <row r="235" spans="2:6" hidden="1" x14ac:dyDescent="0.25">
      <c r="B235" s="2"/>
      <c r="C235" s="2"/>
      <c r="D235" s="1"/>
      <c r="E235" s="16"/>
      <c r="F235" s="23"/>
    </row>
    <row r="236" spans="2:6" hidden="1" x14ac:dyDescent="0.25">
      <c r="B236" s="2"/>
      <c r="C236" s="2"/>
      <c r="D236" s="1"/>
      <c r="E236" s="16"/>
      <c r="F236" s="23"/>
    </row>
    <row r="237" spans="2:6" hidden="1" x14ac:dyDescent="0.25">
      <c r="B237" s="2"/>
      <c r="C237" s="2"/>
      <c r="D237" s="1"/>
      <c r="E237" s="16"/>
      <c r="F237" s="23"/>
    </row>
    <row r="238" spans="2:6" hidden="1" x14ac:dyDescent="0.25">
      <c r="B238" s="2"/>
      <c r="C238" s="2"/>
      <c r="D238" s="1"/>
      <c r="E238" s="16"/>
      <c r="F238" s="23"/>
    </row>
    <row r="239" spans="2:6" hidden="1" x14ac:dyDescent="0.25">
      <c r="B239" s="2"/>
      <c r="C239" s="2"/>
      <c r="D239" s="1"/>
      <c r="E239" s="16"/>
      <c r="F239" s="23"/>
    </row>
    <row r="240" spans="2:6" hidden="1" x14ac:dyDescent="0.25">
      <c r="B240" s="2"/>
      <c r="C240" s="2"/>
      <c r="D240" s="1"/>
      <c r="E240" s="16"/>
      <c r="F240" s="23"/>
    </row>
    <row r="241" spans="2:47" hidden="1" x14ac:dyDescent="0.25">
      <c r="B241" s="2"/>
      <c r="C241" s="2"/>
      <c r="D241" s="1"/>
      <c r="E241" s="24"/>
      <c r="F241" s="23"/>
    </row>
    <row r="242" spans="2:47" hidden="1" x14ac:dyDescent="0.25">
      <c r="B242" s="2"/>
      <c r="C242" s="2"/>
      <c r="D242" s="1"/>
      <c r="E242" s="24"/>
      <c r="F242" s="23"/>
    </row>
    <row r="243" spans="2:47" hidden="1" x14ac:dyDescent="0.25">
      <c r="B243" s="2"/>
      <c r="C243" s="2"/>
      <c r="D243" s="1"/>
      <c r="E243" s="24"/>
      <c r="F243" s="23"/>
    </row>
    <row r="244" spans="2:47" hidden="1" x14ac:dyDescent="0.25">
      <c r="B244" s="2"/>
      <c r="C244" s="2"/>
      <c r="D244" s="1"/>
      <c r="E244" s="24"/>
      <c r="F244" s="23"/>
    </row>
    <row r="245" spans="2:47" hidden="1" x14ac:dyDescent="0.25">
      <c r="B245" s="2"/>
      <c r="C245" s="2"/>
      <c r="D245" s="1"/>
      <c r="E245" s="24"/>
      <c r="F245" s="23"/>
    </row>
    <row r="246" spans="2:47" hidden="1" x14ac:dyDescent="0.25">
      <c r="B246" s="2"/>
      <c r="C246" s="2"/>
      <c r="D246" s="1"/>
      <c r="E246" s="24"/>
      <c r="F246" s="23"/>
    </row>
    <row r="247" spans="2:47" x14ac:dyDescent="0.25">
      <c r="L247" s="1">
        <v>46159</v>
      </c>
      <c r="M247" s="1">
        <v>46166</v>
      </c>
      <c r="N247" s="1">
        <v>46173</v>
      </c>
      <c r="O247" s="1">
        <v>46180</v>
      </c>
      <c r="P247" s="1">
        <v>46187</v>
      </c>
      <c r="Q247" s="1">
        <v>46194</v>
      </c>
      <c r="R247" s="1">
        <v>46201</v>
      </c>
      <c r="S247" s="1">
        <v>46208</v>
      </c>
      <c r="T247" s="1">
        <v>46215</v>
      </c>
      <c r="U247" s="1">
        <v>46222</v>
      </c>
      <c r="V247" s="1">
        <v>46229</v>
      </c>
      <c r="W247" s="1">
        <v>46236</v>
      </c>
      <c r="X247" s="1">
        <v>46243</v>
      </c>
      <c r="Y247" s="1">
        <v>46250</v>
      </c>
      <c r="Z247" s="1">
        <v>46257</v>
      </c>
      <c r="AA247" s="1">
        <v>46264</v>
      </c>
      <c r="AB247" s="1">
        <v>46271</v>
      </c>
      <c r="AC247" s="1">
        <v>46278</v>
      </c>
      <c r="AD247" s="1">
        <v>46285</v>
      </c>
      <c r="AE247" s="1">
        <v>46292</v>
      </c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2:47" x14ac:dyDescent="0.25">
      <c r="K248" s="1"/>
      <c r="L248">
        <v>0</v>
      </c>
      <c r="M248">
        <v>3.1570208636205966E-4</v>
      </c>
      <c r="N248">
        <v>5.3084721188287063E-3</v>
      </c>
      <c r="O248">
        <v>1.420191681834658E-2</v>
      </c>
      <c r="P248">
        <v>3.5261194757006835E-2</v>
      </c>
      <c r="Q248">
        <v>6.1745871513148413E-2</v>
      </c>
      <c r="R248">
        <v>9.2108617107935026E-2</v>
      </c>
      <c r="S248">
        <v>0.16316341285648028</v>
      </c>
      <c r="T248">
        <v>0.22677933203674619</v>
      </c>
      <c r="U248">
        <v>0.30659349653702095</v>
      </c>
      <c r="V248">
        <v>0.3908953077315831</v>
      </c>
      <c r="W248">
        <v>0.47858877269839545</v>
      </c>
      <c r="X248">
        <v>0.58163315417564732</v>
      </c>
      <c r="Y248">
        <v>0.70181509211875082</v>
      </c>
      <c r="Z248">
        <v>0.81565960299488249</v>
      </c>
      <c r="AA248">
        <v>0.90781499078227867</v>
      </c>
      <c r="AB248">
        <v>0.96063467812028636</v>
      </c>
      <c r="AC248">
        <v>0.98909307754968412</v>
      </c>
      <c r="AD248">
        <v>0.9992922037174895</v>
      </c>
      <c r="AE248">
        <v>1</v>
      </c>
    </row>
    <row r="250" spans="2:47" x14ac:dyDescent="0.25">
      <c r="H250">
        <v>46159</v>
      </c>
      <c r="I250">
        <v>0</v>
      </c>
      <c r="J250">
        <v>0</v>
      </c>
    </row>
    <row r="251" spans="2:47" x14ac:dyDescent="0.25">
      <c r="H251">
        <v>46166</v>
      </c>
      <c r="I251">
        <v>4.05</v>
      </c>
      <c r="J251">
        <v>3.1570208636205966E-4</v>
      </c>
    </row>
    <row r="252" spans="2:47" x14ac:dyDescent="0.25">
      <c r="H252">
        <v>46173</v>
      </c>
      <c r="I252">
        <v>68.099999999999994</v>
      </c>
      <c r="J252">
        <v>5.3084721188287063E-3</v>
      </c>
    </row>
    <row r="253" spans="2:47" x14ac:dyDescent="0.25">
      <c r="H253">
        <v>46180</v>
      </c>
      <c r="I253">
        <v>182.19</v>
      </c>
      <c r="J253">
        <v>1.420191681834658E-2</v>
      </c>
    </row>
    <row r="254" spans="2:47" x14ac:dyDescent="0.25">
      <c r="H254">
        <v>46187</v>
      </c>
      <c r="I254">
        <v>452.35</v>
      </c>
      <c r="J254">
        <v>3.5261194757006835E-2</v>
      </c>
    </row>
    <row r="255" spans="2:47" x14ac:dyDescent="0.25">
      <c r="H255">
        <v>46194</v>
      </c>
      <c r="I255">
        <v>792.11</v>
      </c>
      <c r="J255">
        <v>6.1745871513148413E-2</v>
      </c>
    </row>
    <row r="256" spans="2:47" x14ac:dyDescent="0.25">
      <c r="H256">
        <v>46201</v>
      </c>
      <c r="I256">
        <v>1181.6199999999999</v>
      </c>
      <c r="J256">
        <v>9.2108617107935026E-2</v>
      </c>
    </row>
    <row r="257" spans="8:10" x14ac:dyDescent="0.25">
      <c r="H257">
        <v>46208</v>
      </c>
      <c r="I257">
        <v>2093.15</v>
      </c>
      <c r="J257">
        <v>0.16316341285648028</v>
      </c>
    </row>
    <row r="258" spans="8:10" x14ac:dyDescent="0.25">
      <c r="H258">
        <v>46215</v>
      </c>
      <c r="I258">
        <v>2909.25</v>
      </c>
      <c r="J258">
        <v>0.22677933203674619</v>
      </c>
    </row>
    <row r="259" spans="8:10" x14ac:dyDescent="0.25">
      <c r="H259">
        <v>46222</v>
      </c>
      <c r="I259">
        <v>3933.15</v>
      </c>
      <c r="J259">
        <v>0.30659349653702095</v>
      </c>
    </row>
    <row r="260" spans="8:10" x14ac:dyDescent="0.25">
      <c r="H260">
        <v>46229</v>
      </c>
      <c r="I260">
        <v>5014.62</v>
      </c>
      <c r="J260">
        <v>0.3908953077315831</v>
      </c>
    </row>
    <row r="261" spans="8:10" x14ac:dyDescent="0.25">
      <c r="H261">
        <v>46236</v>
      </c>
      <c r="I261">
        <v>6139.6</v>
      </c>
      <c r="J261">
        <v>0.47858877269839545</v>
      </c>
    </row>
    <row r="262" spans="8:10" x14ac:dyDescent="0.25">
      <c r="H262">
        <v>46243</v>
      </c>
      <c r="I262">
        <v>7461.51</v>
      </c>
      <c r="J262">
        <v>0.58163315417564732</v>
      </c>
    </row>
    <row r="263" spans="8:10" x14ac:dyDescent="0.25">
      <c r="H263">
        <v>46250</v>
      </c>
      <c r="I263">
        <v>9003.27</v>
      </c>
      <c r="J263">
        <v>0.70181509211875082</v>
      </c>
    </row>
    <row r="264" spans="8:10" x14ac:dyDescent="0.25">
      <c r="H264">
        <v>46257</v>
      </c>
      <c r="I264">
        <v>10463.73</v>
      </c>
      <c r="J264">
        <v>0.81565960299488249</v>
      </c>
    </row>
    <row r="265" spans="8:10" x14ac:dyDescent="0.25">
      <c r="H265">
        <v>46264</v>
      </c>
      <c r="I265">
        <v>11645.95</v>
      </c>
      <c r="J265">
        <v>0.90781499078227867</v>
      </c>
    </row>
    <row r="266" spans="8:10" x14ac:dyDescent="0.25">
      <c r="H266">
        <v>46271</v>
      </c>
      <c r="I266">
        <v>12323.55</v>
      </c>
      <c r="J266">
        <v>0.96063467812028636</v>
      </c>
    </row>
    <row r="267" spans="8:10" x14ac:dyDescent="0.25">
      <c r="H267">
        <v>46278</v>
      </c>
      <c r="I267">
        <v>12688.63</v>
      </c>
      <c r="J267">
        <v>0.98909307754968412</v>
      </c>
    </row>
    <row r="268" spans="8:10" x14ac:dyDescent="0.25">
      <c r="H268">
        <v>46285</v>
      </c>
      <c r="I268">
        <v>12819.47</v>
      </c>
      <c r="J268">
        <v>0.9992922037174895</v>
      </c>
    </row>
    <row r="269" spans="8:10" x14ac:dyDescent="0.25">
      <c r="H269">
        <v>46292</v>
      </c>
      <c r="I269">
        <v>12828.55</v>
      </c>
      <c r="J269">
        <v>1</v>
      </c>
    </row>
  </sheetData>
  <autoFilter ref="B7:F246" xr:uid="{D013C854-9AD5-4F60-87C9-2AD3EE50288F}">
    <filterColumn colId="0">
      <customFilters>
        <customFilter operator="notEqual" val=" "/>
      </customFilters>
    </filterColumn>
  </autoFilter>
  <phoneticPr fontId="1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B693-4E1A-4C4E-BBA6-FC88D1B8B3A5}">
  <sheetPr filterMode="1"/>
  <dimension ref="B1:IF212"/>
  <sheetViews>
    <sheetView zoomScale="85" zoomScaleNormal="85" workbookViewId="0">
      <selection activeCell="M199" sqref="M199:X199"/>
    </sheetView>
  </sheetViews>
  <sheetFormatPr defaultRowHeight="15" x14ac:dyDescent="0.25"/>
  <cols>
    <col min="1" max="16383" width="12.28515625" bestFit="1" customWidth="1"/>
    <col min="16384" max="16384" width="12.28515625" customWidth="1"/>
  </cols>
  <sheetData>
    <row r="1" spans="2:240" s="2" customFormat="1" x14ac:dyDescent="0.25">
      <c r="B1" s="2" t="str">
        <f t="shared" ref="B1:I1" si="0">IF(B2="Domingo","I","")</f>
        <v>I</v>
      </c>
      <c r="C1" s="2" t="str">
        <f t="shared" si="0"/>
        <v/>
      </c>
      <c r="D1" s="2" t="str">
        <f t="shared" si="0"/>
        <v/>
      </c>
      <c r="E1" s="2" t="str">
        <f t="shared" si="0"/>
        <v/>
      </c>
      <c r="F1" s="2" t="str">
        <f t="shared" si="0"/>
        <v/>
      </c>
      <c r="G1" s="2" t="str">
        <f t="shared" si="0"/>
        <v/>
      </c>
      <c r="H1" s="2" t="str">
        <f t="shared" si="0"/>
        <v/>
      </c>
      <c r="I1" s="2" t="str">
        <f t="shared" si="0"/>
        <v>I</v>
      </c>
      <c r="J1" s="2" t="str">
        <f t="shared" ref="J1:BU1" si="1">IF(J2="Domingo","I","")</f>
        <v/>
      </c>
      <c r="K1" s="2" t="str">
        <f t="shared" si="1"/>
        <v/>
      </c>
      <c r="L1" s="2" t="str">
        <f t="shared" si="1"/>
        <v/>
      </c>
      <c r="M1" s="2" t="str">
        <f t="shared" si="1"/>
        <v/>
      </c>
      <c r="N1" s="2" t="str">
        <f t="shared" si="1"/>
        <v/>
      </c>
      <c r="O1" s="2" t="str">
        <f t="shared" si="1"/>
        <v/>
      </c>
      <c r="P1" s="2" t="str">
        <f t="shared" si="1"/>
        <v>I</v>
      </c>
      <c r="Q1" s="2" t="str">
        <f t="shared" si="1"/>
        <v/>
      </c>
      <c r="R1" s="2" t="str">
        <f t="shared" si="1"/>
        <v/>
      </c>
      <c r="S1" s="2" t="str">
        <f t="shared" si="1"/>
        <v/>
      </c>
      <c r="T1" s="2" t="str">
        <f t="shared" si="1"/>
        <v/>
      </c>
      <c r="U1" s="2" t="str">
        <f t="shared" si="1"/>
        <v/>
      </c>
      <c r="V1" s="2" t="str">
        <f t="shared" si="1"/>
        <v/>
      </c>
      <c r="W1" s="2" t="str">
        <f t="shared" si="1"/>
        <v>I</v>
      </c>
      <c r="X1" s="2" t="str">
        <f t="shared" si="1"/>
        <v/>
      </c>
      <c r="Y1" s="2" t="str">
        <f t="shared" si="1"/>
        <v/>
      </c>
      <c r="Z1" s="2" t="str">
        <f t="shared" si="1"/>
        <v/>
      </c>
      <c r="AA1" s="2" t="str">
        <f t="shared" si="1"/>
        <v/>
      </c>
      <c r="AB1" s="2" t="str">
        <f t="shared" si="1"/>
        <v/>
      </c>
      <c r="AC1" s="2" t="str">
        <f t="shared" si="1"/>
        <v/>
      </c>
      <c r="AD1" s="2" t="str">
        <f t="shared" si="1"/>
        <v>I</v>
      </c>
      <c r="AE1" s="2" t="str">
        <f t="shared" si="1"/>
        <v/>
      </c>
      <c r="AF1" s="2" t="str">
        <f t="shared" si="1"/>
        <v/>
      </c>
      <c r="AG1" s="2" t="str">
        <f t="shared" si="1"/>
        <v/>
      </c>
      <c r="AH1" s="2" t="str">
        <f t="shared" si="1"/>
        <v/>
      </c>
      <c r="AI1" s="2" t="str">
        <f t="shared" si="1"/>
        <v/>
      </c>
      <c r="AJ1" s="2" t="str">
        <f t="shared" si="1"/>
        <v/>
      </c>
      <c r="AK1" s="2" t="str">
        <f t="shared" si="1"/>
        <v>I</v>
      </c>
      <c r="AL1" s="2" t="str">
        <f t="shared" si="1"/>
        <v/>
      </c>
      <c r="AM1" s="2" t="str">
        <f t="shared" si="1"/>
        <v/>
      </c>
      <c r="AN1" s="2" t="str">
        <f t="shared" si="1"/>
        <v/>
      </c>
      <c r="AO1" s="2" t="str">
        <f t="shared" si="1"/>
        <v/>
      </c>
      <c r="AP1" s="2" t="str">
        <f t="shared" si="1"/>
        <v/>
      </c>
      <c r="AQ1" s="2" t="str">
        <f t="shared" si="1"/>
        <v/>
      </c>
      <c r="AR1" s="2" t="str">
        <f t="shared" si="1"/>
        <v>I</v>
      </c>
      <c r="AS1" s="2" t="str">
        <f t="shared" si="1"/>
        <v/>
      </c>
      <c r="AT1" s="2" t="str">
        <f t="shared" si="1"/>
        <v/>
      </c>
      <c r="AU1" s="2" t="str">
        <f t="shared" si="1"/>
        <v/>
      </c>
      <c r="AV1" s="2" t="str">
        <f t="shared" si="1"/>
        <v/>
      </c>
      <c r="AW1" s="2" t="str">
        <f t="shared" si="1"/>
        <v/>
      </c>
      <c r="AX1" s="2" t="str">
        <f t="shared" si="1"/>
        <v/>
      </c>
      <c r="AY1" s="2" t="str">
        <f t="shared" si="1"/>
        <v>I</v>
      </c>
      <c r="AZ1" s="2" t="str">
        <f t="shared" si="1"/>
        <v/>
      </c>
      <c r="BA1" s="2" t="str">
        <f t="shared" si="1"/>
        <v/>
      </c>
      <c r="BB1" s="2" t="str">
        <f t="shared" si="1"/>
        <v/>
      </c>
      <c r="BC1" s="2" t="str">
        <f t="shared" si="1"/>
        <v/>
      </c>
      <c r="BD1" s="2" t="str">
        <f t="shared" si="1"/>
        <v/>
      </c>
      <c r="BE1" s="2" t="str">
        <f t="shared" si="1"/>
        <v/>
      </c>
      <c r="BF1" s="2" t="str">
        <f t="shared" si="1"/>
        <v>I</v>
      </c>
      <c r="BG1" s="2" t="str">
        <f t="shared" si="1"/>
        <v/>
      </c>
      <c r="BH1" s="2" t="str">
        <f t="shared" si="1"/>
        <v/>
      </c>
      <c r="BI1" s="2" t="str">
        <f t="shared" si="1"/>
        <v/>
      </c>
      <c r="BJ1" s="2" t="str">
        <f t="shared" si="1"/>
        <v/>
      </c>
      <c r="BK1" s="2" t="str">
        <f t="shared" si="1"/>
        <v/>
      </c>
      <c r="BL1" s="2" t="str">
        <f t="shared" si="1"/>
        <v/>
      </c>
      <c r="BM1" s="2" t="str">
        <f t="shared" si="1"/>
        <v>I</v>
      </c>
      <c r="BN1" s="2" t="str">
        <f t="shared" si="1"/>
        <v/>
      </c>
      <c r="BO1" s="2" t="str">
        <f t="shared" si="1"/>
        <v/>
      </c>
      <c r="BP1" s="2" t="str">
        <f t="shared" si="1"/>
        <v/>
      </c>
      <c r="BQ1" s="2" t="str">
        <f t="shared" si="1"/>
        <v/>
      </c>
      <c r="BR1" s="2" t="str">
        <f t="shared" si="1"/>
        <v/>
      </c>
      <c r="BS1" s="2" t="str">
        <f t="shared" si="1"/>
        <v/>
      </c>
      <c r="BT1" s="2" t="str">
        <f t="shared" si="1"/>
        <v>I</v>
      </c>
      <c r="BU1" s="2" t="str">
        <f t="shared" si="1"/>
        <v/>
      </c>
      <c r="BV1" s="2" t="str">
        <f t="shared" ref="BV1:CA1" si="2">IF(BV2="Domingo","I","")</f>
        <v/>
      </c>
      <c r="BW1" s="2" t="str">
        <f t="shared" si="2"/>
        <v/>
      </c>
      <c r="BX1" s="2" t="str">
        <f t="shared" si="2"/>
        <v/>
      </c>
      <c r="BY1" s="2" t="str">
        <f t="shared" si="2"/>
        <v/>
      </c>
      <c r="BZ1" s="2" t="str">
        <f t="shared" si="2"/>
        <v/>
      </c>
      <c r="CA1" s="2" t="str">
        <f t="shared" si="2"/>
        <v>I</v>
      </c>
    </row>
    <row r="2" spans="2:240" s="2" customFormat="1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9</v>
      </c>
      <c r="AK2" s="2" t="s">
        <v>10</v>
      </c>
      <c r="AL2" s="2" t="s">
        <v>11</v>
      </c>
      <c r="AM2" s="2" t="s">
        <v>12</v>
      </c>
      <c r="AN2" s="2" t="s">
        <v>13</v>
      </c>
      <c r="AO2" s="2" t="s">
        <v>14</v>
      </c>
      <c r="AP2" s="2" t="s">
        <v>15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9</v>
      </c>
      <c r="AY2" s="2" t="s">
        <v>10</v>
      </c>
      <c r="AZ2" s="2" t="s">
        <v>11</v>
      </c>
      <c r="BA2" s="2" t="s">
        <v>12</v>
      </c>
      <c r="BB2" s="2" t="s">
        <v>13</v>
      </c>
      <c r="BC2" s="2" t="s">
        <v>14</v>
      </c>
      <c r="BD2" s="2" t="s">
        <v>15</v>
      </c>
      <c r="BE2" s="2" t="s">
        <v>9</v>
      </c>
      <c r="BF2" s="2" t="s">
        <v>10</v>
      </c>
      <c r="BG2" s="2" t="s">
        <v>11</v>
      </c>
      <c r="BH2" s="2" t="s">
        <v>12</v>
      </c>
      <c r="BI2" s="2" t="s">
        <v>13</v>
      </c>
      <c r="BJ2" s="2" t="s">
        <v>14</v>
      </c>
      <c r="BK2" s="2" t="s">
        <v>15</v>
      </c>
      <c r="BL2" s="2" t="s">
        <v>9</v>
      </c>
      <c r="BM2" s="2" t="s">
        <v>10</v>
      </c>
      <c r="BN2" s="2" t="s">
        <v>11</v>
      </c>
      <c r="BO2" s="2" t="s">
        <v>12</v>
      </c>
      <c r="BP2" s="2" t="s">
        <v>13</v>
      </c>
      <c r="BQ2" s="2" t="s">
        <v>14</v>
      </c>
      <c r="BR2" s="2" t="s">
        <v>15</v>
      </c>
      <c r="BS2" s="2" t="s">
        <v>9</v>
      </c>
      <c r="BT2" s="2" t="s">
        <v>10</v>
      </c>
      <c r="BU2" s="2" t="s">
        <v>11</v>
      </c>
      <c r="BV2" s="2" t="s">
        <v>12</v>
      </c>
      <c r="BW2" s="2" t="s">
        <v>13</v>
      </c>
      <c r="BX2" s="2" t="s">
        <v>14</v>
      </c>
      <c r="BY2" s="2" t="s">
        <v>15</v>
      </c>
      <c r="BZ2" s="2" t="s">
        <v>9</v>
      </c>
      <c r="CA2" s="2" t="s">
        <v>10</v>
      </c>
    </row>
    <row r="3" spans="2:240" s="1" customFormat="1" x14ac:dyDescent="0.25">
      <c r="B3" s="1">
        <v>46215</v>
      </c>
      <c r="C3" s="1">
        <v>46216</v>
      </c>
      <c r="D3" s="1">
        <v>46217</v>
      </c>
      <c r="E3" s="1">
        <v>46218</v>
      </c>
      <c r="F3" s="1">
        <v>46219</v>
      </c>
      <c r="G3" s="1">
        <v>46220</v>
      </c>
      <c r="H3" s="1">
        <v>46221</v>
      </c>
      <c r="I3" s="1">
        <v>46222</v>
      </c>
      <c r="J3" s="1">
        <v>46223</v>
      </c>
      <c r="K3" s="1">
        <v>46224</v>
      </c>
      <c r="L3" s="1">
        <v>46225</v>
      </c>
      <c r="M3" s="1">
        <v>46226</v>
      </c>
      <c r="N3" s="1">
        <v>46227</v>
      </c>
      <c r="O3" s="1">
        <v>46228</v>
      </c>
      <c r="P3" s="1">
        <v>46229</v>
      </c>
      <c r="Q3" s="1">
        <v>46230</v>
      </c>
      <c r="R3" s="1">
        <v>46231</v>
      </c>
      <c r="S3" s="1">
        <v>46232</v>
      </c>
      <c r="T3" s="1">
        <v>46233</v>
      </c>
      <c r="U3" s="1">
        <v>46234</v>
      </c>
      <c r="V3" s="1">
        <v>46235</v>
      </c>
      <c r="W3" s="1">
        <v>46236</v>
      </c>
      <c r="X3" s="1">
        <v>46237</v>
      </c>
      <c r="Y3" s="1">
        <v>46238</v>
      </c>
      <c r="Z3" s="1">
        <v>46239</v>
      </c>
      <c r="AA3" s="1">
        <v>46240</v>
      </c>
      <c r="AB3" s="1">
        <v>46241</v>
      </c>
      <c r="AC3" s="1">
        <v>46242</v>
      </c>
      <c r="AD3" s="1">
        <v>46243</v>
      </c>
      <c r="AE3" s="1">
        <v>46244</v>
      </c>
      <c r="AF3" s="1">
        <v>46245</v>
      </c>
      <c r="AG3" s="1">
        <v>46246</v>
      </c>
      <c r="AH3" s="1">
        <v>46247</v>
      </c>
      <c r="AI3" s="1">
        <v>46248</v>
      </c>
      <c r="AJ3" s="1">
        <v>46249</v>
      </c>
      <c r="AK3" s="1">
        <v>46250</v>
      </c>
      <c r="AL3" s="1">
        <v>46251</v>
      </c>
      <c r="AM3" s="1">
        <v>46252</v>
      </c>
      <c r="AN3" s="1">
        <v>46253</v>
      </c>
      <c r="AO3" s="1">
        <v>46254</v>
      </c>
      <c r="AP3" s="1">
        <v>46255</v>
      </c>
      <c r="AQ3" s="1">
        <v>46256</v>
      </c>
      <c r="AR3" s="1">
        <v>46257</v>
      </c>
      <c r="AS3" s="1">
        <v>46258</v>
      </c>
      <c r="AT3" s="1">
        <v>46259</v>
      </c>
      <c r="AU3" s="1">
        <v>46260</v>
      </c>
      <c r="AV3" s="1">
        <v>46261</v>
      </c>
      <c r="AW3" s="1">
        <v>46262</v>
      </c>
      <c r="AX3" s="1">
        <v>46263</v>
      </c>
      <c r="AY3" s="1">
        <v>46264</v>
      </c>
      <c r="AZ3" s="1">
        <v>46265</v>
      </c>
      <c r="BA3" s="1">
        <v>46266</v>
      </c>
      <c r="BB3" s="1">
        <v>46267</v>
      </c>
      <c r="BC3" s="1">
        <v>46268</v>
      </c>
      <c r="BD3" s="1">
        <v>46269</v>
      </c>
      <c r="BE3" s="1">
        <v>46270</v>
      </c>
      <c r="BF3" s="1">
        <v>46271</v>
      </c>
      <c r="BG3" s="1">
        <v>46272</v>
      </c>
      <c r="BH3" s="1">
        <v>46273</v>
      </c>
      <c r="BI3" s="1">
        <v>46274</v>
      </c>
      <c r="BJ3" s="1">
        <v>46275</v>
      </c>
      <c r="BK3" s="1">
        <v>46276</v>
      </c>
      <c r="BL3" s="1">
        <v>46277</v>
      </c>
      <c r="BM3" s="1">
        <v>46278</v>
      </c>
      <c r="BN3" s="1">
        <v>46279</v>
      </c>
      <c r="BO3" s="1">
        <v>46280</v>
      </c>
      <c r="BP3" s="1">
        <v>46281</v>
      </c>
      <c r="BQ3" s="1">
        <v>46282</v>
      </c>
      <c r="BR3" s="1">
        <v>46283</v>
      </c>
      <c r="BS3" s="1">
        <v>46284</v>
      </c>
      <c r="BT3" s="1">
        <v>46285</v>
      </c>
      <c r="BU3" s="1">
        <v>46286</v>
      </c>
      <c r="BV3" s="1">
        <v>46287</v>
      </c>
      <c r="BW3" s="1">
        <v>46288</v>
      </c>
      <c r="BX3" s="1">
        <v>46289</v>
      </c>
      <c r="BY3" s="1">
        <v>46290</v>
      </c>
      <c r="BZ3" s="1">
        <v>46291</v>
      </c>
      <c r="CA3" s="1">
        <v>46292</v>
      </c>
    </row>
    <row r="4" spans="2:240" x14ac:dyDescent="0.25">
      <c r="B4" s="16">
        <v>3274.89</v>
      </c>
      <c r="C4" s="16">
        <v>3478.79</v>
      </c>
      <c r="D4" s="16">
        <v>3652.29</v>
      </c>
      <c r="E4" s="16">
        <v>3841.92</v>
      </c>
      <c r="F4" s="16">
        <v>4030.91</v>
      </c>
      <c r="G4" s="16">
        <v>4228.2299999999996</v>
      </c>
      <c r="H4" s="16">
        <v>4228.2299999999996</v>
      </c>
      <c r="I4" s="16">
        <v>4228.2299999999996</v>
      </c>
      <c r="J4" s="16">
        <v>4431.74</v>
      </c>
      <c r="K4" s="16">
        <v>4605.49</v>
      </c>
      <c r="L4" s="16">
        <v>4788.7299999999996</v>
      </c>
      <c r="M4" s="16">
        <v>5007.3599999999997</v>
      </c>
      <c r="N4" s="16">
        <v>5223.53</v>
      </c>
      <c r="O4" s="16">
        <v>5223.53</v>
      </c>
      <c r="P4" s="16">
        <v>5223.53</v>
      </c>
      <c r="Q4" s="16">
        <v>5461.6</v>
      </c>
      <c r="R4" s="16">
        <v>5746.48</v>
      </c>
      <c r="S4" s="16">
        <v>6066.43</v>
      </c>
      <c r="T4" s="16">
        <v>6375.8</v>
      </c>
      <c r="U4" s="16">
        <v>6651.75</v>
      </c>
      <c r="V4" s="24">
        <v>6651.75</v>
      </c>
      <c r="W4" s="24">
        <v>6651.75</v>
      </c>
      <c r="X4" s="24">
        <v>6934.3</v>
      </c>
      <c r="Y4" s="24">
        <v>7218.18</v>
      </c>
      <c r="Z4" s="24">
        <v>7482.43</v>
      </c>
      <c r="AA4" s="24">
        <v>7747.07</v>
      </c>
      <c r="AB4" s="24">
        <v>8017.39</v>
      </c>
      <c r="AC4" s="16">
        <v>8017.39</v>
      </c>
      <c r="AD4" s="16">
        <v>8017.39</v>
      </c>
      <c r="AE4" s="16">
        <v>8314.6</v>
      </c>
      <c r="AF4" s="16">
        <v>8659.8799999999992</v>
      </c>
      <c r="AG4" s="16">
        <v>8961.23</v>
      </c>
      <c r="AH4" s="16">
        <v>9186.82</v>
      </c>
      <c r="AI4" s="16">
        <v>9400.19</v>
      </c>
      <c r="AJ4" s="16">
        <v>9400.19</v>
      </c>
      <c r="AK4" s="16">
        <v>9400.19</v>
      </c>
      <c r="AL4" s="16">
        <v>9620.0300000000007</v>
      </c>
      <c r="AM4" s="16">
        <v>9834.68</v>
      </c>
      <c r="AN4" s="16">
        <v>10033.86</v>
      </c>
      <c r="AO4" s="16">
        <v>10238.030000000001</v>
      </c>
      <c r="AP4" s="16">
        <v>10477.32</v>
      </c>
      <c r="AQ4" s="16">
        <v>10477.32</v>
      </c>
      <c r="AR4" s="16">
        <v>10477.32</v>
      </c>
      <c r="AS4" s="16">
        <v>10758.22</v>
      </c>
      <c r="AT4" s="16">
        <v>11025.7</v>
      </c>
      <c r="AU4" s="16">
        <v>11239.46</v>
      </c>
      <c r="AV4" s="16">
        <v>11404.22</v>
      </c>
      <c r="AW4" s="16">
        <v>11565.71</v>
      </c>
      <c r="AX4" s="16">
        <v>11565.71</v>
      </c>
      <c r="AY4" s="16">
        <v>11565.71</v>
      </c>
      <c r="AZ4" s="16">
        <v>11747.28</v>
      </c>
      <c r="BA4" s="16">
        <v>11904.96</v>
      </c>
      <c r="BB4" s="16">
        <v>12030.95</v>
      </c>
      <c r="BC4" s="16">
        <v>12148.61</v>
      </c>
      <c r="BD4" s="16">
        <v>12255.38</v>
      </c>
      <c r="BE4" s="16">
        <v>12255.38</v>
      </c>
      <c r="BF4" s="16">
        <v>12255.38</v>
      </c>
      <c r="BG4" s="16">
        <v>12255.38</v>
      </c>
      <c r="BH4" s="16">
        <v>12369.26</v>
      </c>
      <c r="BI4" s="16">
        <v>12480.52</v>
      </c>
      <c r="BJ4" s="16">
        <v>12553.54</v>
      </c>
      <c r="BK4" s="16">
        <v>12584.07</v>
      </c>
      <c r="BL4" s="16">
        <v>12584.07</v>
      </c>
      <c r="BM4" s="16">
        <v>12584.07</v>
      </c>
      <c r="BN4" s="16">
        <v>12608.4</v>
      </c>
      <c r="BO4" s="16">
        <v>12632.56</v>
      </c>
      <c r="BP4" s="16">
        <v>12655.95</v>
      </c>
      <c r="BQ4" s="16">
        <v>12677.38</v>
      </c>
      <c r="BR4" s="16">
        <v>12691.21</v>
      </c>
      <c r="BS4" s="16">
        <v>12691.21</v>
      </c>
      <c r="BT4" s="16">
        <v>12691.21</v>
      </c>
      <c r="BU4" s="16">
        <v>12694.74</v>
      </c>
      <c r="BV4" s="16">
        <v>12698</v>
      </c>
      <c r="BW4" s="16">
        <v>12699.75</v>
      </c>
      <c r="BX4" s="16">
        <v>12699.75</v>
      </c>
      <c r="BY4" s="16">
        <v>12699.75</v>
      </c>
      <c r="BZ4" s="16">
        <v>12699.75</v>
      </c>
      <c r="CA4" s="16">
        <v>12699.75</v>
      </c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24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24"/>
      <c r="IB4" s="24"/>
      <c r="IC4" s="24"/>
      <c r="ID4" s="24"/>
      <c r="IE4" s="24"/>
      <c r="IF4" s="24"/>
    </row>
    <row r="7" spans="2:240" x14ac:dyDescent="0.25">
      <c r="F7">
        <v>12699.75</v>
      </c>
    </row>
    <row r="8" spans="2:240" x14ac:dyDescent="0.25">
      <c r="B8" s="2" t="str">
        <f t="shared" ref="B8:B39" si="3">IF(C8="Domingo","I","")</f>
        <v>I</v>
      </c>
      <c r="C8" s="2" t="s">
        <v>10</v>
      </c>
      <c r="D8" s="1">
        <v>46215</v>
      </c>
      <c r="E8" s="16">
        <v>3274.89</v>
      </c>
      <c r="F8" s="23">
        <f>E8/$F$7</f>
        <v>0.2578704305202858</v>
      </c>
    </row>
    <row r="9" spans="2:240" hidden="1" x14ac:dyDescent="0.25">
      <c r="B9" s="2" t="str">
        <f t="shared" si="3"/>
        <v/>
      </c>
      <c r="C9" s="2" t="s">
        <v>11</v>
      </c>
      <c r="D9" s="1">
        <v>46216</v>
      </c>
      <c r="E9" s="16">
        <v>3478.79</v>
      </c>
      <c r="F9" s="23">
        <f t="shared" ref="F9:F72" si="4">E9/$F$7</f>
        <v>0.27392586468237562</v>
      </c>
    </row>
    <row r="10" spans="2:240" hidden="1" x14ac:dyDescent="0.25">
      <c r="B10" s="2" t="str">
        <f t="shared" si="3"/>
        <v/>
      </c>
      <c r="C10" s="2" t="s">
        <v>12</v>
      </c>
      <c r="D10" s="1">
        <v>46217</v>
      </c>
      <c r="E10" s="16">
        <v>3652.29</v>
      </c>
      <c r="F10" s="23">
        <f t="shared" si="4"/>
        <v>0.28758755093604205</v>
      </c>
    </row>
    <row r="11" spans="2:240" hidden="1" x14ac:dyDescent="0.25">
      <c r="B11" s="2" t="str">
        <f t="shared" si="3"/>
        <v/>
      </c>
      <c r="C11" s="2" t="s">
        <v>13</v>
      </c>
      <c r="D11" s="1">
        <v>46218</v>
      </c>
      <c r="E11" s="16">
        <v>3841.92</v>
      </c>
      <c r="F11" s="23">
        <f t="shared" si="4"/>
        <v>0.30251934093190813</v>
      </c>
    </row>
    <row r="12" spans="2:240" hidden="1" x14ac:dyDescent="0.25">
      <c r="B12" s="2" t="str">
        <f t="shared" si="3"/>
        <v/>
      </c>
      <c r="C12" s="2" t="s">
        <v>14</v>
      </c>
      <c r="D12" s="1">
        <v>46219</v>
      </c>
      <c r="E12" s="16">
        <v>4030.91</v>
      </c>
      <c r="F12" s="23">
        <f t="shared" si="4"/>
        <v>0.31740073623496523</v>
      </c>
    </row>
    <row r="13" spans="2:240" hidden="1" x14ac:dyDescent="0.25">
      <c r="B13" s="2" t="str">
        <f t="shared" si="3"/>
        <v/>
      </c>
      <c r="C13" s="2" t="s">
        <v>15</v>
      </c>
      <c r="D13" s="1">
        <v>46220</v>
      </c>
      <c r="E13" s="16">
        <v>4228.2299999999996</v>
      </c>
      <c r="F13" s="23">
        <f t="shared" si="4"/>
        <v>0.33293804996161336</v>
      </c>
    </row>
    <row r="14" spans="2:240" hidden="1" x14ac:dyDescent="0.25">
      <c r="B14" s="2" t="str">
        <f t="shared" si="3"/>
        <v/>
      </c>
      <c r="C14" s="2" t="s">
        <v>9</v>
      </c>
      <c r="D14" s="1">
        <v>46221</v>
      </c>
      <c r="E14" s="16">
        <v>4228.2299999999996</v>
      </c>
      <c r="F14" s="23">
        <f t="shared" si="4"/>
        <v>0.33293804996161336</v>
      </c>
    </row>
    <row r="15" spans="2:240" x14ac:dyDescent="0.25">
      <c r="B15" s="2" t="str">
        <f t="shared" si="3"/>
        <v>I</v>
      </c>
      <c r="C15" s="2" t="s">
        <v>10</v>
      </c>
      <c r="D15" s="1">
        <v>46222</v>
      </c>
      <c r="E15" s="16">
        <v>4228.2299999999996</v>
      </c>
      <c r="F15" s="23">
        <f t="shared" si="4"/>
        <v>0.33293804996161336</v>
      </c>
    </row>
    <row r="16" spans="2:240" hidden="1" x14ac:dyDescent="0.25">
      <c r="B16" s="2" t="str">
        <f t="shared" si="3"/>
        <v/>
      </c>
      <c r="C16" s="2" t="s">
        <v>11</v>
      </c>
      <c r="D16" s="1">
        <v>46223</v>
      </c>
      <c r="E16" s="16">
        <v>4431.74</v>
      </c>
      <c r="F16" s="23">
        <f t="shared" si="4"/>
        <v>0.34896277485777277</v>
      </c>
    </row>
    <row r="17" spans="2:6" hidden="1" x14ac:dyDescent="0.25">
      <c r="B17" s="2" t="str">
        <f t="shared" si="3"/>
        <v/>
      </c>
      <c r="C17" s="2" t="s">
        <v>12</v>
      </c>
      <c r="D17" s="1">
        <v>46224</v>
      </c>
      <c r="E17" s="16">
        <v>4605.49</v>
      </c>
      <c r="F17" s="23">
        <f t="shared" si="4"/>
        <v>0.36264414653831767</v>
      </c>
    </row>
    <row r="18" spans="2:6" hidden="1" x14ac:dyDescent="0.25">
      <c r="B18" s="2" t="str">
        <f t="shared" si="3"/>
        <v/>
      </c>
      <c r="C18" s="2" t="s">
        <v>13</v>
      </c>
      <c r="D18" s="1">
        <v>46225</v>
      </c>
      <c r="E18" s="16">
        <v>4788.7299999999996</v>
      </c>
      <c r="F18" s="23">
        <f t="shared" si="4"/>
        <v>0.37707277702316971</v>
      </c>
    </row>
    <row r="19" spans="2:6" hidden="1" x14ac:dyDescent="0.25">
      <c r="B19" s="2" t="str">
        <f t="shared" si="3"/>
        <v/>
      </c>
      <c r="C19" s="2" t="s">
        <v>14</v>
      </c>
      <c r="D19" s="1">
        <v>46226</v>
      </c>
      <c r="E19" s="16">
        <v>5007.3599999999997</v>
      </c>
      <c r="F19" s="23">
        <f t="shared" si="4"/>
        <v>0.3942880765369397</v>
      </c>
    </row>
    <row r="20" spans="2:6" hidden="1" x14ac:dyDescent="0.25">
      <c r="B20" s="2" t="str">
        <f t="shared" si="3"/>
        <v/>
      </c>
      <c r="C20" s="2" t="s">
        <v>15</v>
      </c>
      <c r="D20" s="1">
        <v>46227</v>
      </c>
      <c r="E20" s="16">
        <v>5223.53</v>
      </c>
      <c r="F20" s="23">
        <f t="shared" si="4"/>
        <v>0.4113096714502254</v>
      </c>
    </row>
    <row r="21" spans="2:6" hidden="1" x14ac:dyDescent="0.25">
      <c r="B21" s="2" t="str">
        <f t="shared" si="3"/>
        <v/>
      </c>
      <c r="C21" s="2" t="s">
        <v>9</v>
      </c>
      <c r="D21" s="1">
        <v>46228</v>
      </c>
      <c r="E21" s="16">
        <v>5223.53</v>
      </c>
      <c r="F21" s="23">
        <f t="shared" si="4"/>
        <v>0.4113096714502254</v>
      </c>
    </row>
    <row r="22" spans="2:6" x14ac:dyDescent="0.25">
      <c r="B22" s="2" t="str">
        <f t="shared" si="3"/>
        <v>I</v>
      </c>
      <c r="C22" s="2" t="s">
        <v>10</v>
      </c>
      <c r="D22" s="1">
        <v>46229</v>
      </c>
      <c r="E22" s="16">
        <v>5223.53</v>
      </c>
      <c r="F22" s="23">
        <f t="shared" si="4"/>
        <v>0.4113096714502254</v>
      </c>
    </row>
    <row r="23" spans="2:6" hidden="1" x14ac:dyDescent="0.25">
      <c r="B23" s="2" t="str">
        <f t="shared" si="3"/>
        <v/>
      </c>
      <c r="C23" s="2" t="s">
        <v>11</v>
      </c>
      <c r="D23" s="1">
        <v>46230</v>
      </c>
      <c r="E23" s="16">
        <v>5461.6</v>
      </c>
      <c r="F23" s="23">
        <f t="shared" si="4"/>
        <v>0.43005570975806612</v>
      </c>
    </row>
    <row r="24" spans="2:6" hidden="1" x14ac:dyDescent="0.25">
      <c r="B24" s="2" t="str">
        <f t="shared" si="3"/>
        <v/>
      </c>
      <c r="C24" s="2" t="s">
        <v>12</v>
      </c>
      <c r="D24" s="1">
        <v>46231</v>
      </c>
      <c r="E24" s="16">
        <v>5746.48</v>
      </c>
      <c r="F24" s="23">
        <f t="shared" si="4"/>
        <v>0.45248764739463371</v>
      </c>
    </row>
    <row r="25" spans="2:6" hidden="1" x14ac:dyDescent="0.25">
      <c r="B25" s="2" t="str">
        <f t="shared" si="3"/>
        <v/>
      </c>
      <c r="C25" s="2" t="s">
        <v>13</v>
      </c>
      <c r="D25" s="1">
        <v>46232</v>
      </c>
      <c r="E25" s="16">
        <v>6066.43</v>
      </c>
      <c r="F25" s="23">
        <f t="shared" si="4"/>
        <v>0.47768105671371486</v>
      </c>
    </row>
    <row r="26" spans="2:6" hidden="1" x14ac:dyDescent="0.25">
      <c r="B26" s="2" t="str">
        <f t="shared" si="3"/>
        <v/>
      </c>
      <c r="C26" s="2" t="s">
        <v>14</v>
      </c>
      <c r="D26" s="1">
        <v>46233</v>
      </c>
      <c r="E26" s="16">
        <v>6375.8</v>
      </c>
      <c r="F26" s="23">
        <f t="shared" si="4"/>
        <v>0.5020413787672986</v>
      </c>
    </row>
    <row r="27" spans="2:6" hidden="1" x14ac:dyDescent="0.25">
      <c r="B27" s="2" t="str">
        <f t="shared" si="3"/>
        <v/>
      </c>
      <c r="C27" s="2" t="s">
        <v>15</v>
      </c>
      <c r="D27" s="1">
        <v>46234</v>
      </c>
      <c r="E27" s="16">
        <v>6651.75</v>
      </c>
      <c r="F27" s="23">
        <f t="shared" si="4"/>
        <v>0.5237701529557669</v>
      </c>
    </row>
    <row r="28" spans="2:6" hidden="1" x14ac:dyDescent="0.25">
      <c r="B28" s="2" t="str">
        <f t="shared" si="3"/>
        <v/>
      </c>
      <c r="C28" s="2" t="s">
        <v>9</v>
      </c>
      <c r="D28" s="1">
        <v>46235</v>
      </c>
      <c r="E28" s="24">
        <v>6651.75</v>
      </c>
      <c r="F28" s="23">
        <f t="shared" si="4"/>
        <v>0.5237701529557669</v>
      </c>
    </row>
    <row r="29" spans="2:6" x14ac:dyDescent="0.25">
      <c r="B29" s="2" t="str">
        <f t="shared" si="3"/>
        <v>I</v>
      </c>
      <c r="C29" s="2" t="s">
        <v>10</v>
      </c>
      <c r="D29" s="1">
        <v>46236</v>
      </c>
      <c r="E29" s="24">
        <v>6651.75</v>
      </c>
      <c r="F29" s="23">
        <f t="shared" si="4"/>
        <v>0.5237701529557669</v>
      </c>
    </row>
    <row r="30" spans="2:6" hidden="1" x14ac:dyDescent="0.25">
      <c r="B30" s="2" t="str">
        <f t="shared" si="3"/>
        <v/>
      </c>
      <c r="C30" s="2" t="s">
        <v>11</v>
      </c>
      <c r="D30" s="1">
        <v>46237</v>
      </c>
      <c r="E30" s="24">
        <v>6934.3</v>
      </c>
      <c r="F30" s="23">
        <f t="shared" si="4"/>
        <v>0.54601862241382704</v>
      </c>
    </row>
    <row r="31" spans="2:6" hidden="1" x14ac:dyDescent="0.25">
      <c r="B31" s="2" t="str">
        <f t="shared" si="3"/>
        <v/>
      </c>
      <c r="C31" s="2" t="s">
        <v>12</v>
      </c>
      <c r="D31" s="1">
        <v>46238</v>
      </c>
      <c r="E31" s="24">
        <v>7218.18</v>
      </c>
      <c r="F31" s="23">
        <f t="shared" si="4"/>
        <v>0.56837181834288075</v>
      </c>
    </row>
    <row r="32" spans="2:6" hidden="1" x14ac:dyDescent="0.25">
      <c r="B32" s="2" t="str">
        <f t="shared" si="3"/>
        <v/>
      </c>
      <c r="C32" s="2" t="s">
        <v>13</v>
      </c>
      <c r="D32" s="1">
        <v>46239</v>
      </c>
      <c r="E32" s="24">
        <v>7482.43</v>
      </c>
      <c r="F32" s="23">
        <f t="shared" si="4"/>
        <v>0.58917931455343608</v>
      </c>
    </row>
    <row r="33" spans="2:6" hidden="1" x14ac:dyDescent="0.25">
      <c r="B33" s="2" t="str">
        <f t="shared" si="3"/>
        <v/>
      </c>
      <c r="C33" s="2" t="s">
        <v>14</v>
      </c>
      <c r="D33" s="1">
        <v>46240</v>
      </c>
      <c r="E33" s="24">
        <v>7747.07</v>
      </c>
      <c r="F33" s="23">
        <f t="shared" si="4"/>
        <v>0.61001752002992182</v>
      </c>
    </row>
    <row r="34" spans="2:6" hidden="1" x14ac:dyDescent="0.25">
      <c r="B34" s="2" t="str">
        <f t="shared" si="3"/>
        <v/>
      </c>
      <c r="C34" s="2" t="s">
        <v>15</v>
      </c>
      <c r="D34" s="1">
        <v>46241</v>
      </c>
      <c r="E34" s="24">
        <v>8017.39</v>
      </c>
      <c r="F34" s="23">
        <f t="shared" si="4"/>
        <v>0.63130297840508676</v>
      </c>
    </row>
    <row r="35" spans="2:6" hidden="1" x14ac:dyDescent="0.25">
      <c r="B35" s="2" t="str">
        <f t="shared" si="3"/>
        <v/>
      </c>
      <c r="C35" s="2" t="s">
        <v>9</v>
      </c>
      <c r="D35" s="1">
        <v>46242</v>
      </c>
      <c r="E35" s="16">
        <v>8017.39</v>
      </c>
      <c r="F35" s="23">
        <f t="shared" si="4"/>
        <v>0.63130297840508676</v>
      </c>
    </row>
    <row r="36" spans="2:6" x14ac:dyDescent="0.25">
      <c r="B36" s="2" t="str">
        <f t="shared" si="3"/>
        <v>I</v>
      </c>
      <c r="C36" s="2" t="s">
        <v>10</v>
      </c>
      <c r="D36" s="1">
        <v>46243</v>
      </c>
      <c r="E36" s="16">
        <v>8017.39</v>
      </c>
      <c r="F36" s="23">
        <f t="shared" si="4"/>
        <v>0.63130297840508676</v>
      </c>
    </row>
    <row r="37" spans="2:6" hidden="1" x14ac:dyDescent="0.25">
      <c r="B37" s="2" t="str">
        <f t="shared" si="3"/>
        <v/>
      </c>
      <c r="C37" s="2" t="s">
        <v>11</v>
      </c>
      <c r="D37" s="1">
        <v>46244</v>
      </c>
      <c r="E37" s="16">
        <v>8314.6</v>
      </c>
      <c r="F37" s="23">
        <f t="shared" si="4"/>
        <v>0.65470580129530109</v>
      </c>
    </row>
    <row r="38" spans="2:6" hidden="1" x14ac:dyDescent="0.25">
      <c r="B38" s="2" t="str">
        <f t="shared" si="3"/>
        <v/>
      </c>
      <c r="C38" s="2" t="s">
        <v>12</v>
      </c>
      <c r="D38" s="1">
        <v>46245</v>
      </c>
      <c r="E38" s="16">
        <v>8659.8799999999992</v>
      </c>
      <c r="F38" s="23">
        <f t="shared" si="4"/>
        <v>0.68189373806570985</v>
      </c>
    </row>
    <row r="39" spans="2:6" hidden="1" x14ac:dyDescent="0.25">
      <c r="B39" s="2" t="str">
        <f t="shared" si="3"/>
        <v/>
      </c>
      <c r="C39" s="2" t="s">
        <v>13</v>
      </c>
      <c r="D39" s="1">
        <v>46246</v>
      </c>
      <c r="E39" s="16">
        <v>8961.23</v>
      </c>
      <c r="F39" s="23">
        <f t="shared" si="4"/>
        <v>0.70562255162503196</v>
      </c>
    </row>
    <row r="40" spans="2:6" hidden="1" x14ac:dyDescent="0.25">
      <c r="B40" s="2" t="str">
        <f t="shared" ref="B40:B71" si="5">IF(C40="Domingo","I","")</f>
        <v/>
      </c>
      <c r="C40" s="2" t="s">
        <v>14</v>
      </c>
      <c r="D40" s="1">
        <v>46247</v>
      </c>
      <c r="E40" s="16">
        <v>9186.82</v>
      </c>
      <c r="F40" s="23">
        <f t="shared" si="4"/>
        <v>0.72338589342309889</v>
      </c>
    </row>
    <row r="41" spans="2:6" hidden="1" x14ac:dyDescent="0.25">
      <c r="B41" s="2" t="str">
        <f t="shared" si="5"/>
        <v/>
      </c>
      <c r="C41" s="2" t="s">
        <v>15</v>
      </c>
      <c r="D41" s="1">
        <v>46248</v>
      </c>
      <c r="E41" s="16">
        <v>9400.19</v>
      </c>
      <c r="F41" s="23">
        <f t="shared" si="4"/>
        <v>0.74018701155534561</v>
      </c>
    </row>
    <row r="42" spans="2:6" hidden="1" x14ac:dyDescent="0.25">
      <c r="B42" s="2" t="str">
        <f t="shared" si="5"/>
        <v/>
      </c>
      <c r="C42" s="2" t="s">
        <v>9</v>
      </c>
      <c r="D42" s="1">
        <v>46249</v>
      </c>
      <c r="E42" s="16">
        <v>9400.19</v>
      </c>
      <c r="F42" s="23">
        <f t="shared" si="4"/>
        <v>0.74018701155534561</v>
      </c>
    </row>
    <row r="43" spans="2:6" x14ac:dyDescent="0.25">
      <c r="B43" s="2" t="str">
        <f t="shared" si="5"/>
        <v>I</v>
      </c>
      <c r="C43" s="2" t="s">
        <v>10</v>
      </c>
      <c r="D43" s="1">
        <v>46250</v>
      </c>
      <c r="E43" s="16">
        <v>9400.19</v>
      </c>
      <c r="F43" s="23">
        <f t="shared" si="4"/>
        <v>0.74018701155534561</v>
      </c>
    </row>
    <row r="44" spans="2:6" hidden="1" x14ac:dyDescent="0.25">
      <c r="B44" s="2" t="str">
        <f t="shared" si="5"/>
        <v/>
      </c>
      <c r="C44" s="2" t="s">
        <v>11</v>
      </c>
      <c r="D44" s="1">
        <v>46251</v>
      </c>
      <c r="E44" s="16">
        <v>9620.0300000000007</v>
      </c>
      <c r="F44" s="23">
        <f t="shared" si="4"/>
        <v>0.75749758853520743</v>
      </c>
    </row>
    <row r="45" spans="2:6" hidden="1" x14ac:dyDescent="0.25">
      <c r="B45" s="2" t="str">
        <f t="shared" si="5"/>
        <v/>
      </c>
      <c r="C45" s="2" t="s">
        <v>12</v>
      </c>
      <c r="D45" s="1">
        <v>46252</v>
      </c>
      <c r="E45" s="16">
        <v>9834.68</v>
      </c>
      <c r="F45" s="23">
        <f t="shared" si="4"/>
        <v>0.7743994960530719</v>
      </c>
    </row>
    <row r="46" spans="2:6" hidden="1" x14ac:dyDescent="0.25">
      <c r="B46" s="2" t="str">
        <f t="shared" si="5"/>
        <v/>
      </c>
      <c r="C46" s="2" t="s">
        <v>13</v>
      </c>
      <c r="D46" s="1">
        <v>46253</v>
      </c>
      <c r="E46" s="16">
        <v>10033.86</v>
      </c>
      <c r="F46" s="23">
        <f t="shared" si="4"/>
        <v>0.79008326935569606</v>
      </c>
    </row>
    <row r="47" spans="2:6" hidden="1" x14ac:dyDescent="0.25">
      <c r="B47" s="2" t="str">
        <f t="shared" si="5"/>
        <v/>
      </c>
      <c r="C47" s="2" t="s">
        <v>14</v>
      </c>
      <c r="D47" s="1">
        <v>46254</v>
      </c>
      <c r="E47" s="16">
        <v>10238.030000000001</v>
      </c>
      <c r="F47" s="23">
        <f t="shared" si="4"/>
        <v>0.8061599637788146</v>
      </c>
    </row>
    <row r="48" spans="2:6" hidden="1" x14ac:dyDescent="0.25">
      <c r="B48" s="2" t="str">
        <f t="shared" si="5"/>
        <v/>
      </c>
      <c r="C48" s="2" t="s">
        <v>15</v>
      </c>
      <c r="D48" s="1">
        <v>46255</v>
      </c>
      <c r="E48" s="16">
        <v>10477.32</v>
      </c>
      <c r="F48" s="23">
        <f t="shared" si="4"/>
        <v>0.82500206696982226</v>
      </c>
    </row>
    <row r="49" spans="2:6" hidden="1" x14ac:dyDescent="0.25">
      <c r="B49" s="2" t="str">
        <f t="shared" si="5"/>
        <v/>
      </c>
      <c r="C49" s="2" t="s">
        <v>9</v>
      </c>
      <c r="D49" s="1">
        <v>46256</v>
      </c>
      <c r="E49" s="16">
        <v>10477.32</v>
      </c>
      <c r="F49" s="23">
        <f t="shared" si="4"/>
        <v>0.82500206696982226</v>
      </c>
    </row>
    <row r="50" spans="2:6" x14ac:dyDescent="0.25">
      <c r="B50" s="2" t="str">
        <f t="shared" si="5"/>
        <v>I</v>
      </c>
      <c r="C50" s="2" t="s">
        <v>10</v>
      </c>
      <c r="D50" s="1">
        <v>46257</v>
      </c>
      <c r="E50" s="16">
        <v>10477.32</v>
      </c>
      <c r="F50" s="23">
        <f t="shared" si="4"/>
        <v>0.82500206696982226</v>
      </c>
    </row>
    <row r="51" spans="2:6" hidden="1" x14ac:dyDescent="0.25">
      <c r="B51" s="2" t="str">
        <f t="shared" si="5"/>
        <v/>
      </c>
      <c r="C51" s="2" t="s">
        <v>11</v>
      </c>
      <c r="D51" s="1">
        <v>46258</v>
      </c>
      <c r="E51" s="16">
        <v>10758.22</v>
      </c>
      <c r="F51" s="23">
        <f t="shared" si="4"/>
        <v>0.84712061261048444</v>
      </c>
    </row>
    <row r="52" spans="2:6" hidden="1" x14ac:dyDescent="0.25">
      <c r="B52" s="2" t="str">
        <f t="shared" si="5"/>
        <v/>
      </c>
      <c r="C52" s="2" t="s">
        <v>12</v>
      </c>
      <c r="D52" s="1">
        <v>46259</v>
      </c>
      <c r="E52" s="16">
        <v>11025.7</v>
      </c>
      <c r="F52" s="23">
        <f t="shared" si="4"/>
        <v>0.86818244453630977</v>
      </c>
    </row>
    <row r="53" spans="2:6" hidden="1" x14ac:dyDescent="0.25">
      <c r="B53" s="2" t="str">
        <f t="shared" si="5"/>
        <v/>
      </c>
      <c r="C53" s="2" t="s">
        <v>13</v>
      </c>
      <c r="D53" s="1">
        <v>46260</v>
      </c>
      <c r="E53" s="16">
        <v>11239.46</v>
      </c>
      <c r="F53" s="23">
        <f t="shared" si="4"/>
        <v>0.88501427193448678</v>
      </c>
    </row>
    <row r="54" spans="2:6" hidden="1" x14ac:dyDescent="0.25">
      <c r="B54" s="2" t="str">
        <f t="shared" si="5"/>
        <v/>
      </c>
      <c r="C54" s="2" t="s">
        <v>14</v>
      </c>
      <c r="D54" s="1">
        <v>46261</v>
      </c>
      <c r="E54" s="16">
        <v>11404.22</v>
      </c>
      <c r="F54" s="23">
        <f t="shared" si="4"/>
        <v>0.89798775566448152</v>
      </c>
    </row>
    <row r="55" spans="2:6" hidden="1" x14ac:dyDescent="0.25">
      <c r="B55" s="2" t="str">
        <f t="shared" si="5"/>
        <v/>
      </c>
      <c r="C55" s="2" t="s">
        <v>15</v>
      </c>
      <c r="D55" s="1">
        <v>46262</v>
      </c>
      <c r="E55" s="16">
        <v>11565.71</v>
      </c>
      <c r="F55" s="23">
        <f t="shared" si="4"/>
        <v>0.91070375401090564</v>
      </c>
    </row>
    <row r="56" spans="2:6" hidden="1" x14ac:dyDescent="0.25">
      <c r="B56" s="2" t="str">
        <f t="shared" si="5"/>
        <v/>
      </c>
      <c r="C56" s="2" t="s">
        <v>9</v>
      </c>
      <c r="D56" s="1">
        <v>46263</v>
      </c>
      <c r="E56" s="16">
        <v>11565.71</v>
      </c>
      <c r="F56" s="23">
        <f t="shared" si="4"/>
        <v>0.91070375401090564</v>
      </c>
    </row>
    <row r="57" spans="2:6" x14ac:dyDescent="0.25">
      <c r="B57" s="2" t="str">
        <f t="shared" si="5"/>
        <v>I</v>
      </c>
      <c r="C57" s="2" t="s">
        <v>10</v>
      </c>
      <c r="D57" s="1">
        <v>46264</v>
      </c>
      <c r="E57" s="16">
        <v>11565.71</v>
      </c>
      <c r="F57" s="23">
        <f t="shared" si="4"/>
        <v>0.91070375401090564</v>
      </c>
    </row>
    <row r="58" spans="2:6" hidden="1" x14ac:dyDescent="0.25">
      <c r="B58" s="2" t="str">
        <f t="shared" si="5"/>
        <v/>
      </c>
      <c r="C58" s="2" t="s">
        <v>11</v>
      </c>
      <c r="D58" s="1">
        <v>46265</v>
      </c>
      <c r="E58" s="16">
        <v>11747.28</v>
      </c>
      <c r="F58" s="23">
        <f t="shared" si="4"/>
        <v>0.92500088584420959</v>
      </c>
    </row>
    <row r="59" spans="2:6" hidden="1" x14ac:dyDescent="0.25">
      <c r="B59" s="2" t="str">
        <f t="shared" si="5"/>
        <v/>
      </c>
      <c r="C59" s="2" t="s">
        <v>12</v>
      </c>
      <c r="D59" s="1">
        <v>46266</v>
      </c>
      <c r="E59" s="16">
        <v>11904.96</v>
      </c>
      <c r="F59" s="23">
        <f t="shared" si="4"/>
        <v>0.93741687828500553</v>
      </c>
    </row>
    <row r="60" spans="2:6" hidden="1" x14ac:dyDescent="0.25">
      <c r="B60" s="2" t="str">
        <f t="shared" si="5"/>
        <v/>
      </c>
      <c r="C60" s="2" t="s">
        <v>13</v>
      </c>
      <c r="D60" s="1">
        <v>46267</v>
      </c>
      <c r="E60" s="16">
        <v>12030.95</v>
      </c>
      <c r="F60" s="23">
        <f t="shared" si="4"/>
        <v>0.94733754601468534</v>
      </c>
    </row>
    <row r="61" spans="2:6" hidden="1" x14ac:dyDescent="0.25">
      <c r="B61" s="2" t="str">
        <f t="shared" si="5"/>
        <v/>
      </c>
      <c r="C61" s="2" t="s">
        <v>14</v>
      </c>
      <c r="D61" s="1">
        <v>46268</v>
      </c>
      <c r="E61" s="16">
        <v>12148.61</v>
      </c>
      <c r="F61" s="23">
        <f t="shared" si="4"/>
        <v>0.95660229532077412</v>
      </c>
    </row>
    <row r="62" spans="2:6" hidden="1" x14ac:dyDescent="0.25">
      <c r="B62" s="2" t="str">
        <f t="shared" si="5"/>
        <v/>
      </c>
      <c r="C62" s="2" t="s">
        <v>15</v>
      </c>
      <c r="D62" s="1">
        <v>46269</v>
      </c>
      <c r="E62" s="16">
        <v>12255.38</v>
      </c>
      <c r="F62" s="23">
        <f t="shared" si="4"/>
        <v>0.96500954743203604</v>
      </c>
    </row>
    <row r="63" spans="2:6" hidden="1" x14ac:dyDescent="0.25">
      <c r="B63" s="2" t="str">
        <f t="shared" si="5"/>
        <v/>
      </c>
      <c r="C63" s="2" t="s">
        <v>9</v>
      </c>
      <c r="D63" s="1">
        <v>46270</v>
      </c>
      <c r="E63" s="16">
        <v>12255.38</v>
      </c>
      <c r="F63" s="23">
        <f t="shared" si="4"/>
        <v>0.96500954743203604</v>
      </c>
    </row>
    <row r="64" spans="2:6" x14ac:dyDescent="0.25">
      <c r="B64" s="2" t="str">
        <f t="shared" si="5"/>
        <v>I</v>
      </c>
      <c r="C64" s="2" t="s">
        <v>10</v>
      </c>
      <c r="D64" s="1">
        <v>46271</v>
      </c>
      <c r="E64" s="16">
        <v>12255.38</v>
      </c>
      <c r="F64" s="23">
        <f t="shared" si="4"/>
        <v>0.96500954743203604</v>
      </c>
    </row>
    <row r="65" spans="2:6" hidden="1" x14ac:dyDescent="0.25">
      <c r="B65" s="2" t="str">
        <f t="shared" si="5"/>
        <v/>
      </c>
      <c r="C65" s="2" t="s">
        <v>11</v>
      </c>
      <c r="D65" s="1">
        <v>46272</v>
      </c>
      <c r="E65" s="16">
        <v>12255.38</v>
      </c>
      <c r="F65" s="23">
        <f t="shared" si="4"/>
        <v>0.96500954743203604</v>
      </c>
    </row>
    <row r="66" spans="2:6" hidden="1" x14ac:dyDescent="0.25">
      <c r="B66" s="2" t="str">
        <f t="shared" si="5"/>
        <v/>
      </c>
      <c r="C66" s="2" t="s">
        <v>12</v>
      </c>
      <c r="D66" s="1">
        <v>46273</v>
      </c>
      <c r="E66" s="16">
        <v>12369.26</v>
      </c>
      <c r="F66" s="23">
        <f t="shared" si="4"/>
        <v>0.97397665308372217</v>
      </c>
    </row>
    <row r="67" spans="2:6" hidden="1" x14ac:dyDescent="0.25">
      <c r="B67" s="2" t="str">
        <f t="shared" si="5"/>
        <v/>
      </c>
      <c r="C67" s="2" t="s">
        <v>13</v>
      </c>
      <c r="D67" s="1">
        <v>46274</v>
      </c>
      <c r="E67" s="16">
        <v>12480.52</v>
      </c>
      <c r="F67" s="23">
        <f t="shared" si="4"/>
        <v>0.98273745546172175</v>
      </c>
    </row>
    <row r="68" spans="2:6" hidden="1" x14ac:dyDescent="0.25">
      <c r="B68" s="2" t="str">
        <f t="shared" si="5"/>
        <v/>
      </c>
      <c r="C68" s="2" t="s">
        <v>14</v>
      </c>
      <c r="D68" s="1">
        <v>46275</v>
      </c>
      <c r="E68" s="16">
        <v>12553.54</v>
      </c>
      <c r="F68" s="23">
        <f t="shared" si="4"/>
        <v>0.98848717494438876</v>
      </c>
    </row>
    <row r="69" spans="2:6" hidden="1" x14ac:dyDescent="0.25">
      <c r="B69" s="2" t="str">
        <f t="shared" si="5"/>
        <v/>
      </c>
      <c r="C69" s="2" t="s">
        <v>15</v>
      </c>
      <c r="D69" s="1">
        <v>46276</v>
      </c>
      <c r="E69" s="16">
        <v>12584.07</v>
      </c>
      <c r="F69" s="23">
        <f t="shared" si="4"/>
        <v>0.99089115927478888</v>
      </c>
    </row>
    <row r="70" spans="2:6" hidden="1" x14ac:dyDescent="0.25">
      <c r="B70" s="2" t="str">
        <f t="shared" si="5"/>
        <v/>
      </c>
      <c r="C70" s="2" t="s">
        <v>9</v>
      </c>
      <c r="D70" s="1">
        <v>46277</v>
      </c>
      <c r="E70" s="16">
        <v>12584.07</v>
      </c>
      <c r="F70" s="23">
        <f t="shared" si="4"/>
        <v>0.99089115927478888</v>
      </c>
    </row>
    <row r="71" spans="2:6" x14ac:dyDescent="0.25">
      <c r="B71" s="2" t="str">
        <f t="shared" si="5"/>
        <v>I</v>
      </c>
      <c r="C71" s="2" t="s">
        <v>10</v>
      </c>
      <c r="D71" s="1">
        <v>46278</v>
      </c>
      <c r="E71" s="16">
        <v>12584.07</v>
      </c>
      <c r="F71" s="23">
        <f t="shared" si="4"/>
        <v>0.99089115927478888</v>
      </c>
    </row>
    <row r="72" spans="2:6" hidden="1" x14ac:dyDescent="0.25">
      <c r="B72" s="2" t="str">
        <f t="shared" ref="B72:B103" si="6">IF(C72="Domingo","I","")</f>
        <v/>
      </c>
      <c r="C72" s="2" t="s">
        <v>11</v>
      </c>
      <c r="D72" s="1">
        <v>46279</v>
      </c>
      <c r="E72" s="16">
        <v>12608.4</v>
      </c>
      <c r="F72" s="23">
        <f t="shared" si="4"/>
        <v>0.99280694501860267</v>
      </c>
    </row>
    <row r="73" spans="2:6" hidden="1" x14ac:dyDescent="0.25">
      <c r="B73" s="2" t="str">
        <f t="shared" si="6"/>
        <v/>
      </c>
      <c r="C73" s="2" t="s">
        <v>12</v>
      </c>
      <c r="D73" s="1">
        <v>46280</v>
      </c>
      <c r="E73" s="16">
        <v>12632.56</v>
      </c>
      <c r="F73" s="23">
        <f t="shared" ref="F73:F85" si="7">E73/$F$7</f>
        <v>0.99470934467213923</v>
      </c>
    </row>
    <row r="74" spans="2:6" hidden="1" x14ac:dyDescent="0.25">
      <c r="B74" s="2" t="str">
        <f t="shared" si="6"/>
        <v/>
      </c>
      <c r="C74" s="2" t="s">
        <v>13</v>
      </c>
      <c r="D74" s="1">
        <v>46281</v>
      </c>
      <c r="E74" s="16">
        <v>12655.95</v>
      </c>
      <c r="F74" s="23">
        <f t="shared" si="7"/>
        <v>0.99655111321089007</v>
      </c>
    </row>
    <row r="75" spans="2:6" hidden="1" x14ac:dyDescent="0.25">
      <c r="B75" s="2" t="str">
        <f t="shared" si="6"/>
        <v/>
      </c>
      <c r="C75" s="2" t="s">
        <v>14</v>
      </c>
      <c r="D75" s="1">
        <v>46282</v>
      </c>
      <c r="E75" s="16">
        <v>12677.38</v>
      </c>
      <c r="F75" s="23">
        <f t="shared" si="7"/>
        <v>0.99823854800291334</v>
      </c>
    </row>
    <row r="76" spans="2:6" hidden="1" x14ac:dyDescent="0.25">
      <c r="B76" s="2" t="str">
        <f t="shared" si="6"/>
        <v/>
      </c>
      <c r="C76" s="2" t="s">
        <v>15</v>
      </c>
      <c r="D76" s="1">
        <v>46283</v>
      </c>
      <c r="E76" s="16">
        <v>12691.21</v>
      </c>
      <c r="F76" s="23">
        <f t="shared" si="7"/>
        <v>0.99932754581783101</v>
      </c>
    </row>
    <row r="77" spans="2:6" hidden="1" x14ac:dyDescent="0.25">
      <c r="B77" s="2" t="str">
        <f t="shared" si="6"/>
        <v/>
      </c>
      <c r="C77" s="2" t="s">
        <v>9</v>
      </c>
      <c r="D77" s="1">
        <v>46284</v>
      </c>
      <c r="E77" s="16">
        <v>12691.21</v>
      </c>
      <c r="F77" s="23">
        <f t="shared" si="7"/>
        <v>0.99932754581783101</v>
      </c>
    </row>
    <row r="78" spans="2:6" x14ac:dyDescent="0.25">
      <c r="B78" s="2" t="str">
        <f t="shared" si="6"/>
        <v>I</v>
      </c>
      <c r="C78" s="2" t="s">
        <v>10</v>
      </c>
      <c r="D78" s="1">
        <v>46285</v>
      </c>
      <c r="E78" s="16">
        <v>12691.21</v>
      </c>
      <c r="F78" s="23">
        <f t="shared" si="7"/>
        <v>0.99932754581783101</v>
      </c>
    </row>
    <row r="79" spans="2:6" hidden="1" x14ac:dyDescent="0.25">
      <c r="B79" s="2" t="str">
        <f t="shared" si="6"/>
        <v/>
      </c>
      <c r="C79" s="2" t="s">
        <v>11</v>
      </c>
      <c r="D79" s="1">
        <v>46286</v>
      </c>
      <c r="E79" s="16">
        <v>12694.74</v>
      </c>
      <c r="F79" s="23">
        <f t="shared" si="7"/>
        <v>0.9996055040453552</v>
      </c>
    </row>
    <row r="80" spans="2:6" hidden="1" x14ac:dyDescent="0.25">
      <c r="B80" s="2" t="str">
        <f t="shared" si="6"/>
        <v/>
      </c>
      <c r="C80" s="2" t="s">
        <v>12</v>
      </c>
      <c r="D80" s="1">
        <v>46287</v>
      </c>
      <c r="E80" s="16">
        <v>12698</v>
      </c>
      <c r="F80" s="23">
        <f t="shared" si="7"/>
        <v>0.99986220201185061</v>
      </c>
    </row>
    <row r="81" spans="2:6" hidden="1" x14ac:dyDescent="0.25">
      <c r="B81" s="2" t="str">
        <f t="shared" si="6"/>
        <v/>
      </c>
      <c r="C81" s="2" t="s">
        <v>13</v>
      </c>
      <c r="D81" s="1">
        <v>46288</v>
      </c>
      <c r="E81" s="16">
        <v>12699.75</v>
      </c>
      <c r="F81" s="23">
        <f t="shared" si="7"/>
        <v>1</v>
      </c>
    </row>
    <row r="82" spans="2:6" hidden="1" x14ac:dyDescent="0.25">
      <c r="B82" s="2" t="str">
        <f t="shared" si="6"/>
        <v/>
      </c>
      <c r="C82" s="2" t="s">
        <v>14</v>
      </c>
      <c r="D82" s="1">
        <v>46289</v>
      </c>
      <c r="E82" s="16">
        <v>12699.75</v>
      </c>
      <c r="F82" s="23">
        <f t="shared" si="7"/>
        <v>1</v>
      </c>
    </row>
    <row r="83" spans="2:6" hidden="1" x14ac:dyDescent="0.25">
      <c r="B83" s="2" t="str">
        <f t="shared" si="6"/>
        <v/>
      </c>
      <c r="C83" s="2" t="s">
        <v>15</v>
      </c>
      <c r="D83" s="1">
        <v>46290</v>
      </c>
      <c r="E83" s="16">
        <v>12699.75</v>
      </c>
      <c r="F83" s="23">
        <f t="shared" si="7"/>
        <v>1</v>
      </c>
    </row>
    <row r="84" spans="2:6" hidden="1" x14ac:dyDescent="0.25">
      <c r="B84" s="2" t="str">
        <f t="shared" si="6"/>
        <v/>
      </c>
      <c r="C84" s="2" t="s">
        <v>9</v>
      </c>
      <c r="D84" s="1">
        <v>46291</v>
      </c>
      <c r="E84" s="16">
        <v>12699.75</v>
      </c>
      <c r="F84" s="23">
        <f t="shared" si="7"/>
        <v>1</v>
      </c>
    </row>
    <row r="85" spans="2:6" x14ac:dyDescent="0.25">
      <c r="B85" s="2" t="str">
        <f t="shared" si="6"/>
        <v>I</v>
      </c>
      <c r="C85" s="2" t="s">
        <v>10</v>
      </c>
      <c r="D85" s="1">
        <v>46292</v>
      </c>
      <c r="E85" s="16">
        <v>12699.75</v>
      </c>
      <c r="F85" s="23">
        <f t="shared" si="7"/>
        <v>1</v>
      </c>
    </row>
    <row r="86" spans="2:6" hidden="1" x14ac:dyDescent="0.25">
      <c r="B86" s="2"/>
      <c r="C86" s="2"/>
      <c r="D86" s="1"/>
      <c r="E86" s="16"/>
      <c r="F86" s="23"/>
    </row>
    <row r="87" spans="2:6" hidden="1" x14ac:dyDescent="0.25">
      <c r="B87" s="2"/>
      <c r="C87" s="2"/>
      <c r="D87" s="1"/>
      <c r="E87" s="16"/>
      <c r="F87" s="23"/>
    </row>
    <row r="88" spans="2:6" hidden="1" x14ac:dyDescent="0.25">
      <c r="B88" s="2"/>
      <c r="C88" s="2"/>
      <c r="D88" s="1"/>
      <c r="E88" s="16"/>
      <c r="F88" s="23"/>
    </row>
    <row r="89" spans="2:6" hidden="1" x14ac:dyDescent="0.25">
      <c r="B89" s="2"/>
      <c r="C89" s="2"/>
      <c r="D89" s="1"/>
      <c r="E89" s="16"/>
      <c r="F89" s="23"/>
    </row>
    <row r="90" spans="2:6" hidden="1" x14ac:dyDescent="0.25">
      <c r="B90" s="2"/>
      <c r="C90" s="2"/>
      <c r="D90" s="1"/>
      <c r="E90" s="16"/>
      <c r="F90" s="23"/>
    </row>
    <row r="91" spans="2:6" hidden="1" x14ac:dyDescent="0.25">
      <c r="B91" s="2"/>
      <c r="C91" s="2"/>
      <c r="D91" s="1"/>
      <c r="E91" s="16"/>
      <c r="F91" s="23"/>
    </row>
    <row r="92" spans="2:6" hidden="1" x14ac:dyDescent="0.25">
      <c r="B92" s="2"/>
      <c r="C92" s="2"/>
      <c r="D92" s="1"/>
      <c r="E92" s="16"/>
      <c r="F92" s="23"/>
    </row>
    <row r="93" spans="2:6" hidden="1" x14ac:dyDescent="0.25">
      <c r="B93" s="2"/>
      <c r="C93" s="2"/>
      <c r="D93" s="1"/>
      <c r="E93" s="16"/>
      <c r="F93" s="23"/>
    </row>
    <row r="94" spans="2:6" hidden="1" x14ac:dyDescent="0.25">
      <c r="B94" s="2"/>
      <c r="C94" s="2"/>
      <c r="D94" s="1"/>
      <c r="E94" s="16"/>
      <c r="F94" s="23"/>
    </row>
    <row r="95" spans="2:6" hidden="1" x14ac:dyDescent="0.25">
      <c r="B95" s="2"/>
      <c r="C95" s="2"/>
      <c r="D95" s="1"/>
      <c r="E95" s="16"/>
      <c r="F95" s="23"/>
    </row>
    <row r="96" spans="2:6" hidden="1" x14ac:dyDescent="0.25">
      <c r="B96" s="2"/>
      <c r="C96" s="2"/>
      <c r="D96" s="1"/>
      <c r="E96" s="16"/>
      <c r="F96" s="23"/>
    </row>
    <row r="97" spans="2:6" hidden="1" x14ac:dyDescent="0.25">
      <c r="B97" s="2"/>
      <c r="C97" s="2"/>
      <c r="D97" s="1"/>
      <c r="E97" s="16"/>
      <c r="F97" s="23"/>
    </row>
    <row r="98" spans="2:6" hidden="1" x14ac:dyDescent="0.25">
      <c r="B98" s="2"/>
      <c r="C98" s="2"/>
      <c r="D98" s="1"/>
      <c r="E98" s="16"/>
      <c r="F98" s="23"/>
    </row>
    <row r="99" spans="2:6" hidden="1" x14ac:dyDescent="0.25">
      <c r="B99" s="2"/>
      <c r="C99" s="2"/>
      <c r="D99" s="1"/>
      <c r="E99" s="16"/>
      <c r="F99" s="23"/>
    </row>
    <row r="100" spans="2:6" hidden="1" x14ac:dyDescent="0.25">
      <c r="B100" s="2"/>
      <c r="C100" s="2"/>
      <c r="D100" s="1"/>
      <c r="E100" s="16"/>
      <c r="F100" s="23"/>
    </row>
    <row r="101" spans="2:6" hidden="1" x14ac:dyDescent="0.25">
      <c r="B101" s="2"/>
      <c r="C101" s="2"/>
      <c r="D101" s="1"/>
      <c r="E101" s="16"/>
      <c r="F101" s="23"/>
    </row>
    <row r="102" spans="2:6" hidden="1" x14ac:dyDescent="0.25">
      <c r="B102" s="2"/>
      <c r="C102" s="2"/>
      <c r="D102" s="1"/>
      <c r="E102" s="16"/>
      <c r="F102" s="23"/>
    </row>
    <row r="103" spans="2:6" hidden="1" x14ac:dyDescent="0.25">
      <c r="B103" s="2"/>
      <c r="C103" s="2"/>
      <c r="D103" s="1"/>
      <c r="E103" s="16"/>
      <c r="F103" s="23"/>
    </row>
    <row r="104" spans="2:6" hidden="1" x14ac:dyDescent="0.25">
      <c r="B104" s="2"/>
      <c r="C104" s="2"/>
      <c r="D104" s="1"/>
      <c r="E104" s="16"/>
      <c r="F104" s="23"/>
    </row>
    <row r="105" spans="2:6" hidden="1" x14ac:dyDescent="0.25">
      <c r="B105" s="2"/>
      <c r="C105" s="2"/>
      <c r="D105" s="1"/>
      <c r="E105" s="16"/>
      <c r="F105" s="23"/>
    </row>
    <row r="106" spans="2:6" hidden="1" x14ac:dyDescent="0.25">
      <c r="B106" s="2"/>
      <c r="C106" s="2"/>
      <c r="D106" s="1"/>
      <c r="E106" s="16"/>
      <c r="F106" s="23"/>
    </row>
    <row r="107" spans="2:6" hidden="1" x14ac:dyDescent="0.25">
      <c r="B107" s="2"/>
      <c r="C107" s="2"/>
      <c r="D107" s="1"/>
      <c r="E107" s="16"/>
      <c r="F107" s="23"/>
    </row>
    <row r="108" spans="2:6" hidden="1" x14ac:dyDescent="0.25">
      <c r="B108" s="2"/>
      <c r="C108" s="2"/>
      <c r="D108" s="1"/>
      <c r="E108" s="16"/>
      <c r="F108" s="23"/>
    </row>
    <row r="109" spans="2:6" hidden="1" x14ac:dyDescent="0.25">
      <c r="B109" s="2"/>
      <c r="C109" s="2"/>
      <c r="D109" s="1"/>
      <c r="E109" s="16"/>
      <c r="F109" s="23"/>
    </row>
    <row r="110" spans="2:6" hidden="1" x14ac:dyDescent="0.25">
      <c r="B110" s="2"/>
      <c r="C110" s="2"/>
      <c r="D110" s="1"/>
      <c r="E110" s="16"/>
      <c r="F110" s="23"/>
    </row>
    <row r="111" spans="2:6" hidden="1" x14ac:dyDescent="0.25">
      <c r="B111" s="2"/>
      <c r="C111" s="2"/>
      <c r="D111" s="1"/>
      <c r="E111" s="16"/>
      <c r="F111" s="23"/>
    </row>
    <row r="112" spans="2:6" hidden="1" x14ac:dyDescent="0.25">
      <c r="B112" s="2"/>
      <c r="C112" s="2"/>
      <c r="D112" s="1"/>
      <c r="E112" s="16"/>
      <c r="F112" s="23"/>
    </row>
    <row r="113" spans="2:6" hidden="1" x14ac:dyDescent="0.25">
      <c r="B113" s="2"/>
      <c r="C113" s="2"/>
      <c r="D113" s="1"/>
      <c r="E113" s="16"/>
      <c r="F113" s="23"/>
    </row>
    <row r="114" spans="2:6" hidden="1" x14ac:dyDescent="0.25">
      <c r="B114" s="2"/>
      <c r="C114" s="2"/>
      <c r="D114" s="1"/>
      <c r="E114" s="16"/>
      <c r="F114" s="23"/>
    </row>
    <row r="115" spans="2:6" hidden="1" x14ac:dyDescent="0.25">
      <c r="B115" s="2"/>
      <c r="C115" s="2"/>
      <c r="D115" s="1"/>
      <c r="E115" s="16"/>
      <c r="F115" s="23"/>
    </row>
    <row r="116" spans="2:6" hidden="1" x14ac:dyDescent="0.25">
      <c r="B116" s="2"/>
      <c r="C116" s="2"/>
      <c r="D116" s="1"/>
      <c r="E116" s="16"/>
      <c r="F116" s="23"/>
    </row>
    <row r="117" spans="2:6" hidden="1" x14ac:dyDescent="0.25">
      <c r="B117" s="2"/>
      <c r="C117" s="2"/>
      <c r="D117" s="1"/>
      <c r="E117" s="16"/>
      <c r="F117" s="23"/>
    </row>
    <row r="118" spans="2:6" hidden="1" x14ac:dyDescent="0.25">
      <c r="B118" s="2"/>
      <c r="C118" s="2"/>
      <c r="D118" s="1"/>
      <c r="E118" s="16"/>
      <c r="F118" s="23"/>
    </row>
    <row r="119" spans="2:6" hidden="1" x14ac:dyDescent="0.25">
      <c r="B119" s="2"/>
      <c r="C119" s="2"/>
      <c r="D119" s="1"/>
      <c r="E119" s="16"/>
      <c r="F119" s="23"/>
    </row>
    <row r="120" spans="2:6" hidden="1" x14ac:dyDescent="0.25">
      <c r="B120" s="2"/>
      <c r="C120" s="2"/>
      <c r="D120" s="1"/>
      <c r="E120" s="16"/>
      <c r="F120" s="23"/>
    </row>
    <row r="121" spans="2:6" hidden="1" x14ac:dyDescent="0.25">
      <c r="B121" s="2"/>
      <c r="C121" s="2"/>
      <c r="D121" s="1"/>
      <c r="E121" s="16"/>
      <c r="F121" s="23"/>
    </row>
    <row r="122" spans="2:6" hidden="1" x14ac:dyDescent="0.25">
      <c r="B122" s="2"/>
      <c r="C122" s="2"/>
      <c r="D122" s="1"/>
      <c r="E122" s="16"/>
      <c r="F122" s="23"/>
    </row>
    <row r="123" spans="2:6" hidden="1" x14ac:dyDescent="0.25">
      <c r="B123" s="2"/>
      <c r="C123" s="2"/>
      <c r="D123" s="1"/>
      <c r="E123" s="16"/>
      <c r="F123" s="23"/>
    </row>
    <row r="124" spans="2:6" hidden="1" x14ac:dyDescent="0.25">
      <c r="B124" s="2"/>
      <c r="C124" s="2"/>
      <c r="D124" s="1"/>
      <c r="E124" s="16"/>
      <c r="F124" s="23"/>
    </row>
    <row r="125" spans="2:6" hidden="1" x14ac:dyDescent="0.25">
      <c r="B125" s="2"/>
      <c r="C125" s="2"/>
      <c r="D125" s="1"/>
      <c r="E125" s="16"/>
      <c r="F125" s="23"/>
    </row>
    <row r="126" spans="2:6" hidden="1" x14ac:dyDescent="0.25">
      <c r="B126" s="2"/>
      <c r="C126" s="2"/>
      <c r="D126" s="1"/>
      <c r="E126" s="16"/>
      <c r="F126" s="23"/>
    </row>
    <row r="127" spans="2:6" hidden="1" x14ac:dyDescent="0.25">
      <c r="B127" s="2"/>
      <c r="C127" s="2"/>
      <c r="D127" s="1"/>
      <c r="E127" s="16"/>
      <c r="F127" s="23"/>
    </row>
    <row r="128" spans="2:6" hidden="1" x14ac:dyDescent="0.25">
      <c r="B128" s="2"/>
      <c r="C128" s="2"/>
      <c r="D128" s="1"/>
      <c r="E128" s="16"/>
      <c r="F128" s="23"/>
    </row>
    <row r="129" spans="2:6" hidden="1" x14ac:dyDescent="0.25">
      <c r="B129" s="2"/>
      <c r="C129" s="2"/>
      <c r="D129" s="1"/>
      <c r="E129" s="16"/>
      <c r="F129" s="23"/>
    </row>
    <row r="130" spans="2:6" hidden="1" x14ac:dyDescent="0.25">
      <c r="B130" s="2"/>
      <c r="C130" s="2"/>
      <c r="D130" s="1"/>
      <c r="E130" s="16"/>
      <c r="F130" s="23"/>
    </row>
    <row r="131" spans="2:6" hidden="1" x14ac:dyDescent="0.25">
      <c r="B131" s="2"/>
      <c r="C131" s="2"/>
      <c r="D131" s="1"/>
      <c r="E131" s="16"/>
      <c r="F131" s="23"/>
    </row>
    <row r="132" spans="2:6" hidden="1" x14ac:dyDescent="0.25">
      <c r="B132" s="2"/>
      <c r="C132" s="2"/>
      <c r="D132" s="1"/>
      <c r="E132" s="16"/>
      <c r="F132" s="23"/>
    </row>
    <row r="133" spans="2:6" hidden="1" x14ac:dyDescent="0.25">
      <c r="B133" s="2"/>
      <c r="C133" s="2"/>
      <c r="D133" s="1"/>
      <c r="E133" s="16"/>
      <c r="F133" s="23"/>
    </row>
    <row r="134" spans="2:6" hidden="1" x14ac:dyDescent="0.25">
      <c r="B134" s="2"/>
      <c r="C134" s="2"/>
      <c r="D134" s="1"/>
      <c r="E134" s="16"/>
      <c r="F134" s="23"/>
    </row>
    <row r="135" spans="2:6" hidden="1" x14ac:dyDescent="0.25">
      <c r="B135" s="2"/>
      <c r="C135" s="2"/>
      <c r="D135" s="1"/>
      <c r="E135" s="16"/>
      <c r="F135" s="23"/>
    </row>
    <row r="136" spans="2:6" hidden="1" x14ac:dyDescent="0.25">
      <c r="B136" s="2"/>
      <c r="C136" s="2"/>
      <c r="D136" s="1"/>
      <c r="E136" s="16"/>
      <c r="F136" s="23"/>
    </row>
    <row r="137" spans="2:6" hidden="1" x14ac:dyDescent="0.25">
      <c r="B137" s="2"/>
      <c r="C137" s="2"/>
      <c r="D137" s="1"/>
      <c r="E137" s="16"/>
      <c r="F137" s="23"/>
    </row>
    <row r="138" spans="2:6" hidden="1" x14ac:dyDescent="0.25">
      <c r="B138" s="2"/>
      <c r="C138" s="2"/>
      <c r="D138" s="1"/>
      <c r="E138" s="16"/>
      <c r="F138" s="23"/>
    </row>
    <row r="139" spans="2:6" hidden="1" x14ac:dyDescent="0.25">
      <c r="B139" s="2"/>
      <c r="C139" s="2"/>
      <c r="D139" s="1"/>
      <c r="E139" s="16"/>
      <c r="F139" s="23"/>
    </row>
    <row r="140" spans="2:6" hidden="1" x14ac:dyDescent="0.25">
      <c r="B140" s="2"/>
      <c r="C140" s="2"/>
      <c r="D140" s="1"/>
      <c r="E140" s="16"/>
      <c r="F140" s="23"/>
    </row>
    <row r="141" spans="2:6" hidden="1" x14ac:dyDescent="0.25">
      <c r="B141" s="2"/>
      <c r="C141" s="2"/>
      <c r="D141" s="1"/>
      <c r="E141" s="16"/>
      <c r="F141" s="23"/>
    </row>
    <row r="142" spans="2:6" hidden="1" x14ac:dyDescent="0.25">
      <c r="B142" s="2"/>
      <c r="C142" s="2"/>
      <c r="D142" s="1"/>
      <c r="E142" s="16"/>
      <c r="F142" s="23"/>
    </row>
    <row r="143" spans="2:6" hidden="1" x14ac:dyDescent="0.25">
      <c r="B143" s="2"/>
      <c r="C143" s="2"/>
      <c r="D143" s="1"/>
      <c r="E143" s="16"/>
      <c r="F143" s="23"/>
    </row>
    <row r="144" spans="2:6" hidden="1" x14ac:dyDescent="0.25">
      <c r="B144" s="2"/>
      <c r="C144" s="2"/>
      <c r="D144" s="1"/>
      <c r="E144" s="16"/>
      <c r="F144" s="23"/>
    </row>
    <row r="145" spans="2:6" hidden="1" x14ac:dyDescent="0.25">
      <c r="B145" s="2"/>
      <c r="C145" s="2"/>
      <c r="D145" s="1"/>
      <c r="E145" s="16"/>
      <c r="F145" s="23"/>
    </row>
    <row r="146" spans="2:6" hidden="1" x14ac:dyDescent="0.25">
      <c r="B146" s="2"/>
      <c r="C146" s="2"/>
      <c r="D146" s="1"/>
      <c r="E146" s="16"/>
      <c r="F146" s="23"/>
    </row>
    <row r="147" spans="2:6" hidden="1" x14ac:dyDescent="0.25">
      <c r="B147" s="2"/>
      <c r="C147" s="2"/>
      <c r="D147" s="1"/>
      <c r="E147" s="16"/>
      <c r="F147" s="23"/>
    </row>
    <row r="148" spans="2:6" hidden="1" x14ac:dyDescent="0.25">
      <c r="B148" s="2"/>
      <c r="C148" s="2"/>
      <c r="D148" s="1"/>
      <c r="E148" s="16"/>
      <c r="F148" s="23"/>
    </row>
    <row r="149" spans="2:6" hidden="1" x14ac:dyDescent="0.25">
      <c r="B149" s="2"/>
      <c r="C149" s="2"/>
      <c r="D149" s="1"/>
      <c r="E149" s="16"/>
      <c r="F149" s="23"/>
    </row>
    <row r="150" spans="2:6" hidden="1" x14ac:dyDescent="0.25">
      <c r="B150" s="2"/>
      <c r="C150" s="2"/>
      <c r="D150" s="1"/>
      <c r="E150" s="16"/>
      <c r="F150" s="23"/>
    </row>
    <row r="151" spans="2:6" hidden="1" x14ac:dyDescent="0.25">
      <c r="B151" s="2"/>
      <c r="C151" s="2"/>
      <c r="D151" s="1"/>
      <c r="E151" s="16"/>
      <c r="F151" s="23"/>
    </row>
    <row r="152" spans="2:6" hidden="1" x14ac:dyDescent="0.25">
      <c r="B152" s="2"/>
      <c r="C152" s="2"/>
      <c r="D152" s="1"/>
      <c r="E152" s="16"/>
      <c r="F152" s="23"/>
    </row>
    <row r="153" spans="2:6" hidden="1" x14ac:dyDescent="0.25">
      <c r="B153" s="2"/>
      <c r="C153" s="2"/>
      <c r="D153" s="1"/>
      <c r="E153" s="16"/>
      <c r="F153" s="23"/>
    </row>
    <row r="154" spans="2:6" hidden="1" x14ac:dyDescent="0.25">
      <c r="B154" s="2"/>
      <c r="C154" s="2"/>
      <c r="D154" s="1"/>
      <c r="E154" s="16"/>
      <c r="F154" s="23"/>
    </row>
    <row r="155" spans="2:6" hidden="1" x14ac:dyDescent="0.25">
      <c r="B155" s="2"/>
      <c r="C155" s="2"/>
      <c r="D155" s="1"/>
      <c r="E155" s="16"/>
      <c r="F155" s="23"/>
    </row>
    <row r="156" spans="2:6" hidden="1" x14ac:dyDescent="0.25">
      <c r="B156" s="2"/>
      <c r="C156" s="2"/>
      <c r="D156" s="1"/>
      <c r="E156" s="16"/>
      <c r="F156" s="23"/>
    </row>
    <row r="157" spans="2:6" hidden="1" x14ac:dyDescent="0.25">
      <c r="B157" s="2"/>
      <c r="C157" s="2"/>
      <c r="D157" s="1"/>
      <c r="E157" s="16"/>
      <c r="F157" s="23"/>
    </row>
    <row r="158" spans="2:6" hidden="1" x14ac:dyDescent="0.25">
      <c r="B158" s="2"/>
      <c r="C158" s="2"/>
      <c r="D158" s="1"/>
      <c r="E158" s="16"/>
      <c r="F158" s="23"/>
    </row>
    <row r="159" spans="2:6" hidden="1" x14ac:dyDescent="0.25">
      <c r="B159" s="2"/>
      <c r="C159" s="2"/>
      <c r="D159" s="1"/>
      <c r="E159" s="16"/>
      <c r="F159" s="23"/>
    </row>
    <row r="160" spans="2:6" hidden="1" x14ac:dyDescent="0.25">
      <c r="B160" s="2"/>
      <c r="C160" s="2"/>
      <c r="D160" s="1"/>
      <c r="E160" s="16"/>
      <c r="F160" s="23"/>
    </row>
    <row r="161" spans="2:6" hidden="1" x14ac:dyDescent="0.25">
      <c r="B161" s="2"/>
      <c r="C161" s="2"/>
      <c r="D161" s="1"/>
      <c r="E161" s="16"/>
      <c r="F161" s="23"/>
    </row>
    <row r="162" spans="2:6" hidden="1" x14ac:dyDescent="0.25">
      <c r="B162" s="2"/>
      <c r="C162" s="2"/>
      <c r="D162" s="1"/>
      <c r="E162" s="16"/>
      <c r="F162" s="23"/>
    </row>
    <row r="163" spans="2:6" hidden="1" x14ac:dyDescent="0.25">
      <c r="B163" s="2"/>
      <c r="C163" s="2"/>
      <c r="D163" s="1"/>
      <c r="E163" s="16"/>
      <c r="F163" s="23"/>
    </row>
    <row r="164" spans="2:6" hidden="1" x14ac:dyDescent="0.25">
      <c r="B164" s="2"/>
      <c r="C164" s="2"/>
      <c r="D164" s="1"/>
      <c r="E164" s="16"/>
      <c r="F164" s="23"/>
    </row>
    <row r="165" spans="2:6" hidden="1" x14ac:dyDescent="0.25">
      <c r="B165" s="2"/>
      <c r="C165" s="2"/>
      <c r="D165" s="1"/>
      <c r="E165" s="24"/>
      <c r="F165" s="23"/>
    </row>
    <row r="166" spans="2:6" hidden="1" x14ac:dyDescent="0.25">
      <c r="B166" s="2"/>
      <c r="C166" s="2"/>
      <c r="D166" s="1"/>
      <c r="E166" s="16"/>
      <c r="F166" s="23"/>
    </row>
    <row r="167" spans="2:6" hidden="1" x14ac:dyDescent="0.25">
      <c r="B167" s="2"/>
      <c r="C167" s="2"/>
      <c r="D167" s="1"/>
      <c r="E167" s="16"/>
      <c r="F167" s="23"/>
    </row>
    <row r="168" spans="2:6" hidden="1" x14ac:dyDescent="0.25">
      <c r="B168" s="2"/>
      <c r="C168" s="2"/>
      <c r="D168" s="1"/>
      <c r="E168" s="16"/>
      <c r="F168" s="23"/>
    </row>
    <row r="169" spans="2:6" hidden="1" x14ac:dyDescent="0.25">
      <c r="B169" s="2"/>
      <c r="C169" s="2"/>
      <c r="D169" s="1"/>
      <c r="E169" s="16"/>
      <c r="F169" s="23"/>
    </row>
    <row r="170" spans="2:6" hidden="1" x14ac:dyDescent="0.25">
      <c r="B170" s="2"/>
      <c r="C170" s="2"/>
      <c r="D170" s="1"/>
      <c r="E170" s="16"/>
      <c r="F170" s="23"/>
    </row>
    <row r="171" spans="2:6" hidden="1" x14ac:dyDescent="0.25">
      <c r="B171" s="2"/>
      <c r="C171" s="2"/>
      <c r="D171" s="1"/>
      <c r="E171" s="16"/>
      <c r="F171" s="23"/>
    </row>
    <row r="172" spans="2:6" hidden="1" x14ac:dyDescent="0.25">
      <c r="B172" s="2"/>
      <c r="C172" s="2"/>
      <c r="D172" s="1"/>
      <c r="E172" s="16"/>
      <c r="F172" s="23"/>
    </row>
    <row r="173" spans="2:6" hidden="1" x14ac:dyDescent="0.25">
      <c r="B173" s="2"/>
      <c r="C173" s="2"/>
      <c r="D173" s="1"/>
      <c r="E173" s="16"/>
      <c r="F173" s="23"/>
    </row>
    <row r="174" spans="2:6" hidden="1" x14ac:dyDescent="0.25">
      <c r="B174" s="2"/>
      <c r="C174" s="2"/>
      <c r="D174" s="1"/>
      <c r="E174" s="16"/>
      <c r="F174" s="23"/>
    </row>
    <row r="175" spans="2:6" hidden="1" x14ac:dyDescent="0.25">
      <c r="B175" s="2"/>
      <c r="C175" s="2"/>
      <c r="D175" s="1"/>
      <c r="E175" s="16"/>
      <c r="F175" s="23"/>
    </row>
    <row r="176" spans="2:6" hidden="1" x14ac:dyDescent="0.25">
      <c r="B176" s="2"/>
      <c r="C176" s="2"/>
      <c r="D176" s="1"/>
      <c r="E176" s="16"/>
      <c r="F176" s="23"/>
    </row>
    <row r="177" spans="2:6" hidden="1" x14ac:dyDescent="0.25">
      <c r="B177" s="2"/>
      <c r="C177" s="2"/>
      <c r="D177" s="1"/>
      <c r="E177" s="16"/>
      <c r="F177" s="23"/>
    </row>
    <row r="178" spans="2:6" hidden="1" x14ac:dyDescent="0.25">
      <c r="B178" s="2"/>
      <c r="C178" s="2"/>
      <c r="D178" s="1"/>
      <c r="E178" s="16"/>
      <c r="F178" s="23"/>
    </row>
    <row r="179" spans="2:6" hidden="1" x14ac:dyDescent="0.25">
      <c r="B179" s="2"/>
      <c r="C179" s="2"/>
      <c r="D179" s="1"/>
      <c r="E179" s="16"/>
      <c r="F179" s="23"/>
    </row>
    <row r="180" spans="2:6" hidden="1" x14ac:dyDescent="0.25">
      <c r="B180" s="2"/>
      <c r="C180" s="2"/>
      <c r="D180" s="1"/>
      <c r="E180" s="16"/>
      <c r="F180" s="23"/>
    </row>
    <row r="181" spans="2:6" hidden="1" x14ac:dyDescent="0.25">
      <c r="B181" s="2"/>
      <c r="C181" s="2"/>
      <c r="D181" s="1"/>
      <c r="E181" s="16"/>
      <c r="F181" s="23"/>
    </row>
    <row r="182" spans="2:6" hidden="1" x14ac:dyDescent="0.25">
      <c r="B182" s="2"/>
      <c r="C182" s="2"/>
      <c r="D182" s="1"/>
      <c r="E182" s="16"/>
      <c r="F182" s="23"/>
    </row>
    <row r="183" spans="2:6" hidden="1" x14ac:dyDescent="0.25">
      <c r="B183" s="2"/>
      <c r="C183" s="2"/>
      <c r="D183" s="1"/>
      <c r="E183" s="16"/>
      <c r="F183" s="23"/>
    </row>
    <row r="184" spans="2:6" hidden="1" x14ac:dyDescent="0.25">
      <c r="B184" s="2"/>
      <c r="C184" s="2"/>
      <c r="D184" s="1"/>
      <c r="E184" s="16"/>
      <c r="F184" s="23"/>
    </row>
    <row r="185" spans="2:6" hidden="1" x14ac:dyDescent="0.25">
      <c r="B185" s="2"/>
      <c r="C185" s="2"/>
      <c r="D185" s="1"/>
      <c r="E185" s="16"/>
      <c r="F185" s="23"/>
    </row>
    <row r="186" spans="2:6" hidden="1" x14ac:dyDescent="0.25">
      <c r="B186" s="2"/>
      <c r="C186" s="2"/>
      <c r="D186" s="1"/>
      <c r="E186" s="16"/>
      <c r="F186" s="23"/>
    </row>
    <row r="187" spans="2:6" hidden="1" x14ac:dyDescent="0.25">
      <c r="B187" s="2"/>
      <c r="C187" s="2"/>
      <c r="D187" s="1"/>
      <c r="E187" s="16"/>
      <c r="F187" s="23"/>
    </row>
    <row r="188" spans="2:6" hidden="1" x14ac:dyDescent="0.25">
      <c r="B188" s="2"/>
      <c r="C188" s="2"/>
      <c r="D188" s="1"/>
      <c r="E188" s="16"/>
      <c r="F188" s="23"/>
    </row>
    <row r="189" spans="2:6" hidden="1" x14ac:dyDescent="0.25">
      <c r="B189" s="2"/>
      <c r="C189" s="2"/>
      <c r="D189" s="1"/>
      <c r="E189" s="16"/>
      <c r="F189" s="23"/>
    </row>
    <row r="190" spans="2:6" hidden="1" x14ac:dyDescent="0.25">
      <c r="B190" s="2"/>
      <c r="C190" s="2"/>
      <c r="D190" s="1"/>
      <c r="E190" s="16"/>
      <c r="F190" s="23"/>
    </row>
    <row r="191" spans="2:6" hidden="1" x14ac:dyDescent="0.25">
      <c r="B191" s="2"/>
      <c r="C191" s="2"/>
      <c r="D191" s="1"/>
      <c r="E191" s="16"/>
      <c r="F191" s="23"/>
    </row>
    <row r="192" spans="2:6" hidden="1" x14ac:dyDescent="0.25">
      <c r="B192" s="2"/>
      <c r="C192" s="2"/>
      <c r="D192" s="1"/>
      <c r="E192" s="24"/>
      <c r="F192" s="23"/>
    </row>
    <row r="193" spans="2:47" hidden="1" x14ac:dyDescent="0.25">
      <c r="B193" s="2"/>
      <c r="C193" s="2"/>
      <c r="D193" s="1"/>
      <c r="E193" s="24"/>
      <c r="F193" s="23"/>
    </row>
    <row r="194" spans="2:47" hidden="1" x14ac:dyDescent="0.25">
      <c r="B194" s="2"/>
      <c r="C194" s="2"/>
      <c r="D194" s="1"/>
      <c r="E194" s="24"/>
      <c r="F194" s="23"/>
    </row>
    <row r="195" spans="2:47" hidden="1" x14ac:dyDescent="0.25">
      <c r="B195" s="2"/>
      <c r="C195" s="2"/>
      <c r="D195" s="1"/>
      <c r="E195" s="24"/>
      <c r="F195" s="23"/>
    </row>
    <row r="196" spans="2:47" hidden="1" x14ac:dyDescent="0.25">
      <c r="B196" s="2"/>
      <c r="C196" s="2"/>
      <c r="D196" s="1"/>
      <c r="E196" s="24"/>
      <c r="F196" s="23"/>
    </row>
    <row r="197" spans="2:47" hidden="1" x14ac:dyDescent="0.25">
      <c r="B197" s="2"/>
      <c r="C197" s="2"/>
      <c r="D197" s="1"/>
      <c r="E197" s="24"/>
      <c r="F197" s="23"/>
    </row>
    <row r="198" spans="2:47" x14ac:dyDescent="0.25">
      <c r="L198" s="1"/>
      <c r="M198" s="1">
        <v>46215</v>
      </c>
      <c r="N198" s="1">
        <v>46222</v>
      </c>
      <c r="O198" s="1">
        <v>46229</v>
      </c>
      <c r="P198" s="1">
        <v>46236</v>
      </c>
      <c r="Q198" s="1">
        <v>46243</v>
      </c>
      <c r="R198" s="1">
        <v>46250</v>
      </c>
      <c r="S198" s="1">
        <v>46257</v>
      </c>
      <c r="T198" s="1">
        <v>46264</v>
      </c>
      <c r="U198" s="1">
        <v>46271</v>
      </c>
      <c r="V198" s="1">
        <v>46278</v>
      </c>
      <c r="W198" s="1">
        <v>46285</v>
      </c>
      <c r="X198" s="1">
        <v>46292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2:47" x14ac:dyDescent="0.25">
      <c r="K199" s="1"/>
      <c r="M199">
        <v>0.2578704305202858</v>
      </c>
      <c r="N199">
        <v>0.33293804996161336</v>
      </c>
      <c r="O199">
        <v>0.4113096714502254</v>
      </c>
      <c r="P199">
        <v>0.5237701529557669</v>
      </c>
      <c r="Q199">
        <v>0.63130297840508676</v>
      </c>
      <c r="R199">
        <v>0.74018701155534561</v>
      </c>
      <c r="S199">
        <v>0.82500206696982226</v>
      </c>
      <c r="T199">
        <v>0.91070375401090564</v>
      </c>
      <c r="U199">
        <v>0.96500954743203604</v>
      </c>
      <c r="V199">
        <v>0.99089115927478888</v>
      </c>
      <c r="W199">
        <v>0.99932754581783101</v>
      </c>
      <c r="X199">
        <v>1</v>
      </c>
    </row>
    <row r="201" spans="2:47" x14ac:dyDescent="0.25">
      <c r="H201">
        <v>46215</v>
      </c>
      <c r="I201">
        <v>3274.89</v>
      </c>
      <c r="J201">
        <v>0.2578704305202858</v>
      </c>
    </row>
    <row r="202" spans="2:47" x14ac:dyDescent="0.25">
      <c r="H202">
        <v>46222</v>
      </c>
      <c r="I202">
        <v>4228.2299999999996</v>
      </c>
      <c r="J202">
        <v>0.33293804996161336</v>
      </c>
    </row>
    <row r="203" spans="2:47" x14ac:dyDescent="0.25">
      <c r="H203">
        <v>46229</v>
      </c>
      <c r="I203">
        <v>5223.53</v>
      </c>
      <c r="J203">
        <v>0.4113096714502254</v>
      </c>
    </row>
    <row r="204" spans="2:47" x14ac:dyDescent="0.25">
      <c r="H204">
        <v>46236</v>
      </c>
      <c r="I204">
        <v>6651.75</v>
      </c>
      <c r="J204">
        <v>0.5237701529557669</v>
      </c>
    </row>
    <row r="205" spans="2:47" x14ac:dyDescent="0.25">
      <c r="H205">
        <v>46243</v>
      </c>
      <c r="I205">
        <v>8017.39</v>
      </c>
      <c r="J205">
        <v>0.63130297840508676</v>
      </c>
    </row>
    <row r="206" spans="2:47" x14ac:dyDescent="0.25">
      <c r="H206">
        <v>46250</v>
      </c>
      <c r="I206">
        <v>9400.19</v>
      </c>
      <c r="J206">
        <v>0.74018701155534561</v>
      </c>
    </row>
    <row r="207" spans="2:47" x14ac:dyDescent="0.25">
      <c r="H207">
        <v>46257</v>
      </c>
      <c r="I207">
        <v>10477.32</v>
      </c>
      <c r="J207">
        <v>0.82500206696982226</v>
      </c>
    </row>
    <row r="208" spans="2:47" x14ac:dyDescent="0.25">
      <c r="H208">
        <v>46264</v>
      </c>
      <c r="I208">
        <v>11565.71</v>
      </c>
      <c r="J208">
        <v>0.91070375401090564</v>
      </c>
    </row>
    <row r="209" spans="8:10" x14ac:dyDescent="0.25">
      <c r="H209">
        <v>46271</v>
      </c>
      <c r="I209">
        <v>12255.38</v>
      </c>
      <c r="J209">
        <v>0.96500954743203604</v>
      </c>
    </row>
    <row r="210" spans="8:10" x14ac:dyDescent="0.25">
      <c r="H210">
        <v>46278</v>
      </c>
      <c r="I210">
        <v>12584.07</v>
      </c>
      <c r="J210">
        <v>0.99089115927478888</v>
      </c>
    </row>
    <row r="211" spans="8:10" x14ac:dyDescent="0.25">
      <c r="H211">
        <v>46285</v>
      </c>
      <c r="I211">
        <v>12691.21</v>
      </c>
      <c r="J211">
        <v>0.99932754581783101</v>
      </c>
    </row>
    <row r="212" spans="8:10" x14ac:dyDescent="0.25">
      <c r="H212">
        <v>46292</v>
      </c>
      <c r="I212">
        <v>12699.75</v>
      </c>
      <c r="J212">
        <v>1</v>
      </c>
    </row>
  </sheetData>
  <autoFilter ref="B7:F197" xr:uid="{D013C854-9AD5-4F60-87C9-2AD3EE50288F}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73106042E0B44A85588AEF998FB837" ma:contentTypeVersion="16" ma:contentTypeDescription="Crie um novo documento." ma:contentTypeScope="" ma:versionID="6a01c0e953a0e6ef865e25bc95fc31be">
  <xsd:schema xmlns:xsd="http://www.w3.org/2001/XMLSchema" xmlns:xs="http://www.w3.org/2001/XMLSchema" xmlns:p="http://schemas.microsoft.com/office/2006/metadata/properties" xmlns:ns2="8ab77085-b578-403a-b46f-c40fa7c94cde" xmlns:ns3="6bcb75de-3adc-4f41-8d16-4f027ec9f334" targetNamespace="http://schemas.microsoft.com/office/2006/metadata/properties" ma:root="true" ma:fieldsID="6afe02c6d958328495ce0fb354f8e5a0" ns2:_="" ns3:_="">
    <xsd:import namespace="8ab77085-b578-403a-b46f-c40fa7c94cde"/>
    <xsd:import namespace="6bcb75de-3adc-4f41-8d16-4f027ec9f3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77085-b578-403a-b46f-c40fa7c94c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b354cdb-da1f-4033-83a1-1a2fbc70de2f}" ma:internalName="TaxCatchAll" ma:showField="CatchAllData" ma:web="8ab77085-b578-403a-b46f-c40fa7c94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b75de-3adc-4f41-8d16-4f027ec9f3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ed9b2b-8636-4e54-b57f-6e7b84c4e9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b77085-b578-403a-b46f-c40fa7c94cde" xsi:nil="true"/>
    <lcf76f155ced4ddcb4097134ff3c332f xmlns="6bcb75de-3adc-4f41-8d16-4f027ec9f3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F54D26-FA48-4CC6-B7A1-90D470CBD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b77085-b578-403a-b46f-c40fa7c94cde"/>
    <ds:schemaRef ds:uri="6bcb75de-3adc-4f41-8d16-4f027ec9f3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3C350D-4B8E-449E-BFDF-B71DDB136354}">
  <ds:schemaRefs>
    <ds:schemaRef ds:uri="http://schemas.microsoft.com/office/infopath/2007/PartnerControls"/>
    <ds:schemaRef ds:uri="6bcb75de-3adc-4f41-8d16-4f027ec9f334"/>
    <ds:schemaRef ds:uri="8ab77085-b578-403a-b46f-c40fa7c94cde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86A887-34A3-4EA3-9E21-A90C9F9288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2b1cb4c-a428-49fd-b8a7-a9ed6f454eeb}" enabled="1" method="Privileged" siteId="{343430e0-3e0c-4133-9777-5c5b9a5477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Curva S</vt:lpstr>
      <vt:lpstr>BL</vt:lpstr>
      <vt:lpstr>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Martins Moura Lemos Carneiro</dc:creator>
  <cp:lastModifiedBy>Carolina Almeida Martins</cp:lastModifiedBy>
  <dcterms:created xsi:type="dcterms:W3CDTF">2025-01-10T16:14:11Z</dcterms:created>
  <dcterms:modified xsi:type="dcterms:W3CDTF">2026-07-14T13:14:08Z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0x0101002873106042E0B44A85588AEF998FB837</vt:lpwstr>
  </property>
  <property fmtid="{D5CDD505-2E9C-101B-9397-08002B2CF9AE}" pid="3" name="MediaServiceImageTags">
    <vt:lpwstr/>
  </property>
</Properties>
</file>