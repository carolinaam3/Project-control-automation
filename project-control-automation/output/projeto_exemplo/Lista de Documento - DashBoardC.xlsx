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rolinaAlmeidaMarti\Desktop\project-control-automation\output\projeto_exemplo\"/>
    </mc:Choice>
  </mc:AlternateContent>
  <xr:revisionPtr revIDLastSave="0" documentId="13_ncr:1_{E1D6603B-10A7-495F-8ACF-EFE58DFA5D1A}" xr6:coauthVersionLast="47" xr6:coauthVersionMax="47" xr10:uidLastSave="{00000000-0000-0000-0000-000000000000}"/>
  <bookViews>
    <workbookView xWindow="33345" yWindow="5355" windowWidth="12210" windowHeight="6495" tabRatio="850" firstSheet="7" activeTab="10" xr2:uid="{00000000-000D-0000-FFFF-FFFF00000000}"/>
  </bookViews>
  <sheets>
    <sheet name="LD-ELFA" sheetId="1" r:id="rId1"/>
    <sheet name="Data Base" sheetId="2" r:id="rId2"/>
    <sheet name="Planilha2" sheetId="3" r:id="rId3"/>
    <sheet name="CR-Fechado" sheetId="4" r:id="rId4"/>
    <sheet name="Cronograma" sheetId="5" r:id="rId5"/>
    <sheet name="Planilha1" sheetId="6" r:id="rId6"/>
    <sheet name="Gráficos" sheetId="7" r:id="rId7"/>
    <sheet name="Documentos Emissão" sheetId="8" r:id="rId8"/>
    <sheet name="Documentos Aprovação" sheetId="9" r:id="rId9"/>
    <sheet name="JMC" sheetId="10" state="hidden" r:id="rId10"/>
    <sheet name="Documentos Atendimentos " sheetId="11" r:id="rId11"/>
    <sheet name="Justificativa" sheetId="12" r:id="rId12"/>
  </sheets>
  <definedNames>
    <definedName name="_xlnm._FilterDatabase" localSheetId="4" hidden="1">Cronograma!$D$2:$M$1070</definedName>
    <definedName name="_xlnm._FilterDatabase" localSheetId="1" hidden="1">'Data Base'!$A$3:$W$286</definedName>
    <definedName name="_xlnm._FilterDatabase" localSheetId="8" hidden="1">'Documentos Aprovação'!$B$2:$J$258</definedName>
    <definedName name="_xlnm._FilterDatabase" localSheetId="10" hidden="1">'Documentos Atendimentos '!$B$2:$I$281</definedName>
    <definedName name="_xlnm._FilterDatabase" localSheetId="7" hidden="1">'Documentos Emissão'!$B$2:$I$280</definedName>
    <definedName name="_xlnm._FilterDatabase" localSheetId="11" hidden="1">Justificativa!$B$3:$G$282</definedName>
    <definedName name="_xlnm._FilterDatabase" localSheetId="0" hidden="1">'LD-ELFA'!$A$4:$BC$4</definedName>
    <definedName name="_xlnm._FilterDatabase" localSheetId="2" hidden="1">Planilha2!$B$2:$C$1400</definedName>
  </definedNames>
  <calcPr calcId="191029"/>
  <pivotCaches>
    <pivotCache cacheId="9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2" i="12" l="1"/>
  <c r="D282" i="12"/>
  <c r="E281" i="12"/>
  <c r="D281" i="12"/>
  <c r="E280" i="12"/>
  <c r="D280" i="12"/>
  <c r="E279" i="12"/>
  <c r="D279" i="12"/>
  <c r="E278" i="12"/>
  <c r="D278" i="12"/>
  <c r="E277" i="12"/>
  <c r="D277" i="12"/>
  <c r="E276" i="12"/>
  <c r="D276" i="12"/>
  <c r="E275" i="12"/>
  <c r="D275" i="12"/>
  <c r="E274" i="12"/>
  <c r="D274" i="12"/>
  <c r="E273" i="12"/>
  <c r="D273" i="12"/>
  <c r="E272" i="12"/>
  <c r="D272" i="12"/>
  <c r="E271" i="12"/>
  <c r="D271" i="12"/>
  <c r="E270" i="12"/>
  <c r="D270" i="12"/>
  <c r="E269" i="12"/>
  <c r="D269" i="12"/>
  <c r="E268" i="12"/>
  <c r="D268" i="12"/>
  <c r="E267" i="12"/>
  <c r="D267" i="12"/>
  <c r="E266" i="12"/>
  <c r="D266" i="12"/>
  <c r="E265" i="12"/>
  <c r="D265" i="12"/>
  <c r="E264" i="12"/>
  <c r="D264" i="12"/>
  <c r="E263" i="12"/>
  <c r="D263" i="12"/>
  <c r="E262" i="12"/>
  <c r="D262" i="12"/>
  <c r="E261" i="12"/>
  <c r="D261" i="12"/>
  <c r="E260" i="12"/>
  <c r="D260" i="12"/>
  <c r="E259" i="12"/>
  <c r="D259" i="12"/>
  <c r="E258" i="12"/>
  <c r="D258" i="12"/>
  <c r="E257" i="12"/>
  <c r="D257" i="12"/>
  <c r="E256" i="12"/>
  <c r="D256" i="12"/>
  <c r="E255" i="12"/>
  <c r="D255" i="12"/>
  <c r="E254" i="12"/>
  <c r="D254" i="12"/>
  <c r="E253" i="12"/>
  <c r="D253" i="12"/>
  <c r="E252" i="12"/>
  <c r="D252" i="12"/>
  <c r="E251" i="12"/>
  <c r="D251" i="12"/>
  <c r="E250" i="12"/>
  <c r="D250" i="12"/>
  <c r="E249" i="12"/>
  <c r="D249" i="12"/>
  <c r="E248" i="12"/>
  <c r="D248" i="12"/>
  <c r="E247" i="12"/>
  <c r="D247" i="12"/>
  <c r="E246" i="12"/>
  <c r="D246" i="12"/>
  <c r="E245" i="12"/>
  <c r="D245" i="12"/>
  <c r="E244" i="12"/>
  <c r="D244" i="12"/>
  <c r="E243" i="12"/>
  <c r="D243" i="12"/>
  <c r="E242" i="12"/>
  <c r="D242" i="12"/>
  <c r="E241" i="12"/>
  <c r="D241" i="12"/>
  <c r="E240" i="12"/>
  <c r="D240" i="12"/>
  <c r="E239" i="12"/>
  <c r="D239" i="12"/>
  <c r="E238" i="12"/>
  <c r="D238" i="12"/>
  <c r="E237" i="12"/>
  <c r="D237" i="12"/>
  <c r="E236" i="12"/>
  <c r="D236" i="12"/>
  <c r="E235" i="12"/>
  <c r="D235" i="12"/>
  <c r="E234" i="12"/>
  <c r="D234" i="12"/>
  <c r="E233" i="12"/>
  <c r="D233" i="12"/>
  <c r="E232" i="12"/>
  <c r="D232" i="12"/>
  <c r="E231" i="12"/>
  <c r="D231" i="12"/>
  <c r="E230" i="12"/>
  <c r="D230" i="12"/>
  <c r="E229" i="12"/>
  <c r="D229" i="12"/>
  <c r="E228" i="12"/>
  <c r="D228" i="12"/>
  <c r="E227" i="12"/>
  <c r="D227" i="12"/>
  <c r="E226" i="12"/>
  <c r="D226" i="12"/>
  <c r="E225" i="12"/>
  <c r="D225" i="12"/>
  <c r="E224" i="12"/>
  <c r="D224" i="12"/>
  <c r="E223" i="12"/>
  <c r="D223" i="12"/>
  <c r="E222" i="12"/>
  <c r="D222" i="12"/>
  <c r="E221" i="12"/>
  <c r="D221" i="12"/>
  <c r="E220" i="12"/>
  <c r="D220" i="12"/>
  <c r="E219" i="12"/>
  <c r="D219" i="12"/>
  <c r="E218" i="12"/>
  <c r="D218" i="12"/>
  <c r="E217" i="12"/>
  <c r="D217" i="12"/>
  <c r="E216" i="12"/>
  <c r="D216" i="12"/>
  <c r="E215" i="12"/>
  <c r="D215" i="12"/>
  <c r="E214" i="12"/>
  <c r="D214" i="12"/>
  <c r="E213" i="12"/>
  <c r="D213" i="12"/>
  <c r="E212" i="12"/>
  <c r="D212" i="12"/>
  <c r="E211" i="12"/>
  <c r="D211" i="12"/>
  <c r="E210" i="12"/>
  <c r="D210" i="12"/>
  <c r="E209" i="12"/>
  <c r="D209" i="12"/>
  <c r="E208" i="12"/>
  <c r="D208" i="12"/>
  <c r="E207" i="12"/>
  <c r="D207" i="12"/>
  <c r="E206" i="12"/>
  <c r="D206" i="12"/>
  <c r="E205" i="12"/>
  <c r="D205" i="12"/>
  <c r="E204" i="12"/>
  <c r="D204" i="12"/>
  <c r="E203" i="12"/>
  <c r="D203" i="12"/>
  <c r="E202" i="12"/>
  <c r="D202" i="12"/>
  <c r="E201" i="12"/>
  <c r="D201" i="12"/>
  <c r="E200" i="12"/>
  <c r="D200" i="12"/>
  <c r="E199" i="12"/>
  <c r="D199" i="12"/>
  <c r="E198" i="12"/>
  <c r="D198" i="12"/>
  <c r="E197" i="12"/>
  <c r="D197" i="12"/>
  <c r="E196" i="12"/>
  <c r="D196" i="12"/>
  <c r="E195" i="12"/>
  <c r="D195" i="12"/>
  <c r="E194" i="12"/>
  <c r="D194" i="12"/>
  <c r="E193" i="12"/>
  <c r="D193" i="12"/>
  <c r="E192" i="12"/>
  <c r="D192" i="12"/>
  <c r="E191" i="12"/>
  <c r="D191" i="12"/>
  <c r="E190" i="12"/>
  <c r="D190" i="12"/>
  <c r="E189" i="12"/>
  <c r="D189" i="12"/>
  <c r="E188" i="12"/>
  <c r="D188" i="12"/>
  <c r="E187" i="12"/>
  <c r="D187" i="12"/>
  <c r="E186" i="12"/>
  <c r="D186" i="12"/>
  <c r="E185" i="12"/>
  <c r="D185" i="12"/>
  <c r="E184" i="12"/>
  <c r="D184" i="12"/>
  <c r="E183" i="12"/>
  <c r="D183" i="12"/>
  <c r="E182" i="12"/>
  <c r="D182" i="12"/>
  <c r="E181" i="12"/>
  <c r="D181" i="12"/>
  <c r="E180" i="12"/>
  <c r="D180" i="12"/>
  <c r="E179" i="12"/>
  <c r="D179" i="12"/>
  <c r="E178" i="12"/>
  <c r="D178" i="12"/>
  <c r="E177" i="12"/>
  <c r="D177" i="12"/>
  <c r="E176" i="12"/>
  <c r="D176" i="12"/>
  <c r="E175" i="12"/>
  <c r="D175" i="12"/>
  <c r="E174" i="12"/>
  <c r="D174" i="12"/>
  <c r="E173" i="12"/>
  <c r="D173" i="12"/>
  <c r="E172" i="12"/>
  <c r="D172" i="12"/>
  <c r="E171" i="12"/>
  <c r="D171" i="12"/>
  <c r="E170" i="12"/>
  <c r="D170" i="12"/>
  <c r="E169" i="12"/>
  <c r="D169" i="12"/>
  <c r="E168" i="12"/>
  <c r="D168" i="12"/>
  <c r="E167" i="12"/>
  <c r="D167" i="12"/>
  <c r="E166" i="12"/>
  <c r="D166" i="12"/>
  <c r="E165" i="12"/>
  <c r="D165" i="12"/>
  <c r="E164" i="12"/>
  <c r="D164" i="12"/>
  <c r="E163" i="12"/>
  <c r="D163" i="12"/>
  <c r="E162" i="12"/>
  <c r="D162" i="12"/>
  <c r="E161" i="12"/>
  <c r="D161" i="12"/>
  <c r="E160" i="12"/>
  <c r="D160" i="12"/>
  <c r="E159" i="12"/>
  <c r="D159" i="12"/>
  <c r="E158" i="12"/>
  <c r="D158" i="12"/>
  <c r="E157" i="12"/>
  <c r="D157" i="12"/>
  <c r="E156" i="12"/>
  <c r="D156" i="12"/>
  <c r="E155" i="12"/>
  <c r="D155" i="12"/>
  <c r="E154" i="12"/>
  <c r="D154" i="12"/>
  <c r="E153" i="12"/>
  <c r="D153" i="12"/>
  <c r="E152" i="12"/>
  <c r="D152" i="12"/>
  <c r="E151" i="12"/>
  <c r="D151" i="12"/>
  <c r="E150" i="12"/>
  <c r="D150" i="12"/>
  <c r="E149" i="12"/>
  <c r="D149" i="12"/>
  <c r="E148" i="12"/>
  <c r="D148" i="12"/>
  <c r="E147" i="12"/>
  <c r="D147" i="12"/>
  <c r="E146" i="12"/>
  <c r="D146" i="12"/>
  <c r="E145" i="12"/>
  <c r="D145" i="12"/>
  <c r="E144" i="12"/>
  <c r="D144" i="12"/>
  <c r="E143" i="12"/>
  <c r="D143" i="12"/>
  <c r="E142" i="12"/>
  <c r="D142" i="12"/>
  <c r="E141" i="12"/>
  <c r="D141" i="12"/>
  <c r="E140" i="12"/>
  <c r="D140" i="12"/>
  <c r="E139" i="12"/>
  <c r="D139" i="12"/>
  <c r="E138" i="12"/>
  <c r="D138" i="12"/>
  <c r="E137" i="12"/>
  <c r="D137" i="12"/>
  <c r="E136" i="12"/>
  <c r="D136" i="12"/>
  <c r="E135" i="12"/>
  <c r="D135" i="12"/>
  <c r="E134" i="12"/>
  <c r="D134" i="12"/>
  <c r="E133" i="12"/>
  <c r="D133" i="12"/>
  <c r="E132" i="12"/>
  <c r="D132" i="12"/>
  <c r="E131" i="12"/>
  <c r="D131" i="12"/>
  <c r="E130" i="12"/>
  <c r="D130" i="12"/>
  <c r="E129" i="12"/>
  <c r="D129" i="12"/>
  <c r="E128" i="12"/>
  <c r="D128" i="12"/>
  <c r="E127" i="12"/>
  <c r="D127" i="12"/>
  <c r="E126" i="12"/>
  <c r="D126" i="12"/>
  <c r="E125" i="12"/>
  <c r="D125" i="12"/>
  <c r="E124" i="12"/>
  <c r="D124" i="12"/>
  <c r="E123" i="12"/>
  <c r="D123" i="12"/>
  <c r="E122" i="12"/>
  <c r="D122" i="12"/>
  <c r="E121" i="12"/>
  <c r="D121" i="12"/>
  <c r="E120" i="12"/>
  <c r="D120" i="12"/>
  <c r="E119" i="12"/>
  <c r="D119" i="12"/>
  <c r="E118" i="12"/>
  <c r="D118" i="12"/>
  <c r="E117" i="12"/>
  <c r="D117" i="12"/>
  <c r="E116" i="12"/>
  <c r="D116" i="12"/>
  <c r="E115" i="12"/>
  <c r="D115" i="12"/>
  <c r="E114" i="12"/>
  <c r="D114" i="12"/>
  <c r="E113" i="12"/>
  <c r="D113" i="12"/>
  <c r="E112" i="12"/>
  <c r="D112" i="12"/>
  <c r="E111" i="12"/>
  <c r="D111" i="12"/>
  <c r="E110" i="12"/>
  <c r="D110" i="12"/>
  <c r="E109" i="12"/>
  <c r="D109" i="12"/>
  <c r="E108" i="12"/>
  <c r="D108" i="12"/>
  <c r="E107" i="12"/>
  <c r="D107" i="12"/>
  <c r="E106" i="12"/>
  <c r="D106" i="12"/>
  <c r="E105" i="12"/>
  <c r="D105" i="12"/>
  <c r="E104" i="12"/>
  <c r="D104" i="12"/>
  <c r="E103" i="12"/>
  <c r="D103" i="12"/>
  <c r="E102" i="12"/>
  <c r="D102" i="12"/>
  <c r="E101" i="12"/>
  <c r="D101" i="12"/>
  <c r="E100" i="12"/>
  <c r="D100" i="12"/>
  <c r="E99" i="12"/>
  <c r="D99" i="12"/>
  <c r="E98" i="12"/>
  <c r="D98" i="12"/>
  <c r="E97" i="12"/>
  <c r="D97" i="12"/>
  <c r="E96" i="12"/>
  <c r="D96" i="12"/>
  <c r="E95" i="12"/>
  <c r="D95" i="12"/>
  <c r="E94" i="12"/>
  <c r="D94" i="12"/>
  <c r="E93" i="12"/>
  <c r="D93" i="12"/>
  <c r="E92" i="12"/>
  <c r="D92" i="12"/>
  <c r="E91" i="12"/>
  <c r="D91" i="12"/>
  <c r="E90" i="12"/>
  <c r="D90" i="12"/>
  <c r="E89" i="12"/>
  <c r="D89" i="12"/>
  <c r="E88" i="12"/>
  <c r="D88" i="12"/>
  <c r="E87" i="12"/>
  <c r="D87" i="12"/>
  <c r="E86" i="12"/>
  <c r="D86" i="12"/>
  <c r="E85" i="12"/>
  <c r="D85" i="12"/>
  <c r="E84" i="12"/>
  <c r="D84" i="12"/>
  <c r="E83" i="12"/>
  <c r="D83" i="12"/>
  <c r="E82" i="12"/>
  <c r="D82" i="12"/>
  <c r="E81" i="12"/>
  <c r="D81" i="12"/>
  <c r="E80" i="12"/>
  <c r="D80" i="12"/>
  <c r="E79" i="12"/>
  <c r="D79" i="12"/>
  <c r="E78" i="12"/>
  <c r="D78" i="12"/>
  <c r="E77" i="12"/>
  <c r="D77" i="12"/>
  <c r="E76" i="12"/>
  <c r="D76" i="12"/>
  <c r="E75" i="12"/>
  <c r="D75" i="12"/>
  <c r="E74" i="12"/>
  <c r="D74" i="12"/>
  <c r="E73" i="12"/>
  <c r="D73" i="12"/>
  <c r="E72" i="12"/>
  <c r="D72" i="12"/>
  <c r="E71" i="12"/>
  <c r="D71" i="12"/>
  <c r="E70" i="12"/>
  <c r="D70" i="12"/>
  <c r="E69" i="12"/>
  <c r="D69" i="12"/>
  <c r="E68" i="12"/>
  <c r="D68" i="12"/>
  <c r="E67" i="12"/>
  <c r="D67" i="12"/>
  <c r="E66" i="12"/>
  <c r="D66" i="12"/>
  <c r="E65" i="12"/>
  <c r="D65" i="12"/>
  <c r="E64" i="12"/>
  <c r="D64" i="12"/>
  <c r="E63" i="12"/>
  <c r="D63" i="12"/>
  <c r="E62" i="12"/>
  <c r="D62" i="12"/>
  <c r="E61" i="12"/>
  <c r="D61" i="12"/>
  <c r="E60" i="12"/>
  <c r="D60" i="12"/>
  <c r="E59" i="12"/>
  <c r="D59" i="12"/>
  <c r="E58" i="12"/>
  <c r="D58" i="12"/>
  <c r="E57" i="12"/>
  <c r="D57" i="12"/>
  <c r="E56" i="12"/>
  <c r="D56" i="12"/>
  <c r="E55" i="12"/>
  <c r="D55" i="12"/>
  <c r="E54" i="12"/>
  <c r="D54" i="12"/>
  <c r="E53" i="12"/>
  <c r="D53" i="12"/>
  <c r="E52" i="12"/>
  <c r="D52" i="12"/>
  <c r="E51" i="12"/>
  <c r="D51" i="12"/>
  <c r="E50" i="12"/>
  <c r="D50" i="12"/>
  <c r="E49" i="12"/>
  <c r="D49" i="12"/>
  <c r="E48" i="12"/>
  <c r="D48" i="12"/>
  <c r="E47" i="12"/>
  <c r="D47" i="12"/>
  <c r="E46" i="12"/>
  <c r="D46" i="12"/>
  <c r="E45" i="12"/>
  <c r="D45" i="12"/>
  <c r="E44" i="12"/>
  <c r="D44" i="12"/>
  <c r="E43" i="12"/>
  <c r="D43" i="12"/>
  <c r="E42" i="12"/>
  <c r="D42" i="12"/>
  <c r="E41" i="12"/>
  <c r="D41" i="12"/>
  <c r="E40" i="12"/>
  <c r="D40" i="12"/>
  <c r="E39" i="12"/>
  <c r="D39" i="12"/>
  <c r="E38" i="12"/>
  <c r="D38" i="12"/>
  <c r="E37" i="12"/>
  <c r="D37" i="12"/>
  <c r="E36" i="12"/>
  <c r="D36" i="12"/>
  <c r="E35" i="12"/>
  <c r="D35" i="12"/>
  <c r="E34" i="12"/>
  <c r="D34" i="12"/>
  <c r="E33" i="12"/>
  <c r="D33" i="12"/>
  <c r="E32" i="12"/>
  <c r="D32" i="12"/>
  <c r="E31" i="12"/>
  <c r="D31" i="12"/>
  <c r="E30" i="12"/>
  <c r="D30" i="12"/>
  <c r="E29" i="12"/>
  <c r="D29" i="12"/>
  <c r="E28" i="12"/>
  <c r="D28" i="12"/>
  <c r="E27" i="12"/>
  <c r="D27" i="12"/>
  <c r="E26" i="12"/>
  <c r="D26" i="12"/>
  <c r="E25" i="12"/>
  <c r="D25" i="12"/>
  <c r="E24" i="12"/>
  <c r="D24" i="12"/>
  <c r="E23" i="12"/>
  <c r="D23" i="12"/>
  <c r="E22" i="12"/>
  <c r="D22" i="12"/>
  <c r="E21" i="12"/>
  <c r="D21" i="12"/>
  <c r="E20" i="12"/>
  <c r="D20" i="12"/>
  <c r="E19" i="12"/>
  <c r="D19" i="12"/>
  <c r="E18" i="12"/>
  <c r="D18" i="12"/>
  <c r="E17" i="12"/>
  <c r="D17" i="12"/>
  <c r="E16" i="12"/>
  <c r="D16" i="12"/>
  <c r="E15" i="12"/>
  <c r="D15" i="12"/>
  <c r="E14" i="12"/>
  <c r="D14" i="12"/>
  <c r="E13" i="12"/>
  <c r="D13" i="12"/>
  <c r="E12" i="12"/>
  <c r="D12" i="12"/>
  <c r="E11" i="12"/>
  <c r="D11" i="12"/>
  <c r="E10" i="12"/>
  <c r="D10" i="12"/>
  <c r="E9" i="12"/>
  <c r="D9" i="12"/>
  <c r="E8" i="12"/>
  <c r="D8" i="12"/>
  <c r="E7" i="12"/>
  <c r="D7" i="12"/>
  <c r="E6" i="12"/>
  <c r="D6" i="12"/>
  <c r="E5" i="12"/>
  <c r="D5" i="12"/>
  <c r="E4" i="12"/>
  <c r="D4" i="12"/>
  <c r="F258" i="9"/>
  <c r="D258" i="9"/>
  <c r="F257" i="9"/>
  <c r="D257" i="9"/>
  <c r="F256" i="9"/>
  <c r="D256" i="9"/>
  <c r="F255" i="9"/>
  <c r="D255" i="9"/>
  <c r="F254" i="9"/>
  <c r="D254" i="9"/>
  <c r="F253" i="9"/>
  <c r="D253" i="9"/>
  <c r="F252" i="9"/>
  <c r="D252" i="9"/>
  <c r="F251" i="9"/>
  <c r="D251" i="9"/>
  <c r="F250" i="9"/>
  <c r="D250" i="9"/>
  <c r="F249" i="9"/>
  <c r="D249" i="9"/>
  <c r="F248" i="9"/>
  <c r="D248" i="9"/>
  <c r="F247" i="9"/>
  <c r="D247" i="9"/>
  <c r="F246" i="9"/>
  <c r="D246" i="9"/>
  <c r="F245" i="9"/>
  <c r="D245" i="9"/>
  <c r="F244" i="9"/>
  <c r="D244" i="9"/>
  <c r="F243" i="9"/>
  <c r="D243" i="9"/>
  <c r="F242" i="9"/>
  <c r="D242" i="9"/>
  <c r="F241" i="9"/>
  <c r="D241" i="9"/>
  <c r="F240" i="9"/>
  <c r="D240" i="9"/>
  <c r="F239" i="9"/>
  <c r="D239" i="9"/>
  <c r="F238" i="9"/>
  <c r="D238" i="9"/>
  <c r="F237" i="9"/>
  <c r="D237" i="9"/>
  <c r="F236" i="9"/>
  <c r="D236" i="9"/>
  <c r="F235" i="9"/>
  <c r="D235" i="9"/>
  <c r="F234" i="9"/>
  <c r="D234" i="9"/>
  <c r="F233" i="9"/>
  <c r="D233" i="9"/>
  <c r="F232" i="9"/>
  <c r="D232" i="9"/>
  <c r="F231" i="9"/>
  <c r="D231" i="9"/>
  <c r="F230" i="9"/>
  <c r="D230" i="9"/>
  <c r="F229" i="9"/>
  <c r="D229" i="9"/>
  <c r="F228" i="9"/>
  <c r="D228" i="9"/>
  <c r="F227" i="9"/>
  <c r="D227" i="9"/>
  <c r="F226" i="9"/>
  <c r="D226" i="9"/>
  <c r="F225" i="9"/>
  <c r="D225" i="9"/>
  <c r="F224" i="9"/>
  <c r="D224" i="9"/>
  <c r="F223" i="9"/>
  <c r="D223" i="9"/>
  <c r="F222" i="9"/>
  <c r="D222" i="9"/>
  <c r="F221" i="9"/>
  <c r="D221" i="9"/>
  <c r="F220" i="9"/>
  <c r="D220" i="9"/>
  <c r="F219" i="9"/>
  <c r="D219" i="9"/>
  <c r="F218" i="9"/>
  <c r="D218" i="9"/>
  <c r="F217" i="9"/>
  <c r="D217" i="9"/>
  <c r="F216" i="9"/>
  <c r="D216" i="9"/>
  <c r="F215" i="9"/>
  <c r="D215" i="9"/>
  <c r="F214" i="9"/>
  <c r="D214" i="9"/>
  <c r="F213" i="9"/>
  <c r="D213" i="9"/>
  <c r="F212" i="9"/>
  <c r="D212" i="9"/>
  <c r="F211" i="9"/>
  <c r="D211" i="9"/>
  <c r="F210" i="9"/>
  <c r="D210" i="9"/>
  <c r="F209" i="9"/>
  <c r="D209" i="9"/>
  <c r="F208" i="9"/>
  <c r="D208" i="9"/>
  <c r="F207" i="9"/>
  <c r="D207" i="9"/>
  <c r="F206" i="9"/>
  <c r="D206" i="9"/>
  <c r="F205" i="9"/>
  <c r="D205" i="9"/>
  <c r="F204" i="9"/>
  <c r="D204" i="9"/>
  <c r="F203" i="9"/>
  <c r="D203" i="9"/>
  <c r="F202" i="9"/>
  <c r="D202" i="9"/>
  <c r="F201" i="9"/>
  <c r="D201" i="9"/>
  <c r="F200" i="9"/>
  <c r="D200" i="9"/>
  <c r="F199" i="9"/>
  <c r="D199" i="9"/>
  <c r="F198" i="9"/>
  <c r="D198" i="9"/>
  <c r="F197" i="9"/>
  <c r="D197" i="9"/>
  <c r="F196" i="9"/>
  <c r="D196" i="9"/>
  <c r="F195" i="9"/>
  <c r="D195" i="9"/>
  <c r="F194" i="9"/>
  <c r="D194" i="9"/>
  <c r="F193" i="9"/>
  <c r="D193" i="9"/>
  <c r="F192" i="9"/>
  <c r="D192" i="9"/>
  <c r="F191" i="9"/>
  <c r="D191" i="9"/>
  <c r="F190" i="9"/>
  <c r="D190" i="9"/>
  <c r="F189" i="9"/>
  <c r="D189" i="9"/>
  <c r="F188" i="9"/>
  <c r="D188" i="9"/>
  <c r="F187" i="9"/>
  <c r="D187" i="9"/>
  <c r="F186" i="9"/>
  <c r="D186" i="9"/>
  <c r="F185" i="9"/>
  <c r="D185" i="9"/>
  <c r="F184" i="9"/>
  <c r="D184" i="9"/>
  <c r="F183" i="9"/>
  <c r="D183" i="9"/>
  <c r="F182" i="9"/>
  <c r="D182" i="9"/>
  <c r="F181" i="9"/>
  <c r="D181" i="9"/>
  <c r="F180" i="9"/>
  <c r="D180" i="9"/>
  <c r="F179" i="9"/>
  <c r="D179" i="9"/>
  <c r="F178" i="9"/>
  <c r="D178" i="9"/>
  <c r="F177" i="9"/>
  <c r="D177" i="9"/>
  <c r="F176" i="9"/>
  <c r="D176" i="9"/>
  <c r="F175" i="9"/>
  <c r="D175" i="9"/>
  <c r="F174" i="9"/>
  <c r="D174" i="9"/>
  <c r="F173" i="9"/>
  <c r="D173" i="9"/>
  <c r="F172" i="9"/>
  <c r="D172" i="9"/>
  <c r="F171" i="9"/>
  <c r="D171" i="9"/>
  <c r="F170" i="9"/>
  <c r="D170" i="9"/>
  <c r="F169" i="9"/>
  <c r="D169" i="9"/>
  <c r="F168" i="9"/>
  <c r="D168" i="9"/>
  <c r="F167" i="9"/>
  <c r="D167" i="9"/>
  <c r="F166" i="9"/>
  <c r="D166" i="9"/>
  <c r="F165" i="9"/>
  <c r="D165" i="9"/>
  <c r="F164" i="9"/>
  <c r="D164" i="9"/>
  <c r="F163" i="9"/>
  <c r="D163" i="9"/>
  <c r="F162" i="9"/>
  <c r="D162" i="9"/>
  <c r="F161" i="9"/>
  <c r="D161" i="9"/>
  <c r="F160" i="9"/>
  <c r="D160" i="9"/>
  <c r="F159" i="9"/>
  <c r="D159" i="9"/>
  <c r="F158" i="9"/>
  <c r="D158" i="9"/>
  <c r="F157" i="9"/>
  <c r="D157" i="9"/>
  <c r="F156" i="9"/>
  <c r="D156" i="9"/>
  <c r="F155" i="9"/>
  <c r="D155" i="9"/>
  <c r="F154" i="9"/>
  <c r="D154" i="9"/>
  <c r="F153" i="9"/>
  <c r="D153" i="9"/>
  <c r="F152" i="9"/>
  <c r="D152" i="9"/>
  <c r="F151" i="9"/>
  <c r="D151" i="9"/>
  <c r="F150" i="9"/>
  <c r="D150" i="9"/>
  <c r="F149" i="9"/>
  <c r="D149" i="9"/>
  <c r="F148" i="9"/>
  <c r="D148" i="9"/>
  <c r="F147" i="9"/>
  <c r="D147" i="9"/>
  <c r="F146" i="9"/>
  <c r="D146" i="9"/>
  <c r="F145" i="9"/>
  <c r="D145" i="9"/>
  <c r="F144" i="9"/>
  <c r="D144" i="9"/>
  <c r="F143" i="9"/>
  <c r="D143" i="9"/>
  <c r="F142" i="9"/>
  <c r="D142" i="9"/>
  <c r="F141" i="9"/>
  <c r="D141" i="9"/>
  <c r="F140" i="9"/>
  <c r="D140" i="9"/>
  <c r="F139" i="9"/>
  <c r="D139" i="9"/>
  <c r="F138" i="9"/>
  <c r="D138" i="9"/>
  <c r="F137" i="9"/>
  <c r="D137" i="9"/>
  <c r="F136" i="9"/>
  <c r="D136" i="9"/>
  <c r="F135" i="9"/>
  <c r="D135" i="9"/>
  <c r="F134" i="9"/>
  <c r="D134" i="9"/>
  <c r="F133" i="9"/>
  <c r="D133" i="9"/>
  <c r="F132" i="9"/>
  <c r="D132" i="9"/>
  <c r="F131" i="9"/>
  <c r="D131" i="9"/>
  <c r="F130" i="9"/>
  <c r="D130" i="9"/>
  <c r="F129" i="9"/>
  <c r="D129" i="9"/>
  <c r="F128" i="9"/>
  <c r="D128" i="9"/>
  <c r="F127" i="9"/>
  <c r="D127" i="9"/>
  <c r="F126" i="9"/>
  <c r="D126" i="9"/>
  <c r="F125" i="9"/>
  <c r="D125" i="9"/>
  <c r="F124" i="9"/>
  <c r="D124" i="9"/>
  <c r="F123" i="9"/>
  <c r="D123" i="9"/>
  <c r="F122" i="9"/>
  <c r="D122" i="9"/>
  <c r="F121" i="9"/>
  <c r="D121" i="9"/>
  <c r="F120" i="9"/>
  <c r="D120" i="9"/>
  <c r="F119" i="9"/>
  <c r="D119" i="9"/>
  <c r="F118" i="9"/>
  <c r="D118" i="9"/>
  <c r="F117" i="9"/>
  <c r="D117" i="9"/>
  <c r="F116" i="9"/>
  <c r="D116" i="9"/>
  <c r="F115" i="9"/>
  <c r="D115" i="9"/>
  <c r="F114" i="9"/>
  <c r="D114" i="9"/>
  <c r="F113" i="9"/>
  <c r="D113" i="9"/>
  <c r="F112" i="9"/>
  <c r="D112" i="9"/>
  <c r="F111" i="9"/>
  <c r="D111" i="9"/>
  <c r="F110" i="9"/>
  <c r="D110" i="9"/>
  <c r="F109" i="9"/>
  <c r="D109" i="9"/>
  <c r="F108" i="9"/>
  <c r="D108" i="9"/>
  <c r="F107" i="9"/>
  <c r="D107" i="9"/>
  <c r="F106" i="9"/>
  <c r="D106" i="9"/>
  <c r="F105" i="9"/>
  <c r="D105" i="9"/>
  <c r="F104" i="9"/>
  <c r="D104" i="9"/>
  <c r="F103" i="9"/>
  <c r="D103" i="9"/>
  <c r="F102" i="9"/>
  <c r="D102" i="9"/>
  <c r="F101" i="9"/>
  <c r="D101" i="9"/>
  <c r="F100" i="9"/>
  <c r="D100" i="9"/>
  <c r="F99" i="9"/>
  <c r="D99" i="9"/>
  <c r="F98" i="9"/>
  <c r="D98" i="9"/>
  <c r="F97" i="9"/>
  <c r="D97" i="9"/>
  <c r="F96" i="9"/>
  <c r="D96" i="9"/>
  <c r="F95" i="9"/>
  <c r="D95" i="9"/>
  <c r="F94" i="9"/>
  <c r="D94" i="9"/>
  <c r="F93" i="9"/>
  <c r="D93" i="9"/>
  <c r="F92" i="9"/>
  <c r="D92" i="9"/>
  <c r="F91" i="9"/>
  <c r="D91" i="9"/>
  <c r="F90" i="9"/>
  <c r="D90" i="9"/>
  <c r="F89" i="9"/>
  <c r="D89" i="9"/>
  <c r="F88" i="9"/>
  <c r="D88" i="9"/>
  <c r="F87" i="9"/>
  <c r="D87" i="9"/>
  <c r="F86" i="9"/>
  <c r="D86" i="9"/>
  <c r="F85" i="9"/>
  <c r="D85" i="9"/>
  <c r="F84" i="9"/>
  <c r="D84" i="9"/>
  <c r="F83" i="9"/>
  <c r="D83" i="9"/>
  <c r="F82" i="9"/>
  <c r="D82" i="9"/>
  <c r="F81" i="9"/>
  <c r="D81" i="9"/>
  <c r="F80" i="9"/>
  <c r="D80" i="9"/>
  <c r="F79" i="9"/>
  <c r="D79" i="9"/>
  <c r="F78" i="9"/>
  <c r="D78" i="9"/>
  <c r="F77" i="9"/>
  <c r="D77" i="9"/>
  <c r="F76" i="9"/>
  <c r="D76" i="9"/>
  <c r="F75" i="9"/>
  <c r="D75" i="9"/>
  <c r="F74" i="9"/>
  <c r="D74" i="9"/>
  <c r="F73" i="9"/>
  <c r="D73" i="9"/>
  <c r="F72" i="9"/>
  <c r="D72" i="9"/>
  <c r="F71" i="9"/>
  <c r="D71" i="9"/>
  <c r="F70" i="9"/>
  <c r="D70" i="9"/>
  <c r="F69" i="9"/>
  <c r="D69" i="9"/>
  <c r="F68" i="9"/>
  <c r="D68" i="9"/>
  <c r="F67" i="9"/>
  <c r="D67" i="9"/>
  <c r="F66" i="9"/>
  <c r="D66" i="9"/>
  <c r="F65" i="9"/>
  <c r="D65" i="9"/>
  <c r="F64" i="9"/>
  <c r="D64" i="9"/>
  <c r="F63" i="9"/>
  <c r="D63" i="9"/>
  <c r="F62" i="9"/>
  <c r="D62" i="9"/>
  <c r="F61" i="9"/>
  <c r="D61" i="9"/>
  <c r="F60" i="9"/>
  <c r="D60" i="9"/>
  <c r="F59" i="9"/>
  <c r="D59" i="9"/>
  <c r="F58" i="9"/>
  <c r="D58" i="9"/>
  <c r="F57" i="9"/>
  <c r="D57" i="9"/>
  <c r="F56" i="9"/>
  <c r="D56" i="9"/>
  <c r="F55" i="9"/>
  <c r="D55" i="9"/>
  <c r="F54" i="9"/>
  <c r="D54" i="9"/>
  <c r="F53" i="9"/>
  <c r="D53" i="9"/>
  <c r="F52" i="9"/>
  <c r="D52" i="9"/>
  <c r="F51" i="9"/>
  <c r="D51" i="9"/>
  <c r="F50" i="9"/>
  <c r="D50" i="9"/>
  <c r="F49" i="9"/>
  <c r="D49" i="9"/>
  <c r="F48" i="9"/>
  <c r="D48" i="9"/>
  <c r="F47" i="9"/>
  <c r="D47" i="9"/>
  <c r="F46" i="9"/>
  <c r="D46" i="9"/>
  <c r="F45" i="9"/>
  <c r="D45" i="9"/>
  <c r="F44" i="9"/>
  <c r="D44" i="9"/>
  <c r="F43" i="9"/>
  <c r="D43" i="9"/>
  <c r="F42" i="9"/>
  <c r="D42" i="9"/>
  <c r="F41" i="9"/>
  <c r="D41" i="9"/>
  <c r="F40" i="9"/>
  <c r="D40" i="9"/>
  <c r="F39" i="9"/>
  <c r="D39" i="9"/>
  <c r="F38" i="9"/>
  <c r="D38" i="9"/>
  <c r="F37" i="9"/>
  <c r="D37" i="9"/>
  <c r="F36" i="9"/>
  <c r="D36" i="9"/>
  <c r="F35" i="9"/>
  <c r="D35" i="9"/>
  <c r="F34" i="9"/>
  <c r="D34" i="9"/>
  <c r="F33" i="9"/>
  <c r="D33" i="9"/>
  <c r="F32" i="9"/>
  <c r="D32" i="9"/>
  <c r="F31" i="9"/>
  <c r="D31" i="9"/>
  <c r="F30" i="9"/>
  <c r="D30" i="9"/>
  <c r="F29" i="9"/>
  <c r="D29" i="9"/>
  <c r="F28" i="9"/>
  <c r="D28" i="9"/>
  <c r="F27" i="9"/>
  <c r="D27" i="9"/>
  <c r="F26" i="9"/>
  <c r="D26" i="9"/>
  <c r="F25" i="9"/>
  <c r="D25" i="9"/>
  <c r="F24" i="9"/>
  <c r="D24" i="9"/>
  <c r="F23" i="9"/>
  <c r="D23" i="9"/>
  <c r="F22" i="9"/>
  <c r="D22" i="9"/>
  <c r="F21" i="9"/>
  <c r="D21" i="9"/>
  <c r="F20" i="9"/>
  <c r="D20" i="9"/>
  <c r="F19" i="9"/>
  <c r="D19" i="9"/>
  <c r="F18" i="9"/>
  <c r="D18" i="9"/>
  <c r="F17" i="9"/>
  <c r="D17" i="9"/>
  <c r="F16" i="9"/>
  <c r="D16" i="9"/>
  <c r="F15" i="9"/>
  <c r="D15" i="9"/>
  <c r="F14" i="9"/>
  <c r="D14" i="9"/>
  <c r="F13" i="9"/>
  <c r="D13" i="9"/>
  <c r="F12" i="9"/>
  <c r="D12" i="9"/>
  <c r="F11" i="9"/>
  <c r="D11" i="9"/>
  <c r="F10" i="9"/>
  <c r="D10" i="9"/>
  <c r="F9" i="9"/>
  <c r="D9" i="9"/>
  <c r="F8" i="9"/>
  <c r="D8" i="9"/>
  <c r="F7" i="9"/>
  <c r="D7" i="9"/>
  <c r="F6" i="9"/>
  <c r="D6" i="9"/>
  <c r="F5" i="9"/>
  <c r="D5" i="9"/>
  <c r="F4" i="9"/>
  <c r="D4" i="9"/>
  <c r="F3" i="9"/>
  <c r="D3" i="9"/>
  <c r="F278" i="8"/>
  <c r="D278" i="8"/>
  <c r="F277" i="8"/>
  <c r="D277" i="8"/>
  <c r="F276" i="8"/>
  <c r="D276" i="8"/>
  <c r="F275" i="8"/>
  <c r="D275" i="8"/>
  <c r="F274" i="8"/>
  <c r="D274" i="8"/>
  <c r="F273" i="8"/>
  <c r="D273" i="8"/>
  <c r="F272" i="8"/>
  <c r="D272" i="8"/>
  <c r="F271" i="8"/>
  <c r="D271" i="8"/>
  <c r="F270" i="8"/>
  <c r="D270" i="8"/>
  <c r="F269" i="8"/>
  <c r="D269" i="8"/>
  <c r="F268" i="8"/>
  <c r="D268" i="8"/>
  <c r="F267" i="8"/>
  <c r="D267" i="8"/>
  <c r="F266" i="8"/>
  <c r="D266" i="8"/>
  <c r="F265" i="8"/>
  <c r="D265" i="8"/>
  <c r="F264" i="8"/>
  <c r="D264" i="8"/>
  <c r="F263" i="8"/>
  <c r="D263" i="8"/>
  <c r="F262" i="8"/>
  <c r="D262" i="8"/>
  <c r="F261" i="8"/>
  <c r="D261" i="8"/>
  <c r="F260" i="8"/>
  <c r="D260" i="8"/>
  <c r="F259" i="8"/>
  <c r="D259" i="8"/>
  <c r="F258" i="8"/>
  <c r="D258" i="8"/>
  <c r="F257" i="8"/>
  <c r="D257" i="8"/>
  <c r="F256" i="8"/>
  <c r="D256" i="8"/>
  <c r="F255" i="8"/>
  <c r="D255" i="8"/>
  <c r="F254" i="8"/>
  <c r="D254" i="8"/>
  <c r="F253" i="8"/>
  <c r="D253" i="8"/>
  <c r="F252" i="8"/>
  <c r="D252" i="8"/>
  <c r="F251" i="8"/>
  <c r="D251" i="8"/>
  <c r="F250" i="8"/>
  <c r="D250" i="8"/>
  <c r="F249" i="8"/>
  <c r="D249" i="8"/>
  <c r="F248" i="8"/>
  <c r="D248" i="8"/>
  <c r="F247" i="8"/>
  <c r="D247" i="8"/>
  <c r="F246" i="8"/>
  <c r="D246" i="8"/>
  <c r="F245" i="8"/>
  <c r="D245" i="8"/>
  <c r="F244" i="8"/>
  <c r="D244" i="8"/>
  <c r="F243" i="8"/>
  <c r="D243" i="8"/>
  <c r="F242" i="8"/>
  <c r="D242" i="8"/>
  <c r="F241" i="8"/>
  <c r="D241" i="8"/>
  <c r="F240" i="8"/>
  <c r="D240" i="8"/>
  <c r="F239" i="8"/>
  <c r="D239" i="8"/>
  <c r="F238" i="8"/>
  <c r="D238" i="8"/>
  <c r="F237" i="8"/>
  <c r="D237" i="8"/>
  <c r="F236" i="8"/>
  <c r="D236" i="8"/>
  <c r="F235" i="8"/>
  <c r="D235" i="8"/>
  <c r="F234" i="8"/>
  <c r="D234" i="8"/>
  <c r="F233" i="8"/>
  <c r="D233" i="8"/>
  <c r="F232" i="8"/>
  <c r="D232" i="8"/>
  <c r="F231" i="8"/>
  <c r="D231" i="8"/>
  <c r="F230" i="8"/>
  <c r="D230" i="8"/>
  <c r="F229" i="8"/>
  <c r="D229" i="8"/>
  <c r="F228" i="8"/>
  <c r="D228" i="8"/>
  <c r="F227" i="8"/>
  <c r="D227" i="8"/>
  <c r="F226" i="8"/>
  <c r="D226" i="8"/>
  <c r="F225" i="8"/>
  <c r="D225" i="8"/>
  <c r="F224" i="8"/>
  <c r="D224" i="8"/>
  <c r="F223" i="8"/>
  <c r="D223" i="8"/>
  <c r="F222" i="8"/>
  <c r="D222" i="8"/>
  <c r="F221" i="8"/>
  <c r="D221" i="8"/>
  <c r="F220" i="8"/>
  <c r="D220" i="8"/>
  <c r="F219" i="8"/>
  <c r="D219" i="8"/>
  <c r="F218" i="8"/>
  <c r="D218" i="8"/>
  <c r="F217" i="8"/>
  <c r="D217" i="8"/>
  <c r="F216" i="8"/>
  <c r="D216" i="8"/>
  <c r="F215" i="8"/>
  <c r="D215" i="8"/>
  <c r="F214" i="8"/>
  <c r="D214" i="8"/>
  <c r="F213" i="8"/>
  <c r="D213" i="8"/>
  <c r="F212" i="8"/>
  <c r="D212" i="8"/>
  <c r="F211" i="8"/>
  <c r="D211" i="8"/>
  <c r="F210" i="8"/>
  <c r="D210" i="8"/>
  <c r="F209" i="8"/>
  <c r="D209" i="8"/>
  <c r="F208" i="8"/>
  <c r="D208" i="8"/>
  <c r="F207" i="8"/>
  <c r="D207" i="8"/>
  <c r="F206" i="8"/>
  <c r="D206" i="8"/>
  <c r="F205" i="8"/>
  <c r="D205" i="8"/>
  <c r="F204" i="8"/>
  <c r="D204" i="8"/>
  <c r="F203" i="8"/>
  <c r="D203" i="8"/>
  <c r="F202" i="8"/>
  <c r="D202" i="8"/>
  <c r="F201" i="8"/>
  <c r="D201" i="8"/>
  <c r="F200" i="8"/>
  <c r="D200" i="8"/>
  <c r="F199" i="8"/>
  <c r="D199" i="8"/>
  <c r="F198" i="8"/>
  <c r="D198" i="8"/>
  <c r="F197" i="8"/>
  <c r="D197" i="8"/>
  <c r="F196" i="8"/>
  <c r="D196" i="8"/>
  <c r="F195" i="8"/>
  <c r="D195" i="8"/>
  <c r="F194" i="8"/>
  <c r="D194" i="8"/>
  <c r="F193" i="8"/>
  <c r="D193" i="8"/>
  <c r="F192" i="8"/>
  <c r="D192" i="8"/>
  <c r="F191" i="8"/>
  <c r="D191" i="8"/>
  <c r="F190" i="8"/>
  <c r="D190" i="8"/>
  <c r="F189" i="8"/>
  <c r="D189" i="8"/>
  <c r="F188" i="8"/>
  <c r="D188" i="8"/>
  <c r="F187" i="8"/>
  <c r="D187" i="8"/>
  <c r="F186" i="8"/>
  <c r="D186" i="8"/>
  <c r="F185" i="8"/>
  <c r="D185" i="8"/>
  <c r="F184" i="8"/>
  <c r="D184" i="8"/>
  <c r="F183" i="8"/>
  <c r="D183" i="8"/>
  <c r="F182" i="8"/>
  <c r="D182" i="8"/>
  <c r="F181" i="8"/>
  <c r="D181" i="8"/>
  <c r="F180" i="8"/>
  <c r="D180" i="8"/>
  <c r="F179" i="8"/>
  <c r="D179" i="8"/>
  <c r="F178" i="8"/>
  <c r="D178" i="8"/>
  <c r="F177" i="8"/>
  <c r="D177" i="8"/>
  <c r="F176" i="8"/>
  <c r="D176" i="8"/>
  <c r="F175" i="8"/>
  <c r="D175" i="8"/>
  <c r="F174" i="8"/>
  <c r="D174" i="8"/>
  <c r="F173" i="8"/>
  <c r="D173" i="8"/>
  <c r="F172" i="8"/>
  <c r="D172" i="8"/>
  <c r="F171" i="8"/>
  <c r="D171" i="8"/>
  <c r="F170" i="8"/>
  <c r="D170" i="8"/>
  <c r="F169" i="8"/>
  <c r="D169" i="8"/>
  <c r="F168" i="8"/>
  <c r="D168" i="8"/>
  <c r="F167" i="8"/>
  <c r="D167" i="8"/>
  <c r="F166" i="8"/>
  <c r="D166" i="8"/>
  <c r="F165" i="8"/>
  <c r="D165" i="8"/>
  <c r="F164" i="8"/>
  <c r="D164" i="8"/>
  <c r="F163" i="8"/>
  <c r="D163" i="8"/>
  <c r="F162" i="8"/>
  <c r="D162" i="8"/>
  <c r="F161" i="8"/>
  <c r="D161" i="8"/>
  <c r="F160" i="8"/>
  <c r="D160" i="8"/>
  <c r="F159" i="8"/>
  <c r="D159" i="8"/>
  <c r="F158" i="8"/>
  <c r="D158" i="8"/>
  <c r="F157" i="8"/>
  <c r="D157" i="8"/>
  <c r="F156" i="8"/>
  <c r="D156" i="8"/>
  <c r="F155" i="8"/>
  <c r="D155" i="8"/>
  <c r="F154" i="8"/>
  <c r="D154" i="8"/>
  <c r="F153" i="8"/>
  <c r="D153" i="8"/>
  <c r="F152" i="8"/>
  <c r="D152" i="8"/>
  <c r="F151" i="8"/>
  <c r="D151" i="8"/>
  <c r="F150" i="8"/>
  <c r="D150" i="8"/>
  <c r="F149" i="8"/>
  <c r="D149" i="8"/>
  <c r="F148" i="8"/>
  <c r="D148" i="8"/>
  <c r="F147" i="8"/>
  <c r="D147" i="8"/>
  <c r="F146" i="8"/>
  <c r="D146" i="8"/>
  <c r="F145" i="8"/>
  <c r="D145" i="8"/>
  <c r="F144" i="8"/>
  <c r="D144" i="8"/>
  <c r="F143" i="8"/>
  <c r="D143" i="8"/>
  <c r="F142" i="8"/>
  <c r="D142" i="8"/>
  <c r="F141" i="8"/>
  <c r="D141" i="8"/>
  <c r="F140" i="8"/>
  <c r="D140" i="8"/>
  <c r="F139" i="8"/>
  <c r="D139" i="8"/>
  <c r="F138" i="8"/>
  <c r="D138" i="8"/>
  <c r="F137" i="8"/>
  <c r="D137" i="8"/>
  <c r="F136" i="8"/>
  <c r="D136" i="8"/>
  <c r="F135" i="8"/>
  <c r="D135" i="8"/>
  <c r="F134" i="8"/>
  <c r="D134" i="8"/>
  <c r="F133" i="8"/>
  <c r="D133" i="8"/>
  <c r="F132" i="8"/>
  <c r="D132" i="8"/>
  <c r="F131" i="8"/>
  <c r="D131" i="8"/>
  <c r="F130" i="8"/>
  <c r="D130" i="8"/>
  <c r="F129" i="8"/>
  <c r="D129" i="8"/>
  <c r="F128" i="8"/>
  <c r="D128" i="8"/>
  <c r="F127" i="8"/>
  <c r="D127" i="8"/>
  <c r="F126" i="8"/>
  <c r="D126" i="8"/>
  <c r="F125" i="8"/>
  <c r="D125" i="8"/>
  <c r="F124" i="8"/>
  <c r="D124" i="8"/>
  <c r="F123" i="8"/>
  <c r="D123" i="8"/>
  <c r="F122" i="8"/>
  <c r="D122" i="8"/>
  <c r="F121" i="8"/>
  <c r="D121" i="8"/>
  <c r="F120" i="8"/>
  <c r="D120" i="8"/>
  <c r="F119" i="8"/>
  <c r="D119" i="8"/>
  <c r="F118" i="8"/>
  <c r="D118" i="8"/>
  <c r="F117" i="8"/>
  <c r="D117" i="8"/>
  <c r="F116" i="8"/>
  <c r="D116" i="8"/>
  <c r="F115" i="8"/>
  <c r="D115" i="8"/>
  <c r="F114" i="8"/>
  <c r="D114" i="8"/>
  <c r="F113" i="8"/>
  <c r="D113" i="8"/>
  <c r="F112" i="8"/>
  <c r="D112" i="8"/>
  <c r="F111" i="8"/>
  <c r="D111" i="8"/>
  <c r="F110" i="8"/>
  <c r="D110" i="8"/>
  <c r="F109" i="8"/>
  <c r="D109" i="8"/>
  <c r="F108" i="8"/>
  <c r="D108" i="8"/>
  <c r="F107" i="8"/>
  <c r="D107" i="8"/>
  <c r="F106" i="8"/>
  <c r="D106" i="8"/>
  <c r="F105" i="8"/>
  <c r="D105" i="8"/>
  <c r="F104" i="8"/>
  <c r="D104" i="8"/>
  <c r="F103" i="8"/>
  <c r="D103" i="8"/>
  <c r="F102" i="8"/>
  <c r="D102" i="8"/>
  <c r="F101" i="8"/>
  <c r="D101" i="8"/>
  <c r="F100" i="8"/>
  <c r="D100" i="8"/>
  <c r="F99" i="8"/>
  <c r="D99" i="8"/>
  <c r="F98" i="8"/>
  <c r="D98" i="8"/>
  <c r="F97" i="8"/>
  <c r="D97" i="8"/>
  <c r="F96" i="8"/>
  <c r="D96" i="8"/>
  <c r="F95" i="8"/>
  <c r="D95" i="8"/>
  <c r="F94" i="8"/>
  <c r="D94" i="8"/>
  <c r="F93" i="8"/>
  <c r="D93" i="8"/>
  <c r="F92" i="8"/>
  <c r="D92" i="8"/>
  <c r="F91" i="8"/>
  <c r="D91" i="8"/>
  <c r="F90" i="8"/>
  <c r="D90" i="8"/>
  <c r="F89" i="8"/>
  <c r="D89" i="8"/>
  <c r="F88" i="8"/>
  <c r="D88" i="8"/>
  <c r="F87" i="8"/>
  <c r="D87" i="8"/>
  <c r="F86" i="8"/>
  <c r="D86" i="8"/>
  <c r="F85" i="8"/>
  <c r="D85" i="8"/>
  <c r="F84" i="8"/>
  <c r="D84" i="8"/>
  <c r="F83" i="8"/>
  <c r="D83" i="8"/>
  <c r="F82" i="8"/>
  <c r="D82" i="8"/>
  <c r="F81" i="8"/>
  <c r="D81" i="8"/>
  <c r="F80" i="8"/>
  <c r="D80" i="8"/>
  <c r="F79" i="8"/>
  <c r="D79" i="8"/>
  <c r="F78" i="8"/>
  <c r="D78" i="8"/>
  <c r="F77" i="8"/>
  <c r="D77" i="8"/>
  <c r="F76" i="8"/>
  <c r="D76" i="8"/>
  <c r="F75" i="8"/>
  <c r="D75" i="8"/>
  <c r="F74" i="8"/>
  <c r="D74" i="8"/>
  <c r="F73" i="8"/>
  <c r="D73" i="8"/>
  <c r="F72" i="8"/>
  <c r="D72" i="8"/>
  <c r="F71" i="8"/>
  <c r="D71" i="8"/>
  <c r="F70" i="8"/>
  <c r="D70" i="8"/>
  <c r="F69" i="8"/>
  <c r="D69" i="8"/>
  <c r="F68" i="8"/>
  <c r="D68" i="8"/>
  <c r="F67" i="8"/>
  <c r="D67" i="8"/>
  <c r="F66" i="8"/>
  <c r="D66" i="8"/>
  <c r="F65" i="8"/>
  <c r="D65" i="8"/>
  <c r="F64" i="8"/>
  <c r="D64" i="8"/>
  <c r="F63" i="8"/>
  <c r="D63" i="8"/>
  <c r="F62" i="8"/>
  <c r="D62" i="8"/>
  <c r="F61" i="8"/>
  <c r="D61" i="8"/>
  <c r="F60" i="8"/>
  <c r="D60" i="8"/>
  <c r="F59" i="8"/>
  <c r="D59" i="8"/>
  <c r="F58" i="8"/>
  <c r="D58" i="8"/>
  <c r="F57" i="8"/>
  <c r="D57" i="8"/>
  <c r="F56" i="8"/>
  <c r="D56" i="8"/>
  <c r="F55" i="8"/>
  <c r="D55" i="8"/>
  <c r="F54" i="8"/>
  <c r="D54" i="8"/>
  <c r="F53" i="8"/>
  <c r="D53" i="8"/>
  <c r="F52" i="8"/>
  <c r="D52" i="8"/>
  <c r="F51" i="8"/>
  <c r="D51" i="8"/>
  <c r="F50" i="8"/>
  <c r="D50" i="8"/>
  <c r="F49" i="8"/>
  <c r="D49" i="8"/>
  <c r="F48" i="8"/>
  <c r="D48" i="8"/>
  <c r="F47" i="8"/>
  <c r="D47" i="8"/>
  <c r="F46" i="8"/>
  <c r="D46" i="8"/>
  <c r="F45" i="8"/>
  <c r="D45" i="8"/>
  <c r="F44" i="8"/>
  <c r="D44" i="8"/>
  <c r="F43" i="8"/>
  <c r="D43" i="8"/>
  <c r="F42" i="8"/>
  <c r="D42" i="8"/>
  <c r="F41" i="8"/>
  <c r="D41" i="8"/>
  <c r="F40" i="8"/>
  <c r="D40" i="8"/>
  <c r="F39" i="8"/>
  <c r="D39" i="8"/>
  <c r="F38" i="8"/>
  <c r="D38" i="8"/>
  <c r="F37" i="8"/>
  <c r="D37" i="8"/>
  <c r="F36" i="8"/>
  <c r="D36" i="8"/>
  <c r="F35" i="8"/>
  <c r="D35" i="8"/>
  <c r="F34" i="8"/>
  <c r="D34" i="8"/>
  <c r="F33" i="8"/>
  <c r="D33" i="8"/>
  <c r="F32" i="8"/>
  <c r="D32" i="8"/>
  <c r="F31" i="8"/>
  <c r="D31" i="8"/>
  <c r="F30" i="8"/>
  <c r="D30" i="8"/>
  <c r="F29" i="8"/>
  <c r="D29" i="8"/>
  <c r="F28" i="8"/>
  <c r="D28" i="8"/>
  <c r="F27" i="8"/>
  <c r="D27" i="8"/>
  <c r="F26" i="8"/>
  <c r="D26" i="8"/>
  <c r="F25" i="8"/>
  <c r="D25" i="8"/>
  <c r="F24" i="8"/>
  <c r="D24" i="8"/>
  <c r="F23" i="8"/>
  <c r="D23" i="8"/>
  <c r="F22" i="8"/>
  <c r="D22" i="8"/>
  <c r="F21" i="8"/>
  <c r="D21" i="8"/>
  <c r="F20" i="8"/>
  <c r="D20" i="8"/>
  <c r="F19" i="8"/>
  <c r="D19" i="8"/>
  <c r="F18" i="8"/>
  <c r="D18" i="8"/>
  <c r="F17" i="8"/>
  <c r="D17" i="8"/>
  <c r="F16" i="8"/>
  <c r="D16" i="8"/>
  <c r="F15" i="8"/>
  <c r="D15" i="8"/>
  <c r="F14" i="8"/>
  <c r="D14" i="8"/>
  <c r="F13" i="8"/>
  <c r="D13" i="8"/>
  <c r="F12" i="8"/>
  <c r="D12" i="8"/>
  <c r="F11" i="8"/>
  <c r="D11" i="8"/>
  <c r="F10" i="8"/>
  <c r="D10" i="8"/>
  <c r="F9" i="8"/>
  <c r="D9" i="8"/>
  <c r="F8" i="8"/>
  <c r="D8" i="8"/>
  <c r="F7" i="8"/>
  <c r="D7" i="8"/>
  <c r="F6" i="8"/>
  <c r="D6" i="8"/>
  <c r="F5" i="8"/>
  <c r="D5" i="8"/>
  <c r="F4" i="8"/>
  <c r="D4" i="8"/>
  <c r="F3" i="8"/>
  <c r="D3" i="8"/>
  <c r="S1400" i="5"/>
  <c r="U1400" i="5" s="1"/>
  <c r="O1400" i="5"/>
  <c r="S1399" i="5"/>
  <c r="U1399" i="5" s="1"/>
  <c r="R1399" i="5"/>
  <c r="O1399" i="5"/>
  <c r="S1398" i="5"/>
  <c r="T1398" i="5" s="1"/>
  <c r="O1398" i="5"/>
  <c r="S1397" i="5"/>
  <c r="U1397" i="5" s="1"/>
  <c r="O1397" i="5"/>
  <c r="Q1397" i="5" s="1"/>
  <c r="S1396" i="5"/>
  <c r="U1396" i="5" s="1"/>
  <c r="O1396" i="5"/>
  <c r="R1396" i="5" s="1"/>
  <c r="S1395" i="5"/>
  <c r="U1395" i="5" s="1"/>
  <c r="O1395" i="5"/>
  <c r="U1394" i="5"/>
  <c r="S1394" i="5"/>
  <c r="T1394" i="5" s="1"/>
  <c r="O1394" i="5"/>
  <c r="R1394" i="5" s="1"/>
  <c r="S1393" i="5"/>
  <c r="O1393" i="5"/>
  <c r="R1393" i="5" s="1"/>
  <c r="U1392" i="5"/>
  <c r="T1392" i="5"/>
  <c r="S1392" i="5"/>
  <c r="O1392" i="5"/>
  <c r="S1391" i="5"/>
  <c r="O1391" i="5"/>
  <c r="Q1391" i="5" s="1"/>
  <c r="S1390" i="5"/>
  <c r="O1390" i="5"/>
  <c r="R1390" i="5" s="1"/>
  <c r="S1389" i="5"/>
  <c r="U1389" i="5" s="1"/>
  <c r="R1389" i="5"/>
  <c r="P1389" i="5"/>
  <c r="O1389" i="5"/>
  <c r="Q1389" i="5" s="1"/>
  <c r="S1388" i="5"/>
  <c r="U1388" i="5" s="1"/>
  <c r="O1388" i="5"/>
  <c r="P1388" i="5" s="1"/>
  <c r="U1387" i="5"/>
  <c r="S1387" i="5"/>
  <c r="T1387" i="5" s="1"/>
  <c r="O1387" i="5"/>
  <c r="Q1387" i="5" s="1"/>
  <c r="U1386" i="5"/>
  <c r="S1386" i="5"/>
  <c r="T1386" i="5" s="1"/>
  <c r="O1386" i="5"/>
  <c r="R1386" i="5" s="1"/>
  <c r="S1385" i="5"/>
  <c r="Q1385" i="5"/>
  <c r="O1385" i="5"/>
  <c r="R1385" i="5" s="1"/>
  <c r="S1384" i="5"/>
  <c r="U1384" i="5" s="1"/>
  <c r="R1384" i="5"/>
  <c r="P1384" i="5"/>
  <c r="O1384" i="5"/>
  <c r="Q1384" i="5" s="1"/>
  <c r="S1383" i="5"/>
  <c r="O1383" i="5"/>
  <c r="S1382" i="5"/>
  <c r="T1382" i="5" s="1"/>
  <c r="O1382" i="5"/>
  <c r="S1381" i="5"/>
  <c r="U1381" i="5" s="1"/>
  <c r="O1381" i="5"/>
  <c r="S1380" i="5"/>
  <c r="U1380" i="5" s="1"/>
  <c r="O1380" i="5"/>
  <c r="R1380" i="5" s="1"/>
  <c r="S1379" i="5"/>
  <c r="U1379" i="5" s="1"/>
  <c r="O1379" i="5"/>
  <c r="S1378" i="5"/>
  <c r="U1378" i="5" s="1"/>
  <c r="O1378" i="5"/>
  <c r="T1377" i="5"/>
  <c r="S1377" i="5"/>
  <c r="U1377" i="5" s="1"/>
  <c r="O1377" i="5"/>
  <c r="R1377" i="5" s="1"/>
  <c r="S1376" i="5"/>
  <c r="U1376" i="5" s="1"/>
  <c r="R1376" i="5"/>
  <c r="O1376" i="5"/>
  <c r="Q1376" i="5" s="1"/>
  <c r="S1375" i="5"/>
  <c r="U1375" i="5" s="1"/>
  <c r="R1375" i="5"/>
  <c r="O1375" i="5"/>
  <c r="Q1375" i="5" s="1"/>
  <c r="S1374" i="5"/>
  <c r="U1374" i="5" s="1"/>
  <c r="O1374" i="5"/>
  <c r="S1373" i="5"/>
  <c r="R1373" i="5"/>
  <c r="P1373" i="5"/>
  <c r="O1373" i="5"/>
  <c r="Q1373" i="5" s="1"/>
  <c r="S1372" i="5"/>
  <c r="O1372" i="5"/>
  <c r="R1372" i="5" s="1"/>
  <c r="S1371" i="5"/>
  <c r="T1371" i="5" s="1"/>
  <c r="R1371" i="5"/>
  <c r="P1371" i="5"/>
  <c r="O1371" i="5"/>
  <c r="Q1371" i="5" s="1"/>
  <c r="T1370" i="5"/>
  <c r="S1370" i="5"/>
  <c r="U1370" i="5" s="1"/>
  <c r="O1370" i="5"/>
  <c r="R1370" i="5" s="1"/>
  <c r="S1369" i="5"/>
  <c r="T1369" i="5" s="1"/>
  <c r="R1369" i="5"/>
  <c r="Q1369" i="5"/>
  <c r="P1369" i="5"/>
  <c r="O1369" i="5"/>
  <c r="S1368" i="5"/>
  <c r="U1368" i="5" s="1"/>
  <c r="P1368" i="5"/>
  <c r="O1368" i="5"/>
  <c r="S1367" i="5"/>
  <c r="R1367" i="5"/>
  <c r="Q1367" i="5"/>
  <c r="O1367" i="5"/>
  <c r="P1367" i="5" s="1"/>
  <c r="S1366" i="5"/>
  <c r="T1366" i="5" s="1"/>
  <c r="O1366" i="5"/>
  <c r="S1365" i="5"/>
  <c r="U1365" i="5" s="1"/>
  <c r="O1365" i="5"/>
  <c r="S1364" i="5"/>
  <c r="U1364" i="5" s="1"/>
  <c r="O1364" i="5"/>
  <c r="R1364" i="5" s="1"/>
  <c r="S1363" i="5"/>
  <c r="U1363" i="5" s="1"/>
  <c r="O1363" i="5"/>
  <c r="T1362" i="5"/>
  <c r="S1362" i="5"/>
  <c r="U1362" i="5" s="1"/>
  <c r="Q1362" i="5"/>
  <c r="O1362" i="5"/>
  <c r="R1362" i="5" s="1"/>
  <c r="S1361" i="5"/>
  <c r="U1361" i="5" s="1"/>
  <c r="O1361" i="5"/>
  <c r="R1361" i="5" s="1"/>
  <c r="S1360" i="5"/>
  <c r="U1360" i="5" s="1"/>
  <c r="R1360" i="5"/>
  <c r="O1360" i="5"/>
  <c r="Q1360" i="5" s="1"/>
  <c r="S1359" i="5"/>
  <c r="U1359" i="5" s="1"/>
  <c r="O1359" i="5"/>
  <c r="T1358" i="5"/>
  <c r="S1358" i="5"/>
  <c r="U1358" i="5" s="1"/>
  <c r="P1358" i="5"/>
  <c r="O1358" i="5"/>
  <c r="T1357" i="5"/>
  <c r="S1357" i="5"/>
  <c r="U1357" i="5" s="1"/>
  <c r="R1357" i="5"/>
  <c r="P1357" i="5"/>
  <c r="O1357" i="5"/>
  <c r="Q1357" i="5" s="1"/>
  <c r="S1356" i="5"/>
  <c r="U1356" i="5" s="1"/>
  <c r="O1356" i="5"/>
  <c r="R1356" i="5" s="1"/>
  <c r="U1355" i="5"/>
  <c r="S1355" i="5"/>
  <c r="T1355" i="5" s="1"/>
  <c r="R1355" i="5"/>
  <c r="P1355" i="5"/>
  <c r="O1355" i="5"/>
  <c r="Q1355" i="5" s="1"/>
  <c r="S1354" i="5"/>
  <c r="O1354" i="5"/>
  <c r="R1354" i="5" s="1"/>
  <c r="U1353" i="5"/>
  <c r="S1353" i="5"/>
  <c r="T1353" i="5" s="1"/>
  <c r="O1353" i="5"/>
  <c r="S1352" i="5"/>
  <c r="U1352" i="5" s="1"/>
  <c r="R1352" i="5"/>
  <c r="P1352" i="5"/>
  <c r="O1352" i="5"/>
  <c r="Q1352" i="5" s="1"/>
  <c r="S1351" i="5"/>
  <c r="O1351" i="5"/>
  <c r="U1350" i="5"/>
  <c r="S1350" i="5"/>
  <c r="T1350" i="5" s="1"/>
  <c r="R1350" i="5"/>
  <c r="Q1350" i="5"/>
  <c r="O1350" i="5"/>
  <c r="P1350" i="5" s="1"/>
  <c r="S1349" i="5"/>
  <c r="U1349" i="5" s="1"/>
  <c r="O1349" i="5"/>
  <c r="Q1349" i="5" s="1"/>
  <c r="S1348" i="5"/>
  <c r="O1348" i="5"/>
  <c r="R1348" i="5" s="1"/>
  <c r="S1347" i="5"/>
  <c r="U1347" i="5" s="1"/>
  <c r="O1347" i="5"/>
  <c r="S1346" i="5"/>
  <c r="U1346" i="5" s="1"/>
  <c r="Q1346" i="5"/>
  <c r="O1346" i="5"/>
  <c r="R1346" i="5" s="1"/>
  <c r="S1345" i="5"/>
  <c r="U1345" i="5" s="1"/>
  <c r="O1345" i="5"/>
  <c r="R1345" i="5" s="1"/>
  <c r="S1344" i="5"/>
  <c r="U1344" i="5" s="1"/>
  <c r="O1344" i="5"/>
  <c r="R1344" i="5" s="1"/>
  <c r="S1343" i="5"/>
  <c r="U1343" i="5" s="1"/>
  <c r="R1343" i="5"/>
  <c r="O1343" i="5"/>
  <c r="Q1343" i="5" s="1"/>
  <c r="S1342" i="5"/>
  <c r="U1342" i="5" s="1"/>
  <c r="O1342" i="5"/>
  <c r="U1341" i="5"/>
  <c r="S1341" i="5"/>
  <c r="T1341" i="5" s="1"/>
  <c r="P1341" i="5"/>
  <c r="O1341" i="5"/>
  <c r="S1340" i="5"/>
  <c r="U1340" i="5" s="1"/>
  <c r="O1340" i="5"/>
  <c r="S1339" i="5"/>
  <c r="R1339" i="5"/>
  <c r="P1339" i="5"/>
  <c r="O1339" i="5"/>
  <c r="Q1339" i="5" s="1"/>
  <c r="S1338" i="5"/>
  <c r="U1338" i="5" s="1"/>
  <c r="O1338" i="5"/>
  <c r="R1338" i="5" s="1"/>
  <c r="S1337" i="5"/>
  <c r="T1337" i="5" s="1"/>
  <c r="R1337" i="5"/>
  <c r="Q1337" i="5"/>
  <c r="P1337" i="5"/>
  <c r="O1337" i="5"/>
  <c r="S1336" i="5"/>
  <c r="U1336" i="5" s="1"/>
  <c r="P1336" i="5"/>
  <c r="O1336" i="5"/>
  <c r="Q1336" i="5" s="1"/>
  <c r="S1335" i="5"/>
  <c r="R1335" i="5"/>
  <c r="Q1335" i="5"/>
  <c r="O1335" i="5"/>
  <c r="P1335" i="5" s="1"/>
  <c r="S1334" i="5"/>
  <c r="T1334" i="5" s="1"/>
  <c r="O1334" i="5"/>
  <c r="S1333" i="5"/>
  <c r="U1333" i="5" s="1"/>
  <c r="O1333" i="5"/>
  <c r="Q1333" i="5" s="1"/>
  <c r="S1332" i="5"/>
  <c r="O1332" i="5"/>
  <c r="R1332" i="5" s="1"/>
  <c r="S1331" i="5"/>
  <c r="U1331" i="5" s="1"/>
  <c r="O1331" i="5"/>
  <c r="S1330" i="5"/>
  <c r="U1330" i="5" s="1"/>
  <c r="Q1330" i="5"/>
  <c r="O1330" i="5"/>
  <c r="R1330" i="5" s="1"/>
  <c r="S1329" i="5"/>
  <c r="U1329" i="5" s="1"/>
  <c r="O1329" i="5"/>
  <c r="R1329" i="5" s="1"/>
  <c r="U1328" i="5"/>
  <c r="T1328" i="5"/>
  <c r="S1328" i="5"/>
  <c r="R1328" i="5"/>
  <c r="O1328" i="5"/>
  <c r="T1327" i="5"/>
  <c r="S1327" i="5"/>
  <c r="U1327" i="5" s="1"/>
  <c r="R1327" i="5"/>
  <c r="O1327" i="5"/>
  <c r="Q1327" i="5" s="1"/>
  <c r="T1326" i="5"/>
  <c r="S1326" i="5"/>
  <c r="U1326" i="5" s="1"/>
  <c r="O1326" i="5"/>
  <c r="R1326" i="5" s="1"/>
  <c r="U1325" i="5"/>
  <c r="T1325" i="5"/>
  <c r="S1325" i="5"/>
  <c r="P1325" i="5"/>
  <c r="O1325" i="5"/>
  <c r="S1324" i="5"/>
  <c r="O1324" i="5"/>
  <c r="U1323" i="5"/>
  <c r="S1323" i="5"/>
  <c r="T1323" i="5" s="1"/>
  <c r="O1323" i="5"/>
  <c r="Q1323" i="5" s="1"/>
  <c r="U1322" i="5"/>
  <c r="T1322" i="5"/>
  <c r="S1322" i="5"/>
  <c r="O1322" i="5"/>
  <c r="R1322" i="5" s="1"/>
  <c r="S1321" i="5"/>
  <c r="T1321" i="5" s="1"/>
  <c r="Q1321" i="5"/>
  <c r="P1321" i="5"/>
  <c r="O1321" i="5"/>
  <c r="R1321" i="5" s="1"/>
  <c r="S1320" i="5"/>
  <c r="T1320" i="5" s="1"/>
  <c r="R1320" i="5"/>
  <c r="P1320" i="5"/>
  <c r="O1320" i="5"/>
  <c r="Q1320" i="5" s="1"/>
  <c r="S1319" i="5"/>
  <c r="O1319" i="5"/>
  <c r="U1318" i="5"/>
  <c r="S1318" i="5"/>
  <c r="T1318" i="5" s="1"/>
  <c r="R1318" i="5"/>
  <c r="O1318" i="5"/>
  <c r="S1317" i="5"/>
  <c r="U1317" i="5" s="1"/>
  <c r="O1317" i="5"/>
  <c r="Q1317" i="5" s="1"/>
  <c r="S1316" i="5"/>
  <c r="O1316" i="5"/>
  <c r="S1315" i="5"/>
  <c r="U1315" i="5" s="1"/>
  <c r="O1315" i="5"/>
  <c r="S1314" i="5"/>
  <c r="U1314" i="5" s="1"/>
  <c r="O1314" i="5"/>
  <c r="T1313" i="5"/>
  <c r="S1313" i="5"/>
  <c r="U1313" i="5" s="1"/>
  <c r="O1313" i="5"/>
  <c r="R1313" i="5" s="1"/>
  <c r="S1312" i="5"/>
  <c r="R1312" i="5"/>
  <c r="O1312" i="5"/>
  <c r="T1311" i="5"/>
  <c r="S1311" i="5"/>
  <c r="U1311" i="5" s="1"/>
  <c r="R1311" i="5"/>
  <c r="O1311" i="5"/>
  <c r="Q1311" i="5" s="1"/>
  <c r="S1310" i="5"/>
  <c r="U1310" i="5" s="1"/>
  <c r="R1310" i="5"/>
  <c r="Q1310" i="5"/>
  <c r="P1310" i="5"/>
  <c r="O1310" i="5"/>
  <c r="U1309" i="5"/>
  <c r="T1309" i="5"/>
  <c r="S1309" i="5"/>
  <c r="R1309" i="5"/>
  <c r="P1309" i="5"/>
  <c r="O1309" i="5"/>
  <c r="Q1309" i="5" s="1"/>
  <c r="S1308" i="5"/>
  <c r="U1308" i="5" s="1"/>
  <c r="R1308" i="5"/>
  <c r="Q1308" i="5"/>
  <c r="O1308" i="5"/>
  <c r="P1308" i="5" s="1"/>
  <c r="S1307" i="5"/>
  <c r="R1307" i="5"/>
  <c r="O1307" i="5"/>
  <c r="U1306" i="5"/>
  <c r="T1306" i="5"/>
  <c r="S1306" i="5"/>
  <c r="O1306" i="5"/>
  <c r="R1306" i="5" s="1"/>
  <c r="S1305" i="5"/>
  <c r="T1305" i="5" s="1"/>
  <c r="R1305" i="5"/>
  <c r="Q1305" i="5"/>
  <c r="P1305" i="5"/>
  <c r="O1305" i="5"/>
  <c r="S1304" i="5"/>
  <c r="T1304" i="5" s="1"/>
  <c r="O1304" i="5"/>
  <c r="S1303" i="5"/>
  <c r="R1303" i="5"/>
  <c r="Q1303" i="5"/>
  <c r="O1303" i="5"/>
  <c r="P1303" i="5" s="1"/>
  <c r="S1302" i="5"/>
  <c r="T1302" i="5" s="1"/>
  <c r="O1302" i="5"/>
  <c r="R1302" i="5" s="1"/>
  <c r="S1301" i="5"/>
  <c r="U1301" i="5" s="1"/>
  <c r="O1301" i="5"/>
  <c r="S1300" i="5"/>
  <c r="O1300" i="5"/>
  <c r="Q1300" i="5" s="1"/>
  <c r="S1299" i="5"/>
  <c r="U1299" i="5" s="1"/>
  <c r="O1299" i="5"/>
  <c r="S1298" i="5"/>
  <c r="O1298" i="5"/>
  <c r="T1297" i="5"/>
  <c r="S1297" i="5"/>
  <c r="U1297" i="5" s="1"/>
  <c r="O1297" i="5"/>
  <c r="R1297" i="5" s="1"/>
  <c r="T1296" i="5"/>
  <c r="S1296" i="5"/>
  <c r="U1296" i="5" s="1"/>
  <c r="O1296" i="5"/>
  <c r="R1296" i="5" s="1"/>
  <c r="T1295" i="5"/>
  <c r="S1295" i="5"/>
  <c r="U1295" i="5" s="1"/>
  <c r="O1295" i="5"/>
  <c r="Q1295" i="5" s="1"/>
  <c r="S1294" i="5"/>
  <c r="R1294" i="5"/>
  <c r="Q1294" i="5"/>
  <c r="P1294" i="5"/>
  <c r="O1294" i="5"/>
  <c r="S1293" i="5"/>
  <c r="O1293" i="5"/>
  <c r="T1292" i="5"/>
  <c r="S1292" i="5"/>
  <c r="U1292" i="5" s="1"/>
  <c r="O1292" i="5"/>
  <c r="P1292" i="5" s="1"/>
  <c r="S1291" i="5"/>
  <c r="T1291" i="5" s="1"/>
  <c r="R1291" i="5"/>
  <c r="P1291" i="5"/>
  <c r="O1291" i="5"/>
  <c r="Q1291" i="5" s="1"/>
  <c r="S1290" i="5"/>
  <c r="P1290" i="5"/>
  <c r="O1290" i="5"/>
  <c r="R1290" i="5" s="1"/>
  <c r="S1289" i="5"/>
  <c r="R1289" i="5"/>
  <c r="Q1289" i="5"/>
  <c r="P1289" i="5"/>
  <c r="O1289" i="5"/>
  <c r="S1288" i="5"/>
  <c r="T1288" i="5" s="1"/>
  <c r="R1288" i="5"/>
  <c r="P1288" i="5"/>
  <c r="O1288" i="5"/>
  <c r="Q1288" i="5" s="1"/>
  <c r="U1287" i="5"/>
  <c r="S1287" i="5"/>
  <c r="T1287" i="5" s="1"/>
  <c r="O1287" i="5"/>
  <c r="S1286" i="5"/>
  <c r="R1286" i="5"/>
  <c r="Q1286" i="5"/>
  <c r="P1286" i="5"/>
  <c r="O1286" i="5"/>
  <c r="S1285" i="5"/>
  <c r="O1285" i="5"/>
  <c r="S1284" i="5"/>
  <c r="O1284" i="5"/>
  <c r="S1283" i="5"/>
  <c r="U1283" i="5" s="1"/>
  <c r="O1283" i="5"/>
  <c r="S1282" i="5"/>
  <c r="U1282" i="5" s="1"/>
  <c r="O1282" i="5"/>
  <c r="T1281" i="5"/>
  <c r="S1281" i="5"/>
  <c r="U1281" i="5" s="1"/>
  <c r="O1281" i="5"/>
  <c r="S1280" i="5"/>
  <c r="T1280" i="5" s="1"/>
  <c r="O1280" i="5"/>
  <c r="S1279" i="5"/>
  <c r="U1279" i="5" s="1"/>
  <c r="O1279" i="5"/>
  <c r="T1278" i="5"/>
  <c r="S1278" i="5"/>
  <c r="U1278" i="5" s="1"/>
  <c r="O1278" i="5"/>
  <c r="R1278" i="5" s="1"/>
  <c r="U1277" i="5"/>
  <c r="T1277" i="5"/>
  <c r="S1277" i="5"/>
  <c r="O1277" i="5"/>
  <c r="S1276" i="5"/>
  <c r="R1276" i="5"/>
  <c r="Q1276" i="5"/>
  <c r="P1276" i="5"/>
  <c r="O1276" i="5"/>
  <c r="S1275" i="5"/>
  <c r="R1275" i="5"/>
  <c r="P1275" i="5"/>
  <c r="O1275" i="5"/>
  <c r="Q1275" i="5" s="1"/>
  <c r="U1274" i="5"/>
  <c r="T1274" i="5"/>
  <c r="S1274" i="5"/>
  <c r="O1274" i="5"/>
  <c r="S1273" i="5"/>
  <c r="T1273" i="5" s="1"/>
  <c r="R1273" i="5"/>
  <c r="Q1273" i="5"/>
  <c r="O1273" i="5"/>
  <c r="P1273" i="5" s="1"/>
  <c r="S1272" i="5"/>
  <c r="T1272" i="5" s="1"/>
  <c r="O1272" i="5"/>
  <c r="S1271" i="5"/>
  <c r="U1271" i="5" s="1"/>
  <c r="R1271" i="5"/>
  <c r="O1271" i="5"/>
  <c r="S1270" i="5"/>
  <c r="O1270" i="5"/>
  <c r="S1269" i="5"/>
  <c r="O1269" i="5"/>
  <c r="P1269" i="5" s="1"/>
  <c r="S1268" i="5"/>
  <c r="O1268" i="5"/>
  <c r="Q1268" i="5" s="1"/>
  <c r="S1267" i="5"/>
  <c r="U1267" i="5" s="1"/>
  <c r="O1267" i="5"/>
  <c r="T1266" i="5"/>
  <c r="S1266" i="5"/>
  <c r="U1266" i="5" s="1"/>
  <c r="O1266" i="5"/>
  <c r="Q1266" i="5" s="1"/>
  <c r="S1265" i="5"/>
  <c r="O1265" i="5"/>
  <c r="U1264" i="5"/>
  <c r="T1264" i="5"/>
  <c r="S1264" i="5"/>
  <c r="O1264" i="5"/>
  <c r="T1263" i="5"/>
  <c r="S1263" i="5"/>
  <c r="U1263" i="5" s="1"/>
  <c r="O1263" i="5"/>
  <c r="Q1263" i="5" s="1"/>
  <c r="S1262" i="5"/>
  <c r="U1262" i="5" s="1"/>
  <c r="R1262" i="5"/>
  <c r="Q1262" i="5"/>
  <c r="O1262" i="5"/>
  <c r="P1262" i="5" s="1"/>
  <c r="T1261" i="5"/>
  <c r="S1261" i="5"/>
  <c r="U1261" i="5" s="1"/>
  <c r="R1261" i="5"/>
  <c r="P1261" i="5"/>
  <c r="O1261" i="5"/>
  <c r="Q1261" i="5" s="1"/>
  <c r="S1260" i="5"/>
  <c r="R1260" i="5"/>
  <c r="Q1260" i="5"/>
  <c r="P1260" i="5"/>
  <c r="O1260" i="5"/>
  <c r="U1259" i="5"/>
  <c r="S1259" i="5"/>
  <c r="T1259" i="5" s="1"/>
  <c r="O1259" i="5"/>
  <c r="Q1259" i="5" s="1"/>
  <c r="S1258" i="5"/>
  <c r="O1258" i="5"/>
  <c r="S1257" i="5"/>
  <c r="R1257" i="5"/>
  <c r="Q1257" i="5"/>
  <c r="P1257" i="5"/>
  <c r="O1257" i="5"/>
  <c r="S1256" i="5"/>
  <c r="T1256" i="5" s="1"/>
  <c r="R1256" i="5"/>
  <c r="O1256" i="5"/>
  <c r="Q1256" i="5" s="1"/>
  <c r="T1255" i="5"/>
  <c r="S1255" i="5"/>
  <c r="U1255" i="5" s="1"/>
  <c r="R1255" i="5"/>
  <c r="Q1255" i="5"/>
  <c r="O1255" i="5"/>
  <c r="P1255" i="5" s="1"/>
  <c r="S1254" i="5"/>
  <c r="R1254" i="5"/>
  <c r="Q1254" i="5"/>
  <c r="P1254" i="5"/>
  <c r="O1254" i="5"/>
  <c r="S1253" i="5"/>
  <c r="R1253" i="5"/>
  <c r="Q1253" i="5"/>
  <c r="O1253" i="5"/>
  <c r="P1253" i="5" s="1"/>
  <c r="S1252" i="5"/>
  <c r="O1252" i="5"/>
  <c r="S1251" i="5"/>
  <c r="U1251" i="5" s="1"/>
  <c r="O1251" i="5"/>
  <c r="U1250" i="5"/>
  <c r="T1250" i="5"/>
  <c r="S1250" i="5"/>
  <c r="O1250" i="5"/>
  <c r="S1249" i="5"/>
  <c r="U1249" i="5" s="1"/>
  <c r="Q1249" i="5"/>
  <c r="O1249" i="5"/>
  <c r="U1248" i="5"/>
  <c r="S1248" i="5"/>
  <c r="T1248" i="5" s="1"/>
  <c r="O1248" i="5"/>
  <c r="S1247" i="5"/>
  <c r="U1247" i="5" s="1"/>
  <c r="R1247" i="5"/>
  <c r="Q1247" i="5"/>
  <c r="O1247" i="5"/>
  <c r="P1247" i="5" s="1"/>
  <c r="S1246" i="5"/>
  <c r="U1246" i="5" s="1"/>
  <c r="O1246" i="5"/>
  <c r="U1245" i="5"/>
  <c r="T1245" i="5"/>
  <c r="S1245" i="5"/>
  <c r="R1245" i="5"/>
  <c r="P1245" i="5"/>
  <c r="O1245" i="5"/>
  <c r="Q1245" i="5" s="1"/>
  <c r="S1244" i="5"/>
  <c r="U1244" i="5" s="1"/>
  <c r="O1244" i="5"/>
  <c r="Q1244" i="5" s="1"/>
  <c r="S1243" i="5"/>
  <c r="O1243" i="5"/>
  <c r="U1242" i="5"/>
  <c r="S1242" i="5"/>
  <c r="T1242" i="5" s="1"/>
  <c r="O1242" i="5"/>
  <c r="T1241" i="5"/>
  <c r="S1241" i="5"/>
  <c r="U1241" i="5" s="1"/>
  <c r="O1241" i="5"/>
  <c r="U1240" i="5"/>
  <c r="S1240" i="5"/>
  <c r="T1240" i="5" s="1"/>
  <c r="R1240" i="5"/>
  <c r="P1240" i="5"/>
  <c r="O1240" i="5"/>
  <c r="Q1240" i="5" s="1"/>
  <c r="S1239" i="5"/>
  <c r="U1239" i="5" s="1"/>
  <c r="R1239" i="5"/>
  <c r="O1239" i="5"/>
  <c r="P1239" i="5" s="1"/>
  <c r="U1238" i="5"/>
  <c r="S1238" i="5"/>
  <c r="T1238" i="5" s="1"/>
  <c r="O1238" i="5"/>
  <c r="U1237" i="5"/>
  <c r="S1237" i="5"/>
  <c r="T1237" i="5" s="1"/>
  <c r="O1237" i="5"/>
  <c r="R1237" i="5" s="1"/>
  <c r="S1236" i="5"/>
  <c r="O1236" i="5"/>
  <c r="Q1236" i="5" s="1"/>
  <c r="S1235" i="5"/>
  <c r="T1235" i="5" s="1"/>
  <c r="O1235" i="5"/>
  <c r="R1235" i="5" s="1"/>
  <c r="S1234" i="5"/>
  <c r="Q1234" i="5"/>
  <c r="O1234" i="5"/>
  <c r="P1234" i="5" s="1"/>
  <c r="S1233" i="5"/>
  <c r="U1233" i="5" s="1"/>
  <c r="O1233" i="5"/>
  <c r="Q1233" i="5" s="1"/>
  <c r="S1232" i="5"/>
  <c r="U1232" i="5" s="1"/>
  <c r="O1232" i="5"/>
  <c r="Q1232" i="5" s="1"/>
  <c r="S1231" i="5"/>
  <c r="R1231" i="5"/>
  <c r="O1231" i="5"/>
  <c r="P1231" i="5" s="1"/>
  <c r="S1230" i="5"/>
  <c r="U1230" i="5" s="1"/>
  <c r="R1230" i="5"/>
  <c r="Q1230" i="5"/>
  <c r="P1230" i="5"/>
  <c r="O1230" i="5"/>
  <c r="S1229" i="5"/>
  <c r="Q1229" i="5"/>
  <c r="P1229" i="5"/>
  <c r="O1229" i="5"/>
  <c r="R1229" i="5" s="1"/>
  <c r="T1228" i="5"/>
  <c r="S1228" i="5"/>
  <c r="U1228" i="5" s="1"/>
  <c r="R1228" i="5"/>
  <c r="Q1228" i="5"/>
  <c r="P1228" i="5"/>
  <c r="O1228" i="5"/>
  <c r="U1227" i="5"/>
  <c r="S1227" i="5"/>
  <c r="T1227" i="5" s="1"/>
  <c r="R1227" i="5"/>
  <c r="O1227" i="5"/>
  <c r="Q1227" i="5" s="1"/>
  <c r="S1226" i="5"/>
  <c r="R1226" i="5"/>
  <c r="P1226" i="5"/>
  <c r="O1226" i="5"/>
  <c r="Q1226" i="5" s="1"/>
  <c r="S1225" i="5"/>
  <c r="U1225" i="5" s="1"/>
  <c r="O1225" i="5"/>
  <c r="S1224" i="5"/>
  <c r="R1224" i="5"/>
  <c r="P1224" i="5"/>
  <c r="O1224" i="5"/>
  <c r="Q1224" i="5" s="1"/>
  <c r="S1223" i="5"/>
  <c r="U1223" i="5" s="1"/>
  <c r="O1223" i="5"/>
  <c r="P1223" i="5" s="1"/>
  <c r="U1222" i="5"/>
  <c r="S1222" i="5"/>
  <c r="T1222" i="5" s="1"/>
  <c r="O1222" i="5"/>
  <c r="S1221" i="5"/>
  <c r="T1221" i="5" s="1"/>
  <c r="O1221" i="5"/>
  <c r="S1220" i="5"/>
  <c r="U1220" i="5" s="1"/>
  <c r="O1220" i="5"/>
  <c r="R1220" i="5" s="1"/>
  <c r="S1219" i="5"/>
  <c r="O1219" i="5"/>
  <c r="T1218" i="5"/>
  <c r="S1218" i="5"/>
  <c r="U1218" i="5" s="1"/>
  <c r="O1218" i="5"/>
  <c r="S1217" i="5"/>
  <c r="O1217" i="5"/>
  <c r="S1216" i="5"/>
  <c r="U1216" i="5" s="1"/>
  <c r="R1216" i="5"/>
  <c r="O1216" i="5"/>
  <c r="Q1216" i="5" s="1"/>
  <c r="S1215" i="5"/>
  <c r="U1215" i="5" s="1"/>
  <c r="O1215" i="5"/>
  <c r="S1214" i="5"/>
  <c r="U1214" i="5" s="1"/>
  <c r="R1214" i="5"/>
  <c r="Q1214" i="5"/>
  <c r="P1214" i="5"/>
  <c r="O1214" i="5"/>
  <c r="T1213" i="5"/>
  <c r="S1213" i="5"/>
  <c r="U1213" i="5" s="1"/>
  <c r="O1213" i="5"/>
  <c r="R1213" i="5" s="1"/>
  <c r="T1212" i="5"/>
  <c r="S1212" i="5"/>
  <c r="U1212" i="5" s="1"/>
  <c r="O1212" i="5"/>
  <c r="R1212" i="5" s="1"/>
  <c r="S1211" i="5"/>
  <c r="O1211" i="5"/>
  <c r="Q1211" i="5" s="1"/>
  <c r="U1210" i="5"/>
  <c r="T1210" i="5"/>
  <c r="S1210" i="5"/>
  <c r="Q1210" i="5"/>
  <c r="P1210" i="5"/>
  <c r="O1210" i="5"/>
  <c r="R1210" i="5" s="1"/>
  <c r="S1209" i="5"/>
  <c r="U1209" i="5" s="1"/>
  <c r="R1209" i="5"/>
  <c r="Q1209" i="5"/>
  <c r="P1209" i="5"/>
  <c r="O1209" i="5"/>
  <c r="S1208" i="5"/>
  <c r="U1208" i="5" s="1"/>
  <c r="O1208" i="5"/>
  <c r="S1207" i="5"/>
  <c r="T1207" i="5" s="1"/>
  <c r="O1207" i="5"/>
  <c r="S1206" i="5"/>
  <c r="O1206" i="5"/>
  <c r="R1206" i="5" s="1"/>
  <c r="U1205" i="5"/>
  <c r="T1205" i="5"/>
  <c r="S1205" i="5"/>
  <c r="O1205" i="5"/>
  <c r="R1205" i="5" s="1"/>
  <c r="U1204" i="5"/>
  <c r="S1204" i="5"/>
  <c r="T1204" i="5" s="1"/>
  <c r="O1204" i="5"/>
  <c r="S1203" i="5"/>
  <c r="U1203" i="5" s="1"/>
  <c r="R1203" i="5"/>
  <c r="Q1203" i="5"/>
  <c r="O1203" i="5"/>
  <c r="P1203" i="5" s="1"/>
  <c r="S1202" i="5"/>
  <c r="U1202" i="5" s="1"/>
  <c r="R1202" i="5"/>
  <c r="P1202" i="5"/>
  <c r="O1202" i="5"/>
  <c r="Q1202" i="5" s="1"/>
  <c r="S1201" i="5"/>
  <c r="U1201" i="5" s="1"/>
  <c r="O1201" i="5"/>
  <c r="S1200" i="5"/>
  <c r="U1200" i="5" s="1"/>
  <c r="R1200" i="5"/>
  <c r="Q1200" i="5"/>
  <c r="O1200" i="5"/>
  <c r="P1200" i="5" s="1"/>
  <c r="S1199" i="5"/>
  <c r="O1199" i="5"/>
  <c r="R1199" i="5" s="1"/>
  <c r="U1198" i="5"/>
  <c r="T1198" i="5"/>
  <c r="S1198" i="5"/>
  <c r="R1198" i="5"/>
  <c r="Q1198" i="5"/>
  <c r="O1198" i="5"/>
  <c r="P1198" i="5" s="1"/>
  <c r="S1197" i="5"/>
  <c r="O1197" i="5"/>
  <c r="R1197" i="5" s="1"/>
  <c r="U1196" i="5"/>
  <c r="S1196" i="5"/>
  <c r="T1196" i="5" s="1"/>
  <c r="R1196" i="5"/>
  <c r="O1196" i="5"/>
  <c r="Q1196" i="5" s="1"/>
  <c r="S1195" i="5"/>
  <c r="O1195" i="5"/>
  <c r="S1194" i="5"/>
  <c r="U1194" i="5" s="1"/>
  <c r="R1194" i="5"/>
  <c r="Q1194" i="5"/>
  <c r="O1194" i="5"/>
  <c r="P1194" i="5" s="1"/>
  <c r="S1193" i="5"/>
  <c r="U1193" i="5" s="1"/>
  <c r="Q1193" i="5"/>
  <c r="O1193" i="5"/>
  <c r="R1193" i="5" s="1"/>
  <c r="S1192" i="5"/>
  <c r="U1192" i="5" s="1"/>
  <c r="Q1192" i="5"/>
  <c r="P1192" i="5"/>
  <c r="O1192" i="5"/>
  <c r="R1192" i="5" s="1"/>
  <c r="S1191" i="5"/>
  <c r="T1191" i="5" s="1"/>
  <c r="O1191" i="5"/>
  <c r="S1190" i="5"/>
  <c r="O1190" i="5"/>
  <c r="R1190" i="5" s="1"/>
  <c r="S1189" i="5"/>
  <c r="U1189" i="5" s="1"/>
  <c r="O1189" i="5"/>
  <c r="R1189" i="5" s="1"/>
  <c r="S1188" i="5"/>
  <c r="T1188" i="5" s="1"/>
  <c r="R1188" i="5"/>
  <c r="O1188" i="5"/>
  <c r="Q1188" i="5" s="1"/>
  <c r="S1187" i="5"/>
  <c r="U1187" i="5" s="1"/>
  <c r="R1187" i="5"/>
  <c r="O1187" i="5"/>
  <c r="P1187" i="5" s="1"/>
  <c r="S1186" i="5"/>
  <c r="O1186" i="5"/>
  <c r="R1186" i="5" s="1"/>
  <c r="S1185" i="5"/>
  <c r="U1185" i="5" s="1"/>
  <c r="Q1185" i="5"/>
  <c r="O1185" i="5"/>
  <c r="R1185" i="5" s="1"/>
  <c r="S1184" i="5"/>
  <c r="U1184" i="5" s="1"/>
  <c r="Q1184" i="5"/>
  <c r="P1184" i="5"/>
  <c r="O1184" i="5"/>
  <c r="R1184" i="5" s="1"/>
  <c r="S1183" i="5"/>
  <c r="T1183" i="5" s="1"/>
  <c r="O1183" i="5"/>
  <c r="R1183" i="5" s="1"/>
  <c r="U1182" i="5"/>
  <c r="S1182" i="5"/>
  <c r="T1182" i="5" s="1"/>
  <c r="O1182" i="5"/>
  <c r="S1181" i="5"/>
  <c r="T1181" i="5" s="1"/>
  <c r="O1181" i="5"/>
  <c r="R1181" i="5" s="1"/>
  <c r="S1180" i="5"/>
  <c r="O1180" i="5"/>
  <c r="S1179" i="5"/>
  <c r="R1179" i="5"/>
  <c r="Q1179" i="5"/>
  <c r="O1179" i="5"/>
  <c r="P1179" i="5" s="1"/>
  <c r="S1178" i="5"/>
  <c r="U1178" i="5" s="1"/>
  <c r="O1178" i="5"/>
  <c r="S1177" i="5"/>
  <c r="U1177" i="5" s="1"/>
  <c r="O1177" i="5"/>
  <c r="R1177" i="5" s="1"/>
  <c r="S1176" i="5"/>
  <c r="U1176" i="5" s="1"/>
  <c r="O1176" i="5"/>
  <c r="S1175" i="5"/>
  <c r="O1175" i="5"/>
  <c r="U1174" i="5"/>
  <c r="T1174" i="5"/>
  <c r="S1174" i="5"/>
  <c r="O1174" i="5"/>
  <c r="R1174" i="5" s="1"/>
  <c r="S1173" i="5"/>
  <c r="U1173" i="5" s="1"/>
  <c r="O1173" i="5"/>
  <c r="R1173" i="5" s="1"/>
  <c r="U1172" i="5"/>
  <c r="S1172" i="5"/>
  <c r="T1172" i="5" s="1"/>
  <c r="R1172" i="5"/>
  <c r="O1172" i="5"/>
  <c r="Q1172" i="5" s="1"/>
  <c r="S1171" i="5"/>
  <c r="U1171" i="5" s="1"/>
  <c r="Q1171" i="5"/>
  <c r="O1171" i="5"/>
  <c r="P1171" i="5" s="1"/>
  <c r="U1170" i="5"/>
  <c r="T1170" i="5"/>
  <c r="S1170" i="5"/>
  <c r="O1170" i="5"/>
  <c r="R1170" i="5" s="1"/>
  <c r="S1169" i="5"/>
  <c r="U1169" i="5" s="1"/>
  <c r="R1169" i="5"/>
  <c r="Q1169" i="5"/>
  <c r="P1169" i="5"/>
  <c r="O1169" i="5"/>
  <c r="S1168" i="5"/>
  <c r="U1168" i="5" s="1"/>
  <c r="O1168" i="5"/>
  <c r="U1167" i="5"/>
  <c r="S1167" i="5"/>
  <c r="T1167" i="5" s="1"/>
  <c r="O1167" i="5"/>
  <c r="R1167" i="5" s="1"/>
  <c r="S1166" i="5"/>
  <c r="U1166" i="5" s="1"/>
  <c r="R1166" i="5"/>
  <c r="Q1166" i="5"/>
  <c r="P1166" i="5"/>
  <c r="O1166" i="5"/>
  <c r="U1165" i="5"/>
  <c r="S1165" i="5"/>
  <c r="T1165" i="5" s="1"/>
  <c r="O1165" i="5"/>
  <c r="R1165" i="5" s="1"/>
  <c r="T1164" i="5"/>
  <c r="S1164" i="5"/>
  <c r="U1164" i="5" s="1"/>
  <c r="O1164" i="5"/>
  <c r="S1163" i="5"/>
  <c r="Q1163" i="5"/>
  <c r="O1163" i="5"/>
  <c r="S1162" i="5"/>
  <c r="U1162" i="5" s="1"/>
  <c r="P1162" i="5"/>
  <c r="O1162" i="5"/>
  <c r="S1161" i="5"/>
  <c r="U1161" i="5" s="1"/>
  <c r="Q1161" i="5"/>
  <c r="O1161" i="5"/>
  <c r="R1161" i="5" s="1"/>
  <c r="S1160" i="5"/>
  <c r="U1160" i="5" s="1"/>
  <c r="O1160" i="5"/>
  <c r="R1160" i="5" s="1"/>
  <c r="S1159" i="5"/>
  <c r="T1159" i="5" s="1"/>
  <c r="O1159" i="5"/>
  <c r="U1158" i="5"/>
  <c r="S1158" i="5"/>
  <c r="T1158" i="5" s="1"/>
  <c r="O1158" i="5"/>
  <c r="R1158" i="5" s="1"/>
  <c r="S1157" i="5"/>
  <c r="O1157" i="5"/>
  <c r="R1157" i="5" s="1"/>
  <c r="S1156" i="5"/>
  <c r="O1156" i="5"/>
  <c r="Q1156" i="5" s="1"/>
  <c r="S1155" i="5"/>
  <c r="U1155" i="5" s="1"/>
  <c r="O1155" i="5"/>
  <c r="U1154" i="5"/>
  <c r="S1154" i="5"/>
  <c r="T1154" i="5" s="1"/>
  <c r="Q1154" i="5"/>
  <c r="P1154" i="5"/>
  <c r="O1154" i="5"/>
  <c r="R1154" i="5" s="1"/>
  <c r="S1153" i="5"/>
  <c r="U1153" i="5" s="1"/>
  <c r="O1153" i="5"/>
  <c r="S1152" i="5"/>
  <c r="U1152" i="5" s="1"/>
  <c r="R1152" i="5"/>
  <c r="O1152" i="5"/>
  <c r="U1151" i="5"/>
  <c r="S1151" i="5"/>
  <c r="T1151" i="5" s="1"/>
  <c r="O1151" i="5"/>
  <c r="R1151" i="5" s="1"/>
  <c r="S1150" i="5"/>
  <c r="R1150" i="5"/>
  <c r="Q1150" i="5"/>
  <c r="P1150" i="5"/>
  <c r="O1150" i="5"/>
  <c r="S1149" i="5"/>
  <c r="O1149" i="5"/>
  <c r="R1149" i="5" s="1"/>
  <c r="T1148" i="5"/>
  <c r="S1148" i="5"/>
  <c r="U1148" i="5" s="1"/>
  <c r="O1148" i="5"/>
  <c r="S1147" i="5"/>
  <c r="O1147" i="5"/>
  <c r="P1147" i="5" s="1"/>
  <c r="S1146" i="5"/>
  <c r="U1146" i="5" s="1"/>
  <c r="R1146" i="5"/>
  <c r="Q1146" i="5"/>
  <c r="P1146" i="5"/>
  <c r="O1146" i="5"/>
  <c r="S1145" i="5"/>
  <c r="U1145" i="5" s="1"/>
  <c r="O1145" i="5"/>
  <c r="S1144" i="5"/>
  <c r="U1144" i="5" s="1"/>
  <c r="O1144" i="5"/>
  <c r="U1143" i="5"/>
  <c r="S1143" i="5"/>
  <c r="T1143" i="5" s="1"/>
  <c r="O1143" i="5"/>
  <c r="S1142" i="5"/>
  <c r="U1142" i="5" s="1"/>
  <c r="O1142" i="5"/>
  <c r="R1142" i="5" s="1"/>
  <c r="U1141" i="5"/>
  <c r="T1141" i="5"/>
  <c r="S1141" i="5"/>
  <c r="O1141" i="5"/>
  <c r="R1141" i="5" s="1"/>
  <c r="S1140" i="5"/>
  <c r="R1140" i="5"/>
  <c r="O1140" i="5"/>
  <c r="Q1140" i="5" s="1"/>
  <c r="S1139" i="5"/>
  <c r="U1139" i="5" s="1"/>
  <c r="R1139" i="5"/>
  <c r="Q1139" i="5"/>
  <c r="O1139" i="5"/>
  <c r="P1139" i="5" s="1"/>
  <c r="S1138" i="5"/>
  <c r="U1138" i="5" s="1"/>
  <c r="P1138" i="5"/>
  <c r="O1138" i="5"/>
  <c r="S1137" i="5"/>
  <c r="U1137" i="5" s="1"/>
  <c r="R1137" i="5"/>
  <c r="Q1137" i="5"/>
  <c r="P1137" i="5"/>
  <c r="O1137" i="5"/>
  <c r="S1136" i="5"/>
  <c r="U1136" i="5" s="1"/>
  <c r="R1136" i="5"/>
  <c r="P1136" i="5"/>
  <c r="O1136" i="5"/>
  <c r="Q1136" i="5" s="1"/>
  <c r="S1135" i="5"/>
  <c r="T1135" i="5" s="1"/>
  <c r="O1135" i="5"/>
  <c r="U1134" i="5"/>
  <c r="S1134" i="5"/>
  <c r="T1134" i="5" s="1"/>
  <c r="O1134" i="5"/>
  <c r="U1133" i="5"/>
  <c r="S1133" i="5"/>
  <c r="T1133" i="5" s="1"/>
  <c r="O1133" i="5"/>
  <c r="R1133" i="5" s="1"/>
  <c r="T1132" i="5"/>
  <c r="S1132" i="5"/>
  <c r="U1132" i="5" s="1"/>
  <c r="R1132" i="5"/>
  <c r="O1132" i="5"/>
  <c r="Q1132" i="5" s="1"/>
  <c r="S1131" i="5"/>
  <c r="O1131" i="5"/>
  <c r="S1130" i="5"/>
  <c r="U1130" i="5" s="1"/>
  <c r="R1130" i="5"/>
  <c r="O1130" i="5"/>
  <c r="S1129" i="5"/>
  <c r="U1129" i="5" s="1"/>
  <c r="O1129" i="5"/>
  <c r="S1128" i="5"/>
  <c r="U1128" i="5" s="1"/>
  <c r="O1128" i="5"/>
  <c r="U1127" i="5"/>
  <c r="S1127" i="5"/>
  <c r="T1127" i="5" s="1"/>
  <c r="O1127" i="5"/>
  <c r="T1126" i="5"/>
  <c r="S1126" i="5"/>
  <c r="U1126" i="5" s="1"/>
  <c r="O1126" i="5"/>
  <c r="R1126" i="5" s="1"/>
  <c r="U1125" i="5"/>
  <c r="T1125" i="5"/>
  <c r="S1125" i="5"/>
  <c r="O1125" i="5"/>
  <c r="R1125" i="5" s="1"/>
  <c r="S1124" i="5"/>
  <c r="O1124" i="5"/>
  <c r="S1123" i="5"/>
  <c r="U1123" i="5" s="1"/>
  <c r="R1123" i="5"/>
  <c r="O1123" i="5"/>
  <c r="P1123" i="5" s="1"/>
  <c r="T1122" i="5"/>
  <c r="S1122" i="5"/>
  <c r="U1122" i="5" s="1"/>
  <c r="R1122" i="5"/>
  <c r="Q1122" i="5"/>
  <c r="P1122" i="5"/>
  <c r="O1122" i="5"/>
  <c r="S1121" i="5"/>
  <c r="U1121" i="5" s="1"/>
  <c r="R1121" i="5"/>
  <c r="Q1121" i="5"/>
  <c r="O1121" i="5"/>
  <c r="P1121" i="5" s="1"/>
  <c r="S1120" i="5"/>
  <c r="U1120" i="5" s="1"/>
  <c r="R1120" i="5"/>
  <c r="O1120" i="5"/>
  <c r="Q1120" i="5" s="1"/>
  <c r="S1119" i="5"/>
  <c r="O1119" i="5"/>
  <c r="U1118" i="5"/>
  <c r="T1118" i="5"/>
  <c r="S1118" i="5"/>
  <c r="O1118" i="5"/>
  <c r="S1117" i="5"/>
  <c r="T1117" i="5" s="1"/>
  <c r="O1117" i="5"/>
  <c r="R1117" i="5" s="1"/>
  <c r="S1116" i="5"/>
  <c r="U1116" i="5" s="1"/>
  <c r="R1116" i="5"/>
  <c r="O1116" i="5"/>
  <c r="Q1116" i="5" s="1"/>
  <c r="S1115" i="5"/>
  <c r="Q1115" i="5"/>
  <c r="O1115" i="5"/>
  <c r="S1114" i="5"/>
  <c r="R1114" i="5"/>
  <c r="Q1114" i="5"/>
  <c r="O1114" i="5"/>
  <c r="P1114" i="5" s="1"/>
  <c r="S1113" i="5"/>
  <c r="U1113" i="5" s="1"/>
  <c r="O1113" i="5"/>
  <c r="R1113" i="5" s="1"/>
  <c r="S1112" i="5"/>
  <c r="U1112" i="5" s="1"/>
  <c r="O1112" i="5"/>
  <c r="R1112" i="5" s="1"/>
  <c r="U1111" i="5"/>
  <c r="S1111" i="5"/>
  <c r="T1111" i="5" s="1"/>
  <c r="O1111" i="5"/>
  <c r="S1110" i="5"/>
  <c r="O1110" i="5"/>
  <c r="U1109" i="5"/>
  <c r="T1109" i="5"/>
  <c r="S1109" i="5"/>
  <c r="O1109" i="5"/>
  <c r="R1109" i="5" s="1"/>
  <c r="T1108" i="5"/>
  <c r="S1108" i="5"/>
  <c r="U1108" i="5" s="1"/>
  <c r="R1108" i="5"/>
  <c r="O1108" i="5"/>
  <c r="Q1108" i="5" s="1"/>
  <c r="S1107" i="5"/>
  <c r="U1107" i="5" s="1"/>
  <c r="R1107" i="5"/>
  <c r="Q1107" i="5"/>
  <c r="O1107" i="5"/>
  <c r="P1107" i="5" s="1"/>
  <c r="S1106" i="5"/>
  <c r="R1106" i="5"/>
  <c r="Q1106" i="5"/>
  <c r="P1106" i="5"/>
  <c r="O1106" i="5"/>
  <c r="S1105" i="5"/>
  <c r="U1105" i="5" s="1"/>
  <c r="R1105" i="5"/>
  <c r="Q1105" i="5"/>
  <c r="P1105" i="5"/>
  <c r="O1105" i="5"/>
  <c r="S1104" i="5"/>
  <c r="U1104" i="5" s="1"/>
  <c r="R1104" i="5"/>
  <c r="P1104" i="5"/>
  <c r="O1104" i="5"/>
  <c r="Q1104" i="5" s="1"/>
  <c r="S1103" i="5"/>
  <c r="T1103" i="5" s="1"/>
  <c r="O1103" i="5"/>
  <c r="U1102" i="5"/>
  <c r="S1102" i="5"/>
  <c r="T1102" i="5" s="1"/>
  <c r="O1102" i="5"/>
  <c r="S1101" i="5"/>
  <c r="O1101" i="5"/>
  <c r="R1101" i="5" s="1"/>
  <c r="S1100" i="5"/>
  <c r="U1100" i="5" s="1"/>
  <c r="R1100" i="5"/>
  <c r="O1100" i="5"/>
  <c r="Q1100" i="5" s="1"/>
  <c r="S1099" i="5"/>
  <c r="O1099" i="5"/>
  <c r="S1098" i="5"/>
  <c r="R1098" i="5"/>
  <c r="P1098" i="5"/>
  <c r="O1098" i="5"/>
  <c r="Q1098" i="5" s="1"/>
  <c r="S1097" i="5"/>
  <c r="U1097" i="5" s="1"/>
  <c r="O1097" i="5"/>
  <c r="R1097" i="5" s="1"/>
  <c r="S1096" i="5"/>
  <c r="U1096" i="5" s="1"/>
  <c r="O1096" i="5"/>
  <c r="R1096" i="5" s="1"/>
  <c r="S1095" i="5"/>
  <c r="O1095" i="5"/>
  <c r="S1094" i="5"/>
  <c r="U1094" i="5" s="1"/>
  <c r="O1094" i="5"/>
  <c r="U1093" i="5"/>
  <c r="S1093" i="5"/>
  <c r="T1093" i="5" s="1"/>
  <c r="O1093" i="5"/>
  <c r="R1093" i="5" s="1"/>
  <c r="T1092" i="5"/>
  <c r="S1092" i="5"/>
  <c r="U1092" i="5" s="1"/>
  <c r="R1092" i="5"/>
  <c r="O1092" i="5"/>
  <c r="Q1092" i="5" s="1"/>
  <c r="S1091" i="5"/>
  <c r="R1091" i="5"/>
  <c r="Q1091" i="5"/>
  <c r="O1091" i="5"/>
  <c r="P1091" i="5" s="1"/>
  <c r="S1090" i="5"/>
  <c r="Q1090" i="5"/>
  <c r="O1090" i="5"/>
  <c r="R1090" i="5" s="1"/>
  <c r="S1089" i="5"/>
  <c r="O1089" i="5"/>
  <c r="S1088" i="5"/>
  <c r="U1088" i="5" s="1"/>
  <c r="R1088" i="5"/>
  <c r="P1088" i="5"/>
  <c r="O1088" i="5"/>
  <c r="Q1088" i="5" s="1"/>
  <c r="S1087" i="5"/>
  <c r="T1087" i="5" s="1"/>
  <c r="O1087" i="5"/>
  <c r="R1087" i="5" s="1"/>
  <c r="S1086" i="5"/>
  <c r="U1086" i="5" s="1"/>
  <c r="R1086" i="5"/>
  <c r="Q1086" i="5"/>
  <c r="P1086" i="5"/>
  <c r="O1086" i="5"/>
  <c r="S1085" i="5"/>
  <c r="T1085" i="5" s="1"/>
  <c r="O1085" i="5"/>
  <c r="S1084" i="5"/>
  <c r="U1084" i="5" s="1"/>
  <c r="R1084" i="5"/>
  <c r="O1084" i="5"/>
  <c r="Q1084" i="5" s="1"/>
  <c r="S1083" i="5"/>
  <c r="R1083" i="5"/>
  <c r="Q1083" i="5"/>
  <c r="O1083" i="5"/>
  <c r="P1083" i="5" s="1"/>
  <c r="S1082" i="5"/>
  <c r="U1082" i="5" s="1"/>
  <c r="R1082" i="5"/>
  <c r="Q1082" i="5"/>
  <c r="P1082" i="5"/>
  <c r="O1082" i="5"/>
  <c r="S1081" i="5"/>
  <c r="U1081" i="5" s="1"/>
  <c r="O1081" i="5"/>
  <c r="S1080" i="5"/>
  <c r="U1080" i="5" s="1"/>
  <c r="R1080" i="5"/>
  <c r="Q1080" i="5"/>
  <c r="P1080" i="5"/>
  <c r="O1080" i="5"/>
  <c r="U1079" i="5"/>
  <c r="S1079" i="5"/>
  <c r="T1079" i="5" s="1"/>
  <c r="O1079" i="5"/>
  <c r="S1078" i="5"/>
  <c r="U1078" i="5" s="1"/>
  <c r="P1078" i="5"/>
  <c r="O1078" i="5"/>
  <c r="S1077" i="5"/>
  <c r="U1077" i="5" s="1"/>
  <c r="O1077" i="5"/>
  <c r="R1077" i="5" s="1"/>
  <c r="T1076" i="5"/>
  <c r="S1076" i="5"/>
  <c r="U1076" i="5" s="1"/>
  <c r="R1076" i="5"/>
  <c r="O1076" i="5"/>
  <c r="Q1076" i="5" s="1"/>
  <c r="S1075" i="5"/>
  <c r="U1075" i="5" s="1"/>
  <c r="O1075" i="5"/>
  <c r="U1074" i="5"/>
  <c r="T1074" i="5"/>
  <c r="S1074" i="5"/>
  <c r="O1074" i="5"/>
  <c r="S1073" i="5"/>
  <c r="R1073" i="5"/>
  <c r="O1073" i="5"/>
  <c r="Q1073" i="5" s="1"/>
  <c r="S1072" i="5"/>
  <c r="U1072" i="5" s="1"/>
  <c r="R1072" i="5"/>
  <c r="P1072" i="5"/>
  <c r="O1072" i="5"/>
  <c r="Q1072" i="5" s="1"/>
  <c r="S1071" i="5"/>
  <c r="O1071" i="5"/>
  <c r="R1071" i="5" s="1"/>
  <c r="S1070" i="5"/>
  <c r="R1070" i="5"/>
  <c r="O1070" i="5"/>
  <c r="U1069" i="5"/>
  <c r="S1069" i="5"/>
  <c r="T1069" i="5" s="1"/>
  <c r="O1069" i="5"/>
  <c r="U1068" i="5"/>
  <c r="T1068" i="5"/>
  <c r="S1068" i="5"/>
  <c r="O1068" i="5"/>
  <c r="S1067" i="5"/>
  <c r="Q1067" i="5"/>
  <c r="O1067" i="5"/>
  <c r="S1066" i="5"/>
  <c r="U1066" i="5" s="1"/>
  <c r="P1066" i="5"/>
  <c r="O1066" i="5"/>
  <c r="S1065" i="5"/>
  <c r="U1065" i="5" s="1"/>
  <c r="Q1065" i="5"/>
  <c r="O1065" i="5"/>
  <c r="S1064" i="5"/>
  <c r="U1064" i="5" s="1"/>
  <c r="O1064" i="5"/>
  <c r="R1064" i="5" s="1"/>
  <c r="S1063" i="5"/>
  <c r="T1063" i="5" s="1"/>
  <c r="O1063" i="5"/>
  <c r="Q1063" i="5" s="1"/>
  <c r="S1062" i="5"/>
  <c r="U1062" i="5" s="1"/>
  <c r="O1062" i="5"/>
  <c r="T1061" i="5"/>
  <c r="S1061" i="5"/>
  <c r="U1061" i="5" s="1"/>
  <c r="O1061" i="5"/>
  <c r="S1060" i="5"/>
  <c r="U1060" i="5" s="1"/>
  <c r="R1060" i="5"/>
  <c r="O1060" i="5"/>
  <c r="Q1060" i="5" s="1"/>
  <c r="S1059" i="5"/>
  <c r="U1059" i="5" s="1"/>
  <c r="R1059" i="5"/>
  <c r="Q1059" i="5"/>
  <c r="O1059" i="5"/>
  <c r="P1059" i="5" s="1"/>
  <c r="U1058" i="5"/>
  <c r="T1058" i="5"/>
  <c r="S1058" i="5"/>
  <c r="R1058" i="5"/>
  <c r="Q1058" i="5"/>
  <c r="P1058" i="5"/>
  <c r="O1058" i="5"/>
  <c r="S1057" i="5"/>
  <c r="O1057" i="5"/>
  <c r="R1057" i="5" s="1"/>
  <c r="S1056" i="5"/>
  <c r="U1056" i="5" s="1"/>
  <c r="O1056" i="5"/>
  <c r="Q1056" i="5" s="1"/>
  <c r="S1055" i="5"/>
  <c r="Q1055" i="5"/>
  <c r="P1055" i="5"/>
  <c r="O1055" i="5"/>
  <c r="R1055" i="5" s="1"/>
  <c r="S1054" i="5"/>
  <c r="U1054" i="5" s="1"/>
  <c r="P1054" i="5"/>
  <c r="O1054" i="5"/>
  <c r="R1054" i="5" s="1"/>
  <c r="S1053" i="5"/>
  <c r="O1053" i="5"/>
  <c r="S1052" i="5"/>
  <c r="U1052" i="5" s="1"/>
  <c r="O1052" i="5"/>
  <c r="U1051" i="5"/>
  <c r="S1051" i="5"/>
  <c r="T1051" i="5" s="1"/>
  <c r="R1051" i="5"/>
  <c r="Q1051" i="5"/>
  <c r="O1051" i="5"/>
  <c r="P1051" i="5" s="1"/>
  <c r="S1050" i="5"/>
  <c r="U1050" i="5" s="1"/>
  <c r="O1050" i="5"/>
  <c r="S1049" i="5"/>
  <c r="O1049" i="5"/>
  <c r="S1048" i="5"/>
  <c r="U1048" i="5" s="1"/>
  <c r="O1048" i="5"/>
  <c r="Q1048" i="5" s="1"/>
  <c r="U1047" i="5"/>
  <c r="S1047" i="5"/>
  <c r="T1047" i="5" s="1"/>
  <c r="R1047" i="5"/>
  <c r="Q1047" i="5"/>
  <c r="O1047" i="5"/>
  <c r="P1047" i="5" s="1"/>
  <c r="T1046" i="5"/>
  <c r="S1046" i="5"/>
  <c r="U1046" i="5" s="1"/>
  <c r="O1046" i="5"/>
  <c r="S1045" i="5"/>
  <c r="T1045" i="5" s="1"/>
  <c r="O1045" i="5"/>
  <c r="T1044" i="5"/>
  <c r="S1044" i="5"/>
  <c r="U1044" i="5" s="1"/>
  <c r="O1044" i="5"/>
  <c r="Q1044" i="5" s="1"/>
  <c r="S1043" i="5"/>
  <c r="R1043" i="5"/>
  <c r="Q1043" i="5"/>
  <c r="O1043" i="5"/>
  <c r="P1043" i="5" s="1"/>
  <c r="U1042" i="5"/>
  <c r="T1042" i="5"/>
  <c r="S1042" i="5"/>
  <c r="O1042" i="5"/>
  <c r="R1042" i="5" s="1"/>
  <c r="S1041" i="5"/>
  <c r="O1041" i="5"/>
  <c r="S1040" i="5"/>
  <c r="R1040" i="5"/>
  <c r="P1040" i="5"/>
  <c r="O1040" i="5"/>
  <c r="Q1040" i="5" s="1"/>
  <c r="S1039" i="5"/>
  <c r="Q1039" i="5"/>
  <c r="O1039" i="5"/>
  <c r="S1038" i="5"/>
  <c r="O1038" i="5"/>
  <c r="R1038" i="5" s="1"/>
  <c r="S1037" i="5"/>
  <c r="T1037" i="5" s="1"/>
  <c r="O1037" i="5"/>
  <c r="S1036" i="5"/>
  <c r="R1036" i="5"/>
  <c r="O1036" i="5"/>
  <c r="S1035" i="5"/>
  <c r="T1035" i="5" s="1"/>
  <c r="R1035" i="5"/>
  <c r="O1035" i="5"/>
  <c r="S1034" i="5"/>
  <c r="U1034" i="5" s="1"/>
  <c r="R1034" i="5"/>
  <c r="Q1034" i="5"/>
  <c r="P1034" i="5"/>
  <c r="O1034" i="5"/>
  <c r="S1033" i="5"/>
  <c r="U1033" i="5" s="1"/>
  <c r="O1033" i="5"/>
  <c r="Q1033" i="5" s="1"/>
  <c r="S1032" i="5"/>
  <c r="U1032" i="5" s="1"/>
  <c r="O1032" i="5"/>
  <c r="R1032" i="5" s="1"/>
  <c r="S1031" i="5"/>
  <c r="T1031" i="5" s="1"/>
  <c r="R1031" i="5"/>
  <c r="Q1031" i="5"/>
  <c r="O1031" i="5"/>
  <c r="P1031" i="5" s="1"/>
  <c r="U1030" i="5"/>
  <c r="S1030" i="5"/>
  <c r="T1030" i="5" s="1"/>
  <c r="O1030" i="5"/>
  <c r="U1029" i="5"/>
  <c r="T1029" i="5"/>
  <c r="S1029" i="5"/>
  <c r="O1029" i="5"/>
  <c r="R1029" i="5" s="1"/>
  <c r="S1028" i="5"/>
  <c r="O1028" i="5"/>
  <c r="Q1028" i="5" s="1"/>
  <c r="S1027" i="5"/>
  <c r="U1027" i="5" s="1"/>
  <c r="O1027" i="5"/>
  <c r="S1026" i="5"/>
  <c r="R1026" i="5"/>
  <c r="Q1026" i="5"/>
  <c r="P1026" i="5"/>
  <c r="O1026" i="5"/>
  <c r="S1025" i="5"/>
  <c r="R1025" i="5"/>
  <c r="O1025" i="5"/>
  <c r="Q1025" i="5" s="1"/>
  <c r="S1024" i="5"/>
  <c r="U1024" i="5" s="1"/>
  <c r="P1024" i="5"/>
  <c r="O1024" i="5"/>
  <c r="Q1024" i="5" s="1"/>
  <c r="U1023" i="5"/>
  <c r="S1023" i="5"/>
  <c r="T1023" i="5" s="1"/>
  <c r="O1023" i="5"/>
  <c r="R1023" i="5" s="1"/>
  <c r="T1022" i="5"/>
  <c r="S1022" i="5"/>
  <c r="U1022" i="5" s="1"/>
  <c r="R1022" i="5"/>
  <c r="Q1022" i="5"/>
  <c r="P1022" i="5"/>
  <c r="O1022" i="5"/>
  <c r="S1021" i="5"/>
  <c r="T1021" i="5" s="1"/>
  <c r="O1021" i="5"/>
  <c r="T1020" i="5"/>
  <c r="S1020" i="5"/>
  <c r="U1020" i="5" s="1"/>
  <c r="O1020" i="5"/>
  <c r="Q1020" i="5" s="1"/>
  <c r="S1019" i="5"/>
  <c r="T1019" i="5" s="1"/>
  <c r="R1019" i="5"/>
  <c r="O1019" i="5"/>
  <c r="S1018" i="5"/>
  <c r="U1018" i="5" s="1"/>
  <c r="Q1018" i="5"/>
  <c r="P1018" i="5"/>
  <c r="O1018" i="5"/>
  <c r="R1018" i="5" s="1"/>
  <c r="U1017" i="5"/>
  <c r="T1017" i="5"/>
  <c r="S1017" i="5"/>
  <c r="O1017" i="5"/>
  <c r="R1017" i="5" s="1"/>
  <c r="S1016" i="5"/>
  <c r="U1016" i="5" s="1"/>
  <c r="R1016" i="5"/>
  <c r="O1016" i="5"/>
  <c r="Q1016" i="5" s="1"/>
  <c r="S1015" i="5"/>
  <c r="T1015" i="5" s="1"/>
  <c r="Q1015" i="5"/>
  <c r="O1015" i="5"/>
  <c r="S1014" i="5"/>
  <c r="O1014" i="5"/>
  <c r="S1013" i="5"/>
  <c r="U1013" i="5" s="1"/>
  <c r="O1013" i="5"/>
  <c r="R1013" i="5" s="1"/>
  <c r="T1012" i="5"/>
  <c r="S1012" i="5"/>
  <c r="U1012" i="5" s="1"/>
  <c r="O1012" i="5"/>
  <c r="Q1012" i="5" s="1"/>
  <c r="S1011" i="5"/>
  <c r="U1011" i="5" s="1"/>
  <c r="O1011" i="5"/>
  <c r="P1011" i="5" s="1"/>
  <c r="S1010" i="5"/>
  <c r="O1010" i="5"/>
  <c r="R1010" i="5" s="1"/>
  <c r="S1009" i="5"/>
  <c r="O1009" i="5"/>
  <c r="R1009" i="5" s="1"/>
  <c r="S1008" i="5"/>
  <c r="U1008" i="5" s="1"/>
  <c r="O1008" i="5"/>
  <c r="Q1008" i="5" s="1"/>
  <c r="S1007" i="5"/>
  <c r="O1007" i="5"/>
  <c r="R1007" i="5" s="1"/>
  <c r="T1006" i="5"/>
  <c r="S1006" i="5"/>
  <c r="U1006" i="5" s="1"/>
  <c r="R1006" i="5"/>
  <c r="Q1006" i="5"/>
  <c r="P1006" i="5"/>
  <c r="O1006" i="5"/>
  <c r="S1005" i="5"/>
  <c r="U1005" i="5" s="1"/>
  <c r="O1005" i="5"/>
  <c r="S1004" i="5"/>
  <c r="O1004" i="5"/>
  <c r="S1003" i="5"/>
  <c r="R1003" i="5"/>
  <c r="O1003" i="5"/>
  <c r="S1002" i="5"/>
  <c r="O1002" i="5"/>
  <c r="R1002" i="5" s="1"/>
  <c r="S1001" i="5"/>
  <c r="U1001" i="5" s="1"/>
  <c r="O1001" i="5"/>
  <c r="R1001" i="5" s="1"/>
  <c r="S1000" i="5"/>
  <c r="U1000" i="5" s="1"/>
  <c r="O1000" i="5"/>
  <c r="P1000" i="5" s="1"/>
  <c r="S999" i="5"/>
  <c r="U999" i="5" s="1"/>
  <c r="Q999" i="5"/>
  <c r="O999" i="5"/>
  <c r="U998" i="5"/>
  <c r="T998" i="5"/>
  <c r="S998" i="5"/>
  <c r="O998" i="5"/>
  <c r="U997" i="5"/>
  <c r="S997" i="5"/>
  <c r="T997" i="5" s="1"/>
  <c r="O997" i="5"/>
  <c r="R997" i="5" s="1"/>
  <c r="S996" i="5"/>
  <c r="U996" i="5" s="1"/>
  <c r="R996" i="5"/>
  <c r="O996" i="5"/>
  <c r="Q996" i="5" s="1"/>
  <c r="S995" i="5"/>
  <c r="U995" i="5" s="1"/>
  <c r="O995" i="5"/>
  <c r="S994" i="5"/>
  <c r="U994" i="5" s="1"/>
  <c r="O994" i="5"/>
  <c r="T993" i="5"/>
  <c r="S993" i="5"/>
  <c r="U993" i="5" s="1"/>
  <c r="Q993" i="5"/>
  <c r="P993" i="5"/>
  <c r="O993" i="5"/>
  <c r="R993" i="5" s="1"/>
  <c r="U992" i="5"/>
  <c r="T992" i="5"/>
  <c r="S992" i="5"/>
  <c r="R992" i="5"/>
  <c r="Q992" i="5"/>
  <c r="O992" i="5"/>
  <c r="P992" i="5" s="1"/>
  <c r="U991" i="5"/>
  <c r="S991" i="5"/>
  <c r="T991" i="5" s="1"/>
  <c r="O991" i="5"/>
  <c r="R991" i="5" s="1"/>
  <c r="U990" i="5"/>
  <c r="T990" i="5"/>
  <c r="S990" i="5"/>
  <c r="O990" i="5"/>
  <c r="P990" i="5" s="1"/>
  <c r="S989" i="5"/>
  <c r="U989" i="5" s="1"/>
  <c r="O989" i="5"/>
  <c r="U988" i="5"/>
  <c r="T988" i="5"/>
  <c r="S988" i="5"/>
  <c r="O988" i="5"/>
  <c r="S987" i="5"/>
  <c r="R987" i="5"/>
  <c r="Q987" i="5"/>
  <c r="O987" i="5"/>
  <c r="P987" i="5" s="1"/>
  <c r="S986" i="5"/>
  <c r="U986" i="5" s="1"/>
  <c r="O986" i="5"/>
  <c r="R986" i="5" s="1"/>
  <c r="S985" i="5"/>
  <c r="T985" i="5" s="1"/>
  <c r="O985" i="5"/>
  <c r="S984" i="5"/>
  <c r="O984" i="5"/>
  <c r="R984" i="5" s="1"/>
  <c r="S983" i="5"/>
  <c r="T983" i="5" s="1"/>
  <c r="O983" i="5"/>
  <c r="S982" i="5"/>
  <c r="O982" i="5"/>
  <c r="S981" i="5"/>
  <c r="U981" i="5" s="1"/>
  <c r="O981" i="5"/>
  <c r="R981" i="5" s="1"/>
  <c r="U980" i="5"/>
  <c r="S980" i="5"/>
  <c r="T980" i="5" s="1"/>
  <c r="O980" i="5"/>
  <c r="U979" i="5"/>
  <c r="S979" i="5"/>
  <c r="T979" i="5" s="1"/>
  <c r="O979" i="5"/>
  <c r="T978" i="5"/>
  <c r="S978" i="5"/>
  <c r="U978" i="5" s="1"/>
  <c r="R978" i="5"/>
  <c r="Q978" i="5"/>
  <c r="P978" i="5"/>
  <c r="O978" i="5"/>
  <c r="T977" i="5"/>
  <c r="S977" i="5"/>
  <c r="U977" i="5" s="1"/>
  <c r="O977" i="5"/>
  <c r="R977" i="5" s="1"/>
  <c r="S976" i="5"/>
  <c r="U976" i="5" s="1"/>
  <c r="O976" i="5"/>
  <c r="R976" i="5" s="1"/>
  <c r="S975" i="5"/>
  <c r="R975" i="5"/>
  <c r="O975" i="5"/>
  <c r="P975" i="5" s="1"/>
  <c r="S974" i="5"/>
  <c r="U974" i="5" s="1"/>
  <c r="R974" i="5"/>
  <c r="Q974" i="5"/>
  <c r="O974" i="5"/>
  <c r="P974" i="5" s="1"/>
  <c r="U973" i="5"/>
  <c r="S973" i="5"/>
  <c r="T973" i="5" s="1"/>
  <c r="O973" i="5"/>
  <c r="S972" i="5"/>
  <c r="U972" i="5" s="1"/>
  <c r="O972" i="5"/>
  <c r="R972" i="5" s="1"/>
  <c r="S971" i="5"/>
  <c r="U971" i="5" s="1"/>
  <c r="O971" i="5"/>
  <c r="T970" i="5"/>
  <c r="S970" i="5"/>
  <c r="U970" i="5" s="1"/>
  <c r="O970" i="5"/>
  <c r="R970" i="5" s="1"/>
  <c r="S969" i="5"/>
  <c r="Q969" i="5"/>
  <c r="P969" i="5"/>
  <c r="O969" i="5"/>
  <c r="R969" i="5" s="1"/>
  <c r="T968" i="5"/>
  <c r="S968" i="5"/>
  <c r="U968" i="5" s="1"/>
  <c r="O968" i="5"/>
  <c r="Q968" i="5" s="1"/>
  <c r="T967" i="5"/>
  <c r="S967" i="5"/>
  <c r="U967" i="5" s="1"/>
  <c r="R967" i="5"/>
  <c r="O967" i="5"/>
  <c r="Q967" i="5" s="1"/>
  <c r="S966" i="5"/>
  <c r="U966" i="5" s="1"/>
  <c r="P966" i="5"/>
  <c r="O966" i="5"/>
  <c r="S965" i="5"/>
  <c r="U965" i="5" s="1"/>
  <c r="O965" i="5"/>
  <c r="S964" i="5"/>
  <c r="U964" i="5" s="1"/>
  <c r="Q964" i="5"/>
  <c r="P964" i="5"/>
  <c r="O964" i="5"/>
  <c r="R964" i="5" s="1"/>
  <c r="S963" i="5"/>
  <c r="P963" i="5"/>
  <c r="O963" i="5"/>
  <c r="R963" i="5" s="1"/>
  <c r="U962" i="5"/>
  <c r="T962" i="5"/>
  <c r="S962" i="5"/>
  <c r="O962" i="5"/>
  <c r="R962" i="5" s="1"/>
  <c r="S961" i="5"/>
  <c r="O961" i="5"/>
  <c r="R961" i="5" s="1"/>
  <c r="S960" i="5"/>
  <c r="U960" i="5" s="1"/>
  <c r="O960" i="5"/>
  <c r="R960" i="5" s="1"/>
  <c r="S959" i="5"/>
  <c r="R959" i="5"/>
  <c r="O959" i="5"/>
  <c r="S958" i="5"/>
  <c r="U958" i="5" s="1"/>
  <c r="O958" i="5"/>
  <c r="U957" i="5"/>
  <c r="T957" i="5"/>
  <c r="S957" i="5"/>
  <c r="O957" i="5"/>
  <c r="T956" i="5"/>
  <c r="S956" i="5"/>
  <c r="U956" i="5" s="1"/>
  <c r="O956" i="5"/>
  <c r="R956" i="5" s="1"/>
  <c r="S955" i="5"/>
  <c r="U955" i="5" s="1"/>
  <c r="O955" i="5"/>
  <c r="S954" i="5"/>
  <c r="U954" i="5" s="1"/>
  <c r="O954" i="5"/>
  <c r="R954" i="5" s="1"/>
  <c r="S953" i="5"/>
  <c r="U953" i="5" s="1"/>
  <c r="O953" i="5"/>
  <c r="U952" i="5"/>
  <c r="S952" i="5"/>
  <c r="T952" i="5" s="1"/>
  <c r="R952" i="5"/>
  <c r="P952" i="5"/>
  <c r="O952" i="5"/>
  <c r="Q952" i="5" s="1"/>
  <c r="S951" i="5"/>
  <c r="R951" i="5"/>
  <c r="O951" i="5"/>
  <c r="Q951" i="5" s="1"/>
  <c r="S950" i="5"/>
  <c r="U950" i="5" s="1"/>
  <c r="R950" i="5"/>
  <c r="Q950" i="5"/>
  <c r="P950" i="5"/>
  <c r="O950" i="5"/>
  <c r="S949" i="5"/>
  <c r="U949" i="5" s="1"/>
  <c r="R949" i="5"/>
  <c r="Q949" i="5"/>
  <c r="O949" i="5"/>
  <c r="P949" i="5" s="1"/>
  <c r="S948" i="5"/>
  <c r="U948" i="5" s="1"/>
  <c r="Q948" i="5"/>
  <c r="O948" i="5"/>
  <c r="S947" i="5"/>
  <c r="T947" i="5" s="1"/>
  <c r="P947" i="5"/>
  <c r="O947" i="5"/>
  <c r="R947" i="5" s="1"/>
  <c r="S946" i="5"/>
  <c r="U946" i="5" s="1"/>
  <c r="O946" i="5"/>
  <c r="R946" i="5" s="1"/>
  <c r="S945" i="5"/>
  <c r="U945" i="5" s="1"/>
  <c r="O945" i="5"/>
  <c r="R945" i="5" s="1"/>
  <c r="S944" i="5"/>
  <c r="U944" i="5" s="1"/>
  <c r="O944" i="5"/>
  <c r="R944" i="5" s="1"/>
  <c r="S943" i="5"/>
  <c r="O943" i="5"/>
  <c r="S942" i="5"/>
  <c r="U942" i="5" s="1"/>
  <c r="R942" i="5"/>
  <c r="Q942" i="5"/>
  <c r="O942" i="5"/>
  <c r="P942" i="5" s="1"/>
  <c r="S941" i="5"/>
  <c r="O941" i="5"/>
  <c r="R941" i="5" s="1"/>
  <c r="S940" i="5"/>
  <c r="O940" i="5"/>
  <c r="R940" i="5" s="1"/>
  <c r="S939" i="5"/>
  <c r="U939" i="5" s="1"/>
  <c r="O939" i="5"/>
  <c r="U938" i="5"/>
  <c r="T938" i="5"/>
  <c r="S938" i="5"/>
  <c r="O938" i="5"/>
  <c r="R938" i="5" s="1"/>
  <c r="U937" i="5"/>
  <c r="S937" i="5"/>
  <c r="T937" i="5" s="1"/>
  <c r="O937" i="5"/>
  <c r="R937" i="5" s="1"/>
  <c r="U936" i="5"/>
  <c r="S936" i="5"/>
  <c r="T936" i="5" s="1"/>
  <c r="O936" i="5"/>
  <c r="S935" i="5"/>
  <c r="U935" i="5" s="1"/>
  <c r="O935" i="5"/>
  <c r="Q935" i="5" s="1"/>
  <c r="S934" i="5"/>
  <c r="U934" i="5" s="1"/>
  <c r="O934" i="5"/>
  <c r="S933" i="5"/>
  <c r="U933" i="5" s="1"/>
  <c r="R933" i="5"/>
  <c r="P933" i="5"/>
  <c r="O933" i="5"/>
  <c r="Q933" i="5" s="1"/>
  <c r="S932" i="5"/>
  <c r="U932" i="5" s="1"/>
  <c r="P932" i="5"/>
  <c r="O932" i="5"/>
  <c r="U931" i="5"/>
  <c r="S931" i="5"/>
  <c r="T931" i="5" s="1"/>
  <c r="O931" i="5"/>
  <c r="R931" i="5" s="1"/>
  <c r="U930" i="5"/>
  <c r="S930" i="5"/>
  <c r="T930" i="5" s="1"/>
  <c r="O930" i="5"/>
  <c r="R930" i="5" s="1"/>
  <c r="S929" i="5"/>
  <c r="O929" i="5"/>
  <c r="R929" i="5" s="1"/>
  <c r="S928" i="5"/>
  <c r="U928" i="5" s="1"/>
  <c r="O928" i="5"/>
  <c r="R928" i="5" s="1"/>
  <c r="S927" i="5"/>
  <c r="O927" i="5"/>
  <c r="S926" i="5"/>
  <c r="U926" i="5" s="1"/>
  <c r="R926" i="5"/>
  <c r="Q926" i="5"/>
  <c r="P926" i="5"/>
  <c r="O926" i="5"/>
  <c r="U925" i="5"/>
  <c r="T925" i="5"/>
  <c r="S925" i="5"/>
  <c r="R925" i="5"/>
  <c r="Q925" i="5"/>
  <c r="O925" i="5"/>
  <c r="P925" i="5" s="1"/>
  <c r="S924" i="5"/>
  <c r="O924" i="5"/>
  <c r="Q924" i="5" s="1"/>
  <c r="S923" i="5"/>
  <c r="U923" i="5" s="1"/>
  <c r="O923" i="5"/>
  <c r="U922" i="5"/>
  <c r="T922" i="5"/>
  <c r="S922" i="5"/>
  <c r="O922" i="5"/>
  <c r="S921" i="5"/>
  <c r="T921" i="5" s="1"/>
  <c r="O921" i="5"/>
  <c r="R921" i="5" s="1"/>
  <c r="S920" i="5"/>
  <c r="T920" i="5" s="1"/>
  <c r="O920" i="5"/>
  <c r="T919" i="5"/>
  <c r="S919" i="5"/>
  <c r="U919" i="5" s="1"/>
  <c r="R919" i="5"/>
  <c r="O919" i="5"/>
  <c r="Q919" i="5" s="1"/>
  <c r="S918" i="5"/>
  <c r="U918" i="5" s="1"/>
  <c r="Q918" i="5"/>
  <c r="P918" i="5"/>
  <c r="O918" i="5"/>
  <c r="R918" i="5" s="1"/>
  <c r="S917" i="5"/>
  <c r="U917" i="5" s="1"/>
  <c r="R917" i="5"/>
  <c r="Q917" i="5"/>
  <c r="O917" i="5"/>
  <c r="P917" i="5" s="1"/>
  <c r="S916" i="5"/>
  <c r="U916" i="5" s="1"/>
  <c r="O916" i="5"/>
  <c r="S915" i="5"/>
  <c r="P915" i="5"/>
  <c r="O915" i="5"/>
  <c r="R915" i="5" s="1"/>
  <c r="S914" i="5"/>
  <c r="U914" i="5" s="1"/>
  <c r="O914" i="5"/>
  <c r="R914" i="5" s="1"/>
  <c r="U913" i="5"/>
  <c r="T913" i="5"/>
  <c r="S913" i="5"/>
  <c r="O913" i="5"/>
  <c r="R913" i="5" s="1"/>
  <c r="S912" i="5"/>
  <c r="U912" i="5" s="1"/>
  <c r="O912" i="5"/>
  <c r="R912" i="5" s="1"/>
  <c r="S911" i="5"/>
  <c r="U911" i="5" s="1"/>
  <c r="Q911" i="5"/>
  <c r="O911" i="5"/>
  <c r="P911" i="5" s="1"/>
  <c r="S910" i="5"/>
  <c r="O910" i="5"/>
  <c r="S909" i="5"/>
  <c r="U909" i="5" s="1"/>
  <c r="O909" i="5"/>
  <c r="S908" i="5"/>
  <c r="U908" i="5" s="1"/>
  <c r="O908" i="5"/>
  <c r="R908" i="5" s="1"/>
  <c r="S907" i="5"/>
  <c r="U907" i="5" s="1"/>
  <c r="O907" i="5"/>
  <c r="P907" i="5" s="1"/>
  <c r="T906" i="5"/>
  <c r="S906" i="5"/>
  <c r="U906" i="5" s="1"/>
  <c r="O906" i="5"/>
  <c r="S905" i="5"/>
  <c r="P905" i="5"/>
  <c r="O905" i="5"/>
  <c r="U904" i="5"/>
  <c r="T904" i="5"/>
  <c r="S904" i="5"/>
  <c r="R904" i="5"/>
  <c r="O904" i="5"/>
  <c r="S903" i="5"/>
  <c r="U903" i="5" s="1"/>
  <c r="O903" i="5"/>
  <c r="S902" i="5"/>
  <c r="R902" i="5"/>
  <c r="Q902" i="5"/>
  <c r="O902" i="5"/>
  <c r="P902" i="5" s="1"/>
  <c r="S901" i="5"/>
  <c r="U901" i="5" s="1"/>
  <c r="R901" i="5"/>
  <c r="Q901" i="5"/>
  <c r="P901" i="5"/>
  <c r="O901" i="5"/>
  <c r="S900" i="5"/>
  <c r="U900" i="5" s="1"/>
  <c r="O900" i="5"/>
  <c r="S899" i="5"/>
  <c r="T899" i="5" s="1"/>
  <c r="O899" i="5"/>
  <c r="U898" i="5"/>
  <c r="T898" i="5"/>
  <c r="S898" i="5"/>
  <c r="O898" i="5"/>
  <c r="S897" i="5"/>
  <c r="T897" i="5" s="1"/>
  <c r="O897" i="5"/>
  <c r="R897" i="5" s="1"/>
  <c r="U896" i="5"/>
  <c r="T896" i="5"/>
  <c r="S896" i="5"/>
  <c r="O896" i="5"/>
  <c r="R896" i="5" s="1"/>
  <c r="S895" i="5"/>
  <c r="U895" i="5" s="1"/>
  <c r="O895" i="5"/>
  <c r="S894" i="5"/>
  <c r="P894" i="5"/>
  <c r="O894" i="5"/>
  <c r="S893" i="5"/>
  <c r="U893" i="5" s="1"/>
  <c r="O893" i="5"/>
  <c r="T892" i="5"/>
  <c r="S892" i="5"/>
  <c r="U892" i="5" s="1"/>
  <c r="O892" i="5"/>
  <c r="R892" i="5" s="1"/>
  <c r="S891" i="5"/>
  <c r="U891" i="5" s="1"/>
  <c r="P891" i="5"/>
  <c r="O891" i="5"/>
  <c r="S890" i="5"/>
  <c r="U890" i="5" s="1"/>
  <c r="O890" i="5"/>
  <c r="U889" i="5"/>
  <c r="T889" i="5"/>
  <c r="S889" i="5"/>
  <c r="O889" i="5"/>
  <c r="U888" i="5"/>
  <c r="T888" i="5"/>
  <c r="S888" i="5"/>
  <c r="P888" i="5"/>
  <c r="O888" i="5"/>
  <c r="S887" i="5"/>
  <c r="U887" i="5" s="1"/>
  <c r="O887" i="5"/>
  <c r="Q887" i="5" s="1"/>
  <c r="S886" i="5"/>
  <c r="O886" i="5"/>
  <c r="S885" i="5"/>
  <c r="U885" i="5" s="1"/>
  <c r="R885" i="5"/>
  <c r="Q885" i="5"/>
  <c r="P885" i="5"/>
  <c r="O885" i="5"/>
  <c r="S884" i="5"/>
  <c r="U884" i="5" s="1"/>
  <c r="O884" i="5"/>
  <c r="U883" i="5"/>
  <c r="S883" i="5"/>
  <c r="T883" i="5" s="1"/>
  <c r="P883" i="5"/>
  <c r="O883" i="5"/>
  <c r="T882" i="5"/>
  <c r="S882" i="5"/>
  <c r="U882" i="5" s="1"/>
  <c r="O882" i="5"/>
  <c r="U881" i="5"/>
  <c r="S881" i="5"/>
  <c r="T881" i="5" s="1"/>
  <c r="O881" i="5"/>
  <c r="R881" i="5" s="1"/>
  <c r="T880" i="5"/>
  <c r="S880" i="5"/>
  <c r="U880" i="5" s="1"/>
  <c r="O880" i="5"/>
  <c r="R880" i="5" s="1"/>
  <c r="S879" i="5"/>
  <c r="R879" i="5"/>
  <c r="Q879" i="5"/>
  <c r="O879" i="5"/>
  <c r="P879" i="5" s="1"/>
  <c r="S878" i="5"/>
  <c r="O878" i="5"/>
  <c r="R878" i="5" s="1"/>
  <c r="U877" i="5"/>
  <c r="T877" i="5"/>
  <c r="S877" i="5"/>
  <c r="Q877" i="5"/>
  <c r="P877" i="5"/>
  <c r="O877" i="5"/>
  <c r="R877" i="5" s="1"/>
  <c r="S876" i="5"/>
  <c r="U876" i="5" s="1"/>
  <c r="P876" i="5"/>
  <c r="O876" i="5"/>
  <c r="R876" i="5" s="1"/>
  <c r="S875" i="5"/>
  <c r="U875" i="5" s="1"/>
  <c r="O875" i="5"/>
  <c r="T874" i="5"/>
  <c r="S874" i="5"/>
  <c r="U874" i="5" s="1"/>
  <c r="O874" i="5"/>
  <c r="U873" i="5"/>
  <c r="S873" i="5"/>
  <c r="T873" i="5" s="1"/>
  <c r="P873" i="5"/>
  <c r="O873" i="5"/>
  <c r="U872" i="5"/>
  <c r="T872" i="5"/>
  <c r="S872" i="5"/>
  <c r="P872" i="5"/>
  <c r="O872" i="5"/>
  <c r="S871" i="5"/>
  <c r="U871" i="5" s="1"/>
  <c r="O871" i="5"/>
  <c r="Q871" i="5" s="1"/>
  <c r="S870" i="5"/>
  <c r="R870" i="5"/>
  <c r="O870" i="5"/>
  <c r="S869" i="5"/>
  <c r="U869" i="5" s="1"/>
  <c r="O869" i="5"/>
  <c r="S868" i="5"/>
  <c r="U868" i="5" s="1"/>
  <c r="O868" i="5"/>
  <c r="S867" i="5"/>
  <c r="T867" i="5" s="1"/>
  <c r="O867" i="5"/>
  <c r="P867" i="5" s="1"/>
  <c r="S866" i="5"/>
  <c r="O866" i="5"/>
  <c r="U865" i="5"/>
  <c r="T865" i="5"/>
  <c r="S865" i="5"/>
  <c r="O865" i="5"/>
  <c r="R865" i="5" s="1"/>
  <c r="U864" i="5"/>
  <c r="T864" i="5"/>
  <c r="S864" i="5"/>
  <c r="O864" i="5"/>
  <c r="R864" i="5" s="1"/>
  <c r="S863" i="5"/>
  <c r="U863" i="5" s="1"/>
  <c r="R863" i="5"/>
  <c r="O863" i="5"/>
  <c r="P863" i="5" s="1"/>
  <c r="S862" i="5"/>
  <c r="P862" i="5"/>
  <c r="O862" i="5"/>
  <c r="U861" i="5"/>
  <c r="T861" i="5"/>
  <c r="S861" i="5"/>
  <c r="Q861" i="5"/>
  <c r="P861" i="5"/>
  <c r="O861" i="5"/>
  <c r="R861" i="5" s="1"/>
  <c r="T860" i="5"/>
  <c r="S860" i="5"/>
  <c r="U860" i="5" s="1"/>
  <c r="R860" i="5"/>
  <c r="Q860" i="5"/>
  <c r="O860" i="5"/>
  <c r="P860" i="5" s="1"/>
  <c r="S859" i="5"/>
  <c r="U859" i="5" s="1"/>
  <c r="O859" i="5"/>
  <c r="U858" i="5"/>
  <c r="T858" i="5"/>
  <c r="S858" i="5"/>
  <c r="O858" i="5"/>
  <c r="T857" i="5"/>
  <c r="S857" i="5"/>
  <c r="U857" i="5" s="1"/>
  <c r="Q857" i="5"/>
  <c r="P857" i="5"/>
  <c r="O857" i="5"/>
  <c r="R857" i="5" s="1"/>
  <c r="U856" i="5"/>
  <c r="S856" i="5"/>
  <c r="T856" i="5" s="1"/>
  <c r="O856" i="5"/>
  <c r="Q856" i="5" s="1"/>
  <c r="U855" i="5"/>
  <c r="S855" i="5"/>
  <c r="T855" i="5" s="1"/>
  <c r="R855" i="5"/>
  <c r="O855" i="5"/>
  <c r="Q855" i="5" s="1"/>
  <c r="S854" i="5"/>
  <c r="T854" i="5" s="1"/>
  <c r="Q854" i="5"/>
  <c r="P854" i="5"/>
  <c r="O854" i="5"/>
  <c r="R854" i="5" s="1"/>
  <c r="S853" i="5"/>
  <c r="O853" i="5"/>
  <c r="S852" i="5"/>
  <c r="O852" i="5"/>
  <c r="R852" i="5" s="1"/>
  <c r="U851" i="5"/>
  <c r="S851" i="5"/>
  <c r="T851" i="5" s="1"/>
  <c r="Q851" i="5"/>
  <c r="P851" i="5"/>
  <c r="O851" i="5"/>
  <c r="R851" i="5" s="1"/>
  <c r="T850" i="5"/>
  <c r="S850" i="5"/>
  <c r="U850" i="5" s="1"/>
  <c r="Q850" i="5"/>
  <c r="O850" i="5"/>
  <c r="T849" i="5"/>
  <c r="S849" i="5"/>
  <c r="U849" i="5" s="1"/>
  <c r="O849" i="5"/>
  <c r="S848" i="5"/>
  <c r="U848" i="5" s="1"/>
  <c r="O848" i="5"/>
  <c r="S847" i="5"/>
  <c r="R847" i="5"/>
  <c r="Q847" i="5"/>
  <c r="O847" i="5"/>
  <c r="P847" i="5" s="1"/>
  <c r="S846" i="5"/>
  <c r="U846" i="5" s="1"/>
  <c r="Q846" i="5"/>
  <c r="O846" i="5"/>
  <c r="S845" i="5"/>
  <c r="R845" i="5"/>
  <c r="Q845" i="5"/>
  <c r="P845" i="5"/>
  <c r="O845" i="5"/>
  <c r="T844" i="5"/>
  <c r="S844" i="5"/>
  <c r="U844" i="5" s="1"/>
  <c r="O844" i="5"/>
  <c r="S843" i="5"/>
  <c r="U843" i="5" s="1"/>
  <c r="R843" i="5"/>
  <c r="O843" i="5"/>
  <c r="Q843" i="5" s="1"/>
  <c r="T842" i="5"/>
  <c r="S842" i="5"/>
  <c r="U842" i="5" s="1"/>
  <c r="O842" i="5"/>
  <c r="T841" i="5"/>
  <c r="S841" i="5"/>
  <c r="U841" i="5" s="1"/>
  <c r="O841" i="5"/>
  <c r="R841" i="5" s="1"/>
  <c r="U840" i="5"/>
  <c r="T840" i="5"/>
  <c r="S840" i="5"/>
  <c r="R840" i="5"/>
  <c r="P840" i="5"/>
  <c r="O840" i="5"/>
  <c r="Q840" i="5" s="1"/>
  <c r="S839" i="5"/>
  <c r="T839" i="5" s="1"/>
  <c r="R839" i="5"/>
  <c r="P839" i="5"/>
  <c r="O839" i="5"/>
  <c r="Q839" i="5" s="1"/>
  <c r="U838" i="5"/>
  <c r="S838" i="5"/>
  <c r="T838" i="5" s="1"/>
  <c r="O838" i="5"/>
  <c r="S837" i="5"/>
  <c r="R837" i="5"/>
  <c r="Q837" i="5"/>
  <c r="P837" i="5"/>
  <c r="O837" i="5"/>
  <c r="S836" i="5"/>
  <c r="T836" i="5" s="1"/>
  <c r="O836" i="5"/>
  <c r="S835" i="5"/>
  <c r="Q835" i="5"/>
  <c r="O835" i="5"/>
  <c r="R835" i="5" s="1"/>
  <c r="S834" i="5"/>
  <c r="T834" i="5" s="1"/>
  <c r="O834" i="5"/>
  <c r="S833" i="5"/>
  <c r="O833" i="5"/>
  <c r="S832" i="5"/>
  <c r="Q832" i="5"/>
  <c r="O832" i="5"/>
  <c r="S831" i="5"/>
  <c r="O831" i="5"/>
  <c r="P831" i="5" s="1"/>
  <c r="S830" i="5"/>
  <c r="U830" i="5" s="1"/>
  <c r="O830" i="5"/>
  <c r="P830" i="5" s="1"/>
  <c r="U829" i="5"/>
  <c r="T829" i="5"/>
  <c r="S829" i="5"/>
  <c r="P829" i="5"/>
  <c r="O829" i="5"/>
  <c r="R829" i="5" s="1"/>
  <c r="T828" i="5"/>
  <c r="S828" i="5"/>
  <c r="U828" i="5" s="1"/>
  <c r="O828" i="5"/>
  <c r="T827" i="5"/>
  <c r="S827" i="5"/>
  <c r="U827" i="5" s="1"/>
  <c r="P827" i="5"/>
  <c r="O827" i="5"/>
  <c r="Q827" i="5" s="1"/>
  <c r="U826" i="5"/>
  <c r="T826" i="5"/>
  <c r="S826" i="5"/>
  <c r="O826" i="5"/>
  <c r="S825" i="5"/>
  <c r="U825" i="5" s="1"/>
  <c r="R825" i="5"/>
  <c r="O825" i="5"/>
  <c r="Q825" i="5" s="1"/>
  <c r="S824" i="5"/>
  <c r="U824" i="5" s="1"/>
  <c r="R824" i="5"/>
  <c r="P824" i="5"/>
  <c r="O824" i="5"/>
  <c r="Q824" i="5" s="1"/>
  <c r="S823" i="5"/>
  <c r="U823" i="5" s="1"/>
  <c r="O823" i="5"/>
  <c r="Q823" i="5" s="1"/>
  <c r="S822" i="5"/>
  <c r="T822" i="5" s="1"/>
  <c r="O822" i="5"/>
  <c r="S821" i="5"/>
  <c r="Q821" i="5"/>
  <c r="O821" i="5"/>
  <c r="R821" i="5" s="1"/>
  <c r="S820" i="5"/>
  <c r="U820" i="5" s="1"/>
  <c r="O820" i="5"/>
  <c r="R820" i="5" s="1"/>
  <c r="U819" i="5"/>
  <c r="S819" i="5"/>
  <c r="T819" i="5" s="1"/>
  <c r="P819" i="5"/>
  <c r="O819" i="5"/>
  <c r="R819" i="5" s="1"/>
  <c r="U818" i="5"/>
  <c r="S818" i="5"/>
  <c r="T818" i="5" s="1"/>
  <c r="Q818" i="5"/>
  <c r="O818" i="5"/>
  <c r="S817" i="5"/>
  <c r="O817" i="5"/>
  <c r="S816" i="5"/>
  <c r="T816" i="5" s="1"/>
  <c r="P816" i="5"/>
  <c r="O816" i="5"/>
  <c r="R816" i="5" s="1"/>
  <c r="S815" i="5"/>
  <c r="U815" i="5" s="1"/>
  <c r="R815" i="5"/>
  <c r="Q815" i="5"/>
  <c r="O815" i="5"/>
  <c r="P815" i="5" s="1"/>
  <c r="S814" i="5"/>
  <c r="U814" i="5" s="1"/>
  <c r="O814" i="5"/>
  <c r="P814" i="5" s="1"/>
  <c r="U813" i="5"/>
  <c r="T813" i="5"/>
  <c r="S813" i="5"/>
  <c r="O813" i="5"/>
  <c r="R813" i="5" s="1"/>
  <c r="T812" i="5"/>
  <c r="S812" i="5"/>
  <c r="U812" i="5" s="1"/>
  <c r="O812" i="5"/>
  <c r="T811" i="5"/>
  <c r="S811" i="5"/>
  <c r="U811" i="5" s="1"/>
  <c r="P811" i="5"/>
  <c r="O811" i="5"/>
  <c r="Q811" i="5" s="1"/>
  <c r="T810" i="5"/>
  <c r="S810" i="5"/>
  <c r="U810" i="5" s="1"/>
  <c r="O810" i="5"/>
  <c r="T809" i="5"/>
  <c r="S809" i="5"/>
  <c r="U809" i="5" s="1"/>
  <c r="O809" i="5"/>
  <c r="S808" i="5"/>
  <c r="U808" i="5" s="1"/>
  <c r="R808" i="5"/>
  <c r="P808" i="5"/>
  <c r="O808" i="5"/>
  <c r="Q808" i="5" s="1"/>
  <c r="T807" i="5"/>
  <c r="S807" i="5"/>
  <c r="U807" i="5" s="1"/>
  <c r="O807" i="5"/>
  <c r="S806" i="5"/>
  <c r="P806" i="5"/>
  <c r="O806" i="5"/>
  <c r="S805" i="5"/>
  <c r="T805" i="5" s="1"/>
  <c r="O805" i="5"/>
  <c r="T804" i="5"/>
  <c r="S804" i="5"/>
  <c r="U804" i="5" s="1"/>
  <c r="O804" i="5"/>
  <c r="S803" i="5"/>
  <c r="T803" i="5" s="1"/>
  <c r="O803" i="5"/>
  <c r="R803" i="5" s="1"/>
  <c r="S802" i="5"/>
  <c r="U802" i="5" s="1"/>
  <c r="O802" i="5"/>
  <c r="S801" i="5"/>
  <c r="U801" i="5" s="1"/>
  <c r="Q801" i="5"/>
  <c r="O801" i="5"/>
  <c r="S800" i="5"/>
  <c r="U800" i="5" s="1"/>
  <c r="O800" i="5"/>
  <c r="R800" i="5" s="1"/>
  <c r="S799" i="5"/>
  <c r="U799" i="5" s="1"/>
  <c r="O799" i="5"/>
  <c r="T798" i="5"/>
  <c r="S798" i="5"/>
  <c r="U798" i="5" s="1"/>
  <c r="R798" i="5"/>
  <c r="O798" i="5"/>
  <c r="Q798" i="5" s="1"/>
  <c r="S797" i="5"/>
  <c r="O797" i="5"/>
  <c r="R797" i="5" s="1"/>
  <c r="T796" i="5"/>
  <c r="S796" i="5"/>
  <c r="U796" i="5" s="1"/>
  <c r="O796" i="5"/>
  <c r="Q796" i="5" s="1"/>
  <c r="S795" i="5"/>
  <c r="U795" i="5" s="1"/>
  <c r="R795" i="5"/>
  <c r="O795" i="5"/>
  <c r="Q795" i="5" s="1"/>
  <c r="S794" i="5"/>
  <c r="R794" i="5"/>
  <c r="P794" i="5"/>
  <c r="O794" i="5"/>
  <c r="Q794" i="5" s="1"/>
  <c r="T793" i="5"/>
  <c r="S793" i="5"/>
  <c r="U793" i="5" s="1"/>
  <c r="R793" i="5"/>
  <c r="P793" i="5"/>
  <c r="O793" i="5"/>
  <c r="Q793" i="5" s="1"/>
  <c r="S792" i="5"/>
  <c r="T792" i="5" s="1"/>
  <c r="O792" i="5"/>
  <c r="S791" i="5"/>
  <c r="U791" i="5" s="1"/>
  <c r="R791" i="5"/>
  <c r="O791" i="5"/>
  <c r="Q791" i="5" s="1"/>
  <c r="S790" i="5"/>
  <c r="R790" i="5"/>
  <c r="Q790" i="5"/>
  <c r="P790" i="5"/>
  <c r="O790" i="5"/>
  <c r="S789" i="5"/>
  <c r="T789" i="5" s="1"/>
  <c r="P789" i="5"/>
  <c r="O789" i="5"/>
  <c r="Q789" i="5" s="1"/>
  <c r="S788" i="5"/>
  <c r="Q788" i="5"/>
  <c r="P788" i="5"/>
  <c r="O788" i="5"/>
  <c r="R788" i="5" s="1"/>
  <c r="S787" i="5"/>
  <c r="T787" i="5" s="1"/>
  <c r="O787" i="5"/>
  <c r="S786" i="5"/>
  <c r="U786" i="5" s="1"/>
  <c r="O786" i="5"/>
  <c r="S785" i="5"/>
  <c r="U785" i="5" s="1"/>
  <c r="O785" i="5"/>
  <c r="Q785" i="5" s="1"/>
  <c r="S784" i="5"/>
  <c r="U784" i="5" s="1"/>
  <c r="O784" i="5"/>
  <c r="R784" i="5" s="1"/>
  <c r="S783" i="5"/>
  <c r="O783" i="5"/>
  <c r="S782" i="5"/>
  <c r="U782" i="5" s="1"/>
  <c r="O782" i="5"/>
  <c r="R782" i="5" s="1"/>
  <c r="U781" i="5"/>
  <c r="T781" i="5"/>
  <c r="S781" i="5"/>
  <c r="O781" i="5"/>
  <c r="R781" i="5" s="1"/>
  <c r="S780" i="5"/>
  <c r="U780" i="5" s="1"/>
  <c r="P780" i="5"/>
  <c r="O780" i="5"/>
  <c r="R780" i="5" s="1"/>
  <c r="S779" i="5"/>
  <c r="U779" i="5" s="1"/>
  <c r="O779" i="5"/>
  <c r="R779" i="5" s="1"/>
  <c r="S778" i="5"/>
  <c r="O778" i="5"/>
  <c r="T777" i="5"/>
  <c r="S777" i="5"/>
  <c r="U777" i="5" s="1"/>
  <c r="P777" i="5"/>
  <c r="O777" i="5"/>
  <c r="R777" i="5" s="1"/>
  <c r="S776" i="5"/>
  <c r="U776" i="5" s="1"/>
  <c r="O776" i="5"/>
  <c r="Q776" i="5" s="1"/>
  <c r="U775" i="5"/>
  <c r="S775" i="5"/>
  <c r="T775" i="5" s="1"/>
  <c r="P775" i="5"/>
  <c r="O775" i="5"/>
  <c r="R775" i="5" s="1"/>
  <c r="U774" i="5"/>
  <c r="T774" i="5"/>
  <c r="S774" i="5"/>
  <c r="O774" i="5"/>
  <c r="U773" i="5"/>
  <c r="S773" i="5"/>
  <c r="T773" i="5" s="1"/>
  <c r="R773" i="5"/>
  <c r="Q773" i="5"/>
  <c r="O773" i="5"/>
  <c r="P773" i="5" s="1"/>
  <c r="S772" i="5"/>
  <c r="U772" i="5" s="1"/>
  <c r="Q772" i="5"/>
  <c r="O772" i="5"/>
  <c r="R772" i="5" s="1"/>
  <c r="S771" i="5"/>
  <c r="T771" i="5" s="1"/>
  <c r="O771" i="5"/>
  <c r="R771" i="5" s="1"/>
  <c r="T770" i="5"/>
  <c r="S770" i="5"/>
  <c r="U770" i="5" s="1"/>
  <c r="Q770" i="5"/>
  <c r="P770" i="5"/>
  <c r="O770" i="5"/>
  <c r="R770" i="5" s="1"/>
  <c r="S769" i="5"/>
  <c r="Q769" i="5"/>
  <c r="O769" i="5"/>
  <c r="S768" i="5"/>
  <c r="U768" i="5" s="1"/>
  <c r="O768" i="5"/>
  <c r="S767" i="5"/>
  <c r="U767" i="5" s="1"/>
  <c r="O767" i="5"/>
  <c r="P767" i="5" s="1"/>
  <c r="T766" i="5"/>
  <c r="S766" i="5"/>
  <c r="U766" i="5" s="1"/>
  <c r="O766" i="5"/>
  <c r="R766" i="5" s="1"/>
  <c r="T765" i="5"/>
  <c r="S765" i="5"/>
  <c r="U765" i="5" s="1"/>
  <c r="P765" i="5"/>
  <c r="O765" i="5"/>
  <c r="S764" i="5"/>
  <c r="U764" i="5" s="1"/>
  <c r="O764" i="5"/>
  <c r="R764" i="5" s="1"/>
  <c r="S763" i="5"/>
  <c r="U763" i="5" s="1"/>
  <c r="R763" i="5"/>
  <c r="P763" i="5"/>
  <c r="O763" i="5"/>
  <c r="Q763" i="5" s="1"/>
  <c r="U762" i="5"/>
  <c r="T762" i="5"/>
  <c r="S762" i="5"/>
  <c r="Q762" i="5"/>
  <c r="O762" i="5"/>
  <c r="R762" i="5" s="1"/>
  <c r="S761" i="5"/>
  <c r="U761" i="5" s="1"/>
  <c r="O761" i="5"/>
  <c r="S760" i="5"/>
  <c r="U760" i="5" s="1"/>
  <c r="O760" i="5"/>
  <c r="Q760" i="5" s="1"/>
  <c r="U759" i="5"/>
  <c r="S759" i="5"/>
  <c r="T759" i="5" s="1"/>
  <c r="O759" i="5"/>
  <c r="R759" i="5" s="1"/>
  <c r="S758" i="5"/>
  <c r="P758" i="5"/>
  <c r="O758" i="5"/>
  <c r="S757" i="5"/>
  <c r="U757" i="5" s="1"/>
  <c r="O757" i="5"/>
  <c r="R757" i="5" s="1"/>
  <c r="S756" i="5"/>
  <c r="U756" i="5" s="1"/>
  <c r="O756" i="5"/>
  <c r="S755" i="5"/>
  <c r="O755" i="5"/>
  <c r="S754" i="5"/>
  <c r="U754" i="5" s="1"/>
  <c r="P754" i="5"/>
  <c r="O754" i="5"/>
  <c r="S753" i="5"/>
  <c r="O753" i="5"/>
  <c r="U752" i="5"/>
  <c r="T752" i="5"/>
  <c r="S752" i="5"/>
  <c r="O752" i="5"/>
  <c r="R752" i="5" s="1"/>
  <c r="T751" i="5"/>
  <c r="S751" i="5"/>
  <c r="U751" i="5" s="1"/>
  <c r="O751" i="5"/>
  <c r="S750" i="5"/>
  <c r="U750" i="5" s="1"/>
  <c r="R750" i="5"/>
  <c r="Q750" i="5"/>
  <c r="O750" i="5"/>
  <c r="P750" i="5" s="1"/>
  <c r="S749" i="5"/>
  <c r="U749" i="5" s="1"/>
  <c r="R749" i="5"/>
  <c r="P749" i="5"/>
  <c r="O749" i="5"/>
  <c r="Q749" i="5" s="1"/>
  <c r="T748" i="5"/>
  <c r="S748" i="5"/>
  <c r="U748" i="5" s="1"/>
  <c r="P748" i="5"/>
  <c r="O748" i="5"/>
  <c r="R748" i="5" s="1"/>
  <c r="S747" i="5"/>
  <c r="U747" i="5" s="1"/>
  <c r="R747" i="5"/>
  <c r="O747" i="5"/>
  <c r="Q747" i="5" s="1"/>
  <c r="S746" i="5"/>
  <c r="O746" i="5"/>
  <c r="Q746" i="5" s="1"/>
  <c r="S745" i="5"/>
  <c r="O745" i="5"/>
  <c r="R745" i="5" s="1"/>
  <c r="S744" i="5"/>
  <c r="O744" i="5"/>
  <c r="Q744" i="5" s="1"/>
  <c r="S743" i="5"/>
  <c r="U743" i="5" s="1"/>
  <c r="O743" i="5"/>
  <c r="R743" i="5" s="1"/>
  <c r="S742" i="5"/>
  <c r="U742" i="5" s="1"/>
  <c r="R742" i="5"/>
  <c r="Q742" i="5"/>
  <c r="O742" i="5"/>
  <c r="P742" i="5" s="1"/>
  <c r="U741" i="5"/>
  <c r="T741" i="5"/>
  <c r="S741" i="5"/>
  <c r="Q741" i="5"/>
  <c r="O741" i="5"/>
  <c r="R741" i="5" s="1"/>
  <c r="T740" i="5"/>
  <c r="S740" i="5"/>
  <c r="U740" i="5" s="1"/>
  <c r="O740" i="5"/>
  <c r="S739" i="5"/>
  <c r="U739" i="5" s="1"/>
  <c r="O739" i="5"/>
  <c r="R739" i="5" s="1"/>
  <c r="U738" i="5"/>
  <c r="T738" i="5"/>
  <c r="S738" i="5"/>
  <c r="O738" i="5"/>
  <c r="R738" i="5" s="1"/>
  <c r="S737" i="5"/>
  <c r="U737" i="5" s="1"/>
  <c r="Q737" i="5"/>
  <c r="P737" i="5"/>
  <c r="O737" i="5"/>
  <c r="R737" i="5" s="1"/>
  <c r="U736" i="5"/>
  <c r="T736" i="5"/>
  <c r="S736" i="5"/>
  <c r="O736" i="5"/>
  <c r="R736" i="5" s="1"/>
  <c r="S735" i="5"/>
  <c r="O735" i="5"/>
  <c r="Q735" i="5" s="1"/>
  <c r="S734" i="5"/>
  <c r="U734" i="5" s="1"/>
  <c r="P734" i="5"/>
  <c r="O734" i="5"/>
  <c r="S733" i="5"/>
  <c r="U733" i="5" s="1"/>
  <c r="P733" i="5"/>
  <c r="O733" i="5"/>
  <c r="Q733" i="5" s="1"/>
  <c r="S732" i="5"/>
  <c r="U732" i="5" s="1"/>
  <c r="P732" i="5"/>
  <c r="O732" i="5"/>
  <c r="S731" i="5"/>
  <c r="U731" i="5" s="1"/>
  <c r="R731" i="5"/>
  <c r="Q731" i="5"/>
  <c r="O731" i="5"/>
  <c r="P731" i="5" s="1"/>
  <c r="U730" i="5"/>
  <c r="T730" i="5"/>
  <c r="S730" i="5"/>
  <c r="R730" i="5"/>
  <c r="O730" i="5"/>
  <c r="Q730" i="5" s="1"/>
  <c r="U729" i="5"/>
  <c r="S729" i="5"/>
  <c r="T729" i="5" s="1"/>
  <c r="O729" i="5"/>
  <c r="R729" i="5" s="1"/>
  <c r="S728" i="5"/>
  <c r="R728" i="5"/>
  <c r="P728" i="5"/>
  <c r="O728" i="5"/>
  <c r="Q728" i="5" s="1"/>
  <c r="S727" i="5"/>
  <c r="U727" i="5" s="1"/>
  <c r="O727" i="5"/>
  <c r="R727" i="5" s="1"/>
  <c r="S726" i="5"/>
  <c r="U726" i="5" s="1"/>
  <c r="R726" i="5"/>
  <c r="Q726" i="5"/>
  <c r="P726" i="5"/>
  <c r="O726" i="5"/>
  <c r="S725" i="5"/>
  <c r="U725" i="5" s="1"/>
  <c r="O725" i="5"/>
  <c r="R725" i="5" s="1"/>
  <c r="S724" i="5"/>
  <c r="O724" i="5"/>
  <c r="S723" i="5"/>
  <c r="U723" i="5" s="1"/>
  <c r="O723" i="5"/>
  <c r="R723" i="5" s="1"/>
  <c r="U722" i="5"/>
  <c r="S722" i="5"/>
  <c r="T722" i="5" s="1"/>
  <c r="O722" i="5"/>
  <c r="R722" i="5" s="1"/>
  <c r="T721" i="5"/>
  <c r="S721" i="5"/>
  <c r="U721" i="5" s="1"/>
  <c r="Q721" i="5"/>
  <c r="O721" i="5"/>
  <c r="R721" i="5" s="1"/>
  <c r="T720" i="5"/>
  <c r="S720" i="5"/>
  <c r="U720" i="5" s="1"/>
  <c r="P720" i="5"/>
  <c r="O720" i="5"/>
  <c r="R720" i="5" s="1"/>
  <c r="U719" i="5"/>
  <c r="S719" i="5"/>
  <c r="T719" i="5" s="1"/>
  <c r="O719" i="5"/>
  <c r="Q719" i="5" s="1"/>
  <c r="S718" i="5"/>
  <c r="U718" i="5" s="1"/>
  <c r="R718" i="5"/>
  <c r="P718" i="5"/>
  <c r="O718" i="5"/>
  <c r="Q718" i="5" s="1"/>
  <c r="S717" i="5"/>
  <c r="U717" i="5" s="1"/>
  <c r="R717" i="5"/>
  <c r="O717" i="5"/>
  <c r="Q717" i="5" s="1"/>
  <c r="S716" i="5"/>
  <c r="O716" i="5"/>
  <c r="R716" i="5" s="1"/>
  <c r="S715" i="5"/>
  <c r="U715" i="5" s="1"/>
  <c r="R715" i="5"/>
  <c r="Q715" i="5"/>
  <c r="P715" i="5"/>
  <c r="O715" i="5"/>
  <c r="S714" i="5"/>
  <c r="U714" i="5" s="1"/>
  <c r="R714" i="5"/>
  <c r="O714" i="5"/>
  <c r="Q714" i="5" s="1"/>
  <c r="U713" i="5"/>
  <c r="S713" i="5"/>
  <c r="T713" i="5" s="1"/>
  <c r="O713" i="5"/>
  <c r="R713" i="5" s="1"/>
  <c r="S712" i="5"/>
  <c r="P712" i="5"/>
  <c r="O712" i="5"/>
  <c r="Q712" i="5" s="1"/>
  <c r="S711" i="5"/>
  <c r="U711" i="5" s="1"/>
  <c r="O711" i="5"/>
  <c r="R711" i="5" s="1"/>
  <c r="S710" i="5"/>
  <c r="U710" i="5" s="1"/>
  <c r="Q710" i="5"/>
  <c r="P710" i="5"/>
  <c r="O710" i="5"/>
  <c r="R710" i="5" s="1"/>
  <c r="U709" i="5"/>
  <c r="T709" i="5"/>
  <c r="S709" i="5"/>
  <c r="Q709" i="5"/>
  <c r="O709" i="5"/>
  <c r="R709" i="5" s="1"/>
  <c r="T708" i="5"/>
  <c r="S708" i="5"/>
  <c r="U708" i="5" s="1"/>
  <c r="O708" i="5"/>
  <c r="S707" i="5"/>
  <c r="U707" i="5" s="1"/>
  <c r="O707" i="5"/>
  <c r="R707" i="5" s="1"/>
  <c r="U706" i="5"/>
  <c r="T706" i="5"/>
  <c r="S706" i="5"/>
  <c r="O706" i="5"/>
  <c r="R706" i="5" s="1"/>
  <c r="T705" i="5"/>
  <c r="S705" i="5"/>
  <c r="U705" i="5" s="1"/>
  <c r="Q705" i="5"/>
  <c r="P705" i="5"/>
  <c r="O705" i="5"/>
  <c r="R705" i="5" s="1"/>
  <c r="S704" i="5"/>
  <c r="P704" i="5"/>
  <c r="O704" i="5"/>
  <c r="R704" i="5" s="1"/>
  <c r="U703" i="5"/>
  <c r="T703" i="5"/>
  <c r="S703" i="5"/>
  <c r="R703" i="5"/>
  <c r="O703" i="5"/>
  <c r="Q703" i="5" s="1"/>
  <c r="S702" i="5"/>
  <c r="U702" i="5" s="1"/>
  <c r="R702" i="5"/>
  <c r="Q702" i="5"/>
  <c r="P702" i="5"/>
  <c r="O702" i="5"/>
  <c r="S701" i="5"/>
  <c r="U701" i="5" s="1"/>
  <c r="O701" i="5"/>
  <c r="S700" i="5"/>
  <c r="Q700" i="5"/>
  <c r="P700" i="5"/>
  <c r="O700" i="5"/>
  <c r="R700" i="5" s="1"/>
  <c r="S699" i="5"/>
  <c r="U699" i="5" s="1"/>
  <c r="Q699" i="5"/>
  <c r="P699" i="5"/>
  <c r="O699" i="5"/>
  <c r="R699" i="5" s="1"/>
  <c r="S698" i="5"/>
  <c r="U698" i="5" s="1"/>
  <c r="O698" i="5"/>
  <c r="Q698" i="5" s="1"/>
  <c r="S697" i="5"/>
  <c r="O697" i="5"/>
  <c r="R697" i="5" s="1"/>
  <c r="S696" i="5"/>
  <c r="R696" i="5"/>
  <c r="P696" i="5"/>
  <c r="O696" i="5"/>
  <c r="Q696" i="5" s="1"/>
  <c r="S695" i="5"/>
  <c r="U695" i="5" s="1"/>
  <c r="O695" i="5"/>
  <c r="R695" i="5" s="1"/>
  <c r="S694" i="5"/>
  <c r="U694" i="5" s="1"/>
  <c r="R694" i="5"/>
  <c r="Q694" i="5"/>
  <c r="P694" i="5"/>
  <c r="O694" i="5"/>
  <c r="T693" i="5"/>
  <c r="S693" i="5"/>
  <c r="U693" i="5" s="1"/>
  <c r="O693" i="5"/>
  <c r="R693" i="5" s="1"/>
  <c r="T692" i="5"/>
  <c r="S692" i="5"/>
  <c r="U692" i="5" s="1"/>
  <c r="O692" i="5"/>
  <c r="S691" i="5"/>
  <c r="U691" i="5" s="1"/>
  <c r="O691" i="5"/>
  <c r="R691" i="5" s="1"/>
  <c r="U690" i="5"/>
  <c r="T690" i="5"/>
  <c r="S690" i="5"/>
  <c r="O690" i="5"/>
  <c r="R690" i="5" s="1"/>
  <c r="S689" i="5"/>
  <c r="U689" i="5" s="1"/>
  <c r="O689" i="5"/>
  <c r="R689" i="5" s="1"/>
  <c r="U688" i="5"/>
  <c r="T688" i="5"/>
  <c r="S688" i="5"/>
  <c r="O688" i="5"/>
  <c r="R688" i="5" s="1"/>
  <c r="S687" i="5"/>
  <c r="T687" i="5" s="1"/>
  <c r="O687" i="5"/>
  <c r="Q687" i="5" s="1"/>
  <c r="S686" i="5"/>
  <c r="U686" i="5" s="1"/>
  <c r="R686" i="5"/>
  <c r="Q686" i="5"/>
  <c r="P686" i="5"/>
  <c r="O686" i="5"/>
  <c r="S685" i="5"/>
  <c r="U685" i="5" s="1"/>
  <c r="O685" i="5"/>
  <c r="S684" i="5"/>
  <c r="U684" i="5" s="1"/>
  <c r="Q684" i="5"/>
  <c r="O684" i="5"/>
  <c r="S683" i="5"/>
  <c r="U683" i="5" s="1"/>
  <c r="Q683" i="5"/>
  <c r="O683" i="5"/>
  <c r="R683" i="5" s="1"/>
  <c r="U682" i="5"/>
  <c r="T682" i="5"/>
  <c r="S682" i="5"/>
  <c r="R682" i="5"/>
  <c r="O682" i="5"/>
  <c r="Q682" i="5" s="1"/>
  <c r="U681" i="5"/>
  <c r="S681" i="5"/>
  <c r="T681" i="5" s="1"/>
  <c r="O681" i="5"/>
  <c r="R681" i="5" s="1"/>
  <c r="S680" i="5"/>
  <c r="P680" i="5"/>
  <c r="O680" i="5"/>
  <c r="S679" i="5"/>
  <c r="U679" i="5" s="1"/>
  <c r="O679" i="5"/>
  <c r="R679" i="5" s="1"/>
  <c r="S678" i="5"/>
  <c r="U678" i="5" s="1"/>
  <c r="R678" i="5"/>
  <c r="Q678" i="5"/>
  <c r="P678" i="5"/>
  <c r="O678" i="5"/>
  <c r="S677" i="5"/>
  <c r="U677" i="5" s="1"/>
  <c r="Q677" i="5"/>
  <c r="O677" i="5"/>
  <c r="R677" i="5" s="1"/>
  <c r="T676" i="5"/>
  <c r="S676" i="5"/>
  <c r="U676" i="5" s="1"/>
  <c r="O676" i="5"/>
  <c r="S675" i="5"/>
  <c r="U675" i="5" s="1"/>
  <c r="O675" i="5"/>
  <c r="R675" i="5" s="1"/>
  <c r="U674" i="5"/>
  <c r="T674" i="5"/>
  <c r="S674" i="5"/>
  <c r="O674" i="5"/>
  <c r="R674" i="5" s="1"/>
  <c r="S673" i="5"/>
  <c r="U673" i="5" s="1"/>
  <c r="O673" i="5"/>
  <c r="R673" i="5" s="1"/>
  <c r="T672" i="5"/>
  <c r="S672" i="5"/>
  <c r="U672" i="5" s="1"/>
  <c r="P672" i="5"/>
  <c r="O672" i="5"/>
  <c r="R672" i="5" s="1"/>
  <c r="U671" i="5"/>
  <c r="S671" i="5"/>
  <c r="T671" i="5" s="1"/>
  <c r="R671" i="5"/>
  <c r="O671" i="5"/>
  <c r="Q671" i="5" s="1"/>
  <c r="S670" i="5"/>
  <c r="U670" i="5" s="1"/>
  <c r="R670" i="5"/>
  <c r="Q670" i="5"/>
  <c r="P670" i="5"/>
  <c r="O670" i="5"/>
  <c r="S669" i="5"/>
  <c r="U669" i="5" s="1"/>
  <c r="P669" i="5"/>
  <c r="O669" i="5"/>
  <c r="T668" i="5"/>
  <c r="S668" i="5"/>
  <c r="U668" i="5" s="1"/>
  <c r="P668" i="5"/>
  <c r="O668" i="5"/>
  <c r="R668" i="5" s="1"/>
  <c r="S667" i="5"/>
  <c r="U667" i="5" s="1"/>
  <c r="R667" i="5"/>
  <c r="Q667" i="5"/>
  <c r="P667" i="5"/>
  <c r="O667" i="5"/>
  <c r="U666" i="5"/>
  <c r="T666" i="5"/>
  <c r="S666" i="5"/>
  <c r="O666" i="5"/>
  <c r="Q666" i="5" s="1"/>
  <c r="S665" i="5"/>
  <c r="T665" i="5" s="1"/>
  <c r="O665" i="5"/>
  <c r="R665" i="5" s="1"/>
  <c r="S664" i="5"/>
  <c r="R664" i="5"/>
  <c r="O664" i="5"/>
  <c r="Q664" i="5" s="1"/>
  <c r="S663" i="5"/>
  <c r="U663" i="5" s="1"/>
  <c r="O663" i="5"/>
  <c r="R663" i="5" s="1"/>
  <c r="S662" i="5"/>
  <c r="U662" i="5" s="1"/>
  <c r="R662" i="5"/>
  <c r="Q662" i="5"/>
  <c r="P662" i="5"/>
  <c r="O662" i="5"/>
  <c r="S661" i="5"/>
  <c r="O661" i="5"/>
  <c r="S660" i="5"/>
  <c r="O660" i="5"/>
  <c r="S659" i="5"/>
  <c r="U659" i="5" s="1"/>
  <c r="O659" i="5"/>
  <c r="R659" i="5" s="1"/>
  <c r="S658" i="5"/>
  <c r="O658" i="5"/>
  <c r="R658" i="5" s="1"/>
  <c r="T657" i="5"/>
  <c r="S657" i="5"/>
  <c r="U657" i="5" s="1"/>
  <c r="O657" i="5"/>
  <c r="R657" i="5" s="1"/>
  <c r="T656" i="5"/>
  <c r="S656" i="5"/>
  <c r="U656" i="5" s="1"/>
  <c r="O656" i="5"/>
  <c r="U655" i="5"/>
  <c r="T655" i="5"/>
  <c r="S655" i="5"/>
  <c r="O655" i="5"/>
  <c r="S654" i="5"/>
  <c r="U654" i="5" s="1"/>
  <c r="P654" i="5"/>
  <c r="O654" i="5"/>
  <c r="S653" i="5"/>
  <c r="T653" i="5" s="1"/>
  <c r="R653" i="5"/>
  <c r="P653" i="5"/>
  <c r="O653" i="5"/>
  <c r="Q653" i="5" s="1"/>
  <c r="S652" i="5"/>
  <c r="U652" i="5" s="1"/>
  <c r="P652" i="5"/>
  <c r="O652" i="5"/>
  <c r="R652" i="5" s="1"/>
  <c r="S651" i="5"/>
  <c r="U651" i="5" s="1"/>
  <c r="R651" i="5"/>
  <c r="Q651" i="5"/>
  <c r="P651" i="5"/>
  <c r="O651" i="5"/>
  <c r="U650" i="5"/>
  <c r="T650" i="5"/>
  <c r="S650" i="5"/>
  <c r="O650" i="5"/>
  <c r="Q650" i="5" s="1"/>
  <c r="U649" i="5"/>
  <c r="S649" i="5"/>
  <c r="T649" i="5" s="1"/>
  <c r="O649" i="5"/>
  <c r="R649" i="5" s="1"/>
  <c r="S648" i="5"/>
  <c r="R648" i="5"/>
  <c r="O648" i="5"/>
  <c r="Q648" i="5" s="1"/>
  <c r="S647" i="5"/>
  <c r="U647" i="5" s="1"/>
  <c r="O647" i="5"/>
  <c r="R647" i="5" s="1"/>
  <c r="S646" i="5"/>
  <c r="U646" i="5" s="1"/>
  <c r="R646" i="5"/>
  <c r="Q646" i="5"/>
  <c r="P646" i="5"/>
  <c r="O646" i="5"/>
  <c r="S645" i="5"/>
  <c r="O645" i="5"/>
  <c r="S644" i="5"/>
  <c r="U644" i="5" s="1"/>
  <c r="O644" i="5"/>
  <c r="S643" i="5"/>
  <c r="U643" i="5" s="1"/>
  <c r="O643" i="5"/>
  <c r="R643" i="5" s="1"/>
  <c r="U642" i="5"/>
  <c r="T642" i="5"/>
  <c r="S642" i="5"/>
  <c r="O642" i="5"/>
  <c r="R642" i="5" s="1"/>
  <c r="T641" i="5"/>
  <c r="S641" i="5"/>
  <c r="U641" i="5" s="1"/>
  <c r="O641" i="5"/>
  <c r="R641" i="5" s="1"/>
  <c r="S640" i="5"/>
  <c r="O640" i="5"/>
  <c r="U639" i="5"/>
  <c r="T639" i="5"/>
  <c r="S639" i="5"/>
  <c r="O639" i="5"/>
  <c r="S638" i="5"/>
  <c r="U638" i="5" s="1"/>
  <c r="R638" i="5"/>
  <c r="Q638" i="5"/>
  <c r="P638" i="5"/>
  <c r="O638" i="5"/>
  <c r="S637" i="5"/>
  <c r="T637" i="5" s="1"/>
  <c r="O637" i="5"/>
  <c r="S636" i="5"/>
  <c r="U636" i="5" s="1"/>
  <c r="P636" i="5"/>
  <c r="O636" i="5"/>
  <c r="R636" i="5" s="1"/>
  <c r="S635" i="5"/>
  <c r="U635" i="5" s="1"/>
  <c r="P635" i="5"/>
  <c r="O635" i="5"/>
  <c r="R635" i="5" s="1"/>
  <c r="U634" i="5"/>
  <c r="T634" i="5"/>
  <c r="S634" i="5"/>
  <c r="R634" i="5"/>
  <c r="O634" i="5"/>
  <c r="Q634" i="5" s="1"/>
  <c r="S633" i="5"/>
  <c r="O633" i="5"/>
  <c r="R633" i="5" s="1"/>
  <c r="S632" i="5"/>
  <c r="R632" i="5"/>
  <c r="O632" i="5"/>
  <c r="Q632" i="5" s="1"/>
  <c r="S631" i="5"/>
  <c r="U631" i="5" s="1"/>
  <c r="O631" i="5"/>
  <c r="R631" i="5" s="1"/>
  <c r="S630" i="5"/>
  <c r="U630" i="5" s="1"/>
  <c r="R630" i="5"/>
  <c r="Q630" i="5"/>
  <c r="P630" i="5"/>
  <c r="O630" i="5"/>
  <c r="S629" i="5"/>
  <c r="U629" i="5" s="1"/>
  <c r="O629" i="5"/>
  <c r="R629" i="5" s="1"/>
  <c r="S628" i="5"/>
  <c r="O628" i="5"/>
  <c r="S627" i="5"/>
  <c r="U627" i="5" s="1"/>
  <c r="O627" i="5"/>
  <c r="R627" i="5" s="1"/>
  <c r="S626" i="5"/>
  <c r="O626" i="5"/>
  <c r="Q626" i="5" s="1"/>
  <c r="T625" i="5"/>
  <c r="S625" i="5"/>
  <c r="U625" i="5" s="1"/>
  <c r="O625" i="5"/>
  <c r="T624" i="5"/>
  <c r="S624" i="5"/>
  <c r="U624" i="5" s="1"/>
  <c r="P624" i="5"/>
  <c r="O624" i="5"/>
  <c r="R624" i="5" s="1"/>
  <c r="S623" i="5"/>
  <c r="R623" i="5"/>
  <c r="O623" i="5"/>
  <c r="Q623" i="5" s="1"/>
  <c r="S622" i="5"/>
  <c r="U622" i="5" s="1"/>
  <c r="R622" i="5"/>
  <c r="Q622" i="5"/>
  <c r="O622" i="5"/>
  <c r="P622" i="5" s="1"/>
  <c r="S621" i="5"/>
  <c r="T621" i="5" s="1"/>
  <c r="O621" i="5"/>
  <c r="Q621" i="5" s="1"/>
  <c r="T620" i="5"/>
  <c r="S620" i="5"/>
  <c r="U620" i="5" s="1"/>
  <c r="O620" i="5"/>
  <c r="R620" i="5" s="1"/>
  <c r="S619" i="5"/>
  <c r="U619" i="5" s="1"/>
  <c r="Q619" i="5"/>
  <c r="P619" i="5"/>
  <c r="O619" i="5"/>
  <c r="R619" i="5" s="1"/>
  <c r="T618" i="5"/>
  <c r="S618" i="5"/>
  <c r="U618" i="5" s="1"/>
  <c r="O618" i="5"/>
  <c r="Q618" i="5" s="1"/>
  <c r="U617" i="5"/>
  <c r="S617" i="5"/>
  <c r="T617" i="5" s="1"/>
  <c r="O617" i="5"/>
  <c r="R617" i="5" s="1"/>
  <c r="S616" i="5"/>
  <c r="O616" i="5"/>
  <c r="S615" i="5"/>
  <c r="U615" i="5" s="1"/>
  <c r="O615" i="5"/>
  <c r="S614" i="5"/>
  <c r="U614" i="5" s="1"/>
  <c r="Q614" i="5"/>
  <c r="P614" i="5"/>
  <c r="O614" i="5"/>
  <c r="R614" i="5" s="1"/>
  <c r="S613" i="5"/>
  <c r="Q613" i="5"/>
  <c r="O613" i="5"/>
  <c r="R613" i="5" s="1"/>
  <c r="S612" i="5"/>
  <c r="O612" i="5"/>
  <c r="S611" i="5"/>
  <c r="U611" i="5" s="1"/>
  <c r="O611" i="5"/>
  <c r="R611" i="5" s="1"/>
  <c r="U610" i="5"/>
  <c r="T610" i="5"/>
  <c r="S610" i="5"/>
  <c r="O610" i="5"/>
  <c r="Q610" i="5" s="1"/>
  <c r="S609" i="5"/>
  <c r="U609" i="5" s="1"/>
  <c r="O609" i="5"/>
  <c r="S608" i="5"/>
  <c r="U608" i="5" s="1"/>
  <c r="P608" i="5"/>
  <c r="O608" i="5"/>
  <c r="R608" i="5" s="1"/>
  <c r="S607" i="5"/>
  <c r="U607" i="5" s="1"/>
  <c r="R607" i="5"/>
  <c r="O607" i="5"/>
  <c r="Q607" i="5" s="1"/>
  <c r="S606" i="5"/>
  <c r="U606" i="5" s="1"/>
  <c r="R606" i="5"/>
  <c r="O606" i="5"/>
  <c r="Q606" i="5" s="1"/>
  <c r="U605" i="5"/>
  <c r="S605" i="5"/>
  <c r="T605" i="5" s="1"/>
  <c r="O605" i="5"/>
  <c r="S604" i="5"/>
  <c r="P604" i="5"/>
  <c r="O604" i="5"/>
  <c r="R604" i="5" s="1"/>
  <c r="S603" i="5"/>
  <c r="R603" i="5"/>
  <c r="Q603" i="5"/>
  <c r="P603" i="5"/>
  <c r="O603" i="5"/>
  <c r="T602" i="5"/>
  <c r="S602" i="5"/>
  <c r="U602" i="5" s="1"/>
  <c r="O602" i="5"/>
  <c r="Q602" i="5" s="1"/>
  <c r="S601" i="5"/>
  <c r="O601" i="5"/>
  <c r="S600" i="5"/>
  <c r="R600" i="5"/>
  <c r="O600" i="5"/>
  <c r="Q600" i="5" s="1"/>
  <c r="S599" i="5"/>
  <c r="U599" i="5" s="1"/>
  <c r="O599" i="5"/>
  <c r="S598" i="5"/>
  <c r="U598" i="5" s="1"/>
  <c r="O598" i="5"/>
  <c r="R598" i="5" s="1"/>
  <c r="S597" i="5"/>
  <c r="U597" i="5" s="1"/>
  <c r="O597" i="5"/>
  <c r="S596" i="5"/>
  <c r="U596" i="5" s="1"/>
  <c r="O596" i="5"/>
  <c r="S595" i="5"/>
  <c r="U595" i="5" s="1"/>
  <c r="O595" i="5"/>
  <c r="R595" i="5" s="1"/>
  <c r="U594" i="5"/>
  <c r="T594" i="5"/>
  <c r="S594" i="5"/>
  <c r="R594" i="5"/>
  <c r="O594" i="5"/>
  <c r="Q594" i="5" s="1"/>
  <c r="T593" i="5"/>
  <c r="S593" i="5"/>
  <c r="U593" i="5" s="1"/>
  <c r="Q593" i="5"/>
  <c r="P593" i="5"/>
  <c r="O593" i="5"/>
  <c r="R593" i="5" s="1"/>
  <c r="S592" i="5"/>
  <c r="O592" i="5"/>
  <c r="R592" i="5" s="1"/>
  <c r="U591" i="5"/>
  <c r="S591" i="5"/>
  <c r="T591" i="5" s="1"/>
  <c r="O591" i="5"/>
  <c r="Q591" i="5" s="1"/>
  <c r="S590" i="5"/>
  <c r="U590" i="5" s="1"/>
  <c r="Q590" i="5"/>
  <c r="P590" i="5"/>
  <c r="O590" i="5"/>
  <c r="R590" i="5" s="1"/>
  <c r="U589" i="5"/>
  <c r="S589" i="5"/>
  <c r="T589" i="5" s="1"/>
  <c r="O589" i="5"/>
  <c r="T588" i="5"/>
  <c r="S588" i="5"/>
  <c r="U588" i="5" s="1"/>
  <c r="P588" i="5"/>
  <c r="O588" i="5"/>
  <c r="R588" i="5" s="1"/>
  <c r="S587" i="5"/>
  <c r="Q587" i="5"/>
  <c r="P587" i="5"/>
  <c r="O587" i="5"/>
  <c r="R587" i="5" s="1"/>
  <c r="S586" i="5"/>
  <c r="O586" i="5"/>
  <c r="S585" i="5"/>
  <c r="T585" i="5" s="1"/>
  <c r="O585" i="5"/>
  <c r="S584" i="5"/>
  <c r="T584" i="5" s="1"/>
  <c r="R584" i="5"/>
  <c r="O584" i="5"/>
  <c r="Q584" i="5" s="1"/>
  <c r="S583" i="5"/>
  <c r="O583" i="5"/>
  <c r="S582" i="5"/>
  <c r="U582" i="5" s="1"/>
  <c r="R582" i="5"/>
  <c r="Q582" i="5"/>
  <c r="O582" i="5"/>
  <c r="P582" i="5" s="1"/>
  <c r="U581" i="5"/>
  <c r="T581" i="5"/>
  <c r="S581" i="5"/>
  <c r="Q581" i="5"/>
  <c r="O581" i="5"/>
  <c r="R581" i="5" s="1"/>
  <c r="T580" i="5"/>
  <c r="S580" i="5"/>
  <c r="U580" i="5" s="1"/>
  <c r="O580" i="5"/>
  <c r="S579" i="5"/>
  <c r="U579" i="5" s="1"/>
  <c r="O579" i="5"/>
  <c r="S578" i="5"/>
  <c r="U578" i="5" s="1"/>
  <c r="O578" i="5"/>
  <c r="T577" i="5"/>
  <c r="S577" i="5"/>
  <c r="U577" i="5" s="1"/>
  <c r="O577" i="5"/>
  <c r="R577" i="5" s="1"/>
  <c r="S576" i="5"/>
  <c r="U576" i="5" s="1"/>
  <c r="O576" i="5"/>
  <c r="R576" i="5" s="1"/>
  <c r="U575" i="5"/>
  <c r="T575" i="5"/>
  <c r="S575" i="5"/>
  <c r="R575" i="5"/>
  <c r="O575" i="5"/>
  <c r="Q575" i="5" s="1"/>
  <c r="S574" i="5"/>
  <c r="T574" i="5" s="1"/>
  <c r="R574" i="5"/>
  <c r="Q574" i="5"/>
  <c r="P574" i="5"/>
  <c r="O574" i="5"/>
  <c r="U573" i="5"/>
  <c r="S573" i="5"/>
  <c r="T573" i="5" s="1"/>
  <c r="O573" i="5"/>
  <c r="T572" i="5"/>
  <c r="S572" i="5"/>
  <c r="U572" i="5" s="1"/>
  <c r="P572" i="5"/>
  <c r="O572" i="5"/>
  <c r="R572" i="5" s="1"/>
  <c r="S571" i="5"/>
  <c r="O571" i="5"/>
  <c r="R571" i="5" s="1"/>
  <c r="U570" i="5"/>
  <c r="T570" i="5"/>
  <c r="S570" i="5"/>
  <c r="O570" i="5"/>
  <c r="S569" i="5"/>
  <c r="T569" i="5" s="1"/>
  <c r="O569" i="5"/>
  <c r="U568" i="5"/>
  <c r="S568" i="5"/>
  <c r="T568" i="5" s="1"/>
  <c r="O568" i="5"/>
  <c r="S567" i="5"/>
  <c r="O567" i="5"/>
  <c r="T566" i="5"/>
  <c r="S566" i="5"/>
  <c r="U566" i="5" s="1"/>
  <c r="R566" i="5"/>
  <c r="O566" i="5"/>
  <c r="Q566" i="5" s="1"/>
  <c r="S565" i="5"/>
  <c r="O565" i="5"/>
  <c r="R565" i="5" s="1"/>
  <c r="T564" i="5"/>
  <c r="S564" i="5"/>
  <c r="U564" i="5" s="1"/>
  <c r="O564" i="5"/>
  <c r="P564" i="5" s="1"/>
  <c r="S563" i="5"/>
  <c r="O563" i="5"/>
  <c r="S562" i="5"/>
  <c r="U562" i="5" s="1"/>
  <c r="O562" i="5"/>
  <c r="Q562" i="5" s="1"/>
  <c r="S561" i="5"/>
  <c r="O561" i="5"/>
  <c r="R561" i="5" s="1"/>
  <c r="T560" i="5"/>
  <c r="S560" i="5"/>
  <c r="U560" i="5" s="1"/>
  <c r="P560" i="5"/>
  <c r="O560" i="5"/>
  <c r="R560" i="5" s="1"/>
  <c r="S559" i="5"/>
  <c r="U559" i="5" s="1"/>
  <c r="R559" i="5"/>
  <c r="O559" i="5"/>
  <c r="S558" i="5"/>
  <c r="T558" i="5" s="1"/>
  <c r="Q558" i="5"/>
  <c r="P558" i="5"/>
  <c r="O558" i="5"/>
  <c r="R558" i="5" s="1"/>
  <c r="U557" i="5"/>
  <c r="S557" i="5"/>
  <c r="T557" i="5" s="1"/>
  <c r="O557" i="5"/>
  <c r="T556" i="5"/>
  <c r="S556" i="5"/>
  <c r="U556" i="5" s="1"/>
  <c r="P556" i="5"/>
  <c r="O556" i="5"/>
  <c r="R556" i="5" s="1"/>
  <c r="S555" i="5"/>
  <c r="R555" i="5"/>
  <c r="P555" i="5"/>
  <c r="O555" i="5"/>
  <c r="Q555" i="5" s="1"/>
  <c r="S554" i="5"/>
  <c r="U554" i="5" s="1"/>
  <c r="R554" i="5"/>
  <c r="O554" i="5"/>
  <c r="S553" i="5"/>
  <c r="O553" i="5"/>
  <c r="Q553" i="5" s="1"/>
  <c r="U552" i="5"/>
  <c r="S552" i="5"/>
  <c r="T552" i="5" s="1"/>
  <c r="P552" i="5"/>
  <c r="O552" i="5"/>
  <c r="S551" i="5"/>
  <c r="O551" i="5"/>
  <c r="S550" i="5"/>
  <c r="R550" i="5"/>
  <c r="Q550" i="5"/>
  <c r="P550" i="5"/>
  <c r="O550" i="5"/>
  <c r="S549" i="5"/>
  <c r="U549" i="5" s="1"/>
  <c r="O549" i="5"/>
  <c r="R549" i="5" s="1"/>
  <c r="S548" i="5"/>
  <c r="R548" i="5"/>
  <c r="O548" i="5"/>
  <c r="P548" i="5" s="1"/>
  <c r="S547" i="5"/>
  <c r="O547" i="5"/>
  <c r="U546" i="5"/>
  <c r="T546" i="5"/>
  <c r="S546" i="5"/>
  <c r="R546" i="5"/>
  <c r="O546" i="5"/>
  <c r="Q546" i="5" s="1"/>
  <c r="S545" i="5"/>
  <c r="O545" i="5"/>
  <c r="R545" i="5" s="1"/>
  <c r="T544" i="5"/>
  <c r="S544" i="5"/>
  <c r="U544" i="5" s="1"/>
  <c r="O544" i="5"/>
  <c r="R544" i="5" s="1"/>
  <c r="T543" i="5"/>
  <c r="S543" i="5"/>
  <c r="U543" i="5" s="1"/>
  <c r="O543" i="5"/>
  <c r="U542" i="5"/>
  <c r="S542" i="5"/>
  <c r="T542" i="5" s="1"/>
  <c r="P542" i="5"/>
  <c r="O542" i="5"/>
  <c r="R542" i="5" s="1"/>
  <c r="S541" i="5"/>
  <c r="R541" i="5"/>
  <c r="P541" i="5"/>
  <c r="O541" i="5"/>
  <c r="Q541" i="5" s="1"/>
  <c r="S540" i="5"/>
  <c r="U540" i="5" s="1"/>
  <c r="O540" i="5"/>
  <c r="S539" i="5"/>
  <c r="R539" i="5"/>
  <c r="Q539" i="5"/>
  <c r="P539" i="5"/>
  <c r="O539" i="5"/>
  <c r="U538" i="5"/>
  <c r="T538" i="5"/>
  <c r="S538" i="5"/>
  <c r="R538" i="5"/>
  <c r="O538" i="5"/>
  <c r="P538" i="5" s="1"/>
  <c r="U537" i="5"/>
  <c r="S537" i="5"/>
  <c r="T537" i="5" s="1"/>
  <c r="O537" i="5"/>
  <c r="U536" i="5"/>
  <c r="S536" i="5"/>
  <c r="T536" i="5" s="1"/>
  <c r="R536" i="5"/>
  <c r="O536" i="5"/>
  <c r="Q536" i="5" s="1"/>
  <c r="S535" i="5"/>
  <c r="O535" i="5"/>
  <c r="U534" i="5"/>
  <c r="S534" i="5"/>
  <c r="T534" i="5" s="1"/>
  <c r="R534" i="5"/>
  <c r="Q534" i="5"/>
  <c r="P534" i="5"/>
  <c r="O534" i="5"/>
  <c r="U533" i="5"/>
  <c r="T533" i="5"/>
  <c r="S533" i="5"/>
  <c r="O533" i="5"/>
  <c r="Q533" i="5" s="1"/>
  <c r="T532" i="5"/>
  <c r="S532" i="5"/>
  <c r="U532" i="5" s="1"/>
  <c r="O532" i="5"/>
  <c r="S531" i="5"/>
  <c r="O531" i="5"/>
  <c r="R531" i="5" s="1"/>
  <c r="U530" i="5"/>
  <c r="T530" i="5"/>
  <c r="S530" i="5"/>
  <c r="R530" i="5"/>
  <c r="P530" i="5"/>
  <c r="O530" i="5"/>
  <c r="Q530" i="5" s="1"/>
  <c r="S529" i="5"/>
  <c r="U529" i="5" s="1"/>
  <c r="O529" i="5"/>
  <c r="T528" i="5"/>
  <c r="S528" i="5"/>
  <c r="U528" i="5" s="1"/>
  <c r="O528" i="5"/>
  <c r="Q528" i="5" s="1"/>
  <c r="S527" i="5"/>
  <c r="U527" i="5" s="1"/>
  <c r="O527" i="5"/>
  <c r="P527" i="5" s="1"/>
  <c r="U526" i="5"/>
  <c r="S526" i="5"/>
  <c r="T526" i="5" s="1"/>
  <c r="R526" i="5"/>
  <c r="Q526" i="5"/>
  <c r="P526" i="5"/>
  <c r="O526" i="5"/>
  <c r="S525" i="5"/>
  <c r="U525" i="5" s="1"/>
  <c r="R525" i="5"/>
  <c r="P525" i="5"/>
  <c r="O525" i="5"/>
  <c r="Q525" i="5" s="1"/>
  <c r="S524" i="5"/>
  <c r="U524" i="5" s="1"/>
  <c r="O524" i="5"/>
  <c r="R524" i="5" s="1"/>
  <c r="S523" i="5"/>
  <c r="T523" i="5" s="1"/>
  <c r="R523" i="5"/>
  <c r="O523" i="5"/>
  <c r="Q523" i="5" s="1"/>
  <c r="T522" i="5"/>
  <c r="S522" i="5"/>
  <c r="U522" i="5" s="1"/>
  <c r="R522" i="5"/>
  <c r="Q522" i="5"/>
  <c r="O522" i="5"/>
  <c r="P522" i="5" s="1"/>
  <c r="S521" i="5"/>
  <c r="Q521" i="5"/>
  <c r="P521" i="5"/>
  <c r="O521" i="5"/>
  <c r="R521" i="5" s="1"/>
  <c r="S520" i="5"/>
  <c r="T520" i="5" s="1"/>
  <c r="P520" i="5"/>
  <c r="O520" i="5"/>
  <c r="Q520" i="5" s="1"/>
  <c r="S519" i="5"/>
  <c r="O519" i="5"/>
  <c r="Q519" i="5" s="1"/>
  <c r="T518" i="5"/>
  <c r="S518" i="5"/>
  <c r="U518" i="5" s="1"/>
  <c r="P518" i="5"/>
  <c r="O518" i="5"/>
  <c r="S517" i="5"/>
  <c r="O517" i="5"/>
  <c r="S516" i="5"/>
  <c r="O516" i="5"/>
  <c r="P516" i="5" s="1"/>
  <c r="U515" i="5"/>
  <c r="S515" i="5"/>
  <c r="T515" i="5" s="1"/>
  <c r="R515" i="5"/>
  <c r="O515" i="5"/>
  <c r="U514" i="5"/>
  <c r="T514" i="5"/>
  <c r="S514" i="5"/>
  <c r="O514" i="5"/>
  <c r="S513" i="5"/>
  <c r="O513" i="5"/>
  <c r="R513" i="5" s="1"/>
  <c r="T512" i="5"/>
  <c r="S512" i="5"/>
  <c r="U512" i="5" s="1"/>
  <c r="O512" i="5"/>
  <c r="Q512" i="5" s="1"/>
  <c r="U511" i="5"/>
  <c r="T511" i="5"/>
  <c r="S511" i="5"/>
  <c r="O511" i="5"/>
  <c r="U510" i="5"/>
  <c r="S510" i="5"/>
  <c r="T510" i="5" s="1"/>
  <c r="O510" i="5"/>
  <c r="S509" i="5"/>
  <c r="U509" i="5" s="1"/>
  <c r="O509" i="5"/>
  <c r="Q509" i="5" s="1"/>
  <c r="S508" i="5"/>
  <c r="U508" i="5" s="1"/>
  <c r="P508" i="5"/>
  <c r="O508" i="5"/>
  <c r="U507" i="5"/>
  <c r="S507" i="5"/>
  <c r="T507" i="5" s="1"/>
  <c r="Q507" i="5"/>
  <c r="P507" i="5"/>
  <c r="O507" i="5"/>
  <c r="R507" i="5" s="1"/>
  <c r="S506" i="5"/>
  <c r="Q506" i="5"/>
  <c r="O506" i="5"/>
  <c r="P506" i="5" s="1"/>
  <c r="S505" i="5"/>
  <c r="Q505" i="5"/>
  <c r="P505" i="5"/>
  <c r="O505" i="5"/>
  <c r="R505" i="5" s="1"/>
  <c r="T504" i="5"/>
  <c r="S504" i="5"/>
  <c r="U504" i="5" s="1"/>
  <c r="P504" i="5"/>
  <c r="O504" i="5"/>
  <c r="Q504" i="5" s="1"/>
  <c r="S503" i="5"/>
  <c r="O503" i="5"/>
  <c r="P503" i="5" s="1"/>
  <c r="S502" i="5"/>
  <c r="Q502" i="5"/>
  <c r="P502" i="5"/>
  <c r="O502" i="5"/>
  <c r="R502" i="5" s="1"/>
  <c r="S501" i="5"/>
  <c r="U501" i="5" s="1"/>
  <c r="O501" i="5"/>
  <c r="Q501" i="5" s="1"/>
  <c r="S500" i="5"/>
  <c r="U500" i="5" s="1"/>
  <c r="O500" i="5"/>
  <c r="U499" i="5"/>
  <c r="S499" i="5"/>
  <c r="T499" i="5" s="1"/>
  <c r="P499" i="5"/>
  <c r="O499" i="5"/>
  <c r="Q499" i="5" s="1"/>
  <c r="U498" i="5"/>
  <c r="T498" i="5"/>
  <c r="S498" i="5"/>
  <c r="R498" i="5"/>
  <c r="O498" i="5"/>
  <c r="Q498" i="5" s="1"/>
  <c r="S497" i="5"/>
  <c r="P497" i="5"/>
  <c r="O497" i="5"/>
  <c r="R497" i="5" s="1"/>
  <c r="S496" i="5"/>
  <c r="U496" i="5" s="1"/>
  <c r="O496" i="5"/>
  <c r="Q496" i="5" s="1"/>
  <c r="S495" i="5"/>
  <c r="U495" i="5" s="1"/>
  <c r="O495" i="5"/>
  <c r="S494" i="5"/>
  <c r="Q494" i="5"/>
  <c r="P494" i="5"/>
  <c r="O494" i="5"/>
  <c r="R494" i="5" s="1"/>
  <c r="T493" i="5"/>
  <c r="S493" i="5"/>
  <c r="U493" i="5" s="1"/>
  <c r="O493" i="5"/>
  <c r="Q493" i="5" s="1"/>
  <c r="S492" i="5"/>
  <c r="U492" i="5" s="1"/>
  <c r="Q492" i="5"/>
  <c r="O492" i="5"/>
  <c r="S491" i="5"/>
  <c r="T491" i="5" s="1"/>
  <c r="O491" i="5"/>
  <c r="U490" i="5"/>
  <c r="T490" i="5"/>
  <c r="S490" i="5"/>
  <c r="R490" i="5"/>
  <c r="Q490" i="5"/>
  <c r="O490" i="5"/>
  <c r="P490" i="5" s="1"/>
  <c r="S489" i="5"/>
  <c r="U489" i="5" s="1"/>
  <c r="P489" i="5"/>
  <c r="O489" i="5"/>
  <c r="U488" i="5"/>
  <c r="T488" i="5"/>
  <c r="S488" i="5"/>
  <c r="O488" i="5"/>
  <c r="Q488" i="5" s="1"/>
  <c r="S487" i="5"/>
  <c r="U487" i="5" s="1"/>
  <c r="R487" i="5"/>
  <c r="O487" i="5"/>
  <c r="P487" i="5" s="1"/>
  <c r="S486" i="5"/>
  <c r="T486" i="5" s="1"/>
  <c r="R486" i="5"/>
  <c r="O486" i="5"/>
  <c r="Q486" i="5" s="1"/>
  <c r="S485" i="5"/>
  <c r="U485" i="5" s="1"/>
  <c r="R485" i="5"/>
  <c r="O485" i="5"/>
  <c r="Q485" i="5" s="1"/>
  <c r="S484" i="5"/>
  <c r="U484" i="5" s="1"/>
  <c r="O484" i="5"/>
  <c r="R484" i="5" s="1"/>
  <c r="S483" i="5"/>
  <c r="U483" i="5" s="1"/>
  <c r="P483" i="5"/>
  <c r="O483" i="5"/>
  <c r="Q483" i="5" s="1"/>
  <c r="T482" i="5"/>
  <c r="S482" i="5"/>
  <c r="U482" i="5" s="1"/>
  <c r="O482" i="5"/>
  <c r="S481" i="5"/>
  <c r="U481" i="5" s="1"/>
  <c r="P481" i="5"/>
  <c r="O481" i="5"/>
  <c r="S480" i="5"/>
  <c r="U480" i="5" s="1"/>
  <c r="O480" i="5"/>
  <c r="Q480" i="5" s="1"/>
  <c r="S479" i="5"/>
  <c r="R479" i="5"/>
  <c r="O479" i="5"/>
  <c r="Q479" i="5" s="1"/>
  <c r="S478" i="5"/>
  <c r="U478" i="5" s="1"/>
  <c r="R478" i="5"/>
  <c r="Q478" i="5"/>
  <c r="P478" i="5"/>
  <c r="O478" i="5"/>
  <c r="S477" i="5"/>
  <c r="U477" i="5" s="1"/>
  <c r="O477" i="5"/>
  <c r="S476" i="5"/>
  <c r="T476" i="5" s="1"/>
  <c r="R476" i="5"/>
  <c r="P476" i="5"/>
  <c r="O476" i="5"/>
  <c r="Q476" i="5" s="1"/>
  <c r="S475" i="5"/>
  <c r="O475" i="5"/>
  <c r="U474" i="5"/>
  <c r="T474" i="5"/>
  <c r="S474" i="5"/>
  <c r="Q474" i="5"/>
  <c r="P474" i="5"/>
  <c r="O474" i="5"/>
  <c r="R474" i="5" s="1"/>
  <c r="S473" i="5"/>
  <c r="U473" i="5" s="1"/>
  <c r="R473" i="5"/>
  <c r="Q473" i="5"/>
  <c r="P473" i="5"/>
  <c r="O473" i="5"/>
  <c r="T472" i="5"/>
  <c r="S472" i="5"/>
  <c r="U472" i="5" s="1"/>
  <c r="O472" i="5"/>
  <c r="P472" i="5" s="1"/>
  <c r="S471" i="5"/>
  <c r="T471" i="5" s="1"/>
  <c r="Q471" i="5"/>
  <c r="O471" i="5"/>
  <c r="R471" i="5" s="1"/>
  <c r="U470" i="5"/>
  <c r="S470" i="5"/>
  <c r="T470" i="5" s="1"/>
  <c r="O470" i="5"/>
  <c r="T469" i="5"/>
  <c r="S469" i="5"/>
  <c r="U469" i="5" s="1"/>
  <c r="O469" i="5"/>
  <c r="R469" i="5" s="1"/>
  <c r="S468" i="5"/>
  <c r="U468" i="5" s="1"/>
  <c r="O468" i="5"/>
  <c r="R468" i="5" s="1"/>
  <c r="U467" i="5"/>
  <c r="T467" i="5"/>
  <c r="S467" i="5"/>
  <c r="Q467" i="5"/>
  <c r="O467" i="5"/>
  <c r="T466" i="5"/>
  <c r="S466" i="5"/>
  <c r="U466" i="5" s="1"/>
  <c r="R466" i="5"/>
  <c r="Q466" i="5"/>
  <c r="O466" i="5"/>
  <c r="P466" i="5" s="1"/>
  <c r="S465" i="5"/>
  <c r="T465" i="5" s="1"/>
  <c r="P465" i="5"/>
  <c r="O465" i="5"/>
  <c r="Q465" i="5" s="1"/>
  <c r="T464" i="5"/>
  <c r="S464" i="5"/>
  <c r="U464" i="5" s="1"/>
  <c r="R464" i="5"/>
  <c r="O464" i="5"/>
  <c r="Q464" i="5" s="1"/>
  <c r="S463" i="5"/>
  <c r="Q463" i="5"/>
  <c r="P463" i="5"/>
  <c r="O463" i="5"/>
  <c r="R463" i="5" s="1"/>
  <c r="S462" i="5"/>
  <c r="U462" i="5" s="1"/>
  <c r="O462" i="5"/>
  <c r="Q462" i="5" s="1"/>
  <c r="T461" i="5"/>
  <c r="S461" i="5"/>
  <c r="U461" i="5" s="1"/>
  <c r="O461" i="5"/>
  <c r="S460" i="5"/>
  <c r="T460" i="5" s="1"/>
  <c r="O460" i="5"/>
  <c r="U459" i="5"/>
  <c r="T459" i="5"/>
  <c r="S459" i="5"/>
  <c r="O459" i="5"/>
  <c r="U458" i="5"/>
  <c r="T458" i="5"/>
  <c r="S458" i="5"/>
  <c r="P458" i="5"/>
  <c r="O458" i="5"/>
  <c r="S457" i="5"/>
  <c r="U457" i="5" s="1"/>
  <c r="O457" i="5"/>
  <c r="T456" i="5"/>
  <c r="S456" i="5"/>
  <c r="U456" i="5" s="1"/>
  <c r="O456" i="5"/>
  <c r="P456" i="5" s="1"/>
  <c r="U455" i="5"/>
  <c r="S455" i="5"/>
  <c r="T455" i="5" s="1"/>
  <c r="P455" i="5"/>
  <c r="O455" i="5"/>
  <c r="R455" i="5" s="1"/>
  <c r="S454" i="5"/>
  <c r="R454" i="5"/>
  <c r="Q454" i="5"/>
  <c r="P454" i="5"/>
  <c r="O454" i="5"/>
  <c r="S453" i="5"/>
  <c r="U453" i="5" s="1"/>
  <c r="O453" i="5"/>
  <c r="R453" i="5" s="1"/>
  <c r="S452" i="5"/>
  <c r="U452" i="5" s="1"/>
  <c r="O452" i="5"/>
  <c r="R452" i="5" s="1"/>
  <c r="S451" i="5"/>
  <c r="U451" i="5" s="1"/>
  <c r="Q451" i="5"/>
  <c r="O451" i="5"/>
  <c r="S450" i="5"/>
  <c r="U450" i="5" s="1"/>
  <c r="O450" i="5"/>
  <c r="U449" i="5"/>
  <c r="S449" i="5"/>
  <c r="T449" i="5" s="1"/>
  <c r="O449" i="5"/>
  <c r="Q449" i="5" s="1"/>
  <c r="T448" i="5"/>
  <c r="S448" i="5"/>
  <c r="U448" i="5" s="1"/>
  <c r="O448" i="5"/>
  <c r="Q448" i="5" s="1"/>
  <c r="S447" i="5"/>
  <c r="O447" i="5"/>
  <c r="R447" i="5" s="1"/>
  <c r="S446" i="5"/>
  <c r="O446" i="5"/>
  <c r="U445" i="5"/>
  <c r="T445" i="5"/>
  <c r="S445" i="5"/>
  <c r="O445" i="5"/>
  <c r="Q445" i="5" s="1"/>
  <c r="S444" i="5"/>
  <c r="T444" i="5" s="1"/>
  <c r="R444" i="5"/>
  <c r="P444" i="5"/>
  <c r="O444" i="5"/>
  <c r="Q444" i="5" s="1"/>
  <c r="U443" i="5"/>
  <c r="T443" i="5"/>
  <c r="S443" i="5"/>
  <c r="O443" i="5"/>
  <c r="S442" i="5"/>
  <c r="U442" i="5" s="1"/>
  <c r="R442" i="5"/>
  <c r="Q442" i="5"/>
  <c r="P442" i="5"/>
  <c r="O442" i="5"/>
  <c r="S441" i="5"/>
  <c r="U441" i="5" s="1"/>
  <c r="Q441" i="5"/>
  <c r="P441" i="5"/>
  <c r="O441" i="5"/>
  <c r="R441" i="5" s="1"/>
  <c r="T440" i="5"/>
  <c r="S440" i="5"/>
  <c r="U440" i="5" s="1"/>
  <c r="O440" i="5"/>
  <c r="S439" i="5"/>
  <c r="T439" i="5" s="1"/>
  <c r="O439" i="5"/>
  <c r="R439" i="5" s="1"/>
  <c r="U438" i="5"/>
  <c r="S438" i="5"/>
  <c r="T438" i="5" s="1"/>
  <c r="P438" i="5"/>
  <c r="O438" i="5"/>
  <c r="S437" i="5"/>
  <c r="O437" i="5"/>
  <c r="R437" i="5" s="1"/>
  <c r="S436" i="5"/>
  <c r="U436" i="5" s="1"/>
  <c r="P436" i="5"/>
  <c r="O436" i="5"/>
  <c r="R436" i="5" s="1"/>
  <c r="S435" i="5"/>
  <c r="U435" i="5" s="1"/>
  <c r="R435" i="5"/>
  <c r="Q435" i="5"/>
  <c r="O435" i="5"/>
  <c r="P435" i="5" s="1"/>
  <c r="T434" i="5"/>
  <c r="S434" i="5"/>
  <c r="U434" i="5" s="1"/>
  <c r="O434" i="5"/>
  <c r="P434" i="5" s="1"/>
  <c r="U433" i="5"/>
  <c r="S433" i="5"/>
  <c r="T433" i="5" s="1"/>
  <c r="O433" i="5"/>
  <c r="T432" i="5"/>
  <c r="S432" i="5"/>
  <c r="U432" i="5" s="1"/>
  <c r="R432" i="5"/>
  <c r="O432" i="5"/>
  <c r="Q432" i="5" s="1"/>
  <c r="S431" i="5"/>
  <c r="P431" i="5"/>
  <c r="O431" i="5"/>
  <c r="R431" i="5" s="1"/>
  <c r="U430" i="5"/>
  <c r="T430" i="5"/>
  <c r="S430" i="5"/>
  <c r="R430" i="5"/>
  <c r="P430" i="5"/>
  <c r="O430" i="5"/>
  <c r="Q430" i="5" s="1"/>
  <c r="U429" i="5"/>
  <c r="T429" i="5"/>
  <c r="S429" i="5"/>
  <c r="Q429" i="5"/>
  <c r="O429" i="5"/>
  <c r="S428" i="5"/>
  <c r="T428" i="5" s="1"/>
  <c r="O428" i="5"/>
  <c r="Q428" i="5" s="1"/>
  <c r="T427" i="5"/>
  <c r="S427" i="5"/>
  <c r="U427" i="5" s="1"/>
  <c r="O427" i="5"/>
  <c r="U426" i="5"/>
  <c r="T426" i="5"/>
  <c r="S426" i="5"/>
  <c r="O426" i="5"/>
  <c r="S425" i="5"/>
  <c r="U425" i="5" s="1"/>
  <c r="R425" i="5"/>
  <c r="O425" i="5"/>
  <c r="Q425" i="5" s="1"/>
  <c r="S424" i="5"/>
  <c r="R424" i="5"/>
  <c r="O424" i="5"/>
  <c r="P424" i="5" s="1"/>
  <c r="U423" i="5"/>
  <c r="S423" i="5"/>
  <c r="T423" i="5" s="1"/>
  <c r="O423" i="5"/>
  <c r="U422" i="5"/>
  <c r="S422" i="5"/>
  <c r="T422" i="5" s="1"/>
  <c r="R422" i="5"/>
  <c r="Q422" i="5"/>
  <c r="P422" i="5"/>
  <c r="O422" i="5"/>
  <c r="T421" i="5"/>
  <c r="S421" i="5"/>
  <c r="U421" i="5" s="1"/>
  <c r="O421" i="5"/>
  <c r="R421" i="5" s="1"/>
  <c r="S420" i="5"/>
  <c r="U420" i="5" s="1"/>
  <c r="P420" i="5"/>
  <c r="O420" i="5"/>
  <c r="S419" i="5"/>
  <c r="O419" i="5"/>
  <c r="P419" i="5" s="1"/>
  <c r="T418" i="5"/>
  <c r="S418" i="5"/>
  <c r="U418" i="5" s="1"/>
  <c r="O418" i="5"/>
  <c r="P418" i="5" s="1"/>
  <c r="S417" i="5"/>
  <c r="U417" i="5" s="1"/>
  <c r="O417" i="5"/>
  <c r="Q417" i="5" s="1"/>
  <c r="T416" i="5"/>
  <c r="S416" i="5"/>
  <c r="U416" i="5" s="1"/>
  <c r="O416" i="5"/>
  <c r="Q416" i="5" s="1"/>
  <c r="S415" i="5"/>
  <c r="R415" i="5"/>
  <c r="Q415" i="5"/>
  <c r="P415" i="5"/>
  <c r="O415" i="5"/>
  <c r="T414" i="5"/>
  <c r="S414" i="5"/>
  <c r="U414" i="5" s="1"/>
  <c r="O414" i="5"/>
  <c r="Q414" i="5" s="1"/>
  <c r="U413" i="5"/>
  <c r="T413" i="5"/>
  <c r="S413" i="5"/>
  <c r="P413" i="5"/>
  <c r="O413" i="5"/>
  <c r="R413" i="5" s="1"/>
  <c r="S412" i="5"/>
  <c r="T412" i="5" s="1"/>
  <c r="R412" i="5"/>
  <c r="P412" i="5"/>
  <c r="O412" i="5"/>
  <c r="Q412" i="5" s="1"/>
  <c r="S411" i="5"/>
  <c r="U411" i="5" s="1"/>
  <c r="O411" i="5"/>
  <c r="U410" i="5"/>
  <c r="T410" i="5"/>
  <c r="S410" i="5"/>
  <c r="O410" i="5"/>
  <c r="S409" i="5"/>
  <c r="U409" i="5" s="1"/>
  <c r="R409" i="5"/>
  <c r="Q409" i="5"/>
  <c r="P409" i="5"/>
  <c r="O409" i="5"/>
  <c r="T408" i="5"/>
  <c r="S408" i="5"/>
  <c r="U408" i="5" s="1"/>
  <c r="R408" i="5"/>
  <c r="O408" i="5"/>
  <c r="P408" i="5" s="1"/>
  <c r="S407" i="5"/>
  <c r="T407" i="5" s="1"/>
  <c r="Q407" i="5"/>
  <c r="P407" i="5"/>
  <c r="O407" i="5"/>
  <c r="R407" i="5" s="1"/>
  <c r="S406" i="5"/>
  <c r="Q406" i="5"/>
  <c r="P406" i="5"/>
  <c r="O406" i="5"/>
  <c r="R406" i="5" s="1"/>
  <c r="T405" i="5"/>
  <c r="S405" i="5"/>
  <c r="U405" i="5" s="1"/>
  <c r="O405" i="5"/>
  <c r="R405" i="5" s="1"/>
  <c r="S404" i="5"/>
  <c r="U404" i="5" s="1"/>
  <c r="O404" i="5"/>
  <c r="P404" i="5" s="1"/>
  <c r="S403" i="5"/>
  <c r="U403" i="5" s="1"/>
  <c r="O403" i="5"/>
  <c r="T402" i="5"/>
  <c r="S402" i="5"/>
  <c r="U402" i="5" s="1"/>
  <c r="O402" i="5"/>
  <c r="S401" i="5"/>
  <c r="U401" i="5" s="1"/>
  <c r="O401" i="5"/>
  <c r="Q401" i="5" s="1"/>
  <c r="T400" i="5"/>
  <c r="S400" i="5"/>
  <c r="U400" i="5" s="1"/>
  <c r="R400" i="5"/>
  <c r="O400" i="5"/>
  <c r="Q400" i="5" s="1"/>
  <c r="S399" i="5"/>
  <c r="O399" i="5"/>
  <c r="U398" i="5"/>
  <c r="T398" i="5"/>
  <c r="S398" i="5"/>
  <c r="R398" i="5"/>
  <c r="P398" i="5"/>
  <c r="O398" i="5"/>
  <c r="Q398" i="5" s="1"/>
  <c r="T397" i="5"/>
  <c r="S397" i="5"/>
  <c r="U397" i="5" s="1"/>
  <c r="Q397" i="5"/>
  <c r="P397" i="5"/>
  <c r="O397" i="5"/>
  <c r="R397" i="5" s="1"/>
  <c r="S396" i="5"/>
  <c r="T396" i="5" s="1"/>
  <c r="O396" i="5"/>
  <c r="U395" i="5"/>
  <c r="S395" i="5"/>
  <c r="T395" i="5" s="1"/>
  <c r="O395" i="5"/>
  <c r="U394" i="5"/>
  <c r="T394" i="5"/>
  <c r="S394" i="5"/>
  <c r="O394" i="5"/>
  <c r="S393" i="5"/>
  <c r="U393" i="5" s="1"/>
  <c r="R393" i="5"/>
  <c r="O393" i="5"/>
  <c r="T392" i="5"/>
  <c r="S392" i="5"/>
  <c r="U392" i="5" s="1"/>
  <c r="R392" i="5"/>
  <c r="O392" i="5"/>
  <c r="P392" i="5" s="1"/>
  <c r="U391" i="5"/>
  <c r="S391" i="5"/>
  <c r="T391" i="5" s="1"/>
  <c r="P391" i="5"/>
  <c r="O391" i="5"/>
  <c r="R391" i="5" s="1"/>
  <c r="U390" i="5"/>
  <c r="S390" i="5"/>
  <c r="T390" i="5" s="1"/>
  <c r="R390" i="5"/>
  <c r="Q390" i="5"/>
  <c r="P390" i="5"/>
  <c r="O390" i="5"/>
  <c r="T389" i="5"/>
  <c r="S389" i="5"/>
  <c r="U389" i="5" s="1"/>
  <c r="O389" i="5"/>
  <c r="R389" i="5" s="1"/>
  <c r="S388" i="5"/>
  <c r="U388" i="5" s="1"/>
  <c r="P388" i="5"/>
  <c r="O388" i="5"/>
  <c r="S387" i="5"/>
  <c r="U387" i="5" s="1"/>
  <c r="O387" i="5"/>
  <c r="S386" i="5"/>
  <c r="O386" i="5"/>
  <c r="S385" i="5"/>
  <c r="U385" i="5" s="1"/>
  <c r="O385" i="5"/>
  <c r="Q385" i="5" s="1"/>
  <c r="S384" i="5"/>
  <c r="U384" i="5" s="1"/>
  <c r="R384" i="5"/>
  <c r="O384" i="5"/>
  <c r="Q384" i="5" s="1"/>
  <c r="S383" i="5"/>
  <c r="O383" i="5"/>
  <c r="R383" i="5" s="1"/>
  <c r="U382" i="5"/>
  <c r="T382" i="5"/>
  <c r="S382" i="5"/>
  <c r="R382" i="5"/>
  <c r="P382" i="5"/>
  <c r="O382" i="5"/>
  <c r="Q382" i="5" s="1"/>
  <c r="S381" i="5"/>
  <c r="O381" i="5"/>
  <c r="S380" i="5"/>
  <c r="O380" i="5"/>
  <c r="U379" i="5"/>
  <c r="S379" i="5"/>
  <c r="T379" i="5" s="1"/>
  <c r="O379" i="5"/>
  <c r="S378" i="5"/>
  <c r="U378" i="5" s="1"/>
  <c r="R378" i="5"/>
  <c r="Q378" i="5"/>
  <c r="P378" i="5"/>
  <c r="O378" i="5"/>
  <c r="S377" i="5"/>
  <c r="O377" i="5"/>
  <c r="S376" i="5"/>
  <c r="U376" i="5" s="1"/>
  <c r="R376" i="5"/>
  <c r="O376" i="5"/>
  <c r="U375" i="5"/>
  <c r="S375" i="5"/>
  <c r="T375" i="5" s="1"/>
  <c r="O375" i="5"/>
  <c r="R375" i="5" s="1"/>
  <c r="S374" i="5"/>
  <c r="T374" i="5" s="1"/>
  <c r="R374" i="5"/>
  <c r="O374" i="5"/>
  <c r="Q374" i="5" s="1"/>
  <c r="S373" i="5"/>
  <c r="O373" i="5"/>
  <c r="S372" i="5"/>
  <c r="U372" i="5" s="1"/>
  <c r="O372" i="5"/>
  <c r="S371" i="5"/>
  <c r="R371" i="5"/>
  <c r="Q371" i="5"/>
  <c r="O371" i="5"/>
  <c r="P371" i="5" s="1"/>
  <c r="S370" i="5"/>
  <c r="U370" i="5" s="1"/>
  <c r="O370" i="5"/>
  <c r="P370" i="5" s="1"/>
  <c r="S369" i="5"/>
  <c r="O369" i="5"/>
  <c r="S368" i="5"/>
  <c r="U368" i="5" s="1"/>
  <c r="R368" i="5"/>
  <c r="O368" i="5"/>
  <c r="Q368" i="5" s="1"/>
  <c r="S367" i="5"/>
  <c r="P367" i="5"/>
  <c r="O367" i="5"/>
  <c r="U366" i="5"/>
  <c r="T366" i="5"/>
  <c r="S366" i="5"/>
  <c r="O366" i="5"/>
  <c r="U365" i="5"/>
  <c r="T365" i="5"/>
  <c r="S365" i="5"/>
  <c r="O365" i="5"/>
  <c r="S364" i="5"/>
  <c r="R364" i="5"/>
  <c r="P364" i="5"/>
  <c r="O364" i="5"/>
  <c r="Q364" i="5" s="1"/>
  <c r="U363" i="5"/>
  <c r="T363" i="5"/>
  <c r="S363" i="5"/>
  <c r="O363" i="5"/>
  <c r="T362" i="5"/>
  <c r="S362" i="5"/>
  <c r="U362" i="5" s="1"/>
  <c r="R362" i="5"/>
  <c r="Q362" i="5"/>
  <c r="P362" i="5"/>
  <c r="O362" i="5"/>
  <c r="S361" i="5"/>
  <c r="Q361" i="5"/>
  <c r="P361" i="5"/>
  <c r="O361" i="5"/>
  <c r="R361" i="5" s="1"/>
  <c r="S360" i="5"/>
  <c r="U360" i="5" s="1"/>
  <c r="O360" i="5"/>
  <c r="S359" i="5"/>
  <c r="O359" i="5"/>
  <c r="U358" i="5"/>
  <c r="S358" i="5"/>
  <c r="T358" i="5" s="1"/>
  <c r="O358" i="5"/>
  <c r="S357" i="5"/>
  <c r="U357" i="5" s="1"/>
  <c r="O357" i="5"/>
  <c r="S356" i="5"/>
  <c r="U356" i="5" s="1"/>
  <c r="P356" i="5"/>
  <c r="O356" i="5"/>
  <c r="U355" i="5"/>
  <c r="S355" i="5"/>
  <c r="T355" i="5" s="1"/>
  <c r="O355" i="5"/>
  <c r="S354" i="5"/>
  <c r="U354" i="5" s="1"/>
  <c r="R354" i="5"/>
  <c r="Q354" i="5"/>
  <c r="O354" i="5"/>
  <c r="P354" i="5" s="1"/>
  <c r="T353" i="5"/>
  <c r="S353" i="5"/>
  <c r="U353" i="5" s="1"/>
  <c r="R353" i="5"/>
  <c r="O353" i="5"/>
  <c r="Q353" i="5" s="1"/>
  <c r="T352" i="5"/>
  <c r="S352" i="5"/>
  <c r="U352" i="5" s="1"/>
  <c r="R352" i="5"/>
  <c r="O352" i="5"/>
  <c r="Q352" i="5" s="1"/>
  <c r="S351" i="5"/>
  <c r="O351" i="5"/>
  <c r="U350" i="5"/>
  <c r="T350" i="5"/>
  <c r="S350" i="5"/>
  <c r="R350" i="5"/>
  <c r="P350" i="5"/>
  <c r="O350" i="5"/>
  <c r="Q350" i="5" s="1"/>
  <c r="T349" i="5"/>
  <c r="S349" i="5"/>
  <c r="U349" i="5" s="1"/>
  <c r="O349" i="5"/>
  <c r="R349" i="5" s="1"/>
  <c r="S348" i="5"/>
  <c r="R348" i="5"/>
  <c r="O348" i="5"/>
  <c r="Q348" i="5" s="1"/>
  <c r="S347" i="5"/>
  <c r="U347" i="5" s="1"/>
  <c r="O347" i="5"/>
  <c r="R347" i="5" s="1"/>
  <c r="T346" i="5"/>
  <c r="S346" i="5"/>
  <c r="U346" i="5" s="1"/>
  <c r="O346" i="5"/>
  <c r="S345" i="5"/>
  <c r="T345" i="5" s="1"/>
  <c r="O345" i="5"/>
  <c r="S344" i="5"/>
  <c r="U344" i="5" s="1"/>
  <c r="O344" i="5"/>
  <c r="P344" i="5" s="1"/>
  <c r="U343" i="5"/>
  <c r="S343" i="5"/>
  <c r="T343" i="5" s="1"/>
  <c r="Q343" i="5"/>
  <c r="P343" i="5"/>
  <c r="O343" i="5"/>
  <c r="R343" i="5" s="1"/>
  <c r="U342" i="5"/>
  <c r="S342" i="5"/>
  <c r="T342" i="5" s="1"/>
  <c r="O342" i="5"/>
  <c r="R342" i="5" s="1"/>
  <c r="S341" i="5"/>
  <c r="U341" i="5" s="1"/>
  <c r="Q341" i="5"/>
  <c r="O341" i="5"/>
  <c r="S340" i="5"/>
  <c r="O340" i="5"/>
  <c r="P340" i="5" s="1"/>
  <c r="S339" i="5"/>
  <c r="R339" i="5"/>
  <c r="Q339" i="5"/>
  <c r="O339" i="5"/>
  <c r="P339" i="5" s="1"/>
  <c r="S338" i="5"/>
  <c r="O338" i="5"/>
  <c r="Q338" i="5" s="1"/>
  <c r="S337" i="5"/>
  <c r="U337" i="5" s="1"/>
  <c r="O337" i="5"/>
  <c r="Q337" i="5" s="1"/>
  <c r="S336" i="5"/>
  <c r="U336" i="5" s="1"/>
  <c r="R336" i="5"/>
  <c r="O336" i="5"/>
  <c r="S335" i="5"/>
  <c r="R335" i="5"/>
  <c r="Q335" i="5"/>
  <c r="P335" i="5"/>
  <c r="O335" i="5"/>
  <c r="T334" i="5"/>
  <c r="S334" i="5"/>
  <c r="U334" i="5" s="1"/>
  <c r="O334" i="5"/>
  <c r="U333" i="5"/>
  <c r="S333" i="5"/>
  <c r="T333" i="5" s="1"/>
  <c r="Q333" i="5"/>
  <c r="O333" i="5"/>
  <c r="R333" i="5" s="1"/>
  <c r="S332" i="5"/>
  <c r="T332" i="5" s="1"/>
  <c r="R332" i="5"/>
  <c r="P332" i="5"/>
  <c r="O332" i="5"/>
  <c r="Q332" i="5" s="1"/>
  <c r="U331" i="5"/>
  <c r="S331" i="5"/>
  <c r="T331" i="5" s="1"/>
  <c r="O331" i="5"/>
  <c r="U330" i="5"/>
  <c r="T330" i="5"/>
  <c r="S330" i="5"/>
  <c r="Q330" i="5"/>
  <c r="P330" i="5"/>
  <c r="O330" i="5"/>
  <c r="R330" i="5" s="1"/>
  <c r="S329" i="5"/>
  <c r="T329" i="5" s="1"/>
  <c r="R329" i="5"/>
  <c r="Q329" i="5"/>
  <c r="P329" i="5"/>
  <c r="O329" i="5"/>
  <c r="T328" i="5"/>
  <c r="S328" i="5"/>
  <c r="U328" i="5" s="1"/>
  <c r="Q328" i="5"/>
  <c r="O328" i="5"/>
  <c r="P328" i="5" s="1"/>
  <c r="S327" i="5"/>
  <c r="Q327" i="5"/>
  <c r="O327" i="5"/>
  <c r="R327" i="5" s="1"/>
  <c r="S326" i="5"/>
  <c r="R326" i="5"/>
  <c r="P326" i="5"/>
  <c r="O326" i="5"/>
  <c r="Q326" i="5" s="1"/>
  <c r="S325" i="5"/>
  <c r="U325" i="5" s="1"/>
  <c r="O325" i="5"/>
  <c r="S324" i="5"/>
  <c r="O324" i="5"/>
  <c r="P324" i="5" s="1"/>
  <c r="S323" i="5"/>
  <c r="U323" i="5" s="1"/>
  <c r="O323" i="5"/>
  <c r="P323" i="5" s="1"/>
  <c r="T322" i="5"/>
  <c r="S322" i="5"/>
  <c r="U322" i="5" s="1"/>
  <c r="Q322" i="5"/>
  <c r="O322" i="5"/>
  <c r="S321" i="5"/>
  <c r="U321" i="5" s="1"/>
  <c r="O321" i="5"/>
  <c r="T320" i="5"/>
  <c r="S320" i="5"/>
  <c r="U320" i="5" s="1"/>
  <c r="R320" i="5"/>
  <c r="O320" i="5"/>
  <c r="S319" i="5"/>
  <c r="Q319" i="5"/>
  <c r="P319" i="5"/>
  <c r="O319" i="5"/>
  <c r="R319" i="5" s="1"/>
  <c r="U318" i="5"/>
  <c r="S318" i="5"/>
  <c r="T318" i="5" s="1"/>
  <c r="R318" i="5"/>
  <c r="O318" i="5"/>
  <c r="Q318" i="5" s="1"/>
  <c r="S317" i="5"/>
  <c r="O317" i="5"/>
  <c r="R317" i="5" s="1"/>
  <c r="S316" i="5"/>
  <c r="T316" i="5" s="1"/>
  <c r="R316" i="5"/>
  <c r="O316" i="5"/>
  <c r="S315" i="5"/>
  <c r="U315" i="5" s="1"/>
  <c r="O315" i="5"/>
  <c r="R315" i="5" s="1"/>
  <c r="S314" i="5"/>
  <c r="R314" i="5"/>
  <c r="Q314" i="5"/>
  <c r="P314" i="5"/>
  <c r="O314" i="5"/>
  <c r="S313" i="5"/>
  <c r="Q313" i="5"/>
  <c r="P313" i="5"/>
  <c r="O313" i="5"/>
  <c r="R313" i="5" s="1"/>
  <c r="T312" i="5"/>
  <c r="S312" i="5"/>
  <c r="U312" i="5" s="1"/>
  <c r="O312" i="5"/>
  <c r="S311" i="5"/>
  <c r="T311" i="5" s="1"/>
  <c r="O311" i="5"/>
  <c r="U310" i="5"/>
  <c r="S310" i="5"/>
  <c r="T310" i="5" s="1"/>
  <c r="R310" i="5"/>
  <c r="O310" i="5"/>
  <c r="Q310" i="5" s="1"/>
  <c r="S309" i="5"/>
  <c r="Q309" i="5"/>
  <c r="O309" i="5"/>
  <c r="S308" i="5"/>
  <c r="U308" i="5" s="1"/>
  <c r="O308" i="5"/>
  <c r="S307" i="5"/>
  <c r="U307" i="5" s="1"/>
  <c r="O307" i="5"/>
  <c r="P307" i="5" s="1"/>
  <c r="T306" i="5"/>
  <c r="S306" i="5"/>
  <c r="U306" i="5" s="1"/>
  <c r="O306" i="5"/>
  <c r="S305" i="5"/>
  <c r="U305" i="5" s="1"/>
  <c r="Q305" i="5"/>
  <c r="O305" i="5"/>
  <c r="S304" i="5"/>
  <c r="Q304" i="5"/>
  <c r="O304" i="5"/>
  <c r="R304" i="5" s="1"/>
  <c r="S303" i="5"/>
  <c r="O303" i="5"/>
  <c r="R303" i="5" s="1"/>
  <c r="U302" i="5"/>
  <c r="T302" i="5"/>
  <c r="S302" i="5"/>
  <c r="O302" i="5"/>
  <c r="Q302" i="5" s="1"/>
  <c r="S301" i="5"/>
  <c r="U301" i="5" s="1"/>
  <c r="O301" i="5"/>
  <c r="U300" i="5"/>
  <c r="S300" i="5"/>
  <c r="T300" i="5" s="1"/>
  <c r="R300" i="5"/>
  <c r="P300" i="5"/>
  <c r="O300" i="5"/>
  <c r="Q300" i="5" s="1"/>
  <c r="U299" i="5"/>
  <c r="T299" i="5"/>
  <c r="S299" i="5"/>
  <c r="O299" i="5"/>
  <c r="R299" i="5" s="1"/>
  <c r="T298" i="5"/>
  <c r="S298" i="5"/>
  <c r="U298" i="5" s="1"/>
  <c r="R298" i="5"/>
  <c r="Q298" i="5"/>
  <c r="O298" i="5"/>
  <c r="P298" i="5" s="1"/>
  <c r="S297" i="5"/>
  <c r="T297" i="5" s="1"/>
  <c r="Q297" i="5"/>
  <c r="P297" i="5"/>
  <c r="O297" i="5"/>
  <c r="R297" i="5" s="1"/>
  <c r="S296" i="5"/>
  <c r="U296" i="5" s="1"/>
  <c r="P296" i="5"/>
  <c r="O296" i="5"/>
  <c r="R296" i="5" s="1"/>
  <c r="S295" i="5"/>
  <c r="Q295" i="5"/>
  <c r="O295" i="5"/>
  <c r="S294" i="5"/>
  <c r="T294" i="5" s="1"/>
  <c r="Q294" i="5"/>
  <c r="O294" i="5"/>
  <c r="R294" i="5" s="1"/>
  <c r="U293" i="5"/>
  <c r="S293" i="5"/>
  <c r="T293" i="5" s="1"/>
  <c r="O293" i="5"/>
  <c r="Q293" i="5" s="1"/>
  <c r="T292" i="5"/>
  <c r="S292" i="5"/>
  <c r="U292" i="5" s="1"/>
  <c r="O292" i="5"/>
  <c r="P292" i="5" s="1"/>
  <c r="T291" i="5"/>
  <c r="S291" i="5"/>
  <c r="U291" i="5" s="1"/>
  <c r="R291" i="5"/>
  <c r="Q291" i="5"/>
  <c r="O291" i="5"/>
  <c r="P291" i="5" s="1"/>
  <c r="T290" i="5"/>
  <c r="S290" i="5"/>
  <c r="U290" i="5" s="1"/>
  <c r="Q290" i="5"/>
  <c r="O290" i="5"/>
  <c r="S289" i="5"/>
  <c r="U289" i="5" s="1"/>
  <c r="O289" i="5"/>
  <c r="R289" i="5" s="1"/>
  <c r="S288" i="5"/>
  <c r="O288" i="5"/>
  <c r="R288" i="5" s="1"/>
  <c r="S287" i="5"/>
  <c r="O287" i="5"/>
  <c r="U286" i="5"/>
  <c r="T286" i="5"/>
  <c r="S286" i="5"/>
  <c r="P286" i="5"/>
  <c r="O286" i="5"/>
  <c r="Q286" i="5" s="1"/>
  <c r="T285" i="5"/>
  <c r="S285" i="5"/>
  <c r="U285" i="5" s="1"/>
  <c r="Q285" i="5"/>
  <c r="O285" i="5"/>
  <c r="R285" i="5" s="1"/>
  <c r="S284" i="5"/>
  <c r="T284" i="5" s="1"/>
  <c r="O284" i="5"/>
  <c r="S283" i="5"/>
  <c r="U283" i="5" s="1"/>
  <c r="O283" i="5"/>
  <c r="S282" i="5"/>
  <c r="U282" i="5" s="1"/>
  <c r="O282" i="5"/>
  <c r="S281" i="5"/>
  <c r="R281" i="5"/>
  <c r="Q281" i="5"/>
  <c r="P281" i="5"/>
  <c r="O281" i="5"/>
  <c r="S280" i="5"/>
  <c r="U280" i="5" s="1"/>
  <c r="O280" i="5"/>
  <c r="S279" i="5"/>
  <c r="T279" i="5" s="1"/>
  <c r="Q279" i="5"/>
  <c r="P279" i="5"/>
  <c r="O279" i="5"/>
  <c r="R279" i="5" s="1"/>
  <c r="S278" i="5"/>
  <c r="O278" i="5"/>
  <c r="R278" i="5" s="1"/>
  <c r="S277" i="5"/>
  <c r="U277" i="5" s="1"/>
  <c r="O277" i="5"/>
  <c r="S276" i="5"/>
  <c r="U276" i="5" s="1"/>
  <c r="O276" i="5"/>
  <c r="P276" i="5" s="1"/>
  <c r="S275" i="5"/>
  <c r="O275" i="5"/>
  <c r="P275" i="5" s="1"/>
  <c r="S274" i="5"/>
  <c r="U274" i="5" s="1"/>
  <c r="R274" i="5"/>
  <c r="O274" i="5"/>
  <c r="P274" i="5" s="1"/>
  <c r="S273" i="5"/>
  <c r="U273" i="5" s="1"/>
  <c r="O273" i="5"/>
  <c r="S272" i="5"/>
  <c r="Q272" i="5"/>
  <c r="O272" i="5"/>
  <c r="R272" i="5" s="1"/>
  <c r="S271" i="5"/>
  <c r="Q271" i="5"/>
  <c r="O271" i="5"/>
  <c r="R271" i="5" s="1"/>
  <c r="T270" i="5"/>
  <c r="S270" i="5"/>
  <c r="U270" i="5" s="1"/>
  <c r="R270" i="5"/>
  <c r="P270" i="5"/>
  <c r="O270" i="5"/>
  <c r="Q270" i="5" s="1"/>
  <c r="S269" i="5"/>
  <c r="P269" i="5"/>
  <c r="O269" i="5"/>
  <c r="R269" i="5" s="1"/>
  <c r="T268" i="5"/>
  <c r="S268" i="5"/>
  <c r="U268" i="5" s="1"/>
  <c r="O268" i="5"/>
  <c r="Q268" i="5" s="1"/>
  <c r="S267" i="5"/>
  <c r="R267" i="5"/>
  <c r="O267" i="5"/>
  <c r="T266" i="5"/>
  <c r="S266" i="5"/>
  <c r="U266" i="5" s="1"/>
  <c r="O266" i="5"/>
  <c r="S265" i="5"/>
  <c r="U265" i="5" s="1"/>
  <c r="R265" i="5"/>
  <c r="Q265" i="5"/>
  <c r="P265" i="5"/>
  <c r="O265" i="5"/>
  <c r="S264" i="5"/>
  <c r="U264" i="5" s="1"/>
  <c r="O264" i="5"/>
  <c r="S263" i="5"/>
  <c r="U263" i="5" s="1"/>
  <c r="P263" i="5"/>
  <c r="O263" i="5"/>
  <c r="R263" i="5" s="1"/>
  <c r="U262" i="5"/>
  <c r="S262" i="5"/>
  <c r="T262" i="5" s="1"/>
  <c r="Q262" i="5"/>
  <c r="P262" i="5"/>
  <c r="O262" i="5"/>
  <c r="R262" i="5" s="1"/>
  <c r="U261" i="5"/>
  <c r="S261" i="5"/>
  <c r="T261" i="5" s="1"/>
  <c r="O261" i="5"/>
  <c r="Q261" i="5" s="1"/>
  <c r="S260" i="5"/>
  <c r="O260" i="5"/>
  <c r="U259" i="5"/>
  <c r="S259" i="5"/>
  <c r="T259" i="5" s="1"/>
  <c r="O259" i="5"/>
  <c r="R259" i="5" s="1"/>
  <c r="S258" i="5"/>
  <c r="U258" i="5" s="1"/>
  <c r="O258" i="5"/>
  <c r="P258" i="5" s="1"/>
  <c r="S257" i="5"/>
  <c r="R257" i="5"/>
  <c r="Q257" i="5"/>
  <c r="O257" i="5"/>
  <c r="P257" i="5" s="1"/>
  <c r="S256" i="5"/>
  <c r="U256" i="5" s="1"/>
  <c r="P256" i="5"/>
  <c r="O256" i="5"/>
  <c r="Q256" i="5" s="1"/>
  <c r="S255" i="5"/>
  <c r="U255" i="5" s="1"/>
  <c r="O255" i="5"/>
  <c r="P255" i="5" s="1"/>
  <c r="S254" i="5"/>
  <c r="O254" i="5"/>
  <c r="U253" i="5"/>
  <c r="S253" i="5"/>
  <c r="T253" i="5" s="1"/>
  <c r="O253" i="5"/>
  <c r="U252" i="5"/>
  <c r="T252" i="5"/>
  <c r="S252" i="5"/>
  <c r="O252" i="5"/>
  <c r="Q252" i="5" s="1"/>
  <c r="U251" i="5"/>
  <c r="T251" i="5"/>
  <c r="S251" i="5"/>
  <c r="R251" i="5"/>
  <c r="O251" i="5"/>
  <c r="Q251" i="5" s="1"/>
  <c r="S250" i="5"/>
  <c r="U250" i="5" s="1"/>
  <c r="Q250" i="5"/>
  <c r="O250" i="5"/>
  <c r="S249" i="5"/>
  <c r="U249" i="5" s="1"/>
  <c r="O249" i="5"/>
  <c r="S248" i="5"/>
  <c r="U248" i="5" s="1"/>
  <c r="O248" i="5"/>
  <c r="U247" i="5"/>
  <c r="S247" i="5"/>
  <c r="T247" i="5" s="1"/>
  <c r="O247" i="5"/>
  <c r="S246" i="5"/>
  <c r="T246" i="5" s="1"/>
  <c r="P246" i="5"/>
  <c r="O246" i="5"/>
  <c r="R246" i="5" s="1"/>
  <c r="S245" i="5"/>
  <c r="U245" i="5" s="1"/>
  <c r="O245" i="5"/>
  <c r="R245" i="5" s="1"/>
  <c r="S244" i="5"/>
  <c r="P244" i="5"/>
  <c r="O244" i="5"/>
  <c r="R244" i="5" s="1"/>
  <c r="T243" i="5"/>
  <c r="S243" i="5"/>
  <c r="U243" i="5" s="1"/>
  <c r="O243" i="5"/>
  <c r="R243" i="5" s="1"/>
  <c r="S242" i="5"/>
  <c r="U242" i="5" s="1"/>
  <c r="Q242" i="5"/>
  <c r="O242" i="5"/>
  <c r="P242" i="5" s="1"/>
  <c r="T241" i="5"/>
  <c r="S241" i="5"/>
  <c r="U241" i="5" s="1"/>
  <c r="O241" i="5"/>
  <c r="R241" i="5" s="1"/>
  <c r="U240" i="5"/>
  <c r="T240" i="5"/>
  <c r="S240" i="5"/>
  <c r="R240" i="5"/>
  <c r="P240" i="5"/>
  <c r="O240" i="5"/>
  <c r="Q240" i="5" s="1"/>
  <c r="S239" i="5"/>
  <c r="U239" i="5" s="1"/>
  <c r="O239" i="5"/>
  <c r="U238" i="5"/>
  <c r="T238" i="5"/>
  <c r="S238" i="5"/>
  <c r="O238" i="5"/>
  <c r="U237" i="5"/>
  <c r="S237" i="5"/>
  <c r="T237" i="5" s="1"/>
  <c r="R237" i="5"/>
  <c r="O237" i="5"/>
  <c r="Q237" i="5" s="1"/>
  <c r="S236" i="5"/>
  <c r="U236" i="5" s="1"/>
  <c r="O236" i="5"/>
  <c r="T235" i="5"/>
  <c r="S235" i="5"/>
  <c r="U235" i="5" s="1"/>
  <c r="R235" i="5"/>
  <c r="O235" i="5"/>
  <c r="Q235" i="5" s="1"/>
  <c r="S234" i="5"/>
  <c r="U234" i="5" s="1"/>
  <c r="Q234" i="5"/>
  <c r="P234" i="5"/>
  <c r="O234" i="5"/>
  <c r="R234" i="5" s="1"/>
  <c r="U233" i="5"/>
  <c r="T233" i="5"/>
  <c r="S233" i="5"/>
  <c r="R233" i="5"/>
  <c r="P233" i="5"/>
  <c r="O233" i="5"/>
  <c r="Q233" i="5" s="1"/>
  <c r="S232" i="5"/>
  <c r="T232" i="5" s="1"/>
  <c r="O232" i="5"/>
  <c r="Q232" i="5" s="1"/>
  <c r="S231" i="5"/>
  <c r="Q231" i="5"/>
  <c r="P231" i="5"/>
  <c r="O231" i="5"/>
  <c r="R231" i="5" s="1"/>
  <c r="U230" i="5"/>
  <c r="S230" i="5"/>
  <c r="T230" i="5" s="1"/>
  <c r="O230" i="5"/>
  <c r="Q230" i="5" s="1"/>
  <c r="S229" i="5"/>
  <c r="Q229" i="5"/>
  <c r="P229" i="5"/>
  <c r="O229" i="5"/>
  <c r="R229" i="5" s="1"/>
  <c r="S228" i="5"/>
  <c r="O228" i="5"/>
  <c r="U227" i="5"/>
  <c r="T227" i="5"/>
  <c r="S227" i="5"/>
  <c r="O227" i="5"/>
  <c r="U226" i="5"/>
  <c r="T226" i="5"/>
  <c r="S226" i="5"/>
  <c r="Q226" i="5"/>
  <c r="O226" i="5"/>
  <c r="S225" i="5"/>
  <c r="U225" i="5" s="1"/>
  <c r="O225" i="5"/>
  <c r="R225" i="5" s="1"/>
  <c r="S224" i="5"/>
  <c r="U224" i="5" s="1"/>
  <c r="O224" i="5"/>
  <c r="S223" i="5"/>
  <c r="U223" i="5" s="1"/>
  <c r="O223" i="5"/>
  <c r="U222" i="5"/>
  <c r="S222" i="5"/>
  <c r="T222" i="5" s="1"/>
  <c r="P222" i="5"/>
  <c r="O222" i="5"/>
  <c r="R222" i="5" s="1"/>
  <c r="T221" i="5"/>
  <c r="S221" i="5"/>
  <c r="U221" i="5" s="1"/>
  <c r="R221" i="5"/>
  <c r="O221" i="5"/>
  <c r="Q221" i="5" s="1"/>
  <c r="S220" i="5"/>
  <c r="U220" i="5" s="1"/>
  <c r="O220" i="5"/>
  <c r="S219" i="5"/>
  <c r="T219" i="5" s="1"/>
  <c r="R219" i="5"/>
  <c r="O219" i="5"/>
  <c r="Q219" i="5" s="1"/>
  <c r="T218" i="5"/>
  <c r="S218" i="5"/>
  <c r="U218" i="5" s="1"/>
  <c r="O218" i="5"/>
  <c r="U217" i="5"/>
  <c r="T217" i="5"/>
  <c r="S217" i="5"/>
  <c r="O217" i="5"/>
  <c r="U216" i="5"/>
  <c r="T216" i="5"/>
  <c r="S216" i="5"/>
  <c r="O216" i="5"/>
  <c r="Q216" i="5" s="1"/>
  <c r="S215" i="5"/>
  <c r="Q215" i="5"/>
  <c r="O215" i="5"/>
  <c r="S214" i="5"/>
  <c r="T214" i="5" s="1"/>
  <c r="O214" i="5"/>
  <c r="Q214" i="5" s="1"/>
  <c r="S213" i="5"/>
  <c r="U213" i="5" s="1"/>
  <c r="Q213" i="5"/>
  <c r="P213" i="5"/>
  <c r="O213" i="5"/>
  <c r="R213" i="5" s="1"/>
  <c r="S212" i="5"/>
  <c r="O212" i="5"/>
  <c r="U211" i="5"/>
  <c r="T211" i="5"/>
  <c r="S211" i="5"/>
  <c r="O211" i="5"/>
  <c r="S210" i="5"/>
  <c r="O210" i="5"/>
  <c r="S209" i="5"/>
  <c r="U209" i="5" s="1"/>
  <c r="P209" i="5"/>
  <c r="O209" i="5"/>
  <c r="R209" i="5" s="1"/>
  <c r="S208" i="5"/>
  <c r="U208" i="5" s="1"/>
  <c r="O208" i="5"/>
  <c r="S207" i="5"/>
  <c r="O207" i="5"/>
  <c r="U206" i="5"/>
  <c r="T206" i="5"/>
  <c r="S206" i="5"/>
  <c r="Q206" i="5"/>
  <c r="P206" i="5"/>
  <c r="O206" i="5"/>
  <c r="R206" i="5" s="1"/>
  <c r="T205" i="5"/>
  <c r="S205" i="5"/>
  <c r="U205" i="5" s="1"/>
  <c r="O205" i="5"/>
  <c r="Q205" i="5" s="1"/>
  <c r="S204" i="5"/>
  <c r="U204" i="5" s="1"/>
  <c r="O204" i="5"/>
  <c r="P204" i="5" s="1"/>
  <c r="U203" i="5"/>
  <c r="T203" i="5"/>
  <c r="S203" i="5"/>
  <c r="O203" i="5"/>
  <c r="Q203" i="5" s="1"/>
  <c r="S202" i="5"/>
  <c r="U202" i="5" s="1"/>
  <c r="Q202" i="5"/>
  <c r="P202" i="5"/>
  <c r="O202" i="5"/>
  <c r="R202" i="5" s="1"/>
  <c r="S201" i="5"/>
  <c r="U201" i="5" s="1"/>
  <c r="P201" i="5"/>
  <c r="O201" i="5"/>
  <c r="Q201" i="5" s="1"/>
  <c r="U200" i="5"/>
  <c r="S200" i="5"/>
  <c r="T200" i="5" s="1"/>
  <c r="O200" i="5"/>
  <c r="Q200" i="5" s="1"/>
  <c r="S199" i="5"/>
  <c r="R199" i="5"/>
  <c r="Q199" i="5"/>
  <c r="P199" i="5"/>
  <c r="O199" i="5"/>
  <c r="S198" i="5"/>
  <c r="T198" i="5" s="1"/>
  <c r="O198" i="5"/>
  <c r="S197" i="5"/>
  <c r="Q197" i="5"/>
  <c r="P197" i="5"/>
  <c r="O197" i="5"/>
  <c r="R197" i="5" s="1"/>
  <c r="S196" i="5"/>
  <c r="R196" i="5"/>
  <c r="Q196" i="5"/>
  <c r="O196" i="5"/>
  <c r="P196" i="5" s="1"/>
  <c r="U195" i="5"/>
  <c r="S195" i="5"/>
  <c r="T195" i="5" s="1"/>
  <c r="O195" i="5"/>
  <c r="T194" i="5"/>
  <c r="S194" i="5"/>
  <c r="U194" i="5" s="1"/>
  <c r="Q194" i="5"/>
  <c r="O194" i="5"/>
  <c r="S193" i="5"/>
  <c r="O193" i="5"/>
  <c r="R193" i="5" s="1"/>
  <c r="S192" i="5"/>
  <c r="U192" i="5" s="1"/>
  <c r="O192" i="5"/>
  <c r="S191" i="5"/>
  <c r="Q191" i="5"/>
  <c r="O191" i="5"/>
  <c r="R191" i="5" s="1"/>
  <c r="S190" i="5"/>
  <c r="R190" i="5"/>
  <c r="Q190" i="5"/>
  <c r="O190" i="5"/>
  <c r="P190" i="5" s="1"/>
  <c r="S189" i="5"/>
  <c r="U189" i="5" s="1"/>
  <c r="O189" i="5"/>
  <c r="S188" i="5"/>
  <c r="U188" i="5" s="1"/>
  <c r="O188" i="5"/>
  <c r="P188" i="5" s="1"/>
  <c r="U187" i="5"/>
  <c r="S187" i="5"/>
  <c r="T187" i="5" s="1"/>
  <c r="O187" i="5"/>
  <c r="S186" i="5"/>
  <c r="Q186" i="5"/>
  <c r="P186" i="5"/>
  <c r="O186" i="5"/>
  <c r="R186" i="5" s="1"/>
  <c r="S185" i="5"/>
  <c r="R185" i="5"/>
  <c r="P185" i="5"/>
  <c r="O185" i="5"/>
  <c r="Q185" i="5" s="1"/>
  <c r="U184" i="5"/>
  <c r="T184" i="5"/>
  <c r="S184" i="5"/>
  <c r="O184" i="5"/>
  <c r="Q184" i="5" s="1"/>
  <c r="S183" i="5"/>
  <c r="R183" i="5"/>
  <c r="Q183" i="5"/>
  <c r="P183" i="5"/>
  <c r="O183" i="5"/>
  <c r="S182" i="5"/>
  <c r="T182" i="5" s="1"/>
  <c r="O182" i="5"/>
  <c r="T181" i="5"/>
  <c r="S181" i="5"/>
  <c r="U181" i="5" s="1"/>
  <c r="Q181" i="5"/>
  <c r="P181" i="5"/>
  <c r="O181" i="5"/>
  <c r="R181" i="5" s="1"/>
  <c r="S180" i="5"/>
  <c r="P180" i="5"/>
  <c r="O180" i="5"/>
  <c r="R180" i="5" s="1"/>
  <c r="U179" i="5"/>
  <c r="S179" i="5"/>
  <c r="T179" i="5" s="1"/>
  <c r="O179" i="5"/>
  <c r="R179" i="5" s="1"/>
  <c r="U178" i="5"/>
  <c r="T178" i="5"/>
  <c r="S178" i="5"/>
  <c r="O178" i="5"/>
  <c r="S177" i="5"/>
  <c r="O177" i="5"/>
  <c r="R177" i="5" s="1"/>
  <c r="S176" i="5"/>
  <c r="U176" i="5" s="1"/>
  <c r="O176" i="5"/>
  <c r="T175" i="5"/>
  <c r="S175" i="5"/>
  <c r="U175" i="5" s="1"/>
  <c r="Q175" i="5"/>
  <c r="O175" i="5"/>
  <c r="R175" i="5" s="1"/>
  <c r="S174" i="5"/>
  <c r="R174" i="5"/>
  <c r="Q174" i="5"/>
  <c r="P174" i="5"/>
  <c r="O174" i="5"/>
  <c r="S173" i="5"/>
  <c r="U173" i="5" s="1"/>
  <c r="O173" i="5"/>
  <c r="S172" i="5"/>
  <c r="O172" i="5"/>
  <c r="U171" i="5"/>
  <c r="T171" i="5"/>
  <c r="S171" i="5"/>
  <c r="O171" i="5"/>
  <c r="Q171" i="5" s="1"/>
  <c r="S170" i="5"/>
  <c r="U170" i="5" s="1"/>
  <c r="Q170" i="5"/>
  <c r="P170" i="5"/>
  <c r="O170" i="5"/>
  <c r="R170" i="5" s="1"/>
  <c r="S169" i="5"/>
  <c r="U169" i="5" s="1"/>
  <c r="R169" i="5"/>
  <c r="P169" i="5"/>
  <c r="O169" i="5"/>
  <c r="Q169" i="5" s="1"/>
  <c r="U168" i="5"/>
  <c r="S168" i="5"/>
  <c r="T168" i="5" s="1"/>
  <c r="O168" i="5"/>
  <c r="S167" i="5"/>
  <c r="O167" i="5"/>
  <c r="P167" i="5" s="1"/>
  <c r="S166" i="5"/>
  <c r="T166" i="5" s="1"/>
  <c r="R166" i="5"/>
  <c r="P166" i="5"/>
  <c r="O166" i="5"/>
  <c r="Q166" i="5" s="1"/>
  <c r="S165" i="5"/>
  <c r="U165" i="5" s="1"/>
  <c r="O165" i="5"/>
  <c r="R165" i="5" s="1"/>
  <c r="S164" i="5"/>
  <c r="R164" i="5"/>
  <c r="Q164" i="5"/>
  <c r="O164" i="5"/>
  <c r="P164" i="5" s="1"/>
  <c r="S163" i="5"/>
  <c r="O163" i="5"/>
  <c r="U162" i="5"/>
  <c r="T162" i="5"/>
  <c r="S162" i="5"/>
  <c r="O162" i="5"/>
  <c r="S161" i="5"/>
  <c r="P161" i="5"/>
  <c r="O161" i="5"/>
  <c r="R161" i="5" s="1"/>
  <c r="T160" i="5"/>
  <c r="S160" i="5"/>
  <c r="U160" i="5" s="1"/>
  <c r="O160" i="5"/>
  <c r="S159" i="5"/>
  <c r="U159" i="5" s="1"/>
  <c r="O159" i="5"/>
  <c r="U158" i="5"/>
  <c r="S158" i="5"/>
  <c r="T158" i="5" s="1"/>
  <c r="O158" i="5"/>
  <c r="R158" i="5" s="1"/>
  <c r="S157" i="5"/>
  <c r="O157" i="5"/>
  <c r="S156" i="5"/>
  <c r="O156" i="5"/>
  <c r="S155" i="5"/>
  <c r="U155" i="5" s="1"/>
  <c r="R155" i="5"/>
  <c r="P155" i="5"/>
  <c r="O155" i="5"/>
  <c r="Q155" i="5" s="1"/>
  <c r="T154" i="5"/>
  <c r="S154" i="5"/>
  <c r="U154" i="5" s="1"/>
  <c r="O154" i="5"/>
  <c r="R154" i="5" s="1"/>
  <c r="S153" i="5"/>
  <c r="U153" i="5" s="1"/>
  <c r="O153" i="5"/>
  <c r="U152" i="5"/>
  <c r="T152" i="5"/>
  <c r="S152" i="5"/>
  <c r="O152" i="5"/>
  <c r="S151" i="5"/>
  <c r="R151" i="5"/>
  <c r="Q151" i="5"/>
  <c r="P151" i="5"/>
  <c r="O151" i="5"/>
  <c r="S150" i="5"/>
  <c r="T150" i="5" s="1"/>
  <c r="R150" i="5"/>
  <c r="P150" i="5"/>
  <c r="O150" i="5"/>
  <c r="Q150" i="5" s="1"/>
  <c r="T149" i="5"/>
  <c r="S149" i="5"/>
  <c r="U149" i="5" s="1"/>
  <c r="Q149" i="5"/>
  <c r="O149" i="5"/>
  <c r="R149" i="5" s="1"/>
  <c r="S148" i="5"/>
  <c r="T148" i="5" s="1"/>
  <c r="Q148" i="5"/>
  <c r="P148" i="5"/>
  <c r="O148" i="5"/>
  <c r="R148" i="5" s="1"/>
  <c r="U147" i="5"/>
  <c r="T147" i="5"/>
  <c r="S147" i="5"/>
  <c r="O147" i="5"/>
  <c r="P147" i="5" s="1"/>
  <c r="S146" i="5"/>
  <c r="O146" i="5"/>
  <c r="S145" i="5"/>
  <c r="O145" i="5"/>
  <c r="P145" i="5" s="1"/>
  <c r="S144" i="5"/>
  <c r="U144" i="5" s="1"/>
  <c r="O144" i="5"/>
  <c r="P144" i="5" s="1"/>
  <c r="T143" i="5"/>
  <c r="S143" i="5"/>
  <c r="U143" i="5" s="1"/>
  <c r="Q143" i="5"/>
  <c r="P143" i="5"/>
  <c r="O143" i="5"/>
  <c r="R143" i="5" s="1"/>
  <c r="U142" i="5"/>
  <c r="T142" i="5"/>
  <c r="S142" i="5"/>
  <c r="R142" i="5"/>
  <c r="O142" i="5"/>
  <c r="Q142" i="5" s="1"/>
  <c r="T141" i="5"/>
  <c r="S141" i="5"/>
  <c r="U141" i="5" s="1"/>
  <c r="O141" i="5"/>
  <c r="S140" i="5"/>
  <c r="O140" i="5"/>
  <c r="U139" i="5"/>
  <c r="T139" i="5"/>
  <c r="S139" i="5"/>
  <c r="R139" i="5"/>
  <c r="P139" i="5"/>
  <c r="O139" i="5"/>
  <c r="Q139" i="5" s="1"/>
  <c r="S138" i="5"/>
  <c r="U138" i="5" s="1"/>
  <c r="P138" i="5"/>
  <c r="O138" i="5"/>
  <c r="R138" i="5" s="1"/>
  <c r="S137" i="5"/>
  <c r="U137" i="5" s="1"/>
  <c r="R137" i="5"/>
  <c r="P137" i="5"/>
  <c r="O137" i="5"/>
  <c r="Q137" i="5" s="1"/>
  <c r="S136" i="5"/>
  <c r="U136" i="5" s="1"/>
  <c r="O136" i="5"/>
  <c r="R136" i="5" s="1"/>
  <c r="S135" i="5"/>
  <c r="T135" i="5" s="1"/>
  <c r="Q135" i="5"/>
  <c r="P135" i="5"/>
  <c r="O135" i="5"/>
  <c r="R135" i="5" s="1"/>
  <c r="S134" i="5"/>
  <c r="T134" i="5" s="1"/>
  <c r="R134" i="5"/>
  <c r="P134" i="5"/>
  <c r="O134" i="5"/>
  <c r="Q134" i="5" s="1"/>
  <c r="T133" i="5"/>
  <c r="S133" i="5"/>
  <c r="U133" i="5" s="1"/>
  <c r="O133" i="5"/>
  <c r="S132" i="5"/>
  <c r="T132" i="5" s="1"/>
  <c r="R132" i="5"/>
  <c r="Q132" i="5"/>
  <c r="P132" i="5"/>
  <c r="O132" i="5"/>
  <c r="U131" i="5"/>
  <c r="T131" i="5"/>
  <c r="S131" i="5"/>
  <c r="R131" i="5"/>
  <c r="O131" i="5"/>
  <c r="S130" i="5"/>
  <c r="U130" i="5" s="1"/>
  <c r="Q130" i="5"/>
  <c r="O130" i="5"/>
  <c r="S129" i="5"/>
  <c r="O129" i="5"/>
  <c r="S128" i="5"/>
  <c r="U128" i="5" s="1"/>
  <c r="O128" i="5"/>
  <c r="T127" i="5"/>
  <c r="S127" i="5"/>
  <c r="U127" i="5" s="1"/>
  <c r="Q127" i="5"/>
  <c r="P127" i="5"/>
  <c r="O127" i="5"/>
  <c r="R127" i="5" s="1"/>
  <c r="U126" i="5"/>
  <c r="S126" i="5"/>
  <c r="T126" i="5" s="1"/>
  <c r="O126" i="5"/>
  <c r="R126" i="5" s="1"/>
  <c r="T125" i="5"/>
  <c r="S125" i="5"/>
  <c r="U125" i="5" s="1"/>
  <c r="O125" i="5"/>
  <c r="Q125" i="5" s="1"/>
  <c r="S124" i="5"/>
  <c r="O124" i="5"/>
  <c r="U123" i="5"/>
  <c r="S123" i="5"/>
  <c r="T123" i="5" s="1"/>
  <c r="O123" i="5"/>
  <c r="Q123" i="5" s="1"/>
  <c r="S122" i="5"/>
  <c r="O122" i="5"/>
  <c r="U121" i="5"/>
  <c r="S121" i="5"/>
  <c r="T121" i="5" s="1"/>
  <c r="O121" i="5"/>
  <c r="Q121" i="5" s="1"/>
  <c r="U120" i="5"/>
  <c r="T120" i="5"/>
  <c r="S120" i="5"/>
  <c r="O120" i="5"/>
  <c r="S119" i="5"/>
  <c r="U119" i="5" s="1"/>
  <c r="Q119" i="5"/>
  <c r="P119" i="5"/>
  <c r="O119" i="5"/>
  <c r="R119" i="5" s="1"/>
  <c r="S118" i="5"/>
  <c r="T118" i="5" s="1"/>
  <c r="R118" i="5"/>
  <c r="P118" i="5"/>
  <c r="O118" i="5"/>
  <c r="Q118" i="5" s="1"/>
  <c r="T117" i="5"/>
  <c r="S117" i="5"/>
  <c r="U117" i="5" s="1"/>
  <c r="O117" i="5"/>
  <c r="R117" i="5" s="1"/>
  <c r="S116" i="5"/>
  <c r="R116" i="5"/>
  <c r="Q116" i="5"/>
  <c r="P116" i="5"/>
  <c r="O116" i="5"/>
  <c r="S115" i="5"/>
  <c r="U115" i="5" s="1"/>
  <c r="O115" i="5"/>
  <c r="S114" i="5"/>
  <c r="U114" i="5" s="1"/>
  <c r="O114" i="5"/>
  <c r="S113" i="5"/>
  <c r="T113" i="5" s="1"/>
  <c r="O113" i="5"/>
  <c r="T112" i="5"/>
  <c r="S112" i="5"/>
  <c r="U112" i="5" s="1"/>
  <c r="R112" i="5"/>
  <c r="Q112" i="5"/>
  <c r="O112" i="5"/>
  <c r="P112" i="5" s="1"/>
  <c r="S111" i="5"/>
  <c r="U111" i="5" s="1"/>
  <c r="P111" i="5"/>
  <c r="O111" i="5"/>
  <c r="R111" i="5" s="1"/>
  <c r="U110" i="5"/>
  <c r="S110" i="5"/>
  <c r="T110" i="5" s="1"/>
  <c r="O110" i="5"/>
  <c r="R110" i="5" s="1"/>
  <c r="S109" i="5"/>
  <c r="U109" i="5" s="1"/>
  <c r="O109" i="5"/>
  <c r="P109" i="5" s="1"/>
  <c r="S108" i="5"/>
  <c r="O108" i="5"/>
  <c r="U107" i="5"/>
  <c r="T107" i="5"/>
  <c r="S107" i="5"/>
  <c r="O107" i="5"/>
  <c r="Q107" i="5" s="1"/>
  <c r="S106" i="5"/>
  <c r="O106" i="5"/>
  <c r="R106" i="5" s="1"/>
  <c r="S105" i="5"/>
  <c r="U105" i="5" s="1"/>
  <c r="R105" i="5"/>
  <c r="P105" i="5"/>
  <c r="O105" i="5"/>
  <c r="Q105" i="5" s="1"/>
  <c r="T104" i="5"/>
  <c r="S104" i="5"/>
  <c r="U104" i="5" s="1"/>
  <c r="O104" i="5"/>
  <c r="T103" i="5"/>
  <c r="S103" i="5"/>
  <c r="U103" i="5" s="1"/>
  <c r="P103" i="5"/>
  <c r="O103" i="5"/>
  <c r="R103" i="5" s="1"/>
  <c r="S102" i="5"/>
  <c r="T102" i="5" s="1"/>
  <c r="R102" i="5"/>
  <c r="P102" i="5"/>
  <c r="O102" i="5"/>
  <c r="Q102" i="5" s="1"/>
  <c r="S101" i="5"/>
  <c r="U101" i="5" s="1"/>
  <c r="O101" i="5"/>
  <c r="R101" i="5" s="1"/>
  <c r="U100" i="5"/>
  <c r="S100" i="5"/>
  <c r="T100" i="5" s="1"/>
  <c r="R100" i="5"/>
  <c r="Q100" i="5"/>
  <c r="P100" i="5"/>
  <c r="O100" i="5"/>
  <c r="T99" i="5"/>
  <c r="S99" i="5"/>
  <c r="U99" i="5" s="1"/>
  <c r="O99" i="5"/>
  <c r="Q99" i="5" s="1"/>
  <c r="S98" i="5"/>
  <c r="U98" i="5" s="1"/>
  <c r="Q98" i="5"/>
  <c r="O98" i="5"/>
  <c r="S97" i="5"/>
  <c r="T97" i="5" s="1"/>
  <c r="O97" i="5"/>
  <c r="Q97" i="5" s="1"/>
  <c r="S96" i="5"/>
  <c r="U96" i="5" s="1"/>
  <c r="O96" i="5"/>
  <c r="P96" i="5" s="1"/>
  <c r="T95" i="5"/>
  <c r="S95" i="5"/>
  <c r="U95" i="5" s="1"/>
  <c r="O95" i="5"/>
  <c r="R95" i="5" s="1"/>
  <c r="S94" i="5"/>
  <c r="O94" i="5"/>
  <c r="P94" i="5" s="1"/>
  <c r="S93" i="5"/>
  <c r="U93" i="5" s="1"/>
  <c r="O93" i="5"/>
  <c r="P93" i="5" s="1"/>
  <c r="T92" i="5"/>
  <c r="S92" i="5"/>
  <c r="U92" i="5" s="1"/>
  <c r="P92" i="5"/>
  <c r="O92" i="5"/>
  <c r="R92" i="5" s="1"/>
  <c r="U91" i="5"/>
  <c r="T91" i="5"/>
  <c r="S91" i="5"/>
  <c r="O91" i="5"/>
  <c r="S90" i="5"/>
  <c r="U90" i="5" s="1"/>
  <c r="Q90" i="5"/>
  <c r="O90" i="5"/>
  <c r="R90" i="5" s="1"/>
  <c r="S89" i="5"/>
  <c r="U89" i="5" s="1"/>
  <c r="O89" i="5"/>
  <c r="S88" i="5"/>
  <c r="U88" i="5" s="1"/>
  <c r="O88" i="5"/>
  <c r="R88" i="5" s="1"/>
  <c r="T87" i="5"/>
  <c r="S87" i="5"/>
  <c r="U87" i="5" s="1"/>
  <c r="R87" i="5"/>
  <c r="Q87" i="5"/>
  <c r="P87" i="5"/>
  <c r="O87" i="5"/>
  <c r="S86" i="5"/>
  <c r="U86" i="5" s="1"/>
  <c r="R86" i="5"/>
  <c r="O86" i="5"/>
  <c r="Q86" i="5" s="1"/>
  <c r="U85" i="5"/>
  <c r="T85" i="5"/>
  <c r="S85" i="5"/>
  <c r="O85" i="5"/>
  <c r="Q85" i="5" s="1"/>
  <c r="S84" i="5"/>
  <c r="T84" i="5" s="1"/>
  <c r="Q84" i="5"/>
  <c r="P84" i="5"/>
  <c r="O84" i="5"/>
  <c r="R84" i="5" s="1"/>
  <c r="S83" i="5"/>
  <c r="T83" i="5" s="1"/>
  <c r="Q83" i="5"/>
  <c r="O83" i="5"/>
  <c r="R83" i="5" s="1"/>
  <c r="S82" i="5"/>
  <c r="U82" i="5" s="1"/>
  <c r="O82" i="5"/>
  <c r="R82" i="5" s="1"/>
  <c r="S81" i="5"/>
  <c r="R81" i="5"/>
  <c r="O81" i="5"/>
  <c r="P81" i="5" s="1"/>
  <c r="U80" i="5"/>
  <c r="S80" i="5"/>
  <c r="T80" i="5" s="1"/>
  <c r="O80" i="5"/>
  <c r="S79" i="5"/>
  <c r="U79" i="5" s="1"/>
  <c r="O79" i="5"/>
  <c r="U78" i="5"/>
  <c r="T78" i="5"/>
  <c r="S78" i="5"/>
  <c r="Q78" i="5"/>
  <c r="O78" i="5"/>
  <c r="R78" i="5" s="1"/>
  <c r="T77" i="5"/>
  <c r="S77" i="5"/>
  <c r="U77" i="5" s="1"/>
  <c r="O77" i="5"/>
  <c r="P77" i="5" s="1"/>
  <c r="S76" i="5"/>
  <c r="U76" i="5" s="1"/>
  <c r="O76" i="5"/>
  <c r="U75" i="5"/>
  <c r="S75" i="5"/>
  <c r="T75" i="5" s="1"/>
  <c r="O75" i="5"/>
  <c r="S74" i="5"/>
  <c r="U74" i="5" s="1"/>
  <c r="O74" i="5"/>
  <c r="U73" i="5"/>
  <c r="T73" i="5"/>
  <c r="S73" i="5"/>
  <c r="O73" i="5"/>
  <c r="Q73" i="5" s="1"/>
  <c r="S72" i="5"/>
  <c r="O72" i="5"/>
  <c r="R72" i="5" s="1"/>
  <c r="S71" i="5"/>
  <c r="O71" i="5"/>
  <c r="R71" i="5" s="1"/>
  <c r="U70" i="5"/>
  <c r="S70" i="5"/>
  <c r="T70" i="5" s="1"/>
  <c r="R70" i="5"/>
  <c r="O70" i="5"/>
  <c r="Q70" i="5" s="1"/>
  <c r="S69" i="5"/>
  <c r="U69" i="5" s="1"/>
  <c r="O69" i="5"/>
  <c r="U68" i="5"/>
  <c r="S68" i="5"/>
  <c r="T68" i="5" s="1"/>
  <c r="R68" i="5"/>
  <c r="Q68" i="5"/>
  <c r="P68" i="5"/>
  <c r="O68" i="5"/>
  <c r="U67" i="5"/>
  <c r="S67" i="5"/>
  <c r="T67" i="5" s="1"/>
  <c r="O67" i="5"/>
  <c r="R67" i="5" s="1"/>
  <c r="T66" i="5"/>
  <c r="S66" i="5"/>
  <c r="U66" i="5" s="1"/>
  <c r="O66" i="5"/>
  <c r="R66" i="5" s="1"/>
  <c r="S65" i="5"/>
  <c r="T65" i="5" s="1"/>
  <c r="Q65" i="5"/>
  <c r="O65" i="5"/>
  <c r="R65" i="5" s="1"/>
  <c r="S64" i="5"/>
  <c r="U64" i="5" s="1"/>
  <c r="O64" i="5"/>
  <c r="T63" i="5"/>
  <c r="S63" i="5"/>
  <c r="U63" i="5" s="1"/>
  <c r="O63" i="5"/>
  <c r="R63" i="5" s="1"/>
  <c r="S62" i="5"/>
  <c r="U62" i="5" s="1"/>
  <c r="O62" i="5"/>
  <c r="R62" i="5" s="1"/>
  <c r="S61" i="5"/>
  <c r="U61" i="5" s="1"/>
  <c r="O61" i="5"/>
  <c r="P61" i="5" s="1"/>
  <c r="S60" i="5"/>
  <c r="U60" i="5" s="1"/>
  <c r="R60" i="5"/>
  <c r="O60" i="5"/>
  <c r="Q60" i="5" s="1"/>
  <c r="S59" i="5"/>
  <c r="O59" i="5"/>
  <c r="T58" i="5"/>
  <c r="S58" i="5"/>
  <c r="U58" i="5" s="1"/>
  <c r="O58" i="5"/>
  <c r="R58" i="5" s="1"/>
  <c r="S57" i="5"/>
  <c r="U57" i="5" s="1"/>
  <c r="O57" i="5"/>
  <c r="Q57" i="5" s="1"/>
  <c r="S56" i="5"/>
  <c r="U56" i="5" s="1"/>
  <c r="O56" i="5"/>
  <c r="R56" i="5" s="1"/>
  <c r="S55" i="5"/>
  <c r="U55" i="5" s="1"/>
  <c r="R55" i="5"/>
  <c r="Q55" i="5"/>
  <c r="P55" i="5"/>
  <c r="O55" i="5"/>
  <c r="S54" i="5"/>
  <c r="U54" i="5" s="1"/>
  <c r="O54" i="5"/>
  <c r="S53" i="5"/>
  <c r="U53" i="5" s="1"/>
  <c r="R53" i="5"/>
  <c r="Q53" i="5"/>
  <c r="P53" i="5"/>
  <c r="O53" i="5"/>
  <c r="S52" i="5"/>
  <c r="T52" i="5" s="1"/>
  <c r="O52" i="5"/>
  <c r="R52" i="5" s="1"/>
  <c r="S51" i="5"/>
  <c r="O51" i="5"/>
  <c r="Q51" i="5" s="1"/>
  <c r="U50" i="5"/>
  <c r="S50" i="5"/>
  <c r="T50" i="5" s="1"/>
  <c r="O50" i="5"/>
  <c r="R50" i="5" s="1"/>
  <c r="S49" i="5"/>
  <c r="U49" i="5" s="1"/>
  <c r="O49" i="5"/>
  <c r="R49" i="5" s="1"/>
  <c r="S48" i="5"/>
  <c r="U48" i="5" s="1"/>
  <c r="Q48" i="5"/>
  <c r="O48" i="5"/>
  <c r="R48" i="5" s="1"/>
  <c r="S47" i="5"/>
  <c r="U47" i="5" s="1"/>
  <c r="P47" i="5"/>
  <c r="O47" i="5"/>
  <c r="S46" i="5"/>
  <c r="T46" i="5" s="1"/>
  <c r="O46" i="5"/>
  <c r="R46" i="5" s="1"/>
  <c r="U45" i="5"/>
  <c r="T45" i="5"/>
  <c r="S45" i="5"/>
  <c r="O45" i="5"/>
  <c r="R45" i="5" s="1"/>
  <c r="S44" i="5"/>
  <c r="U44" i="5" s="1"/>
  <c r="O44" i="5"/>
  <c r="R44" i="5" s="1"/>
  <c r="T43" i="5"/>
  <c r="S43" i="5"/>
  <c r="U43" i="5" s="1"/>
  <c r="O43" i="5"/>
  <c r="R43" i="5" s="1"/>
  <c r="S42" i="5"/>
  <c r="O42" i="5"/>
  <c r="U41" i="5"/>
  <c r="T41" i="5"/>
  <c r="S41" i="5"/>
  <c r="O41" i="5"/>
  <c r="S40" i="5"/>
  <c r="U40" i="5" s="1"/>
  <c r="R40" i="5"/>
  <c r="Q40" i="5"/>
  <c r="P40" i="5"/>
  <c r="O40" i="5"/>
  <c r="S39" i="5"/>
  <c r="U39" i="5" s="1"/>
  <c r="O39" i="5"/>
  <c r="S38" i="5"/>
  <c r="U38" i="5" s="1"/>
  <c r="O38" i="5"/>
  <c r="U37" i="5"/>
  <c r="T37" i="5"/>
  <c r="S37" i="5"/>
  <c r="Q37" i="5"/>
  <c r="O37" i="5"/>
  <c r="R37" i="5" s="1"/>
  <c r="U36" i="5"/>
  <c r="S36" i="5"/>
  <c r="T36" i="5" s="1"/>
  <c r="O36" i="5"/>
  <c r="R36" i="5" s="1"/>
  <c r="S35" i="5"/>
  <c r="U35" i="5" s="1"/>
  <c r="O35" i="5"/>
  <c r="Q35" i="5" s="1"/>
  <c r="S34" i="5"/>
  <c r="O34" i="5"/>
  <c r="R34" i="5" s="1"/>
  <c r="S33" i="5"/>
  <c r="U33" i="5" s="1"/>
  <c r="O33" i="5"/>
  <c r="R33" i="5" s="1"/>
  <c r="S32" i="5"/>
  <c r="U32" i="5" s="1"/>
  <c r="Q32" i="5"/>
  <c r="O32" i="5"/>
  <c r="R32" i="5" s="1"/>
  <c r="S31" i="5"/>
  <c r="U31" i="5" s="1"/>
  <c r="P31" i="5"/>
  <c r="O31" i="5"/>
  <c r="S30" i="5"/>
  <c r="T30" i="5" s="1"/>
  <c r="Q30" i="5"/>
  <c r="O30" i="5"/>
  <c r="R30" i="5" s="1"/>
  <c r="U29" i="5"/>
  <c r="S29" i="5"/>
  <c r="T29" i="5" s="1"/>
  <c r="O29" i="5"/>
  <c r="R29" i="5" s="1"/>
  <c r="S28" i="5"/>
  <c r="U28" i="5" s="1"/>
  <c r="O28" i="5"/>
  <c r="R28" i="5" s="1"/>
  <c r="T27" i="5"/>
  <c r="S27" i="5"/>
  <c r="U27" i="5" s="1"/>
  <c r="O27" i="5"/>
  <c r="R27" i="5" s="1"/>
  <c r="S26" i="5"/>
  <c r="O26" i="5"/>
  <c r="P26" i="5" s="1"/>
  <c r="S25" i="5"/>
  <c r="R25" i="5"/>
  <c r="Q25" i="5"/>
  <c r="O25" i="5"/>
  <c r="P25" i="5" s="1"/>
  <c r="S24" i="5"/>
  <c r="U24" i="5" s="1"/>
  <c r="O24" i="5"/>
  <c r="R24" i="5" s="1"/>
  <c r="S23" i="5"/>
  <c r="U23" i="5" s="1"/>
  <c r="R23" i="5"/>
  <c r="O23" i="5"/>
  <c r="Q23" i="5" s="1"/>
  <c r="S22" i="5"/>
  <c r="U22" i="5" s="1"/>
  <c r="O22" i="5"/>
  <c r="U21" i="5"/>
  <c r="S21" i="5"/>
  <c r="T21" i="5" s="1"/>
  <c r="O21" i="5"/>
  <c r="R21" i="5" s="1"/>
  <c r="S20" i="5"/>
  <c r="T20" i="5" s="1"/>
  <c r="O20" i="5"/>
  <c r="R20" i="5" s="1"/>
  <c r="S19" i="5"/>
  <c r="U19" i="5" s="1"/>
  <c r="O19" i="5"/>
  <c r="Q19" i="5" s="1"/>
  <c r="S18" i="5"/>
  <c r="T18" i="5" s="1"/>
  <c r="O18" i="5"/>
  <c r="R18" i="5" s="1"/>
  <c r="S17" i="5"/>
  <c r="U17" i="5" s="1"/>
  <c r="R17" i="5"/>
  <c r="Q17" i="5"/>
  <c r="P17" i="5"/>
  <c r="O17" i="5"/>
  <c r="S16" i="5"/>
  <c r="U16" i="5" s="1"/>
  <c r="O16" i="5"/>
  <c r="R16" i="5" s="1"/>
  <c r="S15" i="5"/>
  <c r="U15" i="5" s="1"/>
  <c r="P15" i="5"/>
  <c r="O15" i="5"/>
  <c r="S14" i="5"/>
  <c r="T14" i="5" s="1"/>
  <c r="Q14" i="5"/>
  <c r="O14" i="5"/>
  <c r="R14" i="5" s="1"/>
  <c r="U13" i="5"/>
  <c r="T13" i="5"/>
  <c r="S13" i="5"/>
  <c r="O13" i="5"/>
  <c r="R13" i="5" s="1"/>
  <c r="U12" i="5"/>
  <c r="T12" i="5"/>
  <c r="S12" i="5"/>
  <c r="O12" i="5"/>
  <c r="R12" i="5" s="1"/>
  <c r="S11" i="5"/>
  <c r="U11" i="5" s="1"/>
  <c r="O11" i="5"/>
  <c r="R11" i="5" s="1"/>
  <c r="S10" i="5"/>
  <c r="R10" i="5"/>
  <c r="O10" i="5"/>
  <c r="P10" i="5" s="1"/>
  <c r="S9" i="5"/>
  <c r="U9" i="5" s="1"/>
  <c r="P9" i="5"/>
  <c r="O9" i="5"/>
  <c r="S8" i="5"/>
  <c r="U8" i="5" s="1"/>
  <c r="O8" i="5"/>
  <c r="R8" i="5" s="1"/>
  <c r="S7" i="5"/>
  <c r="U7" i="5" s="1"/>
  <c r="O7" i="5"/>
  <c r="Q7" i="5" s="1"/>
  <c r="S6" i="5"/>
  <c r="U6" i="5" s="1"/>
  <c r="O6" i="5"/>
  <c r="U5" i="5"/>
  <c r="T5" i="5"/>
  <c r="S5" i="5"/>
  <c r="R5" i="5"/>
  <c r="Q5" i="5"/>
  <c r="P5" i="5"/>
  <c r="O5" i="5"/>
  <c r="U4" i="5"/>
  <c r="S4" i="5"/>
  <c r="T4" i="5" s="1"/>
  <c r="O4" i="5"/>
  <c r="R4" i="5" s="1"/>
  <c r="S3" i="5"/>
  <c r="U3" i="5" s="1"/>
  <c r="O3" i="5"/>
  <c r="Q3" i="5" s="1"/>
  <c r="D17" i="3"/>
  <c r="D4" i="3"/>
  <c r="Q286" i="2"/>
  <c r="K286" i="2"/>
  <c r="L286" i="2" s="1"/>
  <c r="I286" i="2"/>
  <c r="H286" i="2"/>
  <c r="G286" i="2"/>
  <c r="E258" i="9" s="1"/>
  <c r="F286" i="2"/>
  <c r="E286" i="2"/>
  <c r="C286" i="2"/>
  <c r="B286" i="2"/>
  <c r="Q285" i="2"/>
  <c r="K285" i="2"/>
  <c r="H257" i="9" s="1"/>
  <c r="I285" i="2"/>
  <c r="G257" i="9" s="1"/>
  <c r="H285" i="2"/>
  <c r="G285" i="2"/>
  <c r="E257" i="9" s="1"/>
  <c r="F285" i="2"/>
  <c r="E285" i="2"/>
  <c r="C285" i="2"/>
  <c r="B285" i="2"/>
  <c r="W284" i="2"/>
  <c r="Q284" i="2"/>
  <c r="L284" i="2"/>
  <c r="K284" i="2"/>
  <c r="H256" i="9" s="1"/>
  <c r="J284" i="2"/>
  <c r="I284" i="2"/>
  <c r="G256" i="9" s="1"/>
  <c r="I256" i="9" s="1"/>
  <c r="H284" i="2"/>
  <c r="G284" i="2"/>
  <c r="F284" i="2"/>
  <c r="E284" i="2"/>
  <c r="C284" i="2"/>
  <c r="B284" i="2"/>
  <c r="Q283" i="2"/>
  <c r="K283" i="2"/>
  <c r="J283" i="2"/>
  <c r="I283" i="2"/>
  <c r="G255" i="9" s="1"/>
  <c r="H283" i="2"/>
  <c r="G283" i="2"/>
  <c r="F283" i="2"/>
  <c r="E283" i="2"/>
  <c r="C283" i="2"/>
  <c r="B283" i="2"/>
  <c r="U282" i="2"/>
  <c r="S282" i="2"/>
  <c r="Q282" i="2"/>
  <c r="K282" i="2"/>
  <c r="H254" i="9" s="1"/>
  <c r="I282" i="2"/>
  <c r="G254" i="9" s="1"/>
  <c r="I254" i="9" s="1"/>
  <c r="H282" i="2"/>
  <c r="G282" i="2"/>
  <c r="F282" i="2"/>
  <c r="E282" i="2"/>
  <c r="C282" i="2"/>
  <c r="B282" i="2"/>
  <c r="Q281" i="2"/>
  <c r="K281" i="2"/>
  <c r="J281" i="2" s="1"/>
  <c r="I281" i="2"/>
  <c r="H281" i="2"/>
  <c r="G281" i="2"/>
  <c r="F281" i="2"/>
  <c r="E281" i="2"/>
  <c r="C281" i="2"/>
  <c r="B281" i="2"/>
  <c r="Q280" i="2"/>
  <c r="K280" i="2"/>
  <c r="H252" i="9" s="1"/>
  <c r="I280" i="2"/>
  <c r="H280" i="2"/>
  <c r="G280" i="2"/>
  <c r="F280" i="2"/>
  <c r="E280" i="2"/>
  <c r="C280" i="2"/>
  <c r="B280" i="2"/>
  <c r="W279" i="2"/>
  <c r="Q279" i="2"/>
  <c r="L279" i="2"/>
  <c r="K279" i="2"/>
  <c r="H251" i="9" s="1"/>
  <c r="I279" i="2"/>
  <c r="G251" i="9" s="1"/>
  <c r="I251" i="9" s="1"/>
  <c r="H279" i="2"/>
  <c r="G279" i="2"/>
  <c r="F279" i="2"/>
  <c r="E279" i="2"/>
  <c r="C279" i="2"/>
  <c r="B279" i="2"/>
  <c r="W278" i="2"/>
  <c r="U278" i="2"/>
  <c r="S278" i="2"/>
  <c r="Q278" i="2"/>
  <c r="L278" i="2"/>
  <c r="K278" i="2"/>
  <c r="H250" i="9" s="1"/>
  <c r="I278" i="2"/>
  <c r="G250" i="9" s="1"/>
  <c r="I250" i="9" s="1"/>
  <c r="H278" i="2"/>
  <c r="G278" i="2"/>
  <c r="F278" i="2"/>
  <c r="E278" i="2"/>
  <c r="C278" i="2"/>
  <c r="B278" i="2"/>
  <c r="Q277" i="2"/>
  <c r="K277" i="2"/>
  <c r="H249" i="9" s="1"/>
  <c r="I277" i="2"/>
  <c r="H277" i="2"/>
  <c r="G277" i="2"/>
  <c r="F277" i="2"/>
  <c r="E277" i="2"/>
  <c r="C277" i="2"/>
  <c r="B277" i="2"/>
  <c r="W276" i="2"/>
  <c r="Q276" i="2"/>
  <c r="M276" i="2"/>
  <c r="K276" i="2"/>
  <c r="H248" i="9" s="1"/>
  <c r="J276" i="2"/>
  <c r="I276" i="2"/>
  <c r="G248" i="9" s="1"/>
  <c r="I248" i="9" s="1"/>
  <c r="H276" i="2"/>
  <c r="G276" i="2"/>
  <c r="F276" i="2"/>
  <c r="E276" i="2"/>
  <c r="C276" i="2"/>
  <c r="B276" i="2"/>
  <c r="Q275" i="2"/>
  <c r="L275" i="2"/>
  <c r="K275" i="2"/>
  <c r="I275" i="2"/>
  <c r="G247" i="9" s="1"/>
  <c r="H275" i="2"/>
  <c r="G275" i="2"/>
  <c r="F275" i="2"/>
  <c r="E275" i="2"/>
  <c r="C275" i="2"/>
  <c r="B275" i="2"/>
  <c r="W274" i="2"/>
  <c r="Q274" i="2"/>
  <c r="K274" i="2"/>
  <c r="H246" i="9" s="1"/>
  <c r="J274" i="2"/>
  <c r="I274" i="2"/>
  <c r="G246" i="9" s="1"/>
  <c r="H274" i="2"/>
  <c r="G274" i="2"/>
  <c r="F274" i="2"/>
  <c r="E274" i="2"/>
  <c r="C274" i="2"/>
  <c r="B274" i="2"/>
  <c r="Q273" i="2"/>
  <c r="K273" i="2"/>
  <c r="M273" i="2" s="1"/>
  <c r="I273" i="2"/>
  <c r="G245" i="9" s="1"/>
  <c r="H273" i="2"/>
  <c r="G273" i="2"/>
  <c r="F273" i="2"/>
  <c r="E273" i="2"/>
  <c r="C273" i="2"/>
  <c r="B273" i="2"/>
  <c r="Q272" i="2"/>
  <c r="K272" i="2"/>
  <c r="I272" i="2"/>
  <c r="G244" i="9" s="1"/>
  <c r="H272" i="2"/>
  <c r="G272" i="2"/>
  <c r="F272" i="2"/>
  <c r="E272" i="2"/>
  <c r="C272" i="2"/>
  <c r="B272" i="2"/>
  <c r="Q271" i="2"/>
  <c r="K271" i="2"/>
  <c r="J271" i="2"/>
  <c r="I271" i="2"/>
  <c r="G243" i="9" s="1"/>
  <c r="H271" i="2"/>
  <c r="G271" i="2"/>
  <c r="F271" i="2"/>
  <c r="E271" i="2"/>
  <c r="C271" i="2"/>
  <c r="B271" i="2"/>
  <c r="Q270" i="2"/>
  <c r="K270" i="2"/>
  <c r="I270" i="2"/>
  <c r="G242" i="9" s="1"/>
  <c r="H270" i="2"/>
  <c r="G270" i="2"/>
  <c r="F270" i="2"/>
  <c r="E270" i="2"/>
  <c r="C270" i="2"/>
  <c r="B270" i="2"/>
  <c r="Q269" i="2"/>
  <c r="K269" i="2"/>
  <c r="H241" i="9" s="1"/>
  <c r="I269" i="2"/>
  <c r="G241" i="9" s="1"/>
  <c r="H269" i="2"/>
  <c r="G269" i="2"/>
  <c r="F269" i="2"/>
  <c r="E269" i="2"/>
  <c r="C269" i="2"/>
  <c r="B269" i="2"/>
  <c r="Q268" i="2"/>
  <c r="L268" i="2"/>
  <c r="K268" i="2"/>
  <c r="H240" i="9" s="1"/>
  <c r="J268" i="2"/>
  <c r="I268" i="2"/>
  <c r="G240" i="9" s="1"/>
  <c r="H268" i="2"/>
  <c r="G268" i="2"/>
  <c r="F268" i="2"/>
  <c r="E268" i="2"/>
  <c r="C268" i="2"/>
  <c r="B268" i="2"/>
  <c r="Q267" i="2"/>
  <c r="K267" i="2"/>
  <c r="J267" i="2" s="1"/>
  <c r="I267" i="2"/>
  <c r="G239" i="9" s="1"/>
  <c r="H267" i="2"/>
  <c r="G267" i="2"/>
  <c r="F267" i="2"/>
  <c r="E267" i="2"/>
  <c r="C267" i="2"/>
  <c r="B267" i="2"/>
  <c r="Q266" i="2"/>
  <c r="K266" i="2"/>
  <c r="H238" i="9" s="1"/>
  <c r="I266" i="2"/>
  <c r="H266" i="2"/>
  <c r="G266" i="2"/>
  <c r="F266" i="2"/>
  <c r="E266" i="2"/>
  <c r="C266" i="2"/>
  <c r="B266" i="2"/>
  <c r="Q265" i="2"/>
  <c r="M265" i="2"/>
  <c r="K265" i="2"/>
  <c r="H237" i="9" s="1"/>
  <c r="J265" i="2"/>
  <c r="I265" i="2"/>
  <c r="G237" i="9" s="1"/>
  <c r="H265" i="2"/>
  <c r="G265" i="2"/>
  <c r="F265" i="2"/>
  <c r="E265" i="2"/>
  <c r="C265" i="2"/>
  <c r="B265" i="2"/>
  <c r="Q264" i="2"/>
  <c r="K264" i="2"/>
  <c r="J264" i="2" s="1"/>
  <c r="I264" i="2"/>
  <c r="H264" i="2"/>
  <c r="G264" i="2"/>
  <c r="F264" i="2"/>
  <c r="E264" i="2"/>
  <c r="C264" i="2"/>
  <c r="B264" i="2"/>
  <c r="W263" i="2"/>
  <c r="Q263" i="2"/>
  <c r="K263" i="2"/>
  <c r="H235" i="9" s="1"/>
  <c r="I263" i="2"/>
  <c r="G235" i="9" s="1"/>
  <c r="I235" i="9" s="1"/>
  <c r="H263" i="2"/>
  <c r="G263" i="2"/>
  <c r="F263" i="2"/>
  <c r="E263" i="2"/>
  <c r="C263" i="2"/>
  <c r="B263" i="2"/>
  <c r="Q262" i="2"/>
  <c r="L262" i="2"/>
  <c r="K262" i="2"/>
  <c r="I262" i="2"/>
  <c r="G234" i="9" s="1"/>
  <c r="H262" i="2"/>
  <c r="G262" i="2"/>
  <c r="F262" i="2"/>
  <c r="E262" i="2"/>
  <c r="C262" i="2"/>
  <c r="B262" i="2"/>
  <c r="Q261" i="2"/>
  <c r="K261" i="2"/>
  <c r="H233" i="9" s="1"/>
  <c r="J261" i="2"/>
  <c r="I261" i="2"/>
  <c r="H261" i="2"/>
  <c r="G261" i="2"/>
  <c r="F261" i="2"/>
  <c r="E261" i="2"/>
  <c r="C261" i="2"/>
  <c r="B261" i="2"/>
  <c r="Q260" i="2"/>
  <c r="M260" i="2"/>
  <c r="L260" i="2"/>
  <c r="K260" i="2"/>
  <c r="H232" i="9" s="1"/>
  <c r="J260" i="2"/>
  <c r="I260" i="2"/>
  <c r="G232" i="9" s="1"/>
  <c r="H260" i="2"/>
  <c r="G260" i="2"/>
  <c r="F260" i="2"/>
  <c r="E260" i="2"/>
  <c r="C260" i="2"/>
  <c r="B260" i="2"/>
  <c r="Q259" i="2"/>
  <c r="K259" i="2"/>
  <c r="U259" i="2" s="1"/>
  <c r="I259" i="2"/>
  <c r="R259" i="2" s="1"/>
  <c r="H259" i="2"/>
  <c r="G259" i="2"/>
  <c r="F259" i="2"/>
  <c r="E259" i="2"/>
  <c r="C259" i="2"/>
  <c r="B259" i="2"/>
  <c r="Q258" i="2"/>
  <c r="K258" i="2"/>
  <c r="I258" i="2"/>
  <c r="H258" i="2"/>
  <c r="G258" i="2"/>
  <c r="F258" i="2"/>
  <c r="E258" i="2"/>
  <c r="C258" i="2"/>
  <c r="B258" i="2"/>
  <c r="S257" i="2"/>
  <c r="R257" i="2"/>
  <c r="Q257" i="2"/>
  <c r="K257" i="2"/>
  <c r="I257" i="2"/>
  <c r="G229" i="9" s="1"/>
  <c r="H257" i="2"/>
  <c r="G257" i="2"/>
  <c r="F257" i="2"/>
  <c r="E257" i="2"/>
  <c r="C257" i="2"/>
  <c r="B257" i="2"/>
  <c r="Q256" i="2"/>
  <c r="K256" i="2"/>
  <c r="I256" i="2"/>
  <c r="G228" i="9" s="1"/>
  <c r="H256" i="2"/>
  <c r="G256" i="2"/>
  <c r="F256" i="2"/>
  <c r="E256" i="2"/>
  <c r="C256" i="2"/>
  <c r="B256" i="2"/>
  <c r="Q255" i="2"/>
  <c r="K255" i="2"/>
  <c r="J255" i="2" s="1"/>
  <c r="I255" i="2"/>
  <c r="G227" i="9" s="1"/>
  <c r="H255" i="2"/>
  <c r="G255" i="2"/>
  <c r="F255" i="2"/>
  <c r="E255" i="2"/>
  <c r="C255" i="2"/>
  <c r="B255" i="2"/>
  <c r="Q254" i="2"/>
  <c r="K254" i="2"/>
  <c r="I254" i="2"/>
  <c r="G226" i="9" s="1"/>
  <c r="H254" i="2"/>
  <c r="G254" i="2"/>
  <c r="F254" i="2"/>
  <c r="E254" i="2"/>
  <c r="C254" i="2"/>
  <c r="B254" i="2"/>
  <c r="Q253" i="2"/>
  <c r="K253" i="2"/>
  <c r="J253" i="2" s="1"/>
  <c r="I253" i="2"/>
  <c r="R253" i="2" s="1"/>
  <c r="H253" i="2"/>
  <c r="G253" i="2"/>
  <c r="F253" i="2"/>
  <c r="E253" i="2"/>
  <c r="C253" i="2"/>
  <c r="B253" i="2"/>
  <c r="Q252" i="2"/>
  <c r="K252" i="2"/>
  <c r="I252" i="2"/>
  <c r="G224" i="9" s="1"/>
  <c r="H252" i="2"/>
  <c r="G252" i="2"/>
  <c r="F252" i="2"/>
  <c r="E252" i="2"/>
  <c r="C252" i="2"/>
  <c r="B252" i="2"/>
  <c r="U251" i="2"/>
  <c r="T251" i="2"/>
  <c r="H245" i="8" s="1"/>
  <c r="S251" i="2"/>
  <c r="Q251" i="2"/>
  <c r="K251" i="2"/>
  <c r="J251" i="2"/>
  <c r="I251" i="2"/>
  <c r="G223" i="9" s="1"/>
  <c r="H251" i="2"/>
  <c r="G251" i="2"/>
  <c r="F251" i="2"/>
  <c r="E251" i="2"/>
  <c r="C251" i="2"/>
  <c r="B251" i="2"/>
  <c r="Q250" i="2"/>
  <c r="K250" i="2"/>
  <c r="H222" i="9" s="1"/>
  <c r="J250" i="2"/>
  <c r="I250" i="2"/>
  <c r="H250" i="2"/>
  <c r="G250" i="2"/>
  <c r="F250" i="2"/>
  <c r="E250" i="2"/>
  <c r="C250" i="2"/>
  <c r="B250" i="2"/>
  <c r="Q249" i="2"/>
  <c r="K249" i="2"/>
  <c r="W249" i="2" s="1"/>
  <c r="J249" i="2"/>
  <c r="I249" i="2"/>
  <c r="G221" i="9" s="1"/>
  <c r="H249" i="2"/>
  <c r="G249" i="2"/>
  <c r="F249" i="2"/>
  <c r="E249" i="2"/>
  <c r="C249" i="2"/>
  <c r="B249" i="2"/>
  <c r="S248" i="2"/>
  <c r="Q248" i="2"/>
  <c r="K248" i="2"/>
  <c r="J248" i="2" s="1"/>
  <c r="I248" i="2"/>
  <c r="T248" i="2" s="1"/>
  <c r="H242" i="8" s="1"/>
  <c r="H248" i="2"/>
  <c r="G248" i="2"/>
  <c r="F248" i="2"/>
  <c r="E248" i="2"/>
  <c r="C248" i="2"/>
  <c r="B248" i="2"/>
  <c r="Q247" i="2"/>
  <c r="K247" i="2"/>
  <c r="L247" i="2" s="1"/>
  <c r="F242" i="11" s="1"/>
  <c r="H242" i="11" s="1"/>
  <c r="I247" i="2"/>
  <c r="G219" i="9" s="1"/>
  <c r="I219" i="9" s="1"/>
  <c r="H247" i="2"/>
  <c r="G247" i="2"/>
  <c r="F247" i="2"/>
  <c r="E247" i="2"/>
  <c r="C247" i="2"/>
  <c r="B247" i="2"/>
  <c r="W246" i="2"/>
  <c r="S246" i="2"/>
  <c r="Q246" i="2"/>
  <c r="K246" i="2"/>
  <c r="J246" i="2" s="1"/>
  <c r="I246" i="2"/>
  <c r="H246" i="2"/>
  <c r="G246" i="2"/>
  <c r="F246" i="2"/>
  <c r="E246" i="2"/>
  <c r="C246" i="2"/>
  <c r="B246" i="2"/>
  <c r="T245" i="2"/>
  <c r="H239" i="8" s="1"/>
  <c r="R245" i="2"/>
  <c r="Q245" i="2"/>
  <c r="K245" i="2"/>
  <c r="I245" i="2"/>
  <c r="G217" i="9" s="1"/>
  <c r="H245" i="2"/>
  <c r="G245" i="2"/>
  <c r="F245" i="2"/>
  <c r="E245" i="2"/>
  <c r="C245" i="2"/>
  <c r="B245" i="2"/>
  <c r="B240" i="11" s="1"/>
  <c r="T244" i="2"/>
  <c r="H238" i="8" s="1"/>
  <c r="S244" i="2"/>
  <c r="Q244" i="2"/>
  <c r="K244" i="2"/>
  <c r="H216" i="9" s="1"/>
  <c r="I244" i="2"/>
  <c r="H244" i="2"/>
  <c r="G244" i="2"/>
  <c r="F244" i="2"/>
  <c r="E244" i="2"/>
  <c r="C244" i="2"/>
  <c r="B244" i="2"/>
  <c r="W243" i="2"/>
  <c r="Q243" i="2"/>
  <c r="K243" i="2"/>
  <c r="I243" i="2"/>
  <c r="G215" i="9" s="1"/>
  <c r="H243" i="2"/>
  <c r="G243" i="2"/>
  <c r="F243" i="2"/>
  <c r="E243" i="2"/>
  <c r="C243" i="2"/>
  <c r="B243" i="2"/>
  <c r="W242" i="2"/>
  <c r="Q242" i="2"/>
  <c r="L242" i="2"/>
  <c r="K242" i="2"/>
  <c r="I242" i="2"/>
  <c r="H242" i="2"/>
  <c r="G242" i="2"/>
  <c r="F242" i="2"/>
  <c r="E242" i="2"/>
  <c r="C242" i="2"/>
  <c r="B242" i="2"/>
  <c r="V241" i="2"/>
  <c r="R241" i="2"/>
  <c r="G235" i="8" s="1"/>
  <c r="Q241" i="2"/>
  <c r="L241" i="2"/>
  <c r="K241" i="2"/>
  <c r="H213" i="9" s="1"/>
  <c r="J241" i="2"/>
  <c r="I241" i="2"/>
  <c r="G213" i="9" s="1"/>
  <c r="H241" i="2"/>
  <c r="G241" i="2"/>
  <c r="F241" i="2"/>
  <c r="E241" i="2"/>
  <c r="C241" i="2"/>
  <c r="B241" i="2"/>
  <c r="B236" i="11" s="1"/>
  <c r="W240" i="2"/>
  <c r="Q240" i="2"/>
  <c r="L240" i="2"/>
  <c r="K240" i="2"/>
  <c r="H212" i="9" s="1"/>
  <c r="I240" i="2"/>
  <c r="G212" i="9" s="1"/>
  <c r="H240" i="2"/>
  <c r="G240" i="2"/>
  <c r="F240" i="2"/>
  <c r="E240" i="2"/>
  <c r="C240" i="2"/>
  <c r="B240" i="2"/>
  <c r="S239" i="2"/>
  <c r="Q239" i="2"/>
  <c r="K239" i="2"/>
  <c r="U239" i="2" s="1"/>
  <c r="I239" i="2"/>
  <c r="G211" i="9" s="1"/>
  <c r="I211" i="9" s="1"/>
  <c r="H239" i="2"/>
  <c r="G239" i="2"/>
  <c r="F239" i="2"/>
  <c r="E239" i="2"/>
  <c r="C239" i="2"/>
  <c r="B239" i="2"/>
  <c r="Q238" i="2"/>
  <c r="K238" i="2"/>
  <c r="H210" i="9" s="1"/>
  <c r="I238" i="2"/>
  <c r="H238" i="2"/>
  <c r="G238" i="2"/>
  <c r="F238" i="2"/>
  <c r="E238" i="2"/>
  <c r="C238" i="2"/>
  <c r="B238" i="2"/>
  <c r="U237" i="2"/>
  <c r="T237" i="2"/>
  <c r="S237" i="2"/>
  <c r="Q237" i="2"/>
  <c r="M237" i="2"/>
  <c r="K237" i="2"/>
  <c r="W237" i="2" s="1"/>
  <c r="I237" i="2"/>
  <c r="R237" i="2" s="1"/>
  <c r="H237" i="2"/>
  <c r="G237" i="2"/>
  <c r="F237" i="2"/>
  <c r="E237" i="2"/>
  <c r="C237" i="2"/>
  <c r="B237" i="2"/>
  <c r="U236" i="2"/>
  <c r="R236" i="2"/>
  <c r="Q236" i="2"/>
  <c r="K236" i="2"/>
  <c r="S236" i="2" s="1"/>
  <c r="I236" i="2"/>
  <c r="T236" i="2" s="1"/>
  <c r="H236" i="2"/>
  <c r="G236" i="2"/>
  <c r="F236" i="2"/>
  <c r="E236" i="2"/>
  <c r="C236" i="2"/>
  <c r="B236" i="2"/>
  <c r="W235" i="2"/>
  <c r="Q235" i="2"/>
  <c r="M235" i="2"/>
  <c r="K235" i="2"/>
  <c r="H209" i="9" s="1"/>
  <c r="J235" i="2"/>
  <c r="I235" i="2"/>
  <c r="G209" i="9" s="1"/>
  <c r="I209" i="9" s="1"/>
  <c r="H235" i="2"/>
  <c r="G235" i="2"/>
  <c r="F235" i="2"/>
  <c r="E235" i="2"/>
  <c r="C235" i="2"/>
  <c r="B235" i="2"/>
  <c r="W234" i="2"/>
  <c r="Q234" i="2"/>
  <c r="M234" i="2"/>
  <c r="K234" i="2"/>
  <c r="H208" i="9" s="1"/>
  <c r="J234" i="2"/>
  <c r="I234" i="2"/>
  <c r="G208" i="9" s="1"/>
  <c r="I208" i="9" s="1"/>
  <c r="H234" i="2"/>
  <c r="G234" i="2"/>
  <c r="F234" i="2"/>
  <c r="E234" i="2"/>
  <c r="C234" i="2"/>
  <c r="B234" i="2"/>
  <c r="W233" i="2"/>
  <c r="Q233" i="2"/>
  <c r="K233" i="2"/>
  <c r="H207" i="9" s="1"/>
  <c r="J233" i="2"/>
  <c r="I233" i="2"/>
  <c r="G207" i="9" s="1"/>
  <c r="H233" i="2"/>
  <c r="G233" i="2"/>
  <c r="F233" i="2"/>
  <c r="E233" i="2"/>
  <c r="C233" i="2"/>
  <c r="B233" i="2"/>
  <c r="W232" i="2"/>
  <c r="S232" i="2"/>
  <c r="Q232" i="2"/>
  <c r="M232" i="2"/>
  <c r="L232" i="2"/>
  <c r="K232" i="2"/>
  <c r="H206" i="9" s="1"/>
  <c r="J232" i="2"/>
  <c r="I232" i="2"/>
  <c r="G206" i="9" s="1"/>
  <c r="I206" i="9" s="1"/>
  <c r="H232" i="2"/>
  <c r="G232" i="2"/>
  <c r="F232" i="2"/>
  <c r="E232" i="2"/>
  <c r="C232" i="2"/>
  <c r="B232" i="2"/>
  <c r="B229" i="11" s="1"/>
  <c r="Q231" i="2"/>
  <c r="L231" i="2"/>
  <c r="K231" i="2"/>
  <c r="I231" i="2"/>
  <c r="G205" i="9" s="1"/>
  <c r="H231" i="2"/>
  <c r="G231" i="2"/>
  <c r="F231" i="2"/>
  <c r="E231" i="2"/>
  <c r="C231" i="2"/>
  <c r="B231" i="2"/>
  <c r="Q230" i="2"/>
  <c r="K230" i="2"/>
  <c r="H204" i="9" s="1"/>
  <c r="I230" i="2"/>
  <c r="G204" i="9" s="1"/>
  <c r="I204" i="9" s="1"/>
  <c r="H230" i="2"/>
  <c r="G230" i="2"/>
  <c r="F230" i="2"/>
  <c r="E230" i="2"/>
  <c r="C230" i="2"/>
  <c r="B230" i="2"/>
  <c r="Q229" i="2"/>
  <c r="K229" i="2"/>
  <c r="H203" i="9" s="1"/>
  <c r="I229" i="2"/>
  <c r="G203" i="9" s="1"/>
  <c r="I203" i="9" s="1"/>
  <c r="H229" i="2"/>
  <c r="G229" i="2"/>
  <c r="F229" i="2"/>
  <c r="E229" i="2"/>
  <c r="C229" i="2"/>
  <c r="B229" i="2"/>
  <c r="Q228" i="2"/>
  <c r="K228" i="2"/>
  <c r="J228" i="2" s="1"/>
  <c r="I228" i="2"/>
  <c r="G202" i="9" s="1"/>
  <c r="H228" i="2"/>
  <c r="G228" i="2"/>
  <c r="F228" i="2"/>
  <c r="E228" i="2"/>
  <c r="C228" i="2"/>
  <c r="B228" i="2"/>
  <c r="R227" i="2"/>
  <c r="G223" i="8" s="1"/>
  <c r="Q227" i="2"/>
  <c r="M227" i="2" s="1"/>
  <c r="L227" i="2"/>
  <c r="K227" i="2"/>
  <c r="H201" i="9" s="1"/>
  <c r="J227" i="2"/>
  <c r="I227" i="2"/>
  <c r="G201" i="9" s="1"/>
  <c r="H227" i="2"/>
  <c r="G227" i="2"/>
  <c r="F227" i="2"/>
  <c r="E227" i="2"/>
  <c r="C227" i="2"/>
  <c r="B227" i="2"/>
  <c r="Q226" i="2"/>
  <c r="K226" i="2"/>
  <c r="H200" i="9" s="1"/>
  <c r="J226" i="2"/>
  <c r="I226" i="2"/>
  <c r="G200" i="9" s="1"/>
  <c r="H226" i="2"/>
  <c r="G226" i="2"/>
  <c r="F226" i="2"/>
  <c r="E226" i="2"/>
  <c r="C226" i="2"/>
  <c r="B226" i="2"/>
  <c r="Q225" i="2"/>
  <c r="K225" i="2"/>
  <c r="H199" i="9" s="1"/>
  <c r="J225" i="2"/>
  <c r="I225" i="2"/>
  <c r="H225" i="2"/>
  <c r="G225" i="2"/>
  <c r="F225" i="2"/>
  <c r="E225" i="2"/>
  <c r="C225" i="2"/>
  <c r="B225" i="2"/>
  <c r="Q224" i="2"/>
  <c r="K224" i="2"/>
  <c r="H198" i="9" s="1"/>
  <c r="I224" i="2"/>
  <c r="G198" i="9" s="1"/>
  <c r="H224" i="2"/>
  <c r="G224" i="2"/>
  <c r="F224" i="2"/>
  <c r="E224" i="2"/>
  <c r="C224" i="2"/>
  <c r="B224" i="2"/>
  <c r="Q223" i="2"/>
  <c r="K223" i="2"/>
  <c r="H197" i="9" s="1"/>
  <c r="I223" i="2"/>
  <c r="G197" i="9" s="1"/>
  <c r="H223" i="2"/>
  <c r="G223" i="2"/>
  <c r="F223" i="2"/>
  <c r="E223" i="2"/>
  <c r="C223" i="2"/>
  <c r="B223" i="2"/>
  <c r="Q222" i="2"/>
  <c r="K222" i="2"/>
  <c r="H196" i="9" s="1"/>
  <c r="I222" i="2"/>
  <c r="H222" i="2"/>
  <c r="G222" i="2"/>
  <c r="F222" i="2"/>
  <c r="E222" i="2"/>
  <c r="C222" i="2"/>
  <c r="B222" i="2"/>
  <c r="B219" i="11" s="1"/>
  <c r="T221" i="2"/>
  <c r="H217" i="8" s="1"/>
  <c r="Q221" i="2"/>
  <c r="K221" i="2"/>
  <c r="W221" i="2" s="1"/>
  <c r="I221" i="2"/>
  <c r="G195" i="9" s="1"/>
  <c r="H221" i="2"/>
  <c r="G221" i="2"/>
  <c r="F221" i="2"/>
  <c r="E221" i="2"/>
  <c r="C221" i="2"/>
  <c r="B221" i="2"/>
  <c r="U220" i="2"/>
  <c r="T220" i="2"/>
  <c r="H216" i="8" s="1"/>
  <c r="S220" i="2"/>
  <c r="R220" i="2"/>
  <c r="Q220" i="2"/>
  <c r="M220" i="2"/>
  <c r="K220" i="2"/>
  <c r="L220" i="2" s="1"/>
  <c r="J220" i="2"/>
  <c r="I220" i="2"/>
  <c r="H220" i="2"/>
  <c r="G220" i="2"/>
  <c r="E216" i="8" s="1"/>
  <c r="F220" i="2"/>
  <c r="E220" i="2"/>
  <c r="C220" i="2"/>
  <c r="B220" i="2"/>
  <c r="Q219" i="2"/>
  <c r="M219" i="2"/>
  <c r="K219" i="2"/>
  <c r="U219" i="2" s="1"/>
  <c r="J219" i="2"/>
  <c r="I219" i="2"/>
  <c r="T219" i="2" s="1"/>
  <c r="H215" i="8" s="1"/>
  <c r="H219" i="2"/>
  <c r="G219" i="2"/>
  <c r="E215" i="8" s="1"/>
  <c r="F219" i="2"/>
  <c r="E219" i="2"/>
  <c r="C219" i="2"/>
  <c r="B219" i="2"/>
  <c r="U218" i="2"/>
  <c r="Q218" i="2"/>
  <c r="L218" i="2"/>
  <c r="K218" i="2"/>
  <c r="M218" i="2" s="1"/>
  <c r="I218" i="2"/>
  <c r="T218" i="2" s="1"/>
  <c r="H214" i="8" s="1"/>
  <c r="H218" i="2"/>
  <c r="G218" i="2"/>
  <c r="E214" i="8" s="1"/>
  <c r="F218" i="2"/>
  <c r="E218" i="2"/>
  <c r="C218" i="2"/>
  <c r="B218" i="2"/>
  <c r="Q217" i="2"/>
  <c r="K217" i="2"/>
  <c r="J217" i="2" s="1"/>
  <c r="I217" i="2"/>
  <c r="H217" i="2"/>
  <c r="G217" i="2"/>
  <c r="E213" i="8" s="1"/>
  <c r="F217" i="2"/>
  <c r="E217" i="2"/>
  <c r="C217" i="2"/>
  <c r="B217" i="2"/>
  <c r="W216" i="2"/>
  <c r="Q216" i="2"/>
  <c r="M216" i="2"/>
  <c r="K216" i="2"/>
  <c r="L216" i="2" s="1"/>
  <c r="F213" i="11" s="1"/>
  <c r="H213" i="11" s="1"/>
  <c r="I216" i="2"/>
  <c r="H216" i="2"/>
  <c r="G216" i="2"/>
  <c r="E212" i="8" s="1"/>
  <c r="F216" i="2"/>
  <c r="E216" i="2"/>
  <c r="C216" i="2"/>
  <c r="B216" i="2"/>
  <c r="Q215" i="2"/>
  <c r="K215" i="2"/>
  <c r="I215" i="2"/>
  <c r="H215" i="2"/>
  <c r="G215" i="2"/>
  <c r="E211" i="8" s="1"/>
  <c r="F215" i="2"/>
  <c r="E215" i="2"/>
  <c r="C215" i="2"/>
  <c r="B215" i="2"/>
  <c r="W214" i="2"/>
  <c r="Q214" i="2"/>
  <c r="K214" i="2"/>
  <c r="M214" i="2" s="1"/>
  <c r="I214" i="2"/>
  <c r="H214" i="2"/>
  <c r="G214" i="2"/>
  <c r="E210" i="8" s="1"/>
  <c r="F214" i="2"/>
  <c r="E214" i="2"/>
  <c r="C214" i="2"/>
  <c r="B214" i="2"/>
  <c r="Q213" i="2"/>
  <c r="K213" i="2"/>
  <c r="I213" i="2"/>
  <c r="H213" i="2"/>
  <c r="G213" i="2"/>
  <c r="E209" i="8" s="1"/>
  <c r="F213" i="2"/>
  <c r="E213" i="2"/>
  <c r="C213" i="2"/>
  <c r="B213" i="2"/>
  <c r="Q212" i="2"/>
  <c r="K212" i="2"/>
  <c r="J212" i="2"/>
  <c r="I212" i="2"/>
  <c r="H212" i="2"/>
  <c r="G212" i="2"/>
  <c r="E208" i="8" s="1"/>
  <c r="F212" i="2"/>
  <c r="E212" i="2"/>
  <c r="C212" i="2"/>
  <c r="B212" i="2"/>
  <c r="Q211" i="2"/>
  <c r="K211" i="2"/>
  <c r="M211" i="2" s="1"/>
  <c r="J211" i="2"/>
  <c r="I211" i="2"/>
  <c r="H211" i="2"/>
  <c r="G211" i="2"/>
  <c r="E207" i="8" s="1"/>
  <c r="F211" i="2"/>
  <c r="E211" i="2"/>
  <c r="C211" i="2"/>
  <c r="B211" i="2"/>
  <c r="Q210" i="2"/>
  <c r="K210" i="2"/>
  <c r="M210" i="2" s="1"/>
  <c r="I210" i="2"/>
  <c r="H210" i="2"/>
  <c r="G210" i="2"/>
  <c r="E206" i="8" s="1"/>
  <c r="F210" i="2"/>
  <c r="E210" i="2"/>
  <c r="C210" i="2"/>
  <c r="B210" i="2"/>
  <c r="Q209" i="2"/>
  <c r="K209" i="2"/>
  <c r="W209" i="2" s="1"/>
  <c r="I209" i="2"/>
  <c r="H209" i="2"/>
  <c r="G209" i="2"/>
  <c r="E205" i="8" s="1"/>
  <c r="F209" i="2"/>
  <c r="E209" i="2"/>
  <c r="C209" i="2"/>
  <c r="B209" i="2"/>
  <c r="Q208" i="2"/>
  <c r="K208" i="2"/>
  <c r="L208" i="2" s="1"/>
  <c r="F205" i="11" s="1"/>
  <c r="H205" i="11" s="1"/>
  <c r="I208" i="2"/>
  <c r="H208" i="2"/>
  <c r="G208" i="2"/>
  <c r="E204" i="8" s="1"/>
  <c r="F208" i="2"/>
  <c r="E208" i="2"/>
  <c r="C208" i="2"/>
  <c r="B208" i="2"/>
  <c r="Q207" i="2"/>
  <c r="K207" i="2"/>
  <c r="M207" i="2" s="1"/>
  <c r="I207" i="2"/>
  <c r="H207" i="2"/>
  <c r="G207" i="2"/>
  <c r="E203" i="8" s="1"/>
  <c r="F207" i="2"/>
  <c r="E207" i="2"/>
  <c r="C207" i="2"/>
  <c r="B207" i="2"/>
  <c r="B204" i="11" s="1"/>
  <c r="Q206" i="2"/>
  <c r="K206" i="2"/>
  <c r="I206" i="2"/>
  <c r="H206" i="2"/>
  <c r="G206" i="2"/>
  <c r="E202" i="8" s="1"/>
  <c r="F206" i="2"/>
  <c r="E206" i="2"/>
  <c r="C206" i="2"/>
  <c r="B206" i="2"/>
  <c r="Q205" i="2"/>
  <c r="M205" i="2"/>
  <c r="K205" i="2"/>
  <c r="W205" i="2" s="1"/>
  <c r="J205" i="2"/>
  <c r="I205" i="2"/>
  <c r="H205" i="2"/>
  <c r="G205" i="2"/>
  <c r="E201" i="8" s="1"/>
  <c r="F205" i="2"/>
  <c r="E205" i="2"/>
  <c r="C205" i="2"/>
  <c r="B205" i="2"/>
  <c r="Q204" i="2"/>
  <c r="M204" i="2"/>
  <c r="K204" i="2"/>
  <c r="L204" i="2" s="1"/>
  <c r="J204" i="2"/>
  <c r="I204" i="2"/>
  <c r="H204" i="2"/>
  <c r="G204" i="2"/>
  <c r="E200" i="8" s="1"/>
  <c r="F204" i="2"/>
  <c r="E204" i="2"/>
  <c r="C204" i="2"/>
  <c r="B204" i="2"/>
  <c r="W203" i="2"/>
  <c r="Q203" i="2"/>
  <c r="M203" i="2"/>
  <c r="K203" i="2"/>
  <c r="J203" i="2" s="1"/>
  <c r="I203" i="2"/>
  <c r="H203" i="2"/>
  <c r="G203" i="2"/>
  <c r="E199" i="8" s="1"/>
  <c r="F203" i="2"/>
  <c r="E203" i="2"/>
  <c r="C203" i="2"/>
  <c r="B203" i="2"/>
  <c r="Q202" i="2"/>
  <c r="K202" i="2"/>
  <c r="J202" i="2" s="1"/>
  <c r="I202" i="2"/>
  <c r="H202" i="2"/>
  <c r="G202" i="2"/>
  <c r="E198" i="8" s="1"/>
  <c r="F202" i="2"/>
  <c r="E202" i="2"/>
  <c r="C202" i="2"/>
  <c r="B202" i="2"/>
  <c r="T201" i="2"/>
  <c r="H197" i="8" s="1"/>
  <c r="Q201" i="2"/>
  <c r="K201" i="2"/>
  <c r="U201" i="2" s="1"/>
  <c r="J201" i="2"/>
  <c r="I201" i="2"/>
  <c r="R201" i="2" s="1"/>
  <c r="H201" i="2"/>
  <c r="G201" i="2"/>
  <c r="E197" i="8" s="1"/>
  <c r="F201" i="2"/>
  <c r="E201" i="2"/>
  <c r="C201" i="2"/>
  <c r="B201" i="2"/>
  <c r="W200" i="2"/>
  <c r="S200" i="2"/>
  <c r="Q200" i="2"/>
  <c r="L200" i="2"/>
  <c r="K200" i="2"/>
  <c r="U200" i="2" s="1"/>
  <c r="J200" i="2"/>
  <c r="I200" i="2"/>
  <c r="T200" i="2" s="1"/>
  <c r="H196" i="8" s="1"/>
  <c r="H200" i="2"/>
  <c r="G200" i="2"/>
  <c r="E196" i="8" s="1"/>
  <c r="F200" i="2"/>
  <c r="E200" i="2"/>
  <c r="C200" i="2"/>
  <c r="B200" i="2"/>
  <c r="Q199" i="2"/>
  <c r="K199" i="2"/>
  <c r="L199" i="2" s="1"/>
  <c r="F196" i="11" s="1"/>
  <c r="H196" i="11" s="1"/>
  <c r="I199" i="2"/>
  <c r="T199" i="2" s="1"/>
  <c r="H195" i="8" s="1"/>
  <c r="H199" i="2"/>
  <c r="G199" i="2"/>
  <c r="E195" i="8" s="1"/>
  <c r="F199" i="2"/>
  <c r="E199" i="2"/>
  <c r="C199" i="2"/>
  <c r="B199" i="2"/>
  <c r="T198" i="2"/>
  <c r="H194" i="8" s="1"/>
  <c r="S198" i="2"/>
  <c r="R198" i="2"/>
  <c r="G194" i="8" s="1"/>
  <c r="Q198" i="2"/>
  <c r="K198" i="2"/>
  <c r="M198" i="2" s="1"/>
  <c r="I198" i="2"/>
  <c r="H198" i="2"/>
  <c r="G198" i="2"/>
  <c r="E194" i="8" s="1"/>
  <c r="F198" i="2"/>
  <c r="E198" i="2"/>
  <c r="C198" i="2"/>
  <c r="B198" i="2"/>
  <c r="U197" i="2"/>
  <c r="Q197" i="2"/>
  <c r="K197" i="2"/>
  <c r="H194" i="9" s="1"/>
  <c r="I197" i="2"/>
  <c r="G194" i="9" s="1"/>
  <c r="I194" i="9" s="1"/>
  <c r="H197" i="2"/>
  <c r="G197" i="2"/>
  <c r="F197" i="2"/>
  <c r="E197" i="2"/>
  <c r="C197" i="2"/>
  <c r="B197" i="2"/>
  <c r="Q196" i="2"/>
  <c r="K196" i="2"/>
  <c r="J196" i="2" s="1"/>
  <c r="I196" i="2"/>
  <c r="G193" i="9" s="1"/>
  <c r="H196" i="2"/>
  <c r="G196" i="2"/>
  <c r="F196" i="2"/>
  <c r="E196" i="2"/>
  <c r="C196" i="2"/>
  <c r="B196" i="2"/>
  <c r="W195" i="2"/>
  <c r="Q195" i="2"/>
  <c r="K195" i="2"/>
  <c r="H192" i="9" s="1"/>
  <c r="I195" i="2"/>
  <c r="G192" i="9" s="1"/>
  <c r="H195" i="2"/>
  <c r="G195" i="2"/>
  <c r="F195" i="2"/>
  <c r="E195" i="2"/>
  <c r="C195" i="2"/>
  <c r="B195" i="2"/>
  <c r="T194" i="2"/>
  <c r="H190" i="8" s="1"/>
  <c r="Q194" i="2"/>
  <c r="K194" i="2"/>
  <c r="H191" i="9" s="1"/>
  <c r="J194" i="2"/>
  <c r="I194" i="2"/>
  <c r="G191" i="9" s="1"/>
  <c r="I191" i="9" s="1"/>
  <c r="H194" i="2"/>
  <c r="G194" i="2"/>
  <c r="F194" i="2"/>
  <c r="E194" i="2"/>
  <c r="C194" i="2"/>
  <c r="B194" i="2"/>
  <c r="Q193" i="2"/>
  <c r="L193" i="2"/>
  <c r="K193" i="2"/>
  <c r="J193" i="2" s="1"/>
  <c r="I193" i="2"/>
  <c r="H193" i="2"/>
  <c r="G193" i="2"/>
  <c r="F193" i="2"/>
  <c r="E193" i="2"/>
  <c r="C193" i="2"/>
  <c r="B193" i="2"/>
  <c r="W192" i="2"/>
  <c r="U192" i="2"/>
  <c r="T192" i="2"/>
  <c r="H188" i="8" s="1"/>
  <c r="S192" i="2"/>
  <c r="R192" i="2"/>
  <c r="G188" i="8" s="1"/>
  <c r="Q192" i="2"/>
  <c r="K192" i="2"/>
  <c r="J192" i="2" s="1"/>
  <c r="I192" i="2"/>
  <c r="G189" i="9" s="1"/>
  <c r="H192" i="2"/>
  <c r="G192" i="2"/>
  <c r="F192" i="2"/>
  <c r="E192" i="2"/>
  <c r="C192" i="2"/>
  <c r="B192" i="2"/>
  <c r="T191" i="2"/>
  <c r="H187" i="8" s="1"/>
  <c r="Q191" i="2"/>
  <c r="K191" i="2"/>
  <c r="W191" i="2" s="1"/>
  <c r="I191" i="2"/>
  <c r="G188" i="9" s="1"/>
  <c r="H191" i="2"/>
  <c r="G191" i="2"/>
  <c r="F191" i="2"/>
  <c r="E191" i="2"/>
  <c r="C191" i="2"/>
  <c r="B191" i="2"/>
  <c r="Q190" i="2"/>
  <c r="K190" i="2"/>
  <c r="H187" i="9" s="1"/>
  <c r="I190" i="2"/>
  <c r="H190" i="2"/>
  <c r="G190" i="2"/>
  <c r="F190" i="2"/>
  <c r="E190" i="2"/>
  <c r="C190" i="2"/>
  <c r="B190" i="2"/>
  <c r="S189" i="2"/>
  <c r="Q189" i="2"/>
  <c r="K189" i="2"/>
  <c r="L189" i="2" s="1"/>
  <c r="J189" i="2"/>
  <c r="I189" i="2"/>
  <c r="G186" i="9" s="1"/>
  <c r="H189" i="2"/>
  <c r="G189" i="2"/>
  <c r="F189" i="2"/>
  <c r="E189" i="2"/>
  <c r="C189" i="2"/>
  <c r="B189" i="2"/>
  <c r="Q188" i="2"/>
  <c r="M188" i="2"/>
  <c r="K188" i="2"/>
  <c r="H185" i="9" s="1"/>
  <c r="I188" i="2"/>
  <c r="G185" i="9" s="1"/>
  <c r="H188" i="2"/>
  <c r="G188" i="2"/>
  <c r="F188" i="2"/>
  <c r="E188" i="2"/>
  <c r="C188" i="2"/>
  <c r="B188" i="2"/>
  <c r="W187" i="2"/>
  <c r="Q187" i="2"/>
  <c r="M187" i="2"/>
  <c r="K187" i="2"/>
  <c r="H184" i="9" s="1"/>
  <c r="J187" i="2"/>
  <c r="I187" i="2"/>
  <c r="G184" i="9" s="1"/>
  <c r="I184" i="9" s="1"/>
  <c r="H187" i="2"/>
  <c r="G187" i="2"/>
  <c r="F187" i="2"/>
  <c r="E187" i="2"/>
  <c r="C187" i="2"/>
  <c r="B187" i="2"/>
  <c r="B184" i="11" s="1"/>
  <c r="U186" i="2"/>
  <c r="T186" i="2"/>
  <c r="H182" i="8" s="1"/>
  <c r="S186" i="2"/>
  <c r="R186" i="2"/>
  <c r="G182" i="8" s="1"/>
  <c r="Q186" i="2"/>
  <c r="K186" i="2"/>
  <c r="H183" i="9" s="1"/>
  <c r="I186" i="2"/>
  <c r="G183" i="9" s="1"/>
  <c r="I183" i="9" s="1"/>
  <c r="H186" i="2"/>
  <c r="G186" i="2"/>
  <c r="F186" i="2"/>
  <c r="E186" i="2"/>
  <c r="C186" i="2"/>
  <c r="B186" i="2"/>
  <c r="W185" i="2"/>
  <c r="U185" i="2"/>
  <c r="T185" i="2"/>
  <c r="H181" i="8" s="1"/>
  <c r="R185" i="2"/>
  <c r="Q185" i="2"/>
  <c r="L185" i="2"/>
  <c r="K185" i="2"/>
  <c r="H182" i="9" s="1"/>
  <c r="I185" i="2"/>
  <c r="G182" i="9" s="1"/>
  <c r="I182" i="9" s="1"/>
  <c r="H185" i="2"/>
  <c r="G185" i="2"/>
  <c r="F185" i="2"/>
  <c r="E185" i="2"/>
  <c r="C185" i="2"/>
  <c r="B185" i="2"/>
  <c r="W184" i="2"/>
  <c r="Q184" i="2"/>
  <c r="M184" i="2"/>
  <c r="K184" i="2"/>
  <c r="H181" i="9" s="1"/>
  <c r="I184" i="2"/>
  <c r="G181" i="9" s="1"/>
  <c r="I181" i="9" s="1"/>
  <c r="H184" i="2"/>
  <c r="G184" i="2"/>
  <c r="F184" i="2"/>
  <c r="E184" i="2"/>
  <c r="C184" i="2"/>
  <c r="B184" i="2"/>
  <c r="B181" i="11" s="1"/>
  <c r="Q183" i="2"/>
  <c r="K183" i="2"/>
  <c r="I183" i="2"/>
  <c r="G180" i="9" s="1"/>
  <c r="H183" i="2"/>
  <c r="G183" i="2"/>
  <c r="F183" i="2"/>
  <c r="E183" i="2"/>
  <c r="C183" i="2"/>
  <c r="B183" i="2"/>
  <c r="W182" i="2"/>
  <c r="Q182" i="2"/>
  <c r="L182" i="2"/>
  <c r="K182" i="2"/>
  <c r="H179" i="9" s="1"/>
  <c r="I182" i="2"/>
  <c r="G179" i="9" s="1"/>
  <c r="H182" i="2"/>
  <c r="G182" i="2"/>
  <c r="F182" i="2"/>
  <c r="E182" i="2"/>
  <c r="C182" i="2"/>
  <c r="B182" i="2"/>
  <c r="U181" i="2"/>
  <c r="Q181" i="2"/>
  <c r="K181" i="2"/>
  <c r="H178" i="9" s="1"/>
  <c r="I181" i="2"/>
  <c r="G178" i="9" s="1"/>
  <c r="I178" i="9" s="1"/>
  <c r="H181" i="2"/>
  <c r="G181" i="2"/>
  <c r="F181" i="2"/>
  <c r="E181" i="2"/>
  <c r="C181" i="2"/>
  <c r="B181" i="2"/>
  <c r="Q180" i="2"/>
  <c r="M180" i="2"/>
  <c r="K180" i="2"/>
  <c r="J180" i="2"/>
  <c r="I180" i="2"/>
  <c r="G177" i="9" s="1"/>
  <c r="H180" i="2"/>
  <c r="G180" i="2"/>
  <c r="F180" i="2"/>
  <c r="E180" i="2"/>
  <c r="C180" i="2"/>
  <c r="B180" i="2"/>
  <c r="W179" i="2"/>
  <c r="Q179" i="2"/>
  <c r="K179" i="2"/>
  <c r="H176" i="9" s="1"/>
  <c r="I179" i="2"/>
  <c r="G176" i="9" s="1"/>
  <c r="H179" i="2"/>
  <c r="G179" i="2"/>
  <c r="F179" i="2"/>
  <c r="E179" i="2"/>
  <c r="C179" i="2"/>
  <c r="B179" i="2"/>
  <c r="W178" i="2"/>
  <c r="Q178" i="2"/>
  <c r="K178" i="2"/>
  <c r="H175" i="9" s="1"/>
  <c r="J178" i="2"/>
  <c r="I178" i="2"/>
  <c r="G175" i="9" s="1"/>
  <c r="H178" i="2"/>
  <c r="G178" i="2"/>
  <c r="F178" i="2"/>
  <c r="E178" i="2"/>
  <c r="C178" i="2"/>
  <c r="B178" i="2"/>
  <c r="Q177" i="2"/>
  <c r="K177" i="2"/>
  <c r="H174" i="9" s="1"/>
  <c r="J177" i="2"/>
  <c r="I177" i="2"/>
  <c r="H177" i="2"/>
  <c r="G177" i="2"/>
  <c r="F177" i="2"/>
  <c r="E177" i="2"/>
  <c r="C177" i="2"/>
  <c r="B177" i="2"/>
  <c r="W176" i="2"/>
  <c r="Q176" i="2"/>
  <c r="K176" i="2"/>
  <c r="H173" i="9" s="1"/>
  <c r="J176" i="2"/>
  <c r="I176" i="2"/>
  <c r="G173" i="9" s="1"/>
  <c r="I173" i="9" s="1"/>
  <c r="H176" i="2"/>
  <c r="G176" i="2"/>
  <c r="F176" i="2"/>
  <c r="E176" i="2"/>
  <c r="C176" i="2"/>
  <c r="B176" i="2"/>
  <c r="W175" i="2"/>
  <c r="Q175" i="2"/>
  <c r="K175" i="2"/>
  <c r="H172" i="9" s="1"/>
  <c r="I175" i="2"/>
  <c r="G172" i="9" s="1"/>
  <c r="I172" i="9" s="1"/>
  <c r="H175" i="2"/>
  <c r="G175" i="2"/>
  <c r="F175" i="2"/>
  <c r="E175" i="2"/>
  <c r="C175" i="2"/>
  <c r="B175" i="2"/>
  <c r="Q174" i="2"/>
  <c r="K174" i="2"/>
  <c r="I174" i="2"/>
  <c r="H174" i="2"/>
  <c r="G174" i="2"/>
  <c r="F174" i="2"/>
  <c r="E174" i="2"/>
  <c r="C174" i="2"/>
  <c r="B174" i="2"/>
  <c r="W173" i="2"/>
  <c r="Q173" i="2"/>
  <c r="M173" i="2"/>
  <c r="K173" i="2"/>
  <c r="H170" i="9" s="1"/>
  <c r="J173" i="2"/>
  <c r="I173" i="2"/>
  <c r="G170" i="9" s="1"/>
  <c r="I170" i="9" s="1"/>
  <c r="H173" i="2"/>
  <c r="G173" i="2"/>
  <c r="F173" i="2"/>
  <c r="E173" i="2"/>
  <c r="C173" i="2"/>
  <c r="B173" i="2"/>
  <c r="Q172" i="2"/>
  <c r="M172" i="2"/>
  <c r="K172" i="2"/>
  <c r="H169" i="9" s="1"/>
  <c r="J172" i="2"/>
  <c r="I172" i="2"/>
  <c r="G169" i="9" s="1"/>
  <c r="I169" i="9" s="1"/>
  <c r="H172" i="2"/>
  <c r="G172" i="2"/>
  <c r="F172" i="2"/>
  <c r="E172" i="2"/>
  <c r="C172" i="2"/>
  <c r="B172" i="2"/>
  <c r="W171" i="2"/>
  <c r="Q171" i="2"/>
  <c r="M171" i="2"/>
  <c r="K171" i="2"/>
  <c r="H168" i="9" s="1"/>
  <c r="J171" i="2"/>
  <c r="I171" i="2"/>
  <c r="G168" i="9" s="1"/>
  <c r="H171" i="2"/>
  <c r="G171" i="2"/>
  <c r="F171" i="2"/>
  <c r="E171" i="2"/>
  <c r="C171" i="2"/>
  <c r="B171" i="2"/>
  <c r="Q170" i="2"/>
  <c r="M170" i="2"/>
  <c r="K170" i="2"/>
  <c r="H167" i="9" s="1"/>
  <c r="J170" i="2"/>
  <c r="I170" i="2"/>
  <c r="G167" i="9" s="1"/>
  <c r="H170" i="2"/>
  <c r="G170" i="2"/>
  <c r="F170" i="2"/>
  <c r="E170" i="2"/>
  <c r="C170" i="2"/>
  <c r="B170" i="2"/>
  <c r="Q169" i="2"/>
  <c r="K169" i="2"/>
  <c r="H166" i="9" s="1"/>
  <c r="J169" i="2"/>
  <c r="I169" i="2"/>
  <c r="G166" i="9" s="1"/>
  <c r="H169" i="2"/>
  <c r="G169" i="2"/>
  <c r="F169" i="2"/>
  <c r="E169" i="2"/>
  <c r="C169" i="2"/>
  <c r="B169" i="2"/>
  <c r="W168" i="2"/>
  <c r="Q168" i="2"/>
  <c r="M168" i="2"/>
  <c r="L168" i="2"/>
  <c r="K168" i="2"/>
  <c r="H165" i="9" s="1"/>
  <c r="I168" i="2"/>
  <c r="H168" i="2"/>
  <c r="G168" i="2"/>
  <c r="F168" i="2"/>
  <c r="E168" i="2"/>
  <c r="C168" i="2"/>
  <c r="B168" i="2"/>
  <c r="Q167" i="2"/>
  <c r="L167" i="2"/>
  <c r="K167" i="2"/>
  <c r="I167" i="2"/>
  <c r="G164" i="9" s="1"/>
  <c r="H167" i="2"/>
  <c r="G167" i="2"/>
  <c r="F167" i="2"/>
  <c r="E167" i="2"/>
  <c r="C167" i="2"/>
  <c r="B167" i="2"/>
  <c r="W166" i="2"/>
  <c r="Q166" i="2"/>
  <c r="K166" i="2"/>
  <c r="H163" i="9" s="1"/>
  <c r="I166" i="2"/>
  <c r="G163" i="9" s="1"/>
  <c r="H166" i="2"/>
  <c r="G166" i="2"/>
  <c r="F166" i="2"/>
  <c r="E166" i="2"/>
  <c r="C166" i="2"/>
  <c r="B166" i="2"/>
  <c r="Q165" i="2"/>
  <c r="K165" i="2"/>
  <c r="H162" i="9" s="1"/>
  <c r="I165" i="2"/>
  <c r="G162" i="9" s="1"/>
  <c r="H165" i="2"/>
  <c r="G165" i="2"/>
  <c r="F165" i="2"/>
  <c r="E165" i="2"/>
  <c r="C165" i="2"/>
  <c r="B165" i="2"/>
  <c r="Q164" i="2"/>
  <c r="K164" i="2"/>
  <c r="J164" i="2" s="1"/>
  <c r="I164" i="2"/>
  <c r="H164" i="2"/>
  <c r="G164" i="2"/>
  <c r="F164" i="2"/>
  <c r="E164" i="2"/>
  <c r="C164" i="2"/>
  <c r="B164" i="2"/>
  <c r="Q163" i="2"/>
  <c r="K163" i="2"/>
  <c r="H161" i="9" s="1"/>
  <c r="J163" i="2"/>
  <c r="I163" i="2"/>
  <c r="G161" i="9" s="1"/>
  <c r="H163" i="2"/>
  <c r="G163" i="2"/>
  <c r="F163" i="2"/>
  <c r="E163" i="2"/>
  <c r="C163" i="2"/>
  <c r="B163" i="2"/>
  <c r="Q162" i="2"/>
  <c r="K162" i="2"/>
  <c r="H160" i="9" s="1"/>
  <c r="I162" i="2"/>
  <c r="G160" i="9" s="1"/>
  <c r="H162" i="2"/>
  <c r="G162" i="2"/>
  <c r="F162" i="2"/>
  <c r="E162" i="2"/>
  <c r="C162" i="2"/>
  <c r="B162" i="2"/>
  <c r="Q161" i="2"/>
  <c r="L161" i="2"/>
  <c r="K161" i="2"/>
  <c r="H159" i="9" s="1"/>
  <c r="I161" i="2"/>
  <c r="H161" i="2"/>
  <c r="G161" i="2"/>
  <c r="F161" i="2"/>
  <c r="E161" i="2"/>
  <c r="C161" i="2"/>
  <c r="B161" i="2"/>
  <c r="Q160" i="2"/>
  <c r="K160" i="2"/>
  <c r="H158" i="9" s="1"/>
  <c r="I160" i="2"/>
  <c r="G158" i="9" s="1"/>
  <c r="H160" i="2"/>
  <c r="G160" i="2"/>
  <c r="F160" i="2"/>
  <c r="E160" i="2"/>
  <c r="C160" i="2"/>
  <c r="B160" i="2"/>
  <c r="Q159" i="2"/>
  <c r="K159" i="2"/>
  <c r="H157" i="9" s="1"/>
  <c r="I159" i="2"/>
  <c r="G157" i="9" s="1"/>
  <c r="H159" i="2"/>
  <c r="G159" i="2"/>
  <c r="F159" i="2"/>
  <c r="E159" i="2"/>
  <c r="C159" i="2"/>
  <c r="B159" i="2"/>
  <c r="Q158" i="2"/>
  <c r="K158" i="2"/>
  <c r="I158" i="2"/>
  <c r="H158" i="2"/>
  <c r="G158" i="2"/>
  <c r="F158" i="2"/>
  <c r="E158" i="2"/>
  <c r="C158" i="2"/>
  <c r="B158" i="2"/>
  <c r="Q157" i="2"/>
  <c r="K157" i="2"/>
  <c r="H155" i="9" s="1"/>
  <c r="I157" i="2"/>
  <c r="G155" i="9" s="1"/>
  <c r="H157" i="2"/>
  <c r="G157" i="2"/>
  <c r="F157" i="2"/>
  <c r="E157" i="2"/>
  <c r="C157" i="2"/>
  <c r="B157" i="2"/>
  <c r="Q156" i="2"/>
  <c r="M156" i="2"/>
  <c r="K156" i="2"/>
  <c r="H154" i="9" s="1"/>
  <c r="I156" i="2"/>
  <c r="G154" i="9" s="1"/>
  <c r="H156" i="2"/>
  <c r="G156" i="2"/>
  <c r="F156" i="2"/>
  <c r="E156" i="2"/>
  <c r="C156" i="2"/>
  <c r="B156" i="2"/>
  <c r="W155" i="2"/>
  <c r="Q155" i="2"/>
  <c r="M155" i="2"/>
  <c r="K155" i="2"/>
  <c r="H153" i="9" s="1"/>
  <c r="J155" i="2"/>
  <c r="I155" i="2"/>
  <c r="G153" i="9" s="1"/>
  <c r="H155" i="2"/>
  <c r="G155" i="2"/>
  <c r="F155" i="2"/>
  <c r="E155" i="2"/>
  <c r="C155" i="2"/>
  <c r="B155" i="2"/>
  <c r="W154" i="2"/>
  <c r="Q154" i="2"/>
  <c r="M154" i="2"/>
  <c r="L154" i="2"/>
  <c r="K154" i="2"/>
  <c r="H152" i="9" s="1"/>
  <c r="I154" i="2"/>
  <c r="G152" i="9" s="1"/>
  <c r="H154" i="2"/>
  <c r="G154" i="2"/>
  <c r="F154" i="2"/>
  <c r="E154" i="2"/>
  <c r="C154" i="2"/>
  <c r="B154" i="2"/>
  <c r="Q153" i="2"/>
  <c r="M153" i="2"/>
  <c r="L153" i="2"/>
  <c r="F151" i="11" s="1"/>
  <c r="H151" i="11" s="1"/>
  <c r="K153" i="2"/>
  <c r="H151" i="9" s="1"/>
  <c r="J153" i="2"/>
  <c r="I153" i="2"/>
  <c r="G151" i="9" s="1"/>
  <c r="I151" i="9" s="1"/>
  <c r="H153" i="2"/>
  <c r="G153" i="2"/>
  <c r="F153" i="2"/>
  <c r="E153" i="2"/>
  <c r="C153" i="2"/>
  <c r="B153" i="2"/>
  <c r="W152" i="2"/>
  <c r="Q152" i="2"/>
  <c r="M152" i="2"/>
  <c r="L152" i="2"/>
  <c r="K152" i="2"/>
  <c r="H150" i="9" s="1"/>
  <c r="J152" i="2"/>
  <c r="I152" i="2"/>
  <c r="H152" i="2"/>
  <c r="G152" i="2"/>
  <c r="F152" i="2"/>
  <c r="E152" i="2"/>
  <c r="C152" i="2"/>
  <c r="B152" i="2"/>
  <c r="Q151" i="2"/>
  <c r="K151" i="2"/>
  <c r="I151" i="2"/>
  <c r="G149" i="9" s="1"/>
  <c r="H151" i="2"/>
  <c r="G151" i="2"/>
  <c r="F151" i="2"/>
  <c r="E151" i="2"/>
  <c r="C151" i="2"/>
  <c r="B151" i="2"/>
  <c r="W150" i="2"/>
  <c r="Q150" i="2"/>
  <c r="L150" i="2"/>
  <c r="K150" i="2"/>
  <c r="H148" i="9" s="1"/>
  <c r="I150" i="2"/>
  <c r="G148" i="9" s="1"/>
  <c r="H150" i="2"/>
  <c r="G150" i="2"/>
  <c r="F150" i="2"/>
  <c r="E150" i="2"/>
  <c r="C150" i="2"/>
  <c r="B150" i="2"/>
  <c r="Q149" i="2"/>
  <c r="K149" i="2"/>
  <c r="I149" i="2"/>
  <c r="G147" i="9" s="1"/>
  <c r="H149" i="2"/>
  <c r="G149" i="2"/>
  <c r="F149" i="2"/>
  <c r="E149" i="2"/>
  <c r="C149" i="2"/>
  <c r="B149" i="2"/>
  <c r="Q148" i="2"/>
  <c r="K148" i="2"/>
  <c r="J148" i="2" s="1"/>
  <c r="I148" i="2"/>
  <c r="G146" i="9" s="1"/>
  <c r="H148" i="2"/>
  <c r="G148" i="2"/>
  <c r="F148" i="2"/>
  <c r="E148" i="2"/>
  <c r="C148" i="2"/>
  <c r="B148" i="2"/>
  <c r="Q147" i="2"/>
  <c r="K147" i="2"/>
  <c r="H145" i="9" s="1"/>
  <c r="I147" i="2"/>
  <c r="G145" i="9" s="1"/>
  <c r="H147" i="2"/>
  <c r="G147" i="2"/>
  <c r="F147" i="2"/>
  <c r="E147" i="2"/>
  <c r="C147" i="2"/>
  <c r="B147" i="2"/>
  <c r="Q146" i="2"/>
  <c r="K146" i="2"/>
  <c r="H144" i="9" s="1"/>
  <c r="I146" i="2"/>
  <c r="G144" i="9" s="1"/>
  <c r="H146" i="2"/>
  <c r="G146" i="2"/>
  <c r="F146" i="2"/>
  <c r="E146" i="2"/>
  <c r="C146" i="2"/>
  <c r="B146" i="2"/>
  <c r="Q145" i="2"/>
  <c r="L145" i="2"/>
  <c r="K145" i="2"/>
  <c r="H143" i="9" s="1"/>
  <c r="J145" i="2"/>
  <c r="I145" i="2"/>
  <c r="H145" i="2"/>
  <c r="G145" i="2"/>
  <c r="F145" i="2"/>
  <c r="E145" i="2"/>
  <c r="C145" i="2"/>
  <c r="B145" i="2"/>
  <c r="W144" i="2"/>
  <c r="U144" i="2"/>
  <c r="T144" i="2"/>
  <c r="H141" i="8" s="1"/>
  <c r="S144" i="2"/>
  <c r="R144" i="2"/>
  <c r="G141" i="8" s="1"/>
  <c r="Q144" i="2"/>
  <c r="K144" i="2"/>
  <c r="J144" i="2"/>
  <c r="I144" i="2"/>
  <c r="G142" i="9" s="1"/>
  <c r="H144" i="2"/>
  <c r="G144" i="2"/>
  <c r="F144" i="2"/>
  <c r="E144" i="2"/>
  <c r="C144" i="2"/>
  <c r="B144" i="2"/>
  <c r="U143" i="2"/>
  <c r="T143" i="2"/>
  <c r="H140" i="8" s="1"/>
  <c r="Q143" i="2"/>
  <c r="K143" i="2"/>
  <c r="H141" i="9" s="1"/>
  <c r="I143" i="2"/>
  <c r="H143" i="2"/>
  <c r="G143" i="2"/>
  <c r="F143" i="2"/>
  <c r="E143" i="2"/>
  <c r="C143" i="2"/>
  <c r="B143" i="2"/>
  <c r="Q142" i="2"/>
  <c r="K142" i="2"/>
  <c r="I142" i="2"/>
  <c r="H142" i="2"/>
  <c r="G142" i="2"/>
  <c r="F142" i="2"/>
  <c r="E142" i="2"/>
  <c r="C142" i="2"/>
  <c r="B142" i="2"/>
  <c r="W141" i="2"/>
  <c r="Q141" i="2"/>
  <c r="M141" i="2"/>
  <c r="K141" i="2"/>
  <c r="H139" i="9" s="1"/>
  <c r="I141" i="2"/>
  <c r="G139" i="9" s="1"/>
  <c r="I139" i="9" s="1"/>
  <c r="H141" i="2"/>
  <c r="G141" i="2"/>
  <c r="F141" i="2"/>
  <c r="E141" i="2"/>
  <c r="C141" i="2"/>
  <c r="B141" i="2"/>
  <c r="B139" i="11" s="1"/>
  <c r="Q140" i="2"/>
  <c r="K140" i="2"/>
  <c r="H138" i="9" s="1"/>
  <c r="I140" i="2"/>
  <c r="G138" i="9" s="1"/>
  <c r="H140" i="2"/>
  <c r="G140" i="2"/>
  <c r="F140" i="2"/>
  <c r="E140" i="2"/>
  <c r="C140" i="2"/>
  <c r="B140" i="2"/>
  <c r="Q139" i="2"/>
  <c r="K139" i="2"/>
  <c r="H137" i="9" s="1"/>
  <c r="J139" i="2"/>
  <c r="I139" i="2"/>
  <c r="G137" i="9" s="1"/>
  <c r="H139" i="2"/>
  <c r="G139" i="2"/>
  <c r="F139" i="2"/>
  <c r="E139" i="2"/>
  <c r="C139" i="2"/>
  <c r="B139" i="2"/>
  <c r="W138" i="2"/>
  <c r="Q138" i="2"/>
  <c r="M138" i="2"/>
  <c r="L138" i="2"/>
  <c r="F136" i="11" s="1"/>
  <c r="K138" i="2"/>
  <c r="H136" i="9" s="1"/>
  <c r="I138" i="2"/>
  <c r="G136" i="9" s="1"/>
  <c r="H138" i="2"/>
  <c r="G138" i="2"/>
  <c r="F138" i="2"/>
  <c r="E138" i="2"/>
  <c r="C138" i="2"/>
  <c r="B138" i="2"/>
  <c r="W137" i="2"/>
  <c r="Q137" i="2"/>
  <c r="M137" i="2"/>
  <c r="L137" i="2"/>
  <c r="K137" i="2"/>
  <c r="H135" i="9" s="1"/>
  <c r="J137" i="2"/>
  <c r="I137" i="2"/>
  <c r="G135" i="9" s="1"/>
  <c r="I135" i="9" s="1"/>
  <c r="H137" i="2"/>
  <c r="G137" i="2"/>
  <c r="F137" i="2"/>
  <c r="E137" i="2"/>
  <c r="C137" i="2"/>
  <c r="B137" i="2"/>
  <c r="W136" i="2"/>
  <c r="Q136" i="2"/>
  <c r="M136" i="2"/>
  <c r="L136" i="2"/>
  <c r="K136" i="2"/>
  <c r="H134" i="9" s="1"/>
  <c r="J136" i="2"/>
  <c r="I136" i="2"/>
  <c r="H136" i="2"/>
  <c r="G136" i="2"/>
  <c r="F136" i="2"/>
  <c r="E136" i="2"/>
  <c r="C136" i="2"/>
  <c r="B136" i="2"/>
  <c r="Q135" i="2"/>
  <c r="M135" i="2"/>
  <c r="K135" i="2"/>
  <c r="L135" i="2" s="1"/>
  <c r="F133" i="11" s="1"/>
  <c r="H133" i="11" s="1"/>
  <c r="I135" i="2"/>
  <c r="G133" i="9" s="1"/>
  <c r="H135" i="2"/>
  <c r="G135" i="2"/>
  <c r="F135" i="2"/>
  <c r="E135" i="2"/>
  <c r="C135" i="2"/>
  <c r="B135" i="2"/>
  <c r="W134" i="2"/>
  <c r="Q134" i="2"/>
  <c r="L134" i="2"/>
  <c r="K134" i="2"/>
  <c r="H132" i="9" s="1"/>
  <c r="I134" i="2"/>
  <c r="G132" i="9" s="1"/>
  <c r="H134" i="2"/>
  <c r="G134" i="2"/>
  <c r="F134" i="2"/>
  <c r="E134" i="2"/>
  <c r="C134" i="2"/>
  <c r="B134" i="2"/>
  <c r="Q133" i="2"/>
  <c r="K133" i="2"/>
  <c r="U133" i="2" s="1"/>
  <c r="I133" i="2"/>
  <c r="H133" i="2"/>
  <c r="G133" i="2"/>
  <c r="F133" i="2"/>
  <c r="E133" i="2"/>
  <c r="C133" i="2"/>
  <c r="B133" i="2"/>
  <c r="T132" i="2"/>
  <c r="H129" i="8" s="1"/>
  <c r="R132" i="2"/>
  <c r="Q132" i="2"/>
  <c r="K132" i="2"/>
  <c r="J132" i="2"/>
  <c r="I132" i="2"/>
  <c r="G130" i="9" s="1"/>
  <c r="H132" i="2"/>
  <c r="G132" i="2"/>
  <c r="F132" i="2"/>
  <c r="E132" i="2"/>
  <c r="C132" i="2"/>
  <c r="B132" i="2"/>
  <c r="Q131" i="2"/>
  <c r="K131" i="2"/>
  <c r="J131" i="2" s="1"/>
  <c r="I131" i="2"/>
  <c r="G129" i="9" s="1"/>
  <c r="H131" i="2"/>
  <c r="G131" i="2"/>
  <c r="F131" i="2"/>
  <c r="E131" i="2"/>
  <c r="C131" i="2"/>
  <c r="B131" i="2"/>
  <c r="Q130" i="2"/>
  <c r="K130" i="2"/>
  <c r="J130" i="2" s="1"/>
  <c r="I130" i="2"/>
  <c r="G128" i="9" s="1"/>
  <c r="H130" i="2"/>
  <c r="G130" i="2"/>
  <c r="F130" i="2"/>
  <c r="E130" i="2"/>
  <c r="C130" i="2"/>
  <c r="B130" i="2"/>
  <c r="Q129" i="2"/>
  <c r="K129" i="2"/>
  <c r="J129" i="2" s="1"/>
  <c r="I129" i="2"/>
  <c r="H129" i="2"/>
  <c r="G129" i="2"/>
  <c r="F129" i="2"/>
  <c r="E129" i="2"/>
  <c r="C129" i="2"/>
  <c r="B129" i="2"/>
  <c r="U128" i="2"/>
  <c r="T128" i="2"/>
  <c r="H125" i="8" s="1"/>
  <c r="S128" i="2"/>
  <c r="R128" i="2"/>
  <c r="G125" i="8" s="1"/>
  <c r="Q128" i="2"/>
  <c r="K128" i="2"/>
  <c r="W128" i="2" s="1"/>
  <c r="J128" i="2"/>
  <c r="I128" i="2"/>
  <c r="G126" i="9" s="1"/>
  <c r="H128" i="2"/>
  <c r="G128" i="2"/>
  <c r="F128" i="2"/>
  <c r="E128" i="2"/>
  <c r="C128" i="2"/>
  <c r="B128" i="2"/>
  <c r="Q127" i="2"/>
  <c r="K127" i="2"/>
  <c r="J127" i="2" s="1"/>
  <c r="I127" i="2"/>
  <c r="H127" i="2"/>
  <c r="G127" i="2"/>
  <c r="E125" i="9" s="1"/>
  <c r="F127" i="2"/>
  <c r="E127" i="2"/>
  <c r="C127" i="2"/>
  <c r="B127" i="2"/>
  <c r="Q126" i="2"/>
  <c r="K126" i="2"/>
  <c r="J126" i="2" s="1"/>
  <c r="I126" i="2"/>
  <c r="H126" i="2"/>
  <c r="G126" i="2"/>
  <c r="F126" i="2"/>
  <c r="E126" i="2"/>
  <c r="C126" i="2"/>
  <c r="B126" i="2"/>
  <c r="W125" i="2"/>
  <c r="U125" i="2"/>
  <c r="S125" i="2"/>
  <c r="Q125" i="2"/>
  <c r="M125" i="2"/>
  <c r="K125" i="2"/>
  <c r="H123" i="9" s="1"/>
  <c r="J125" i="2"/>
  <c r="I125" i="2"/>
  <c r="G123" i="9" s="1"/>
  <c r="I123" i="9" s="1"/>
  <c r="H125" i="2"/>
  <c r="G125" i="2"/>
  <c r="F125" i="2"/>
  <c r="E125" i="2"/>
  <c r="C125" i="2"/>
  <c r="B125" i="2"/>
  <c r="U124" i="2"/>
  <c r="T124" i="2"/>
  <c r="H122" i="8" s="1"/>
  <c r="S124" i="2"/>
  <c r="Q124" i="2"/>
  <c r="M124" i="2"/>
  <c r="K124" i="2"/>
  <c r="H122" i="9" s="1"/>
  <c r="J124" i="2"/>
  <c r="I124" i="2"/>
  <c r="G122" i="9" s="1"/>
  <c r="I122" i="9" s="1"/>
  <c r="H124" i="2"/>
  <c r="G124" i="2"/>
  <c r="F124" i="2"/>
  <c r="E124" i="2"/>
  <c r="C124" i="2"/>
  <c r="B124" i="2"/>
  <c r="W123" i="2"/>
  <c r="Q123" i="2"/>
  <c r="M123" i="2"/>
  <c r="K123" i="2"/>
  <c r="J123" i="2"/>
  <c r="I123" i="2"/>
  <c r="H123" i="2"/>
  <c r="G123" i="2"/>
  <c r="F123" i="2"/>
  <c r="E123" i="2"/>
  <c r="C123" i="2"/>
  <c r="B123" i="2"/>
  <c r="Q122" i="2"/>
  <c r="M122" i="2"/>
  <c r="K122" i="2"/>
  <c r="H120" i="9" s="1"/>
  <c r="J122" i="2"/>
  <c r="I122" i="2"/>
  <c r="G120" i="9" s="1"/>
  <c r="H122" i="2"/>
  <c r="G122" i="2"/>
  <c r="F122" i="2"/>
  <c r="E122" i="2"/>
  <c r="C122" i="2"/>
  <c r="B122" i="2"/>
  <c r="Q121" i="2"/>
  <c r="K121" i="2"/>
  <c r="H119" i="9" s="1"/>
  <c r="J121" i="2"/>
  <c r="I121" i="2"/>
  <c r="H121" i="2"/>
  <c r="G121" i="2"/>
  <c r="F121" i="2"/>
  <c r="E121" i="2"/>
  <c r="C121" i="2"/>
  <c r="B121" i="2"/>
  <c r="Q120" i="2"/>
  <c r="M120" i="2"/>
  <c r="L120" i="2"/>
  <c r="K120" i="2"/>
  <c r="H118" i="9" s="1"/>
  <c r="J120" i="2"/>
  <c r="I120" i="2"/>
  <c r="H120" i="2"/>
  <c r="G120" i="2"/>
  <c r="F120" i="2"/>
  <c r="E120" i="2"/>
  <c r="C120" i="2"/>
  <c r="B120" i="2"/>
  <c r="Q119" i="2"/>
  <c r="K119" i="2"/>
  <c r="L119" i="2" s="1"/>
  <c r="F117" i="11" s="1"/>
  <c r="H117" i="11" s="1"/>
  <c r="I119" i="2"/>
  <c r="G117" i="9" s="1"/>
  <c r="H119" i="2"/>
  <c r="G119" i="2"/>
  <c r="F119" i="2"/>
  <c r="E119" i="2"/>
  <c r="C119" i="2"/>
  <c r="B119" i="2"/>
  <c r="W118" i="2"/>
  <c r="Q118" i="2"/>
  <c r="K118" i="2"/>
  <c r="H116" i="9" s="1"/>
  <c r="I118" i="2"/>
  <c r="G116" i="9" s="1"/>
  <c r="H118" i="2"/>
  <c r="G118" i="2"/>
  <c r="F118" i="2"/>
  <c r="E118" i="2"/>
  <c r="C118" i="2"/>
  <c r="B118" i="2"/>
  <c r="Q117" i="2"/>
  <c r="M117" i="2"/>
  <c r="L117" i="2"/>
  <c r="K117" i="2"/>
  <c r="W117" i="2" s="1"/>
  <c r="I117" i="2"/>
  <c r="H117" i="2"/>
  <c r="G117" i="2"/>
  <c r="F117" i="2"/>
  <c r="E117" i="2"/>
  <c r="C117" i="2"/>
  <c r="B117" i="2"/>
  <c r="Q116" i="2"/>
  <c r="K116" i="2"/>
  <c r="J116" i="2" s="1"/>
  <c r="I116" i="2"/>
  <c r="G114" i="9" s="1"/>
  <c r="H116" i="2"/>
  <c r="G116" i="2"/>
  <c r="F116" i="2"/>
  <c r="E116" i="2"/>
  <c r="C116" i="2"/>
  <c r="B116" i="2"/>
  <c r="W115" i="2"/>
  <c r="Q115" i="2"/>
  <c r="K115" i="2"/>
  <c r="H113" i="9" s="1"/>
  <c r="J115" i="2"/>
  <c r="I115" i="2"/>
  <c r="G113" i="9" s="1"/>
  <c r="I113" i="9" s="1"/>
  <c r="H115" i="2"/>
  <c r="G115" i="2"/>
  <c r="F115" i="2"/>
  <c r="E115" i="2"/>
  <c r="C115" i="2"/>
  <c r="B115" i="2"/>
  <c r="W114" i="2"/>
  <c r="Q114" i="2"/>
  <c r="L114" i="2"/>
  <c r="K114" i="2"/>
  <c r="J114" i="2" s="1"/>
  <c r="I114" i="2"/>
  <c r="G112" i="9" s="1"/>
  <c r="H114" i="2"/>
  <c r="G114" i="2"/>
  <c r="F114" i="2"/>
  <c r="E114" i="2"/>
  <c r="C114" i="2"/>
  <c r="B114" i="2"/>
  <c r="Q113" i="2"/>
  <c r="L113" i="2"/>
  <c r="K113" i="2"/>
  <c r="J113" i="2" s="1"/>
  <c r="I113" i="2"/>
  <c r="H113" i="2"/>
  <c r="G113" i="2"/>
  <c r="F113" i="2"/>
  <c r="E113" i="2"/>
  <c r="C113" i="2"/>
  <c r="B113" i="2"/>
  <c r="W112" i="2"/>
  <c r="Q112" i="2"/>
  <c r="K112" i="2"/>
  <c r="H110" i="9" s="1"/>
  <c r="J112" i="2"/>
  <c r="I112" i="2"/>
  <c r="G110" i="9" s="1"/>
  <c r="H112" i="2"/>
  <c r="G112" i="2"/>
  <c r="F112" i="2"/>
  <c r="E112" i="2"/>
  <c r="C112" i="2"/>
  <c r="B112" i="2"/>
  <c r="W111" i="2"/>
  <c r="Q111" i="2"/>
  <c r="M111" i="2"/>
  <c r="K111" i="2"/>
  <c r="J111" i="2" s="1"/>
  <c r="I111" i="2"/>
  <c r="H111" i="2"/>
  <c r="G111" i="2"/>
  <c r="F111" i="2"/>
  <c r="E111" i="2"/>
  <c r="C111" i="2"/>
  <c r="B111" i="2"/>
  <c r="Q110" i="2"/>
  <c r="L110" i="2"/>
  <c r="K110" i="2"/>
  <c r="J110" i="2" s="1"/>
  <c r="I110" i="2"/>
  <c r="H110" i="2"/>
  <c r="G110" i="2"/>
  <c r="F110" i="2"/>
  <c r="E110" i="2"/>
  <c r="C110" i="2"/>
  <c r="B110" i="2"/>
  <c r="S109" i="2"/>
  <c r="Q109" i="2"/>
  <c r="K109" i="2"/>
  <c r="H108" i="9" s="1"/>
  <c r="I109" i="2"/>
  <c r="T109" i="2" s="1"/>
  <c r="H108" i="8" s="1"/>
  <c r="H109" i="2"/>
  <c r="G109" i="2"/>
  <c r="F109" i="2"/>
  <c r="E109" i="2"/>
  <c r="C109" i="2"/>
  <c r="B109" i="2"/>
  <c r="Q108" i="2"/>
  <c r="K108" i="2"/>
  <c r="U108" i="2" s="1"/>
  <c r="I108" i="2"/>
  <c r="G107" i="9" s="1"/>
  <c r="H108" i="2"/>
  <c r="G108" i="2"/>
  <c r="F108" i="2"/>
  <c r="E108" i="2"/>
  <c r="C108" i="2"/>
  <c r="B108" i="2"/>
  <c r="Q107" i="2"/>
  <c r="K107" i="2"/>
  <c r="J107" i="2" s="1"/>
  <c r="I107" i="2"/>
  <c r="R107" i="2" s="1"/>
  <c r="H107" i="2"/>
  <c r="G107" i="2"/>
  <c r="F107" i="2"/>
  <c r="E107" i="2"/>
  <c r="C107" i="2"/>
  <c r="B107" i="2"/>
  <c r="U106" i="2"/>
  <c r="Q106" i="2"/>
  <c r="L106" i="2"/>
  <c r="K106" i="2"/>
  <c r="S106" i="2" s="1"/>
  <c r="J106" i="2"/>
  <c r="I106" i="2"/>
  <c r="G105" i="9" s="1"/>
  <c r="H106" i="2"/>
  <c r="G106" i="2"/>
  <c r="F106" i="2"/>
  <c r="E106" i="2"/>
  <c r="C106" i="2"/>
  <c r="B106" i="2"/>
  <c r="W105" i="2"/>
  <c r="Q105" i="2"/>
  <c r="M105" i="2"/>
  <c r="K105" i="2"/>
  <c r="H104" i="9" s="1"/>
  <c r="I105" i="2"/>
  <c r="G104" i="9" s="1"/>
  <c r="H105" i="2"/>
  <c r="G105" i="2"/>
  <c r="F105" i="2"/>
  <c r="E105" i="2"/>
  <c r="C105" i="2"/>
  <c r="B105" i="2"/>
  <c r="Q104" i="2"/>
  <c r="K104" i="2"/>
  <c r="H103" i="9" s="1"/>
  <c r="I104" i="2"/>
  <c r="H104" i="2"/>
  <c r="G104" i="2"/>
  <c r="F104" i="2"/>
  <c r="E104" i="2"/>
  <c r="C104" i="2"/>
  <c r="B104" i="2"/>
  <c r="Q103" i="2"/>
  <c r="K103" i="2"/>
  <c r="I103" i="2"/>
  <c r="G102" i="9" s="1"/>
  <c r="H103" i="2"/>
  <c r="G103" i="2"/>
  <c r="F103" i="2"/>
  <c r="E103" i="2"/>
  <c r="C103" i="2"/>
  <c r="B103" i="2"/>
  <c r="Q102" i="2"/>
  <c r="L102" i="2"/>
  <c r="F101" i="11" s="1"/>
  <c r="H101" i="11" s="1"/>
  <c r="K102" i="2"/>
  <c r="I102" i="2"/>
  <c r="G101" i="9" s="1"/>
  <c r="H102" i="2"/>
  <c r="G102" i="2"/>
  <c r="F102" i="2"/>
  <c r="E102" i="2"/>
  <c r="C102" i="2"/>
  <c r="B102" i="2"/>
  <c r="Q101" i="2"/>
  <c r="M101" i="2"/>
  <c r="K101" i="2"/>
  <c r="J101" i="2" s="1"/>
  <c r="I101" i="2"/>
  <c r="H101" i="2"/>
  <c r="G101" i="2"/>
  <c r="F101" i="2"/>
  <c r="E101" i="2"/>
  <c r="C101" i="2"/>
  <c r="B101" i="2"/>
  <c r="Q100" i="2"/>
  <c r="M100" i="2"/>
  <c r="L100" i="2"/>
  <c r="K100" i="2"/>
  <c r="J100" i="2" s="1"/>
  <c r="I100" i="2"/>
  <c r="G99" i="9" s="1"/>
  <c r="H100" i="2"/>
  <c r="G100" i="2"/>
  <c r="F100" i="2"/>
  <c r="E100" i="2"/>
  <c r="C100" i="2"/>
  <c r="B100" i="2"/>
  <c r="Q99" i="2"/>
  <c r="K99" i="2"/>
  <c r="J99" i="2" s="1"/>
  <c r="I99" i="2"/>
  <c r="G98" i="9" s="1"/>
  <c r="H99" i="2"/>
  <c r="G99" i="2"/>
  <c r="F99" i="2"/>
  <c r="E99" i="2"/>
  <c r="C99" i="2"/>
  <c r="B99" i="2"/>
  <c r="W98" i="2"/>
  <c r="Q98" i="2"/>
  <c r="K98" i="2"/>
  <c r="M98" i="2" s="1"/>
  <c r="J98" i="2"/>
  <c r="I98" i="2"/>
  <c r="H98" i="2"/>
  <c r="G98" i="2"/>
  <c r="F98" i="2"/>
  <c r="E98" i="2"/>
  <c r="C98" i="2"/>
  <c r="B98" i="2"/>
  <c r="Q97" i="2"/>
  <c r="M97" i="2"/>
  <c r="K97" i="2"/>
  <c r="L97" i="2" s="1"/>
  <c r="F96" i="11" s="1"/>
  <c r="H96" i="11" s="1"/>
  <c r="J97" i="2"/>
  <c r="I97" i="2"/>
  <c r="H97" i="2"/>
  <c r="G97" i="2"/>
  <c r="F97" i="2"/>
  <c r="E97" i="2"/>
  <c r="C97" i="2"/>
  <c r="B97" i="2"/>
  <c r="W96" i="2"/>
  <c r="Q96" i="2"/>
  <c r="K96" i="2"/>
  <c r="H95" i="9" s="1"/>
  <c r="J96" i="2"/>
  <c r="I96" i="2"/>
  <c r="G95" i="9" s="1"/>
  <c r="I95" i="9" s="1"/>
  <c r="H96" i="2"/>
  <c r="G96" i="2"/>
  <c r="F96" i="2"/>
  <c r="E96" i="2"/>
  <c r="C96" i="2"/>
  <c r="B96" i="2"/>
  <c r="Q95" i="2"/>
  <c r="K95" i="2"/>
  <c r="H94" i="9" s="1"/>
  <c r="I95" i="2"/>
  <c r="H95" i="2"/>
  <c r="G95" i="2"/>
  <c r="F95" i="2"/>
  <c r="E95" i="2"/>
  <c r="C95" i="2"/>
  <c r="B95" i="2"/>
  <c r="Q94" i="2"/>
  <c r="K94" i="2"/>
  <c r="J94" i="2" s="1"/>
  <c r="I94" i="2"/>
  <c r="G93" i="9" s="1"/>
  <c r="H94" i="2"/>
  <c r="G94" i="2"/>
  <c r="F94" i="2"/>
  <c r="E94" i="2"/>
  <c r="C94" i="2"/>
  <c r="B94" i="2"/>
  <c r="W93" i="2"/>
  <c r="T93" i="2"/>
  <c r="H92" i="8" s="1"/>
  <c r="Q93" i="2"/>
  <c r="K93" i="2"/>
  <c r="H92" i="9" s="1"/>
  <c r="J93" i="2"/>
  <c r="I93" i="2"/>
  <c r="G92" i="9" s="1"/>
  <c r="I92" i="9" s="1"/>
  <c r="H93" i="2"/>
  <c r="G93" i="2"/>
  <c r="F93" i="2"/>
  <c r="E93" i="2"/>
  <c r="C93" i="2"/>
  <c r="B93" i="2"/>
  <c r="W92" i="2"/>
  <c r="T92" i="2"/>
  <c r="H91" i="8" s="1"/>
  <c r="Q92" i="2"/>
  <c r="K92" i="2"/>
  <c r="H91" i="9" s="1"/>
  <c r="I92" i="2"/>
  <c r="G91" i="9" s="1"/>
  <c r="I91" i="9" s="1"/>
  <c r="H92" i="2"/>
  <c r="G92" i="2"/>
  <c r="F92" i="2"/>
  <c r="E92" i="2"/>
  <c r="C92" i="2"/>
  <c r="B92" i="2"/>
  <c r="T91" i="2"/>
  <c r="H90" i="8" s="1"/>
  <c r="Q91" i="2"/>
  <c r="K91" i="2"/>
  <c r="H90" i="9" s="1"/>
  <c r="I91" i="2"/>
  <c r="G90" i="9" s="1"/>
  <c r="I90" i="9" s="1"/>
  <c r="H91" i="2"/>
  <c r="G91" i="2"/>
  <c r="F91" i="2"/>
  <c r="E91" i="2"/>
  <c r="C91" i="2"/>
  <c r="B91" i="2"/>
  <c r="Q90" i="2"/>
  <c r="M90" i="2"/>
  <c r="L90" i="2"/>
  <c r="F89" i="11" s="1"/>
  <c r="H89" i="11" s="1"/>
  <c r="K90" i="2"/>
  <c r="H89" i="9" s="1"/>
  <c r="J90" i="2"/>
  <c r="I90" i="2"/>
  <c r="G89" i="9" s="1"/>
  <c r="I89" i="9" s="1"/>
  <c r="H90" i="2"/>
  <c r="G90" i="2"/>
  <c r="F90" i="2"/>
  <c r="E90" i="2"/>
  <c r="C90" i="2"/>
  <c r="B90" i="2"/>
  <c r="Q89" i="2"/>
  <c r="M89" i="2"/>
  <c r="L89" i="2"/>
  <c r="K89" i="2"/>
  <c r="H88" i="9" s="1"/>
  <c r="I89" i="2"/>
  <c r="H89" i="2"/>
  <c r="G89" i="2"/>
  <c r="F89" i="2"/>
  <c r="E89" i="2"/>
  <c r="C89" i="2"/>
  <c r="B89" i="2"/>
  <c r="Q88" i="2"/>
  <c r="L88" i="2"/>
  <c r="K88" i="2"/>
  <c r="W88" i="2" s="1"/>
  <c r="J88" i="2"/>
  <c r="I88" i="2"/>
  <c r="G87" i="9" s="1"/>
  <c r="H88" i="2"/>
  <c r="G88" i="2"/>
  <c r="F88" i="2"/>
  <c r="E88" i="2"/>
  <c r="C88" i="2"/>
  <c r="B88" i="2"/>
  <c r="Q87" i="2"/>
  <c r="M87" i="2"/>
  <c r="K87" i="2"/>
  <c r="W87" i="2" s="1"/>
  <c r="I87" i="2"/>
  <c r="G86" i="9" s="1"/>
  <c r="H87" i="2"/>
  <c r="G87" i="2"/>
  <c r="F87" i="2"/>
  <c r="E87" i="2"/>
  <c r="C87" i="2"/>
  <c r="B87" i="2"/>
  <c r="W86" i="2"/>
  <c r="Q86" i="2"/>
  <c r="K86" i="2"/>
  <c r="H85" i="9" s="1"/>
  <c r="J86" i="2"/>
  <c r="I86" i="2"/>
  <c r="G85" i="9" s="1"/>
  <c r="I85" i="9" s="1"/>
  <c r="H86" i="2"/>
  <c r="G86" i="2"/>
  <c r="F86" i="2"/>
  <c r="E86" i="2"/>
  <c r="C86" i="2"/>
  <c r="B86" i="2"/>
  <c r="Q85" i="2"/>
  <c r="L85" i="2"/>
  <c r="F84" i="11" s="1"/>
  <c r="H84" i="11" s="1"/>
  <c r="K85" i="2"/>
  <c r="I85" i="2"/>
  <c r="G84" i="9" s="1"/>
  <c r="H85" i="2"/>
  <c r="G85" i="2"/>
  <c r="F85" i="2"/>
  <c r="E85" i="2"/>
  <c r="C85" i="2"/>
  <c r="B85" i="2"/>
  <c r="Q84" i="2"/>
  <c r="K84" i="2"/>
  <c r="H83" i="9" s="1"/>
  <c r="I84" i="2"/>
  <c r="G83" i="9" s="1"/>
  <c r="H84" i="2"/>
  <c r="G84" i="2"/>
  <c r="F84" i="2"/>
  <c r="E84" i="2"/>
  <c r="C84" i="2"/>
  <c r="B84" i="2"/>
  <c r="W83" i="2"/>
  <c r="Q83" i="2"/>
  <c r="M83" i="2"/>
  <c r="K83" i="2"/>
  <c r="H82" i="9" s="1"/>
  <c r="I83" i="2"/>
  <c r="G82" i="9" s="1"/>
  <c r="I82" i="9" s="1"/>
  <c r="H83" i="2"/>
  <c r="G83" i="2"/>
  <c r="F83" i="2"/>
  <c r="E83" i="2"/>
  <c r="C83" i="2"/>
  <c r="B83" i="2"/>
  <c r="Q82" i="2"/>
  <c r="K82" i="2"/>
  <c r="J82" i="2"/>
  <c r="I82" i="2"/>
  <c r="G81" i="9" s="1"/>
  <c r="H82" i="2"/>
  <c r="G82" i="2"/>
  <c r="F82" i="2"/>
  <c r="E82" i="2"/>
  <c r="C82" i="2"/>
  <c r="B82" i="2"/>
  <c r="W81" i="2"/>
  <c r="Q81" i="2"/>
  <c r="K81" i="2"/>
  <c r="H80" i="9" s="1"/>
  <c r="J81" i="2"/>
  <c r="I81" i="2"/>
  <c r="G80" i="9" s="1"/>
  <c r="H81" i="2"/>
  <c r="G81" i="2"/>
  <c r="F81" i="2"/>
  <c r="E81" i="2"/>
  <c r="C81" i="2"/>
  <c r="B81" i="2"/>
  <c r="Q80" i="2"/>
  <c r="K80" i="2"/>
  <c r="W80" i="2" s="1"/>
  <c r="J80" i="2"/>
  <c r="I80" i="2"/>
  <c r="G79" i="9" s="1"/>
  <c r="H80" i="2"/>
  <c r="G80" i="2"/>
  <c r="F80" i="2"/>
  <c r="E80" i="2"/>
  <c r="C80" i="2"/>
  <c r="B80" i="2"/>
  <c r="Q79" i="2"/>
  <c r="K79" i="2"/>
  <c r="H78" i="9" s="1"/>
  <c r="I79" i="2"/>
  <c r="H79" i="2"/>
  <c r="G79" i="2"/>
  <c r="F79" i="2"/>
  <c r="E79" i="2"/>
  <c r="C79" i="2"/>
  <c r="B79" i="2"/>
  <c r="B78" i="11" s="1"/>
  <c r="Q78" i="2"/>
  <c r="K78" i="2"/>
  <c r="H77" i="9" s="1"/>
  <c r="I78" i="2"/>
  <c r="G77" i="9" s="1"/>
  <c r="H78" i="2"/>
  <c r="G78" i="2"/>
  <c r="F78" i="2"/>
  <c r="E78" i="2"/>
  <c r="C78" i="2"/>
  <c r="B78" i="2"/>
  <c r="W77" i="2"/>
  <c r="Q77" i="2"/>
  <c r="K77" i="2"/>
  <c r="H76" i="9" s="1"/>
  <c r="I77" i="2"/>
  <c r="G76" i="9" s="1"/>
  <c r="H77" i="2"/>
  <c r="G77" i="2"/>
  <c r="F77" i="2"/>
  <c r="E77" i="2"/>
  <c r="C77" i="2"/>
  <c r="B77" i="2"/>
  <c r="W76" i="2"/>
  <c r="Q76" i="2"/>
  <c r="K76" i="2"/>
  <c r="H75" i="9" s="1"/>
  <c r="I76" i="2"/>
  <c r="H76" i="2"/>
  <c r="G76" i="2"/>
  <c r="F76" i="2"/>
  <c r="E76" i="2"/>
  <c r="C76" i="2"/>
  <c r="B76" i="2"/>
  <c r="Q75" i="2"/>
  <c r="M75" i="2"/>
  <c r="L75" i="2"/>
  <c r="K75" i="2"/>
  <c r="W75" i="2" s="1"/>
  <c r="J75" i="2"/>
  <c r="I75" i="2"/>
  <c r="G74" i="9" s="1"/>
  <c r="H75" i="2"/>
  <c r="G75" i="2"/>
  <c r="F75" i="2"/>
  <c r="E75" i="2"/>
  <c r="C75" i="2"/>
  <c r="B75" i="2"/>
  <c r="Q74" i="2"/>
  <c r="M74" i="2"/>
  <c r="K74" i="2"/>
  <c r="W74" i="2" s="1"/>
  <c r="I74" i="2"/>
  <c r="G73" i="9" s="1"/>
  <c r="H74" i="2"/>
  <c r="G74" i="2"/>
  <c r="F74" i="2"/>
  <c r="E74" i="2"/>
  <c r="C74" i="2"/>
  <c r="B74" i="2"/>
  <c r="Q73" i="2"/>
  <c r="K73" i="2"/>
  <c r="J73" i="2" s="1"/>
  <c r="I73" i="2"/>
  <c r="G72" i="9" s="1"/>
  <c r="H73" i="2"/>
  <c r="G73" i="2"/>
  <c r="F73" i="2"/>
  <c r="E73" i="2"/>
  <c r="C73" i="2"/>
  <c r="B73" i="2"/>
  <c r="W72" i="2"/>
  <c r="Q72" i="2"/>
  <c r="K72" i="2"/>
  <c r="H71" i="9" s="1"/>
  <c r="I72" i="2"/>
  <c r="G71" i="9" s="1"/>
  <c r="H72" i="2"/>
  <c r="G72" i="2"/>
  <c r="F72" i="2"/>
  <c r="E72" i="2"/>
  <c r="C72" i="2"/>
  <c r="B72" i="2"/>
  <c r="Q71" i="2"/>
  <c r="M71" i="2"/>
  <c r="L71" i="2"/>
  <c r="K71" i="2"/>
  <c r="H70" i="9" s="1"/>
  <c r="J71" i="2"/>
  <c r="I71" i="2"/>
  <c r="G70" i="9" s="1"/>
  <c r="I70" i="9" s="1"/>
  <c r="H71" i="2"/>
  <c r="G71" i="2"/>
  <c r="F71" i="2"/>
  <c r="E71" i="2"/>
  <c r="C71" i="2"/>
  <c r="B71" i="2"/>
  <c r="W70" i="2"/>
  <c r="Q70" i="2"/>
  <c r="K70" i="2"/>
  <c r="H69" i="9" s="1"/>
  <c r="J70" i="2"/>
  <c r="I70" i="2"/>
  <c r="G69" i="9" s="1"/>
  <c r="I69" i="9" s="1"/>
  <c r="H70" i="2"/>
  <c r="G70" i="2"/>
  <c r="F70" i="2"/>
  <c r="E70" i="2"/>
  <c r="C70" i="2"/>
  <c r="B70" i="2"/>
  <c r="Q69" i="2"/>
  <c r="L69" i="2"/>
  <c r="K69" i="2"/>
  <c r="I69" i="2"/>
  <c r="G68" i="9" s="1"/>
  <c r="H69" i="2"/>
  <c r="G69" i="2"/>
  <c r="F69" i="2"/>
  <c r="E69" i="2"/>
  <c r="C69" i="2"/>
  <c r="B69" i="2"/>
  <c r="T68" i="2"/>
  <c r="H67" i="8" s="1"/>
  <c r="R68" i="2"/>
  <c r="G67" i="8" s="1"/>
  <c r="Q68" i="2"/>
  <c r="K68" i="2"/>
  <c r="J68" i="2" s="1"/>
  <c r="I68" i="2"/>
  <c r="G67" i="9" s="1"/>
  <c r="H68" i="2"/>
  <c r="G68" i="2"/>
  <c r="F68" i="2"/>
  <c r="E68" i="2"/>
  <c r="C68" i="2"/>
  <c r="B68" i="2"/>
  <c r="W67" i="2"/>
  <c r="U67" i="2"/>
  <c r="Q67" i="2"/>
  <c r="M67" i="2"/>
  <c r="K67" i="2"/>
  <c r="H66" i="9" s="1"/>
  <c r="J67" i="2"/>
  <c r="I67" i="2"/>
  <c r="H67" i="2"/>
  <c r="G67" i="2"/>
  <c r="F67" i="2"/>
  <c r="E67" i="2"/>
  <c r="C67" i="2"/>
  <c r="B67" i="2"/>
  <c r="Q66" i="2"/>
  <c r="K66" i="2"/>
  <c r="J66" i="2"/>
  <c r="I66" i="2"/>
  <c r="G65" i="9" s="1"/>
  <c r="H66" i="2"/>
  <c r="G66" i="2"/>
  <c r="F66" i="2"/>
  <c r="E66" i="2"/>
  <c r="C66" i="2"/>
  <c r="B66" i="2"/>
  <c r="W65" i="2"/>
  <c r="S65" i="2"/>
  <c r="R65" i="2"/>
  <c r="G64" i="8" s="1"/>
  <c r="Q65" i="2"/>
  <c r="O65" i="2"/>
  <c r="K65" i="2"/>
  <c r="H64" i="9" s="1"/>
  <c r="J65" i="2"/>
  <c r="I65" i="2"/>
  <c r="G64" i="9" s="1"/>
  <c r="I64" i="9" s="1"/>
  <c r="H65" i="2"/>
  <c r="G65" i="2"/>
  <c r="F65" i="2"/>
  <c r="E65" i="2"/>
  <c r="C65" i="2"/>
  <c r="B65" i="2"/>
  <c r="W64" i="2"/>
  <c r="U64" i="2"/>
  <c r="T64" i="2"/>
  <c r="H63" i="8" s="1"/>
  <c r="R64" i="2"/>
  <c r="G63" i="8" s="1"/>
  <c r="Q64" i="2"/>
  <c r="K64" i="2"/>
  <c r="H63" i="9" s="1"/>
  <c r="J64" i="2"/>
  <c r="I64" i="2"/>
  <c r="G63" i="9" s="1"/>
  <c r="I63" i="9" s="1"/>
  <c r="H64" i="2"/>
  <c r="G64" i="2"/>
  <c r="F64" i="2"/>
  <c r="E64" i="2"/>
  <c r="C64" i="2"/>
  <c r="B64" i="2"/>
  <c r="Q63" i="2"/>
  <c r="K63" i="2"/>
  <c r="H62" i="9" s="1"/>
  <c r="I63" i="2"/>
  <c r="H63" i="2"/>
  <c r="G63" i="2"/>
  <c r="F63" i="2"/>
  <c r="E63" i="2"/>
  <c r="C63" i="2"/>
  <c r="B63" i="2"/>
  <c r="B62" i="11" s="1"/>
  <c r="R62" i="2"/>
  <c r="Q62" i="2"/>
  <c r="K62" i="2"/>
  <c r="U62" i="2" s="1"/>
  <c r="I62" i="2"/>
  <c r="G61" i="9" s="1"/>
  <c r="H62" i="2"/>
  <c r="G62" i="2"/>
  <c r="F62" i="2"/>
  <c r="E62" i="2"/>
  <c r="C62" i="2"/>
  <c r="B62" i="2"/>
  <c r="W61" i="2"/>
  <c r="Q61" i="2"/>
  <c r="K61" i="2"/>
  <c r="H60" i="9" s="1"/>
  <c r="I61" i="2"/>
  <c r="G60" i="9" s="1"/>
  <c r="H61" i="2"/>
  <c r="G61" i="2"/>
  <c r="F61" i="2"/>
  <c r="E61" i="2"/>
  <c r="C61" i="2"/>
  <c r="B61" i="2"/>
  <c r="Q60" i="2"/>
  <c r="L60" i="2"/>
  <c r="K60" i="2"/>
  <c r="H59" i="9" s="1"/>
  <c r="I60" i="2"/>
  <c r="H60" i="2"/>
  <c r="G60" i="2"/>
  <c r="F60" i="2"/>
  <c r="E60" i="2"/>
  <c r="C60" i="2"/>
  <c r="B60" i="2"/>
  <c r="U59" i="2"/>
  <c r="Q59" i="2"/>
  <c r="L59" i="2"/>
  <c r="F58" i="11" s="1"/>
  <c r="H58" i="11" s="1"/>
  <c r="K59" i="2"/>
  <c r="H58" i="9" s="1"/>
  <c r="I59" i="2"/>
  <c r="G58" i="9" s="1"/>
  <c r="H59" i="2"/>
  <c r="G59" i="2"/>
  <c r="F59" i="2"/>
  <c r="E59" i="2"/>
  <c r="C59" i="2"/>
  <c r="B59" i="2"/>
  <c r="V58" i="2"/>
  <c r="T58" i="2"/>
  <c r="H57" i="8" s="1"/>
  <c r="S58" i="2"/>
  <c r="R58" i="2"/>
  <c r="Q58" i="2"/>
  <c r="K58" i="2"/>
  <c r="H57" i="9" s="1"/>
  <c r="I58" i="2"/>
  <c r="G57" i="9" s="1"/>
  <c r="I57" i="9" s="1"/>
  <c r="H58" i="2"/>
  <c r="G58" i="2"/>
  <c r="F58" i="2"/>
  <c r="E58" i="2"/>
  <c r="C58" i="2"/>
  <c r="B58" i="2"/>
  <c r="W57" i="2"/>
  <c r="Q57" i="2"/>
  <c r="K57" i="2"/>
  <c r="I57" i="2"/>
  <c r="G56" i="9" s="1"/>
  <c r="I56" i="9" s="1"/>
  <c r="H57" i="2"/>
  <c r="G57" i="2"/>
  <c r="F57" i="2"/>
  <c r="E57" i="2"/>
  <c r="C57" i="2"/>
  <c r="B57" i="2"/>
  <c r="Q56" i="2"/>
  <c r="M56" i="2"/>
  <c r="L56" i="2"/>
  <c r="F55" i="11" s="1"/>
  <c r="H55" i="11" s="1"/>
  <c r="K56" i="2"/>
  <c r="H55" i="9" s="1"/>
  <c r="I56" i="2"/>
  <c r="G55" i="9" s="1"/>
  <c r="I55" i="9" s="1"/>
  <c r="H56" i="2"/>
  <c r="G56" i="2"/>
  <c r="F56" i="2"/>
  <c r="E56" i="2"/>
  <c r="C56" i="2"/>
  <c r="B56" i="2"/>
  <c r="R55" i="2"/>
  <c r="Q55" i="2"/>
  <c r="K55" i="2"/>
  <c r="H54" i="9" s="1"/>
  <c r="J55" i="2"/>
  <c r="I55" i="2"/>
  <c r="G54" i="9" s="1"/>
  <c r="I54" i="9" s="1"/>
  <c r="H55" i="2"/>
  <c r="G55" i="2"/>
  <c r="F55" i="2"/>
  <c r="E55" i="2"/>
  <c r="C55" i="2"/>
  <c r="B55" i="2"/>
  <c r="B54" i="11" s="1"/>
  <c r="W54" i="2"/>
  <c r="U54" i="2"/>
  <c r="S54" i="2"/>
  <c r="Q54" i="2"/>
  <c r="K54" i="2"/>
  <c r="H53" i="9" s="1"/>
  <c r="J54" i="2"/>
  <c r="I54" i="2"/>
  <c r="G53" i="9" s="1"/>
  <c r="I53" i="9" s="1"/>
  <c r="H54" i="2"/>
  <c r="G54" i="2"/>
  <c r="F54" i="2"/>
  <c r="E54" i="2"/>
  <c r="C54" i="2"/>
  <c r="B54" i="2"/>
  <c r="T53" i="2"/>
  <c r="H52" i="8" s="1"/>
  <c r="Q53" i="2"/>
  <c r="K53" i="2"/>
  <c r="S53" i="2" s="1"/>
  <c r="I53" i="2"/>
  <c r="G52" i="9" s="1"/>
  <c r="I52" i="9" s="1"/>
  <c r="H53" i="2"/>
  <c r="G53" i="2"/>
  <c r="F53" i="2"/>
  <c r="E53" i="2"/>
  <c r="C53" i="2"/>
  <c r="B53" i="2"/>
  <c r="R52" i="2"/>
  <c r="G51" i="8" s="1"/>
  <c r="Q52" i="2"/>
  <c r="L52" i="2"/>
  <c r="K52" i="2"/>
  <c r="H51" i="9" s="1"/>
  <c r="I52" i="2"/>
  <c r="G51" i="9" s="1"/>
  <c r="I51" i="9" s="1"/>
  <c r="H52" i="2"/>
  <c r="G52" i="2"/>
  <c r="F52" i="2"/>
  <c r="E52" i="2"/>
  <c r="C52" i="2"/>
  <c r="B52" i="2"/>
  <c r="Q51" i="2"/>
  <c r="M51" i="2"/>
  <c r="K51" i="2"/>
  <c r="H50" i="9" s="1"/>
  <c r="J51" i="2"/>
  <c r="I51" i="2"/>
  <c r="H51" i="2"/>
  <c r="G51" i="2"/>
  <c r="F51" i="2"/>
  <c r="E51" i="2"/>
  <c r="C51" i="2"/>
  <c r="B51" i="2"/>
  <c r="Q50" i="2"/>
  <c r="K50" i="2"/>
  <c r="J50" i="2" s="1"/>
  <c r="I50" i="2"/>
  <c r="G49" i="9" s="1"/>
  <c r="H50" i="2"/>
  <c r="G50" i="2"/>
  <c r="F50" i="2"/>
  <c r="E50" i="2"/>
  <c r="C50" i="2"/>
  <c r="B50" i="2"/>
  <c r="B49" i="11" s="1"/>
  <c r="W49" i="2"/>
  <c r="Q49" i="2"/>
  <c r="K49" i="2"/>
  <c r="H48" i="9" s="1"/>
  <c r="I49" i="2"/>
  <c r="G48" i="9" s="1"/>
  <c r="H49" i="2"/>
  <c r="G49" i="2"/>
  <c r="F49" i="2"/>
  <c r="E49" i="2"/>
  <c r="C49" i="2"/>
  <c r="B49" i="2"/>
  <c r="Q48" i="2"/>
  <c r="M48" i="2"/>
  <c r="K48" i="2"/>
  <c r="H47" i="9" s="1"/>
  <c r="J48" i="2"/>
  <c r="I48" i="2"/>
  <c r="G47" i="9" s="1"/>
  <c r="H48" i="2"/>
  <c r="G48" i="2"/>
  <c r="F48" i="2"/>
  <c r="E48" i="2"/>
  <c r="C48" i="2"/>
  <c r="B48" i="2"/>
  <c r="Q47" i="2"/>
  <c r="K47" i="2"/>
  <c r="H46" i="9" s="1"/>
  <c r="I47" i="2"/>
  <c r="H47" i="2"/>
  <c r="G47" i="2"/>
  <c r="F47" i="2"/>
  <c r="E47" i="2"/>
  <c r="C47" i="2"/>
  <c r="B47" i="2"/>
  <c r="Q46" i="2"/>
  <c r="M46" i="2"/>
  <c r="K46" i="2"/>
  <c r="H45" i="9" s="1"/>
  <c r="J46" i="2"/>
  <c r="I46" i="2"/>
  <c r="G45" i="9" s="1"/>
  <c r="H46" i="2"/>
  <c r="G46" i="2"/>
  <c r="F46" i="2"/>
  <c r="E46" i="2"/>
  <c r="C46" i="2"/>
  <c r="B46" i="2"/>
  <c r="W45" i="2"/>
  <c r="Q45" i="2"/>
  <c r="K45" i="2"/>
  <c r="I45" i="2"/>
  <c r="G44" i="9" s="1"/>
  <c r="H45" i="2"/>
  <c r="G45" i="2"/>
  <c r="F45" i="2"/>
  <c r="E45" i="2"/>
  <c r="C45" i="2"/>
  <c r="B45" i="2"/>
  <c r="Q44" i="2"/>
  <c r="K44" i="2"/>
  <c r="H43" i="9" s="1"/>
  <c r="I44" i="2"/>
  <c r="H44" i="2"/>
  <c r="G44" i="2"/>
  <c r="F44" i="2"/>
  <c r="E44" i="2"/>
  <c r="C44" i="2"/>
  <c r="B44" i="2"/>
  <c r="U43" i="2"/>
  <c r="Q43" i="2"/>
  <c r="M43" i="2"/>
  <c r="K43" i="2"/>
  <c r="J43" i="2" s="1"/>
  <c r="I43" i="2"/>
  <c r="H43" i="2"/>
  <c r="G43" i="2"/>
  <c r="F43" i="2"/>
  <c r="E43" i="2"/>
  <c r="C43" i="2"/>
  <c r="B43" i="2"/>
  <c r="Q42" i="2"/>
  <c r="K42" i="2"/>
  <c r="H41" i="9" s="1"/>
  <c r="I42" i="2"/>
  <c r="G41" i="9" s="1"/>
  <c r="H42" i="2"/>
  <c r="G42" i="2"/>
  <c r="F42" i="2"/>
  <c r="E42" i="2"/>
  <c r="C42" i="2"/>
  <c r="B42" i="2"/>
  <c r="Q41" i="2"/>
  <c r="K41" i="2"/>
  <c r="W41" i="2" s="1"/>
  <c r="I41" i="2"/>
  <c r="G40" i="9" s="1"/>
  <c r="H41" i="2"/>
  <c r="G41" i="2"/>
  <c r="F41" i="2"/>
  <c r="E41" i="2"/>
  <c r="C41" i="2"/>
  <c r="B41" i="2"/>
  <c r="W40" i="2"/>
  <c r="Q40" i="2"/>
  <c r="M40" i="2"/>
  <c r="K40" i="2"/>
  <c r="H39" i="9" s="1"/>
  <c r="I40" i="2"/>
  <c r="G39" i="9" s="1"/>
  <c r="H40" i="2"/>
  <c r="G40" i="2"/>
  <c r="F40" i="2"/>
  <c r="E40" i="2"/>
  <c r="C40" i="2"/>
  <c r="B40" i="2"/>
  <c r="Q39" i="2"/>
  <c r="L39" i="2"/>
  <c r="F38" i="11" s="1"/>
  <c r="H38" i="11" s="1"/>
  <c r="K39" i="2"/>
  <c r="H38" i="9" s="1"/>
  <c r="I39" i="2"/>
  <c r="H39" i="2"/>
  <c r="G39" i="2"/>
  <c r="F39" i="2"/>
  <c r="E39" i="2"/>
  <c r="C39" i="2"/>
  <c r="B39" i="2"/>
  <c r="B38" i="11" s="1"/>
  <c r="Q38" i="2"/>
  <c r="K38" i="2"/>
  <c r="H37" i="9" s="1"/>
  <c r="I38" i="2"/>
  <c r="G37" i="9" s="1"/>
  <c r="H38" i="2"/>
  <c r="G38" i="2"/>
  <c r="F38" i="2"/>
  <c r="E38" i="2"/>
  <c r="C38" i="2"/>
  <c r="B38" i="2"/>
  <c r="Q37" i="2"/>
  <c r="K37" i="2"/>
  <c r="W37" i="2" s="1"/>
  <c r="I37" i="2"/>
  <c r="G36" i="9" s="1"/>
  <c r="H37" i="2"/>
  <c r="G37" i="2"/>
  <c r="F37" i="2"/>
  <c r="E37" i="2"/>
  <c r="C37" i="2"/>
  <c r="B37" i="2"/>
  <c r="B36" i="11" s="1"/>
  <c r="T36" i="2"/>
  <c r="H35" i="8" s="1"/>
  <c r="R36" i="2"/>
  <c r="G35" i="8" s="1"/>
  <c r="Q36" i="2"/>
  <c r="K36" i="2"/>
  <c r="I36" i="2"/>
  <c r="G35" i="9" s="1"/>
  <c r="H36" i="2"/>
  <c r="G36" i="2"/>
  <c r="F36" i="2"/>
  <c r="E36" i="2"/>
  <c r="C36" i="2"/>
  <c r="B36" i="2"/>
  <c r="U35" i="2"/>
  <c r="S35" i="2"/>
  <c r="Q35" i="2"/>
  <c r="K35" i="2"/>
  <c r="J35" i="2"/>
  <c r="I35" i="2"/>
  <c r="H35" i="2"/>
  <c r="G35" i="2"/>
  <c r="F35" i="2"/>
  <c r="E35" i="2"/>
  <c r="C35" i="2"/>
  <c r="B35" i="2"/>
  <c r="Q34" i="2"/>
  <c r="K34" i="2"/>
  <c r="J34" i="2" s="1"/>
  <c r="I34" i="2"/>
  <c r="G33" i="9" s="1"/>
  <c r="H34" i="2"/>
  <c r="G34" i="2"/>
  <c r="F34" i="2"/>
  <c r="E34" i="2"/>
  <c r="C34" i="2"/>
  <c r="B34" i="2"/>
  <c r="B33" i="11" s="1"/>
  <c r="R33" i="2"/>
  <c r="G32" i="8" s="1"/>
  <c r="Q33" i="2"/>
  <c r="K33" i="2"/>
  <c r="W33" i="2" s="1"/>
  <c r="J33" i="2"/>
  <c r="I33" i="2"/>
  <c r="G32" i="9" s="1"/>
  <c r="H33" i="2"/>
  <c r="G33" i="2"/>
  <c r="F33" i="2"/>
  <c r="E33" i="2"/>
  <c r="C33" i="2"/>
  <c r="B33" i="2"/>
  <c r="W32" i="2"/>
  <c r="Q32" i="2"/>
  <c r="M32" i="2"/>
  <c r="K32" i="2"/>
  <c r="H31" i="9" s="1"/>
  <c r="I32" i="2"/>
  <c r="G31" i="9" s="1"/>
  <c r="H32" i="2"/>
  <c r="G32" i="2"/>
  <c r="F32" i="2"/>
  <c r="E32" i="2"/>
  <c r="C32" i="2"/>
  <c r="B32" i="2"/>
  <c r="Q31" i="2"/>
  <c r="K31" i="2"/>
  <c r="J31" i="2" s="1"/>
  <c r="I31" i="2"/>
  <c r="H31" i="2"/>
  <c r="G31" i="2"/>
  <c r="F31" i="2"/>
  <c r="E31" i="2"/>
  <c r="C31" i="2"/>
  <c r="B31" i="2"/>
  <c r="W30" i="2"/>
  <c r="Q30" i="2"/>
  <c r="M30" i="2"/>
  <c r="L30" i="2"/>
  <c r="K30" i="2"/>
  <c r="H29" i="9" s="1"/>
  <c r="J30" i="2"/>
  <c r="I30" i="2"/>
  <c r="H30" i="2"/>
  <c r="G30" i="2"/>
  <c r="F30" i="2"/>
  <c r="E30" i="2"/>
  <c r="C30" i="2"/>
  <c r="B30" i="2"/>
  <c r="Q29" i="2"/>
  <c r="K29" i="2"/>
  <c r="W29" i="2" s="1"/>
  <c r="I29" i="2"/>
  <c r="G28" i="9" s="1"/>
  <c r="H29" i="2"/>
  <c r="G29" i="2"/>
  <c r="F29" i="2"/>
  <c r="E29" i="2"/>
  <c r="C29" i="2"/>
  <c r="B29" i="2"/>
  <c r="W28" i="2"/>
  <c r="Q28" i="2"/>
  <c r="K28" i="2"/>
  <c r="H27" i="9" s="1"/>
  <c r="I28" i="2"/>
  <c r="H28" i="2"/>
  <c r="G28" i="2"/>
  <c r="F28" i="2"/>
  <c r="E28" i="2"/>
  <c r="C28" i="2"/>
  <c r="B28" i="2"/>
  <c r="Q27" i="2"/>
  <c r="K27" i="2"/>
  <c r="H26" i="9" s="1"/>
  <c r="I27" i="2"/>
  <c r="H27" i="2"/>
  <c r="G27" i="2"/>
  <c r="F27" i="2"/>
  <c r="E27" i="2"/>
  <c r="C27" i="2"/>
  <c r="B27" i="2"/>
  <c r="Q26" i="2"/>
  <c r="M26" i="2"/>
  <c r="K26" i="2"/>
  <c r="H25" i="9" s="1"/>
  <c r="I26" i="2"/>
  <c r="G25" i="9" s="1"/>
  <c r="H26" i="2"/>
  <c r="G26" i="2"/>
  <c r="F26" i="2"/>
  <c r="E26" i="2"/>
  <c r="C26" i="2"/>
  <c r="B26" i="2"/>
  <c r="W25" i="2"/>
  <c r="Q25" i="2"/>
  <c r="K25" i="2"/>
  <c r="I25" i="2"/>
  <c r="H25" i="2"/>
  <c r="G25" i="2"/>
  <c r="F25" i="2"/>
  <c r="E25" i="2"/>
  <c r="C25" i="2"/>
  <c r="B25" i="2"/>
  <c r="Q24" i="2"/>
  <c r="K24" i="2"/>
  <c r="M24" i="2" s="1"/>
  <c r="I24" i="2"/>
  <c r="G23" i="9" s="1"/>
  <c r="H24" i="2"/>
  <c r="G24" i="2"/>
  <c r="F24" i="2"/>
  <c r="E24" i="2"/>
  <c r="C24" i="2"/>
  <c r="B24" i="2"/>
  <c r="B23" i="11" s="1"/>
  <c r="Q23" i="2"/>
  <c r="K23" i="2"/>
  <c r="H22" i="9" s="1"/>
  <c r="I23" i="2"/>
  <c r="G22" i="9" s="1"/>
  <c r="H23" i="2"/>
  <c r="G23" i="2"/>
  <c r="F23" i="2"/>
  <c r="E23" i="2"/>
  <c r="C23" i="2"/>
  <c r="B23" i="2"/>
  <c r="B22" i="11" s="1"/>
  <c r="W22" i="2"/>
  <c r="Q22" i="2"/>
  <c r="K22" i="2"/>
  <c r="H21" i="9" s="1"/>
  <c r="J22" i="2"/>
  <c r="I22" i="2"/>
  <c r="H22" i="2"/>
  <c r="G22" i="2"/>
  <c r="F22" i="2"/>
  <c r="E22" i="2"/>
  <c r="C22" i="2"/>
  <c r="B22" i="2"/>
  <c r="W21" i="2"/>
  <c r="Q21" i="2"/>
  <c r="K21" i="2"/>
  <c r="M21" i="2" s="1"/>
  <c r="J21" i="2"/>
  <c r="I21" i="2"/>
  <c r="G20" i="9" s="1"/>
  <c r="H21" i="2"/>
  <c r="G21" i="2"/>
  <c r="F21" i="2"/>
  <c r="E21" i="2"/>
  <c r="C21" i="2"/>
  <c r="B21" i="2"/>
  <c r="Q20" i="2"/>
  <c r="K20" i="2"/>
  <c r="I20" i="2"/>
  <c r="G19" i="9" s="1"/>
  <c r="H20" i="2"/>
  <c r="G20" i="2"/>
  <c r="F20" i="2"/>
  <c r="E20" i="2"/>
  <c r="C20" i="2"/>
  <c r="B20" i="2"/>
  <c r="Q19" i="2"/>
  <c r="K19" i="2"/>
  <c r="H18" i="9" s="1"/>
  <c r="I19" i="2"/>
  <c r="H19" i="2"/>
  <c r="G19" i="2"/>
  <c r="F19" i="2"/>
  <c r="E19" i="2"/>
  <c r="C19" i="2"/>
  <c r="B19" i="2"/>
  <c r="Q18" i="2"/>
  <c r="K18" i="2"/>
  <c r="J18" i="2"/>
  <c r="I18" i="2"/>
  <c r="H18" i="2"/>
  <c r="G18" i="2"/>
  <c r="F18" i="2"/>
  <c r="E18" i="2"/>
  <c r="C18" i="2"/>
  <c r="B18" i="2"/>
  <c r="Q17" i="2"/>
  <c r="K17" i="2"/>
  <c r="J17" i="2" s="1"/>
  <c r="I17" i="2"/>
  <c r="G16" i="9" s="1"/>
  <c r="H17" i="2"/>
  <c r="G17" i="2"/>
  <c r="F17" i="2"/>
  <c r="E17" i="2"/>
  <c r="C17" i="2"/>
  <c r="B17" i="2"/>
  <c r="W16" i="2"/>
  <c r="Q16" i="2"/>
  <c r="L16" i="2"/>
  <c r="F15" i="11" s="1"/>
  <c r="H15" i="11" s="1"/>
  <c r="K16" i="2"/>
  <c r="H15" i="9" s="1"/>
  <c r="I16" i="2"/>
  <c r="G15" i="9" s="1"/>
  <c r="H16" i="2"/>
  <c r="G16" i="2"/>
  <c r="F16" i="2"/>
  <c r="E16" i="2"/>
  <c r="C16" i="2"/>
  <c r="B16" i="2"/>
  <c r="Q15" i="2"/>
  <c r="M15" i="2"/>
  <c r="L15" i="2"/>
  <c r="K15" i="2"/>
  <c r="J15" i="2" s="1"/>
  <c r="I15" i="2"/>
  <c r="G14" i="9" s="1"/>
  <c r="H15" i="2"/>
  <c r="G15" i="2"/>
  <c r="F15" i="2"/>
  <c r="E15" i="2"/>
  <c r="C15" i="2"/>
  <c r="B15" i="2"/>
  <c r="Q14" i="2"/>
  <c r="K14" i="2"/>
  <c r="H13" i="9" s="1"/>
  <c r="I14" i="2"/>
  <c r="H14" i="2"/>
  <c r="G14" i="2"/>
  <c r="F14" i="2"/>
  <c r="E14" i="2"/>
  <c r="C14" i="2"/>
  <c r="B14" i="2"/>
  <c r="W13" i="2"/>
  <c r="Q13" i="2"/>
  <c r="L13" i="2"/>
  <c r="K13" i="2"/>
  <c r="I13" i="2"/>
  <c r="G12" i="9" s="1"/>
  <c r="H13" i="2"/>
  <c r="G13" i="2"/>
  <c r="F13" i="2"/>
  <c r="E13" i="2"/>
  <c r="C13" i="2"/>
  <c r="B13" i="2"/>
  <c r="B12" i="11" s="1"/>
  <c r="Q12" i="2"/>
  <c r="K12" i="2"/>
  <c r="J12" i="2" s="1"/>
  <c r="I12" i="2"/>
  <c r="H12" i="2"/>
  <c r="G12" i="2"/>
  <c r="F12" i="2"/>
  <c r="E12" i="2"/>
  <c r="C12" i="2"/>
  <c r="B12" i="2"/>
  <c r="Q11" i="2"/>
  <c r="K11" i="2"/>
  <c r="H10" i="9" s="1"/>
  <c r="I11" i="2"/>
  <c r="H11" i="2"/>
  <c r="G11" i="2"/>
  <c r="F11" i="2"/>
  <c r="E11" i="2"/>
  <c r="C11" i="2"/>
  <c r="B11" i="2"/>
  <c r="B10" i="11" s="1"/>
  <c r="T10" i="2"/>
  <c r="H9" i="8" s="1"/>
  <c r="S10" i="2"/>
  <c r="R10" i="2"/>
  <c r="V10" i="2" s="1"/>
  <c r="Q10" i="2"/>
  <c r="K10" i="2"/>
  <c r="J10" i="2" s="1"/>
  <c r="I10" i="2"/>
  <c r="G9" i="9" s="1"/>
  <c r="I9" i="9" s="1"/>
  <c r="H10" i="2"/>
  <c r="G10" i="2"/>
  <c r="F10" i="2"/>
  <c r="E10" i="2"/>
  <c r="C10" i="2"/>
  <c r="B10" i="2"/>
  <c r="W9" i="2"/>
  <c r="S9" i="2"/>
  <c r="Q9" i="2"/>
  <c r="K9" i="2"/>
  <c r="U9" i="2" s="1"/>
  <c r="I9" i="2"/>
  <c r="H9" i="2"/>
  <c r="G9" i="2"/>
  <c r="F9" i="2"/>
  <c r="E9" i="2"/>
  <c r="C9" i="2"/>
  <c r="B9" i="2"/>
  <c r="T8" i="2"/>
  <c r="H7" i="8" s="1"/>
  <c r="Q8" i="2"/>
  <c r="K8" i="2"/>
  <c r="J8" i="2" s="1"/>
  <c r="I8" i="2"/>
  <c r="G7" i="9" s="1"/>
  <c r="I7" i="9" s="1"/>
  <c r="H8" i="2"/>
  <c r="G8" i="2"/>
  <c r="F8" i="2"/>
  <c r="E8" i="2"/>
  <c r="C8" i="2"/>
  <c r="B8" i="2"/>
  <c r="Q7" i="2"/>
  <c r="K7" i="2"/>
  <c r="H6" i="9" s="1"/>
  <c r="I7" i="2"/>
  <c r="G6" i="9" s="1"/>
  <c r="I6" i="9" s="1"/>
  <c r="H7" i="2"/>
  <c r="G7" i="2"/>
  <c r="F7" i="2"/>
  <c r="E7" i="2"/>
  <c r="C7" i="2"/>
  <c r="B7" i="2"/>
  <c r="R6" i="2"/>
  <c r="G5" i="8" s="1"/>
  <c r="Q6" i="2"/>
  <c r="K6" i="2"/>
  <c r="H5" i="9" s="1"/>
  <c r="I6" i="2"/>
  <c r="G5" i="9" s="1"/>
  <c r="I5" i="9" s="1"/>
  <c r="H6" i="2"/>
  <c r="G6" i="2"/>
  <c r="F6" i="2"/>
  <c r="E6" i="2"/>
  <c r="C6" i="2"/>
  <c r="B6" i="2"/>
  <c r="Q5" i="2"/>
  <c r="K5" i="2"/>
  <c r="J5" i="2" s="1"/>
  <c r="I5" i="2"/>
  <c r="H5" i="2"/>
  <c r="G5" i="2"/>
  <c r="F5" i="2"/>
  <c r="E5" i="2"/>
  <c r="C5" i="2"/>
  <c r="B5" i="2"/>
  <c r="R4" i="2"/>
  <c r="O4" i="2" s="1"/>
  <c r="Q4" i="2"/>
  <c r="K4" i="2"/>
  <c r="I4" i="2"/>
  <c r="G3" i="9" s="1"/>
  <c r="I3" i="9" s="1"/>
  <c r="H4" i="2"/>
  <c r="G4" i="2"/>
  <c r="F4" i="2"/>
  <c r="E4" i="2"/>
  <c r="C4" i="2"/>
  <c r="B4" i="2"/>
  <c r="H281" i="11"/>
  <c r="G282" i="12" s="1"/>
  <c r="F281" i="11"/>
  <c r="E281" i="11"/>
  <c r="D281" i="11"/>
  <c r="B281" i="11"/>
  <c r="E280" i="11"/>
  <c r="D280" i="11"/>
  <c r="B280" i="11"/>
  <c r="F279" i="11"/>
  <c r="H279" i="11" s="1"/>
  <c r="E279" i="11"/>
  <c r="D279" i="11"/>
  <c r="B279" i="11"/>
  <c r="E278" i="11"/>
  <c r="D278" i="11"/>
  <c r="B278" i="11"/>
  <c r="E277" i="11"/>
  <c r="D277" i="11"/>
  <c r="B277" i="11"/>
  <c r="E276" i="11"/>
  <c r="D276" i="11"/>
  <c r="B276" i="11"/>
  <c r="E275" i="11"/>
  <c r="D275" i="11"/>
  <c r="B275" i="11"/>
  <c r="H274" i="11"/>
  <c r="F274" i="11"/>
  <c r="E274" i="11"/>
  <c r="D274" i="11"/>
  <c r="B274" i="11"/>
  <c r="F273" i="11"/>
  <c r="H273" i="11" s="1"/>
  <c r="E273" i="11"/>
  <c r="D273" i="11"/>
  <c r="B273" i="11"/>
  <c r="E272" i="11"/>
  <c r="D272" i="11"/>
  <c r="B272" i="11"/>
  <c r="E271" i="11"/>
  <c r="D271" i="11"/>
  <c r="B271" i="11"/>
  <c r="F270" i="11"/>
  <c r="H270" i="11" s="1"/>
  <c r="E270" i="11"/>
  <c r="D270" i="11"/>
  <c r="B270" i="11"/>
  <c r="E269" i="11"/>
  <c r="D269" i="11"/>
  <c r="B269" i="11"/>
  <c r="E268" i="11"/>
  <c r="D268" i="11"/>
  <c r="B268" i="11"/>
  <c r="E267" i="11"/>
  <c r="D267" i="11"/>
  <c r="B267" i="11"/>
  <c r="E266" i="11"/>
  <c r="D266" i="11"/>
  <c r="B266" i="11"/>
  <c r="E265" i="11"/>
  <c r="D265" i="11"/>
  <c r="B265" i="11"/>
  <c r="E264" i="11"/>
  <c r="D264" i="11"/>
  <c r="B264" i="11"/>
  <c r="F263" i="11"/>
  <c r="H263" i="11" s="1"/>
  <c r="E263" i="11"/>
  <c r="D263" i="11"/>
  <c r="B263" i="11"/>
  <c r="E262" i="11"/>
  <c r="D262" i="11"/>
  <c r="B262" i="11"/>
  <c r="E261" i="11"/>
  <c r="D261" i="11"/>
  <c r="B261" i="11"/>
  <c r="E260" i="11"/>
  <c r="D260" i="11"/>
  <c r="B260" i="11"/>
  <c r="E259" i="11"/>
  <c r="D259" i="11"/>
  <c r="B259" i="11"/>
  <c r="E258" i="11"/>
  <c r="D258" i="11"/>
  <c r="B258" i="11"/>
  <c r="F257" i="11"/>
  <c r="H257" i="11" s="1"/>
  <c r="E257" i="11"/>
  <c r="D257" i="11"/>
  <c r="B257" i="11"/>
  <c r="E256" i="11"/>
  <c r="D256" i="11"/>
  <c r="B256" i="11"/>
  <c r="F255" i="11"/>
  <c r="H255" i="11" s="1"/>
  <c r="E255" i="11"/>
  <c r="D255" i="11"/>
  <c r="B255" i="11"/>
  <c r="E254" i="11"/>
  <c r="D254" i="11"/>
  <c r="B254" i="11"/>
  <c r="E253" i="11"/>
  <c r="D253" i="11"/>
  <c r="B253" i="11"/>
  <c r="E252" i="11"/>
  <c r="D252" i="11"/>
  <c r="B252" i="11"/>
  <c r="E251" i="11"/>
  <c r="D251" i="11"/>
  <c r="B251" i="11"/>
  <c r="E250" i="11"/>
  <c r="D250" i="11"/>
  <c r="B250" i="11"/>
  <c r="E249" i="11"/>
  <c r="D249" i="11"/>
  <c r="B249" i="11"/>
  <c r="E248" i="11"/>
  <c r="D248" i="11"/>
  <c r="B248" i="11"/>
  <c r="E247" i="11"/>
  <c r="D247" i="11"/>
  <c r="B247" i="11"/>
  <c r="E246" i="11"/>
  <c r="D246" i="11"/>
  <c r="B246" i="11"/>
  <c r="E245" i="11"/>
  <c r="D245" i="11"/>
  <c r="B245" i="11"/>
  <c r="E244" i="11"/>
  <c r="D244" i="11"/>
  <c r="B244" i="11"/>
  <c r="E243" i="11"/>
  <c r="D243" i="11"/>
  <c r="B243" i="11"/>
  <c r="E242" i="11"/>
  <c r="D242" i="11"/>
  <c r="B242" i="11"/>
  <c r="E241" i="11"/>
  <c r="D241" i="11"/>
  <c r="B241" i="11"/>
  <c r="E240" i="11"/>
  <c r="D240" i="11"/>
  <c r="E239" i="11"/>
  <c r="D239" i="11"/>
  <c r="B239" i="11"/>
  <c r="E238" i="11"/>
  <c r="D238" i="11"/>
  <c r="B238" i="11"/>
  <c r="F237" i="11"/>
  <c r="H237" i="11" s="1"/>
  <c r="E237" i="11"/>
  <c r="D237" i="11"/>
  <c r="B237" i="11"/>
  <c r="F236" i="11"/>
  <c r="H236" i="11" s="1"/>
  <c r="E236" i="11"/>
  <c r="D236" i="11"/>
  <c r="F235" i="11"/>
  <c r="H235" i="11" s="1"/>
  <c r="E235" i="11"/>
  <c r="D235" i="11"/>
  <c r="B235" i="11"/>
  <c r="E234" i="11"/>
  <c r="D234" i="11"/>
  <c r="B234" i="11"/>
  <c r="E233" i="11"/>
  <c r="D233" i="11"/>
  <c r="B233" i="11"/>
  <c r="E232" i="11"/>
  <c r="D232" i="11"/>
  <c r="B232" i="11"/>
  <c r="E231" i="11"/>
  <c r="D231" i="11"/>
  <c r="B231" i="11"/>
  <c r="E230" i="11"/>
  <c r="D230" i="11"/>
  <c r="B230" i="11"/>
  <c r="F229" i="11"/>
  <c r="H229" i="11" s="1"/>
  <c r="E229" i="11"/>
  <c r="D229" i="11"/>
  <c r="F228" i="11"/>
  <c r="H228" i="11" s="1"/>
  <c r="E228" i="11"/>
  <c r="D228" i="11"/>
  <c r="B228" i="11"/>
  <c r="E227" i="11"/>
  <c r="D227" i="11"/>
  <c r="B227" i="11"/>
  <c r="E226" i="11"/>
  <c r="D226" i="11"/>
  <c r="B226" i="11"/>
  <c r="E225" i="11"/>
  <c r="D225" i="11"/>
  <c r="B225" i="11"/>
  <c r="F224" i="11"/>
  <c r="H224" i="11" s="1"/>
  <c r="E224" i="11"/>
  <c r="D224" i="11"/>
  <c r="B224" i="11"/>
  <c r="E223" i="11"/>
  <c r="D223" i="11"/>
  <c r="B223" i="11"/>
  <c r="E222" i="11"/>
  <c r="D222" i="11"/>
  <c r="B222" i="11"/>
  <c r="E221" i="11"/>
  <c r="D221" i="11"/>
  <c r="B221" i="11"/>
  <c r="E220" i="11"/>
  <c r="D220" i="11"/>
  <c r="B220" i="11"/>
  <c r="E219" i="11"/>
  <c r="D219" i="11"/>
  <c r="E218" i="11"/>
  <c r="D218" i="11"/>
  <c r="B218" i="11"/>
  <c r="F217" i="11"/>
  <c r="H217" i="11" s="1"/>
  <c r="E217" i="11"/>
  <c r="D217" i="11"/>
  <c r="B217" i="11"/>
  <c r="E216" i="11"/>
  <c r="D216" i="11"/>
  <c r="B216" i="11"/>
  <c r="F215" i="11"/>
  <c r="H215" i="11" s="1"/>
  <c r="E215" i="11"/>
  <c r="D215" i="11"/>
  <c r="B215" i="11"/>
  <c r="E214" i="11"/>
  <c r="D214" i="11"/>
  <c r="B214" i="11"/>
  <c r="E213" i="11"/>
  <c r="D213" i="11"/>
  <c r="B213" i="11"/>
  <c r="E212" i="11"/>
  <c r="D212" i="11"/>
  <c r="B212" i="11"/>
  <c r="E211" i="11"/>
  <c r="D211" i="11"/>
  <c r="B211" i="11"/>
  <c r="E210" i="11"/>
  <c r="D210" i="11"/>
  <c r="B210" i="11"/>
  <c r="E209" i="11"/>
  <c r="D209" i="11"/>
  <c r="B209" i="11"/>
  <c r="E208" i="11"/>
  <c r="D208" i="11"/>
  <c r="B208" i="11"/>
  <c r="E207" i="11"/>
  <c r="D207" i="11"/>
  <c r="B207" i="11"/>
  <c r="E206" i="11"/>
  <c r="D206" i="11"/>
  <c r="B206" i="11"/>
  <c r="E205" i="11"/>
  <c r="D205" i="11"/>
  <c r="B205" i="11"/>
  <c r="E204" i="11"/>
  <c r="D204" i="11"/>
  <c r="E203" i="11"/>
  <c r="D203" i="11"/>
  <c r="B203" i="11"/>
  <c r="E202" i="11"/>
  <c r="D202" i="11"/>
  <c r="B202" i="11"/>
  <c r="F201" i="11"/>
  <c r="H201" i="11" s="1"/>
  <c r="E201" i="11"/>
  <c r="D201" i="11"/>
  <c r="B201" i="11"/>
  <c r="E200" i="11"/>
  <c r="D200" i="11"/>
  <c r="B200" i="11"/>
  <c r="E199" i="11"/>
  <c r="D199" i="11"/>
  <c r="B199" i="11"/>
  <c r="E198" i="11"/>
  <c r="D198" i="11"/>
  <c r="B198" i="11"/>
  <c r="F197" i="11"/>
  <c r="H197" i="11" s="1"/>
  <c r="E197" i="11"/>
  <c r="D197" i="11"/>
  <c r="B197" i="11"/>
  <c r="E196" i="11"/>
  <c r="D196" i="11"/>
  <c r="B196" i="11"/>
  <c r="E195" i="11"/>
  <c r="D195" i="11"/>
  <c r="B195" i="11"/>
  <c r="E194" i="11"/>
  <c r="D194" i="11"/>
  <c r="B194" i="11"/>
  <c r="E193" i="11"/>
  <c r="D193" i="11"/>
  <c r="B193" i="11"/>
  <c r="E192" i="11"/>
  <c r="D192" i="11"/>
  <c r="B192" i="11"/>
  <c r="E191" i="11"/>
  <c r="D191" i="11"/>
  <c r="B191" i="11"/>
  <c r="F190" i="11"/>
  <c r="H190" i="11" s="1"/>
  <c r="E190" i="11"/>
  <c r="D190" i="11"/>
  <c r="B190" i="11"/>
  <c r="E189" i="11"/>
  <c r="D189" i="11"/>
  <c r="B189" i="11"/>
  <c r="E188" i="11"/>
  <c r="D188" i="11"/>
  <c r="B188" i="11"/>
  <c r="E187" i="11"/>
  <c r="D187" i="11"/>
  <c r="B187" i="11"/>
  <c r="F186" i="11"/>
  <c r="H186" i="11" s="1"/>
  <c r="E186" i="11"/>
  <c r="D186" i="11"/>
  <c r="B186" i="11"/>
  <c r="E185" i="11"/>
  <c r="D185" i="11"/>
  <c r="B185" i="11"/>
  <c r="E184" i="11"/>
  <c r="D184" i="11"/>
  <c r="E183" i="11"/>
  <c r="D183" i="11"/>
  <c r="B183" i="11"/>
  <c r="F182" i="11"/>
  <c r="H182" i="11" s="1"/>
  <c r="E182" i="11"/>
  <c r="D182" i="11"/>
  <c r="B182" i="11"/>
  <c r="E181" i="11"/>
  <c r="D181" i="11"/>
  <c r="E180" i="11"/>
  <c r="D180" i="11"/>
  <c r="B180" i="11"/>
  <c r="F179" i="11"/>
  <c r="H179" i="11" s="1"/>
  <c r="E179" i="11"/>
  <c r="D179" i="11"/>
  <c r="B179" i="11"/>
  <c r="E178" i="11"/>
  <c r="D178" i="11"/>
  <c r="B178" i="11"/>
  <c r="E177" i="11"/>
  <c r="D177" i="11"/>
  <c r="B177" i="11"/>
  <c r="E176" i="11"/>
  <c r="D176" i="11"/>
  <c r="B176" i="11"/>
  <c r="E175" i="11"/>
  <c r="D175" i="11"/>
  <c r="B175" i="11"/>
  <c r="E174" i="11"/>
  <c r="D174" i="11"/>
  <c r="B174" i="11"/>
  <c r="E173" i="11"/>
  <c r="D173" i="11"/>
  <c r="B173" i="11"/>
  <c r="E172" i="11"/>
  <c r="D172" i="11"/>
  <c r="B172" i="11"/>
  <c r="E171" i="11"/>
  <c r="D171" i="11"/>
  <c r="B171" i="11"/>
  <c r="E170" i="11"/>
  <c r="D170" i="11"/>
  <c r="B170" i="11"/>
  <c r="E169" i="11"/>
  <c r="D169" i="11"/>
  <c r="B169" i="11"/>
  <c r="E168" i="11"/>
  <c r="D168" i="11"/>
  <c r="B168" i="11"/>
  <c r="E167" i="11"/>
  <c r="D167" i="11"/>
  <c r="B167" i="11"/>
  <c r="E166" i="11"/>
  <c r="D166" i="11"/>
  <c r="B166" i="11"/>
  <c r="H165" i="11"/>
  <c r="F165" i="11"/>
  <c r="E165" i="11"/>
  <c r="D165" i="11"/>
  <c r="B165" i="11"/>
  <c r="H164" i="11"/>
  <c r="F164" i="11"/>
  <c r="E164" i="11"/>
  <c r="D164" i="11"/>
  <c r="B164" i="11"/>
  <c r="E163" i="11"/>
  <c r="D163" i="11"/>
  <c r="B163" i="11"/>
  <c r="E162" i="11"/>
  <c r="D162" i="11"/>
  <c r="B162" i="11"/>
  <c r="E161" i="11"/>
  <c r="D161" i="11"/>
  <c r="B161" i="11"/>
  <c r="E160" i="11"/>
  <c r="D160" i="11"/>
  <c r="B160" i="11"/>
  <c r="F159" i="11"/>
  <c r="H159" i="11" s="1"/>
  <c r="E159" i="11"/>
  <c r="D159" i="11"/>
  <c r="B159" i="11"/>
  <c r="E158" i="11"/>
  <c r="D158" i="11"/>
  <c r="B158" i="11"/>
  <c r="E157" i="11"/>
  <c r="D157" i="11"/>
  <c r="B157" i="11"/>
  <c r="E156" i="11"/>
  <c r="D156" i="11"/>
  <c r="B156" i="11"/>
  <c r="E155" i="11"/>
  <c r="D155" i="11"/>
  <c r="B155" i="11"/>
  <c r="E154" i="11"/>
  <c r="D154" i="11"/>
  <c r="B154" i="11"/>
  <c r="E153" i="11"/>
  <c r="D153" i="11"/>
  <c r="B153" i="11"/>
  <c r="H152" i="11"/>
  <c r="F152" i="11"/>
  <c r="E152" i="11"/>
  <c r="D152" i="11"/>
  <c r="B152" i="11"/>
  <c r="E151" i="11"/>
  <c r="D151" i="11"/>
  <c r="B151" i="11"/>
  <c r="F150" i="11"/>
  <c r="H150" i="11" s="1"/>
  <c r="E150" i="11"/>
  <c r="D150" i="11"/>
  <c r="B150" i="11"/>
  <c r="E149" i="11"/>
  <c r="D149" i="11"/>
  <c r="B149" i="11"/>
  <c r="H148" i="11"/>
  <c r="F148" i="11"/>
  <c r="E148" i="11"/>
  <c r="D148" i="11"/>
  <c r="B148" i="11"/>
  <c r="E147" i="11"/>
  <c r="D147" i="11"/>
  <c r="B147" i="11"/>
  <c r="E146" i="11"/>
  <c r="D146" i="11"/>
  <c r="B146" i="11"/>
  <c r="E145" i="11"/>
  <c r="D145" i="11"/>
  <c r="B145" i="11"/>
  <c r="E144" i="11"/>
  <c r="D144" i="11"/>
  <c r="B144" i="11"/>
  <c r="F143" i="11"/>
  <c r="H143" i="11" s="1"/>
  <c r="E143" i="11"/>
  <c r="D143" i="11"/>
  <c r="B143" i="11"/>
  <c r="E142" i="11"/>
  <c r="D142" i="11"/>
  <c r="B142" i="11"/>
  <c r="E141" i="11"/>
  <c r="D141" i="11"/>
  <c r="B141" i="11"/>
  <c r="E140" i="11"/>
  <c r="D140" i="11"/>
  <c r="B140" i="11"/>
  <c r="E139" i="11"/>
  <c r="D139" i="11"/>
  <c r="E138" i="11"/>
  <c r="D138" i="11"/>
  <c r="B138" i="11"/>
  <c r="E137" i="11"/>
  <c r="D137" i="11"/>
  <c r="B137" i="11"/>
  <c r="H136" i="11"/>
  <c r="E136" i="11"/>
  <c r="D136" i="11"/>
  <c r="B136" i="11"/>
  <c r="F135" i="11"/>
  <c r="H135" i="11" s="1"/>
  <c r="E135" i="11"/>
  <c r="D135" i="11"/>
  <c r="B135" i="11"/>
  <c r="F134" i="11"/>
  <c r="H134" i="11" s="1"/>
  <c r="E134" i="11"/>
  <c r="D134" i="11"/>
  <c r="B134" i="11"/>
  <c r="E133" i="11"/>
  <c r="D133" i="11"/>
  <c r="B133" i="11"/>
  <c r="H132" i="11"/>
  <c r="F132" i="11"/>
  <c r="E132" i="11"/>
  <c r="D132" i="11"/>
  <c r="B132" i="11"/>
  <c r="E131" i="11"/>
  <c r="D131" i="11"/>
  <c r="B131" i="11"/>
  <c r="E130" i="11"/>
  <c r="D130" i="11"/>
  <c r="B130" i="11"/>
  <c r="E129" i="11"/>
  <c r="D129" i="11"/>
  <c r="B129" i="11"/>
  <c r="E128" i="11"/>
  <c r="D128" i="11"/>
  <c r="B128" i="11"/>
  <c r="E127" i="11"/>
  <c r="D127" i="11"/>
  <c r="B127" i="11"/>
  <c r="E126" i="11"/>
  <c r="D126" i="11"/>
  <c r="B126" i="11"/>
  <c r="E125" i="11"/>
  <c r="D125" i="11"/>
  <c r="B125" i="11"/>
  <c r="E124" i="11"/>
  <c r="D124" i="11"/>
  <c r="B124" i="11"/>
  <c r="E123" i="11"/>
  <c r="D123" i="11"/>
  <c r="B123" i="11"/>
  <c r="E122" i="11"/>
  <c r="D122" i="11"/>
  <c r="B122" i="11"/>
  <c r="E121" i="11"/>
  <c r="D121" i="11"/>
  <c r="B121" i="11"/>
  <c r="E120" i="11"/>
  <c r="D120" i="11"/>
  <c r="B120" i="11"/>
  <c r="E119" i="11"/>
  <c r="D119" i="11"/>
  <c r="B119" i="11"/>
  <c r="F118" i="11"/>
  <c r="H118" i="11" s="1"/>
  <c r="E118" i="11"/>
  <c r="D118" i="11"/>
  <c r="B118" i="11"/>
  <c r="E117" i="11"/>
  <c r="D117" i="11"/>
  <c r="B117" i="11"/>
  <c r="E116" i="11"/>
  <c r="D116" i="11"/>
  <c r="B116" i="11"/>
  <c r="F115" i="11"/>
  <c r="H115" i="11" s="1"/>
  <c r="E115" i="11"/>
  <c r="D115" i="11"/>
  <c r="B115" i="11"/>
  <c r="E114" i="11"/>
  <c r="D114" i="11"/>
  <c r="B114" i="11"/>
  <c r="E113" i="11"/>
  <c r="D113" i="11"/>
  <c r="B113" i="11"/>
  <c r="F112" i="11"/>
  <c r="H112" i="11" s="1"/>
  <c r="E112" i="11"/>
  <c r="D112" i="11"/>
  <c r="B112" i="11"/>
  <c r="F111" i="11"/>
  <c r="H111" i="11" s="1"/>
  <c r="E111" i="11"/>
  <c r="D111" i="11"/>
  <c r="B111" i="11"/>
  <c r="E110" i="11"/>
  <c r="D110" i="11"/>
  <c r="B110" i="11"/>
  <c r="E109" i="11"/>
  <c r="D109" i="11"/>
  <c r="B109" i="11"/>
  <c r="E108" i="11"/>
  <c r="D108" i="11"/>
  <c r="B108" i="11"/>
  <c r="E107" i="11"/>
  <c r="D107" i="11"/>
  <c r="B107" i="11"/>
  <c r="E106" i="11"/>
  <c r="D106" i="11"/>
  <c r="B106" i="11"/>
  <c r="F105" i="11"/>
  <c r="H105" i="11" s="1"/>
  <c r="E105" i="11"/>
  <c r="D105" i="11"/>
  <c r="B105" i="11"/>
  <c r="E104" i="11"/>
  <c r="D104" i="11"/>
  <c r="B104" i="11"/>
  <c r="E103" i="11"/>
  <c r="D103" i="11"/>
  <c r="B103" i="11"/>
  <c r="E102" i="11"/>
  <c r="D102" i="11"/>
  <c r="B102" i="11"/>
  <c r="E101" i="11"/>
  <c r="D101" i="11"/>
  <c r="B101" i="11"/>
  <c r="E100" i="11"/>
  <c r="D100" i="11"/>
  <c r="B100" i="11"/>
  <c r="F99" i="11"/>
  <c r="H99" i="11" s="1"/>
  <c r="E99" i="11"/>
  <c r="D99" i="11"/>
  <c r="B99" i="11"/>
  <c r="E98" i="11"/>
  <c r="D98" i="11"/>
  <c r="B98" i="11"/>
  <c r="E97" i="11"/>
  <c r="D97" i="11"/>
  <c r="B97" i="11"/>
  <c r="E96" i="11"/>
  <c r="D96" i="11"/>
  <c r="B96" i="11"/>
  <c r="E95" i="11"/>
  <c r="D95" i="11"/>
  <c r="B95" i="11"/>
  <c r="E94" i="11"/>
  <c r="D94" i="11"/>
  <c r="B94" i="11"/>
  <c r="E93" i="11"/>
  <c r="D93" i="11"/>
  <c r="B93" i="11"/>
  <c r="E92" i="11"/>
  <c r="D92" i="11"/>
  <c r="B92" i="11"/>
  <c r="E91" i="11"/>
  <c r="D91" i="11"/>
  <c r="B91" i="11"/>
  <c r="E90" i="11"/>
  <c r="D90" i="11"/>
  <c r="B90" i="11"/>
  <c r="E89" i="11"/>
  <c r="D89" i="11"/>
  <c r="B89" i="11"/>
  <c r="F88" i="11"/>
  <c r="H88" i="11" s="1"/>
  <c r="E88" i="11"/>
  <c r="D88" i="11"/>
  <c r="B88" i="11"/>
  <c r="F87" i="11"/>
  <c r="H87" i="11" s="1"/>
  <c r="E87" i="11"/>
  <c r="D87" i="11"/>
  <c r="B87" i="11"/>
  <c r="E86" i="11"/>
  <c r="D86" i="11"/>
  <c r="B86" i="11"/>
  <c r="E85" i="11"/>
  <c r="D85" i="11"/>
  <c r="B85" i="11"/>
  <c r="E84" i="11"/>
  <c r="D84" i="11"/>
  <c r="B84" i="11"/>
  <c r="E83" i="11"/>
  <c r="D83" i="11"/>
  <c r="B83" i="11"/>
  <c r="E82" i="11"/>
  <c r="D82" i="11"/>
  <c r="B82" i="11"/>
  <c r="E81" i="11"/>
  <c r="D81" i="11"/>
  <c r="B81" i="11"/>
  <c r="E80" i="11"/>
  <c r="D80" i="11"/>
  <c r="B80" i="11"/>
  <c r="E79" i="11"/>
  <c r="D79" i="11"/>
  <c r="B79" i="11"/>
  <c r="E78" i="11"/>
  <c r="D78" i="11"/>
  <c r="E77" i="11"/>
  <c r="D77" i="11"/>
  <c r="B77" i="11"/>
  <c r="E76" i="11"/>
  <c r="D76" i="11"/>
  <c r="B76" i="11"/>
  <c r="E75" i="11"/>
  <c r="D75" i="11"/>
  <c r="B75" i="11"/>
  <c r="F74" i="11"/>
  <c r="H74" i="11" s="1"/>
  <c r="E74" i="11"/>
  <c r="D74" i="11"/>
  <c r="B74" i="11"/>
  <c r="E73" i="11"/>
  <c r="D73" i="11"/>
  <c r="B73" i="11"/>
  <c r="E72" i="11"/>
  <c r="D72" i="11"/>
  <c r="B72" i="11"/>
  <c r="E71" i="11"/>
  <c r="D71" i="11"/>
  <c r="B71" i="11"/>
  <c r="F70" i="11"/>
  <c r="H70" i="11" s="1"/>
  <c r="E70" i="11"/>
  <c r="D70" i="11"/>
  <c r="B70" i="11"/>
  <c r="E69" i="11"/>
  <c r="D69" i="11"/>
  <c r="B69" i="11"/>
  <c r="H68" i="11"/>
  <c r="F68" i="11"/>
  <c r="E68" i="11"/>
  <c r="D68" i="11"/>
  <c r="B68" i="11"/>
  <c r="E67" i="11"/>
  <c r="D67" i="11"/>
  <c r="B67" i="11"/>
  <c r="E66" i="11"/>
  <c r="D66" i="11"/>
  <c r="B66" i="11"/>
  <c r="E65" i="11"/>
  <c r="D65" i="11"/>
  <c r="B65" i="11"/>
  <c r="I64" i="11"/>
  <c r="G64" i="11"/>
  <c r="E64" i="11"/>
  <c r="D64" i="11"/>
  <c r="B64" i="11"/>
  <c r="E63" i="11"/>
  <c r="D63" i="11"/>
  <c r="B63" i="11"/>
  <c r="E62" i="11"/>
  <c r="D62" i="11"/>
  <c r="E61" i="11"/>
  <c r="D61" i="11"/>
  <c r="B61" i="11"/>
  <c r="E60" i="11"/>
  <c r="D60" i="11"/>
  <c r="B60" i="11"/>
  <c r="F59" i="11"/>
  <c r="H59" i="11" s="1"/>
  <c r="E59" i="11"/>
  <c r="D59" i="11"/>
  <c r="B59" i="11"/>
  <c r="E58" i="11"/>
  <c r="D58" i="11"/>
  <c r="B58" i="11"/>
  <c r="E57" i="11"/>
  <c r="D57" i="11"/>
  <c r="B57" i="11"/>
  <c r="E56" i="11"/>
  <c r="D56" i="11"/>
  <c r="B56" i="11"/>
  <c r="E55" i="11"/>
  <c r="D55" i="11"/>
  <c r="B55" i="11"/>
  <c r="E54" i="11"/>
  <c r="D54" i="11"/>
  <c r="E53" i="11"/>
  <c r="D53" i="11"/>
  <c r="B53" i="11"/>
  <c r="E52" i="11"/>
  <c r="D52" i="11"/>
  <c r="B52" i="11"/>
  <c r="F51" i="11"/>
  <c r="H51" i="11" s="1"/>
  <c r="E51" i="11"/>
  <c r="D51" i="11"/>
  <c r="B51" i="11"/>
  <c r="E50" i="11"/>
  <c r="D50" i="11"/>
  <c r="B50" i="11"/>
  <c r="E49" i="11"/>
  <c r="D49" i="11"/>
  <c r="E48" i="11"/>
  <c r="D48" i="11"/>
  <c r="B48" i="11"/>
  <c r="E47" i="11"/>
  <c r="D47" i="11"/>
  <c r="B47" i="11"/>
  <c r="E46" i="11"/>
  <c r="D46" i="11"/>
  <c r="B46" i="11"/>
  <c r="E45" i="11"/>
  <c r="D45" i="11"/>
  <c r="B45" i="11"/>
  <c r="E44" i="11"/>
  <c r="D44" i="11"/>
  <c r="B44" i="11"/>
  <c r="E43" i="11"/>
  <c r="D43" i="11"/>
  <c r="B43" i="11"/>
  <c r="E42" i="11"/>
  <c r="D42" i="11"/>
  <c r="B42" i="11"/>
  <c r="E41" i="11"/>
  <c r="D41" i="11"/>
  <c r="B41" i="11"/>
  <c r="E40" i="11"/>
  <c r="D40" i="11"/>
  <c r="B40" i="11"/>
  <c r="E39" i="11"/>
  <c r="D39" i="11"/>
  <c r="B39" i="11"/>
  <c r="E38" i="11"/>
  <c r="D38" i="11"/>
  <c r="E37" i="11"/>
  <c r="D37" i="11"/>
  <c r="B37" i="11"/>
  <c r="E36" i="11"/>
  <c r="D36" i="11"/>
  <c r="E35" i="11"/>
  <c r="D35" i="11"/>
  <c r="B35" i="11"/>
  <c r="E34" i="11"/>
  <c r="D34" i="11"/>
  <c r="B34" i="11"/>
  <c r="E33" i="11"/>
  <c r="D33" i="11"/>
  <c r="E32" i="11"/>
  <c r="D32" i="11"/>
  <c r="B32" i="11"/>
  <c r="E31" i="11"/>
  <c r="D31" i="11"/>
  <c r="B31" i="11"/>
  <c r="E30" i="11"/>
  <c r="D30" i="11"/>
  <c r="B30" i="11"/>
  <c r="F29" i="11"/>
  <c r="H29" i="11" s="1"/>
  <c r="E29" i="11"/>
  <c r="D29" i="11"/>
  <c r="B29" i="11"/>
  <c r="E28" i="11"/>
  <c r="D28" i="11"/>
  <c r="B28" i="11"/>
  <c r="E27" i="11"/>
  <c r="D27" i="11"/>
  <c r="B27" i="11"/>
  <c r="E26" i="11"/>
  <c r="D26" i="11"/>
  <c r="B26" i="11"/>
  <c r="E25" i="11"/>
  <c r="D25" i="11"/>
  <c r="B25" i="11"/>
  <c r="E24" i="11"/>
  <c r="D24" i="11"/>
  <c r="B24" i="11"/>
  <c r="E23" i="11"/>
  <c r="D23" i="11"/>
  <c r="E22" i="11"/>
  <c r="D22" i="11"/>
  <c r="E21" i="11"/>
  <c r="D21" i="11"/>
  <c r="B21" i="11"/>
  <c r="E20" i="11"/>
  <c r="D20" i="11"/>
  <c r="B20" i="11"/>
  <c r="E19" i="11"/>
  <c r="D19" i="11"/>
  <c r="B19" i="11"/>
  <c r="E18" i="11"/>
  <c r="D18" i="11"/>
  <c r="B18" i="11"/>
  <c r="E17" i="11"/>
  <c r="D17" i="11"/>
  <c r="B17" i="11"/>
  <c r="E16" i="11"/>
  <c r="D16" i="11"/>
  <c r="B16" i="11"/>
  <c r="E15" i="11"/>
  <c r="D15" i="11"/>
  <c r="B15" i="11"/>
  <c r="F14" i="11"/>
  <c r="H14" i="11" s="1"/>
  <c r="E14" i="11"/>
  <c r="D14" i="11"/>
  <c r="B14" i="11"/>
  <c r="E13" i="11"/>
  <c r="D13" i="11"/>
  <c r="B13" i="11"/>
  <c r="F12" i="11"/>
  <c r="H12" i="11" s="1"/>
  <c r="E12" i="11"/>
  <c r="D12" i="11"/>
  <c r="E11" i="11"/>
  <c r="D11" i="11"/>
  <c r="B11" i="11"/>
  <c r="E10" i="11"/>
  <c r="D10" i="11"/>
  <c r="E9" i="11"/>
  <c r="D9" i="11"/>
  <c r="B9" i="11"/>
  <c r="E8" i="11"/>
  <c r="D8" i="11"/>
  <c r="B8" i="11"/>
  <c r="E7" i="11"/>
  <c r="D7" i="11"/>
  <c r="B7" i="11"/>
  <c r="E6" i="11"/>
  <c r="D6" i="11"/>
  <c r="B6" i="11"/>
  <c r="E5" i="11"/>
  <c r="D5" i="11"/>
  <c r="B5" i="11"/>
  <c r="E4" i="11"/>
  <c r="D4" i="11"/>
  <c r="B4" i="11"/>
  <c r="I3" i="11"/>
  <c r="G3" i="11" s="1"/>
  <c r="E3" i="11"/>
  <c r="D3" i="11"/>
  <c r="B3" i="11"/>
  <c r="M5" i="2" l="1"/>
  <c r="S6" i="2"/>
  <c r="R7" i="2"/>
  <c r="O7" i="2" s="1"/>
  <c r="I6" i="11" s="1"/>
  <c r="G6" i="11" s="1"/>
  <c r="L11" i="2"/>
  <c r="F10" i="11" s="1"/>
  <c r="H10" i="11" s="1"/>
  <c r="L14" i="2"/>
  <c r="F13" i="11" s="1"/>
  <c r="H13" i="11" s="1"/>
  <c r="L24" i="2"/>
  <c r="F23" i="11" s="1"/>
  <c r="H23" i="11" s="1"/>
  <c r="L37" i="2"/>
  <c r="F36" i="11" s="1"/>
  <c r="H36" i="11" s="1"/>
  <c r="L44" i="2"/>
  <c r="F43" i="11" s="1"/>
  <c r="H43" i="11" s="1"/>
  <c r="W104" i="2"/>
  <c r="V128" i="2"/>
  <c r="M157" i="2"/>
  <c r="L202" i="2"/>
  <c r="F199" i="11" s="1"/>
  <c r="H199" i="11" s="1"/>
  <c r="L217" i="2"/>
  <c r="F214" i="11" s="1"/>
  <c r="H214" i="11" s="1"/>
  <c r="L259" i="2"/>
  <c r="F254" i="11" s="1"/>
  <c r="H254" i="11" s="1"/>
  <c r="L273" i="2"/>
  <c r="F268" i="11" s="1"/>
  <c r="H268" i="11" s="1"/>
  <c r="P7" i="5"/>
  <c r="T53" i="5"/>
  <c r="T88" i="5"/>
  <c r="U219" i="5"/>
  <c r="R238" i="5"/>
  <c r="Q238" i="5"/>
  <c r="P238" i="5"/>
  <c r="Q605" i="5"/>
  <c r="R605" i="5"/>
  <c r="P605" i="5"/>
  <c r="P783" i="5"/>
  <c r="R783" i="5"/>
  <c r="Q783" i="5"/>
  <c r="U987" i="5"/>
  <c r="T987" i="5"/>
  <c r="H219" i="9"/>
  <c r="W247" i="2"/>
  <c r="M247" i="2"/>
  <c r="U6" i="2"/>
  <c r="S7" i="2"/>
  <c r="M14" i="2"/>
  <c r="L27" i="2"/>
  <c r="F26" i="11" s="1"/>
  <c r="H26" i="11" s="1"/>
  <c r="J47" i="2"/>
  <c r="W48" i="2"/>
  <c r="W51" i="2"/>
  <c r="L55" i="2"/>
  <c r="F54" i="11" s="1"/>
  <c r="H54" i="11" s="1"/>
  <c r="L64" i="2"/>
  <c r="F63" i="11" s="1"/>
  <c r="H63" i="11" s="1"/>
  <c r="J76" i="2"/>
  <c r="L80" i="2"/>
  <c r="F79" i="11" s="1"/>
  <c r="H79" i="11" s="1"/>
  <c r="J83" i="2"/>
  <c r="J89" i="2"/>
  <c r="S108" i="2"/>
  <c r="L121" i="2"/>
  <c r="F119" i="11" s="1"/>
  <c r="H119" i="11" s="1"/>
  <c r="W122" i="2"/>
  <c r="W127" i="2"/>
  <c r="R131" i="2"/>
  <c r="G128" i="8" s="1"/>
  <c r="I136" i="9"/>
  <c r="M139" i="2"/>
  <c r="W143" i="2"/>
  <c r="W147" i="2"/>
  <c r="W160" i="2"/>
  <c r="L169" i="2"/>
  <c r="F166" i="11" s="1"/>
  <c r="H166" i="11" s="1"/>
  <c r="W170" i="2"/>
  <c r="I185" i="9"/>
  <c r="T189" i="2"/>
  <c r="H185" i="8" s="1"/>
  <c r="U194" i="2"/>
  <c r="W197" i="2"/>
  <c r="L201" i="2"/>
  <c r="F198" i="11" s="1"/>
  <c r="H198" i="11" s="1"/>
  <c r="M202" i="2"/>
  <c r="L211" i="2"/>
  <c r="F208" i="11" s="1"/>
  <c r="H208" i="11" s="1"/>
  <c r="J216" i="2"/>
  <c r="M217" i="2"/>
  <c r="R218" i="2"/>
  <c r="W219" i="2"/>
  <c r="S223" i="2"/>
  <c r="L226" i="2"/>
  <c r="F223" i="11" s="1"/>
  <c r="H223" i="11" s="1"/>
  <c r="S227" i="2"/>
  <c r="T239" i="2"/>
  <c r="H233" i="8" s="1"/>
  <c r="M259" i="2"/>
  <c r="W260" i="2"/>
  <c r="R7" i="5"/>
  <c r="T34" i="5"/>
  <c r="U34" i="5"/>
  <c r="T44" i="5"/>
  <c r="P49" i="5"/>
  <c r="R75" i="5"/>
  <c r="Q75" i="5"/>
  <c r="P75" i="5"/>
  <c r="Q115" i="5"/>
  <c r="R115" i="5"/>
  <c r="U229" i="5"/>
  <c r="T229" i="5"/>
  <c r="R253" i="5"/>
  <c r="Q253" i="5"/>
  <c r="P253" i="5"/>
  <c r="U314" i="5"/>
  <c r="T314" i="5"/>
  <c r="R367" i="5"/>
  <c r="Q367" i="5"/>
  <c r="R426" i="5"/>
  <c r="Q426" i="5"/>
  <c r="P426" i="5"/>
  <c r="T454" i="5"/>
  <c r="U454" i="5"/>
  <c r="T481" i="5"/>
  <c r="P491" i="5"/>
  <c r="R491" i="5"/>
  <c r="Q491" i="5"/>
  <c r="P543" i="5"/>
  <c r="R543" i="5"/>
  <c r="U783" i="5"/>
  <c r="T783" i="5"/>
  <c r="H245" i="9"/>
  <c r="J273" i="2"/>
  <c r="W273" i="2"/>
  <c r="R167" i="5"/>
  <c r="Q167" i="5"/>
  <c r="S5" i="2"/>
  <c r="V6" i="2"/>
  <c r="U7" i="2"/>
  <c r="U11" i="2"/>
  <c r="I22" i="9"/>
  <c r="M27" i="2"/>
  <c r="T37" i="2"/>
  <c r="H36" i="8" s="1"/>
  <c r="W44" i="2"/>
  <c r="M55" i="2"/>
  <c r="T56" i="2"/>
  <c r="H55" i="8" s="1"/>
  <c r="J60" i="2"/>
  <c r="M64" i="2"/>
  <c r="W73" i="2"/>
  <c r="M80" i="2"/>
  <c r="W90" i="2"/>
  <c r="W107" i="2"/>
  <c r="T108" i="2"/>
  <c r="H107" i="8" s="1"/>
  <c r="M121" i="2"/>
  <c r="S131" i="2"/>
  <c r="J138" i="2"/>
  <c r="W153" i="2"/>
  <c r="I154" i="9"/>
  <c r="W157" i="2"/>
  <c r="I157" i="9"/>
  <c r="W163" i="2"/>
  <c r="J168" i="2"/>
  <c r="M169" i="2"/>
  <c r="L173" i="2"/>
  <c r="F170" i="11" s="1"/>
  <c r="H170" i="11" s="1"/>
  <c r="J179" i="2"/>
  <c r="J188" i="2"/>
  <c r="U189" i="2"/>
  <c r="W194" i="2"/>
  <c r="S218" i="2"/>
  <c r="T223" i="2"/>
  <c r="H219" i="8" s="1"/>
  <c r="U227" i="2"/>
  <c r="R230" i="2"/>
  <c r="G226" i="8" s="1"/>
  <c r="H218" i="9"/>
  <c r="M246" i="2"/>
  <c r="L246" i="2"/>
  <c r="F241" i="11" s="1"/>
  <c r="H241" i="11" s="1"/>
  <c r="R247" i="2"/>
  <c r="O247" i="2" s="1"/>
  <c r="I242" i="11" s="1"/>
  <c r="G242" i="11" s="1"/>
  <c r="Q49" i="5"/>
  <c r="U59" i="5"/>
  <c r="T59" i="5"/>
  <c r="P80" i="5"/>
  <c r="R80" i="5"/>
  <c r="Q80" i="5"/>
  <c r="U94" i="5"/>
  <c r="T94" i="5"/>
  <c r="Q182" i="5"/>
  <c r="R182" i="5"/>
  <c r="P182" i="5"/>
  <c r="U191" i="5"/>
  <c r="T191" i="5"/>
  <c r="R249" i="5"/>
  <c r="Q249" i="5"/>
  <c r="R264" i="5"/>
  <c r="Q264" i="5"/>
  <c r="U304" i="5"/>
  <c r="T304" i="5"/>
  <c r="Q334" i="5"/>
  <c r="R334" i="5"/>
  <c r="P334" i="5"/>
  <c r="R359" i="5"/>
  <c r="Q359" i="5"/>
  <c r="P403" i="5"/>
  <c r="R403" i="5"/>
  <c r="Q403" i="5"/>
  <c r="U548" i="5"/>
  <c r="T548" i="5"/>
  <c r="U1391" i="5"/>
  <c r="T1391" i="5"/>
  <c r="T129" i="5"/>
  <c r="U129" i="5"/>
  <c r="U210" i="5"/>
  <c r="T210" i="5"/>
  <c r="Q578" i="5"/>
  <c r="R578" i="5"/>
  <c r="P578" i="5"/>
  <c r="W5" i="2"/>
  <c r="W6" i="2"/>
  <c r="M10" i="2"/>
  <c r="W14" i="2"/>
  <c r="J23" i="2"/>
  <c r="T24" i="2"/>
  <c r="H23" i="8" s="1"/>
  <c r="L40" i="2"/>
  <c r="F39" i="11" s="1"/>
  <c r="H39" i="11" s="1"/>
  <c r="L43" i="2"/>
  <c r="F42" i="11" s="1"/>
  <c r="H42" i="11" s="1"/>
  <c r="I45" i="9"/>
  <c r="M47" i="2"/>
  <c r="R54" i="2"/>
  <c r="W56" i="2"/>
  <c r="J63" i="2"/>
  <c r="O64" i="2"/>
  <c r="L76" i="2"/>
  <c r="F75" i="11" s="1"/>
  <c r="H75" i="11" s="1"/>
  <c r="J79" i="2"/>
  <c r="U131" i="2"/>
  <c r="W139" i="2"/>
  <c r="J146" i="2"/>
  <c r="J156" i="2"/>
  <c r="J159" i="2"/>
  <c r="J185" i="2"/>
  <c r="W189" i="2"/>
  <c r="W202" i="2"/>
  <c r="J210" i="2"/>
  <c r="W211" i="2"/>
  <c r="W217" i="2"/>
  <c r="U223" i="2"/>
  <c r="W226" i="2"/>
  <c r="S230" i="2"/>
  <c r="I207" i="9"/>
  <c r="L234" i="2"/>
  <c r="F231" i="11" s="1"/>
  <c r="H231" i="11" s="1"/>
  <c r="H214" i="9"/>
  <c r="M242" i="2"/>
  <c r="S247" i="2"/>
  <c r="H234" i="9"/>
  <c r="W262" i="2"/>
  <c r="J262" i="2"/>
  <c r="J285" i="2"/>
  <c r="P24" i="5"/>
  <c r="P131" i="5"/>
  <c r="Q131" i="5"/>
  <c r="U157" i="5"/>
  <c r="T157" i="5"/>
  <c r="P249" i="5"/>
  <c r="P359" i="5"/>
  <c r="P450" i="5"/>
  <c r="R450" i="5"/>
  <c r="Q450" i="5"/>
  <c r="T477" i="5"/>
  <c r="U517" i="5"/>
  <c r="T517" i="5"/>
  <c r="U658" i="5"/>
  <c r="T658" i="5"/>
  <c r="U272" i="5"/>
  <c r="T272" i="5"/>
  <c r="P402" i="5"/>
  <c r="R402" i="5"/>
  <c r="Q402" i="5"/>
  <c r="W121" i="2"/>
  <c r="W131" i="2"/>
  <c r="J162" i="2"/>
  <c r="W169" i="2"/>
  <c r="J186" i="2"/>
  <c r="J191" i="2"/>
  <c r="M200" i="2"/>
  <c r="S201" i="2"/>
  <c r="T230" i="2"/>
  <c r="H226" i="8" s="1"/>
  <c r="U247" i="2"/>
  <c r="Q24" i="5"/>
  <c r="R76" i="5"/>
  <c r="Q76" i="5"/>
  <c r="U163" i="5"/>
  <c r="T163" i="5"/>
  <c r="U186" i="5"/>
  <c r="T186" i="5"/>
  <c r="R212" i="5"/>
  <c r="Q212" i="5"/>
  <c r="P212" i="5"/>
  <c r="Q217" i="5"/>
  <c r="R217" i="5"/>
  <c r="R239" i="5"/>
  <c r="Q239" i="5"/>
  <c r="Q254" i="5"/>
  <c r="P254" i="5"/>
  <c r="U269" i="5"/>
  <c r="T269" i="5"/>
  <c r="R311" i="5"/>
  <c r="Q311" i="5"/>
  <c r="T326" i="5"/>
  <c r="U326" i="5"/>
  <c r="U982" i="5"/>
  <c r="T982" i="5"/>
  <c r="Q39" i="5"/>
  <c r="R39" i="5"/>
  <c r="P39" i="5"/>
  <c r="P338" i="5"/>
  <c r="R338" i="5"/>
  <c r="J9" i="2"/>
  <c r="I15" i="9"/>
  <c r="L23" i="2"/>
  <c r="F22" i="11" s="1"/>
  <c r="H22" i="11" s="1"/>
  <c r="J26" i="2"/>
  <c r="S55" i="2"/>
  <c r="M63" i="2"/>
  <c r="L72" i="2"/>
  <c r="F71" i="11" s="1"/>
  <c r="H71" i="11" s="1"/>
  <c r="L79" i="2"/>
  <c r="F78" i="11" s="1"/>
  <c r="H78" i="11" s="1"/>
  <c r="L126" i="2"/>
  <c r="F124" i="11" s="1"/>
  <c r="H124" i="11" s="1"/>
  <c r="L210" i="2"/>
  <c r="F207" i="11" s="1"/>
  <c r="H207" i="11" s="1"/>
  <c r="W218" i="2"/>
  <c r="M229" i="2"/>
  <c r="U246" i="2"/>
  <c r="H230" i="9"/>
  <c r="M258" i="2"/>
  <c r="L258" i="2"/>
  <c r="F253" i="11" s="1"/>
  <c r="H253" i="11" s="1"/>
  <c r="J258" i="2"/>
  <c r="M262" i="2"/>
  <c r="H247" i="9"/>
  <c r="M275" i="2"/>
  <c r="R9" i="5"/>
  <c r="Q9" i="5"/>
  <c r="P76" i="5"/>
  <c r="Q187" i="5"/>
  <c r="R187" i="5"/>
  <c r="P187" i="5"/>
  <c r="U197" i="5"/>
  <c r="T197" i="5"/>
  <c r="P217" i="5"/>
  <c r="R250" i="5"/>
  <c r="P250" i="5"/>
  <c r="R254" i="5"/>
  <c r="U339" i="5"/>
  <c r="T339" i="5"/>
  <c r="T384" i="5"/>
  <c r="P417" i="5"/>
  <c r="U190" i="5"/>
  <c r="T190" i="5"/>
  <c r="U604" i="5"/>
  <c r="T604" i="5"/>
  <c r="J16" i="2"/>
  <c r="M23" i="2"/>
  <c r="I31" i="9"/>
  <c r="J39" i="2"/>
  <c r="L46" i="2"/>
  <c r="F45" i="11" s="1"/>
  <c r="H45" i="11" s="1"/>
  <c r="L53" i="2"/>
  <c r="F52" i="11" s="1"/>
  <c r="H52" i="11" s="1"/>
  <c r="U55" i="2"/>
  <c r="I58" i="9"/>
  <c r="S64" i="2"/>
  <c r="M72" i="2"/>
  <c r="I77" i="9"/>
  <c r="M79" i="2"/>
  <c r="M93" i="2"/>
  <c r="T130" i="2"/>
  <c r="H127" i="8" s="1"/>
  <c r="J141" i="2"/>
  <c r="W146" i="2"/>
  <c r="I153" i="9"/>
  <c r="W159" i="2"/>
  <c r="J175" i="2"/>
  <c r="J184" i="2"/>
  <c r="M185" i="2"/>
  <c r="L186" i="2"/>
  <c r="F183" i="11" s="1"/>
  <c r="H183" i="11" s="1"/>
  <c r="G184" i="12" s="1"/>
  <c r="L225" i="2"/>
  <c r="F222" i="11" s="1"/>
  <c r="H222" i="11" s="1"/>
  <c r="L233" i="2"/>
  <c r="F230" i="11" s="1"/>
  <c r="H230" i="11" s="1"/>
  <c r="H227" i="9"/>
  <c r="W255" i="2"/>
  <c r="R41" i="5"/>
  <c r="Q41" i="5"/>
  <c r="P41" i="5"/>
  <c r="Q153" i="5"/>
  <c r="P153" i="5"/>
  <c r="Q198" i="5"/>
  <c r="R198" i="5"/>
  <c r="P198" i="5"/>
  <c r="U254" i="5"/>
  <c r="T254" i="5"/>
  <c r="U260" i="5"/>
  <c r="T260" i="5"/>
  <c r="T275" i="5"/>
  <c r="U275" i="5"/>
  <c r="P306" i="5"/>
  <c r="R306" i="5"/>
  <c r="Q306" i="5"/>
  <c r="R470" i="5"/>
  <c r="Q470" i="5"/>
  <c r="U565" i="5"/>
  <c r="T565" i="5"/>
  <c r="T1286" i="5"/>
  <c r="U1286" i="5"/>
  <c r="H231" i="9"/>
  <c r="S259" i="2"/>
  <c r="R124" i="5"/>
  <c r="P124" i="5"/>
  <c r="J19" i="2"/>
  <c r="J32" i="2"/>
  <c r="J42" i="2"/>
  <c r="J58" i="2"/>
  <c r="J62" i="2"/>
  <c r="U63" i="2"/>
  <c r="J78" i="2"/>
  <c r="I104" i="9"/>
  <c r="M106" i="2"/>
  <c r="O106" i="2" s="1"/>
  <c r="I105" i="11" s="1"/>
  <c r="G105" i="11" s="1"/>
  <c r="W109" i="2"/>
  <c r="W120" i="2"/>
  <c r="L124" i="2"/>
  <c r="F122" i="11" s="1"/>
  <c r="H122" i="11" s="1"/>
  <c r="W162" i="2"/>
  <c r="M186" i="2"/>
  <c r="S191" i="2"/>
  <c r="W210" i="2"/>
  <c r="U229" i="2"/>
  <c r="M233" i="2"/>
  <c r="J237" i="2"/>
  <c r="G216" i="9"/>
  <c r="I216" i="9" s="1"/>
  <c r="R244" i="2"/>
  <c r="G238" i="8" s="1"/>
  <c r="I238" i="8" s="1"/>
  <c r="L255" i="2"/>
  <c r="F250" i="11" s="1"/>
  <c r="H250" i="11" s="1"/>
  <c r="W258" i="2"/>
  <c r="G253" i="9"/>
  <c r="T281" i="2"/>
  <c r="H275" i="8" s="1"/>
  <c r="Q61" i="5"/>
  <c r="P91" i="5"/>
  <c r="R91" i="5"/>
  <c r="Q91" i="5"/>
  <c r="R153" i="5"/>
  <c r="R159" i="5"/>
  <c r="Q159" i="5"/>
  <c r="P159" i="5"/>
  <c r="T202" i="5"/>
  <c r="R207" i="5"/>
  <c r="Q207" i="5"/>
  <c r="U244" i="5"/>
  <c r="T244" i="5"/>
  <c r="P355" i="5"/>
  <c r="R355" i="5"/>
  <c r="Q355" i="5"/>
  <c r="P470" i="5"/>
  <c r="Q527" i="5"/>
  <c r="T559" i="5"/>
  <c r="U586" i="5"/>
  <c r="T586" i="5"/>
  <c r="U623" i="5"/>
  <c r="T623" i="5"/>
  <c r="Q934" i="5"/>
  <c r="P934" i="5"/>
  <c r="R934" i="5"/>
  <c r="M88" i="2"/>
  <c r="L92" i="2"/>
  <c r="F91" i="11" s="1"/>
  <c r="H91" i="11" s="1"/>
  <c r="S93" i="2"/>
  <c r="J105" i="2"/>
  <c r="I168" i="9"/>
  <c r="L184" i="2"/>
  <c r="F181" i="11" s="1"/>
  <c r="H181" i="11" s="1"/>
  <c r="O186" i="2"/>
  <c r="J209" i="2"/>
  <c r="J221" i="2"/>
  <c r="W229" i="2"/>
  <c r="J244" i="2"/>
  <c r="M255" i="2"/>
  <c r="U20" i="5"/>
  <c r="P37" i="5"/>
  <c r="Q46" i="5"/>
  <c r="R61" i="5"/>
  <c r="T96" i="5"/>
  <c r="U207" i="5"/>
  <c r="T207" i="5"/>
  <c r="U317" i="5"/>
  <c r="T317" i="5"/>
  <c r="M16" i="2"/>
  <c r="M19" i="2"/>
  <c r="L32" i="2"/>
  <c r="F31" i="11" s="1"/>
  <c r="H31" i="11" s="1"/>
  <c r="M39" i="2"/>
  <c r="M42" i="2"/>
  <c r="W46" i="2"/>
  <c r="M58" i="2"/>
  <c r="V64" i="2"/>
  <c r="M78" i="2"/>
  <c r="M92" i="2"/>
  <c r="R106" i="2"/>
  <c r="L116" i="2"/>
  <c r="F114" i="11" s="1"/>
  <c r="H114" i="11" s="1"/>
  <c r="I152" i="9"/>
  <c r="J161" i="2"/>
  <c r="S185" i="2"/>
  <c r="U191" i="2"/>
  <c r="V192" i="2"/>
  <c r="R199" i="2"/>
  <c r="G195" i="8" s="1"/>
  <c r="I195" i="8" s="1"/>
  <c r="G197" i="12" s="1"/>
  <c r="T278" i="2"/>
  <c r="H272" i="8" s="1"/>
  <c r="H253" i="9"/>
  <c r="U281" i="2"/>
  <c r="U25" i="5"/>
  <c r="T25" i="5"/>
  <c r="U106" i="5"/>
  <c r="T106" i="5"/>
  <c r="R218" i="5"/>
  <c r="P218" i="5"/>
  <c r="R266" i="5"/>
  <c r="Q266" i="5"/>
  <c r="P266" i="5"/>
  <c r="U381" i="5"/>
  <c r="T381" i="5"/>
  <c r="U386" i="5"/>
  <c r="T386" i="5"/>
  <c r="Q446" i="5"/>
  <c r="R446" i="5"/>
  <c r="P446" i="5"/>
  <c r="Q457" i="5"/>
  <c r="P457" i="5"/>
  <c r="U550" i="5"/>
  <c r="T550" i="5"/>
  <c r="U704" i="5"/>
  <c r="T704" i="5"/>
  <c r="U847" i="5"/>
  <c r="T847" i="5"/>
  <c r="Q1272" i="5"/>
  <c r="R1272" i="5"/>
  <c r="P1272" i="5"/>
  <c r="J74" i="2"/>
  <c r="U93" i="2"/>
  <c r="W99" i="2"/>
  <c r="L105" i="2"/>
  <c r="F104" i="11" s="1"/>
  <c r="H104" i="11" s="1"/>
  <c r="J109" i="2"/>
  <c r="R124" i="2"/>
  <c r="T125" i="2"/>
  <c r="H123" i="8" s="1"/>
  <c r="L129" i="2"/>
  <c r="F127" i="11" s="1"/>
  <c r="H127" i="11" s="1"/>
  <c r="I138" i="9"/>
  <c r="J154" i="2"/>
  <c r="I182" i="8"/>
  <c r="J195" i="2"/>
  <c r="L209" i="2"/>
  <c r="F206" i="11" s="1"/>
  <c r="H206" i="11" s="1"/>
  <c r="M221" i="2"/>
  <c r="I201" i="9"/>
  <c r="J236" i="2"/>
  <c r="J240" i="2"/>
  <c r="L244" i="2"/>
  <c r="F239" i="11" s="1"/>
  <c r="H239" i="11" s="1"/>
  <c r="G240" i="12" s="1"/>
  <c r="W252" i="2"/>
  <c r="U252" i="2"/>
  <c r="H229" i="9"/>
  <c r="U257" i="2"/>
  <c r="M257" i="2"/>
  <c r="O257" i="2" s="1"/>
  <c r="I252" i="11" s="1"/>
  <c r="G252" i="11" s="1"/>
  <c r="L257" i="2"/>
  <c r="F252" i="11" s="1"/>
  <c r="H252" i="11" s="1"/>
  <c r="P42" i="5"/>
  <c r="R42" i="5"/>
  <c r="T56" i="5"/>
  <c r="U72" i="5"/>
  <c r="T72" i="5"/>
  <c r="T136" i="5"/>
  <c r="U174" i="5"/>
  <c r="T174" i="5"/>
  <c r="T213" i="5"/>
  <c r="Q218" i="5"/>
  <c r="U437" i="5"/>
  <c r="T437" i="5"/>
  <c r="R457" i="5"/>
  <c r="P524" i="5"/>
  <c r="P576" i="5"/>
  <c r="U700" i="5"/>
  <c r="T700" i="5"/>
  <c r="U839" i="5"/>
  <c r="T843" i="5"/>
  <c r="Q853" i="5"/>
  <c r="P853" i="5"/>
  <c r="R853" i="5"/>
  <c r="I37" i="9"/>
  <c r="J6" i="2"/>
  <c r="J7" i="2"/>
  <c r="W19" i="2"/>
  <c r="J28" i="2"/>
  <c r="J38" i="2"/>
  <c r="I47" i="9"/>
  <c r="W62" i="2"/>
  <c r="W78" i="2"/>
  <c r="J104" i="2"/>
  <c r="T106" i="2"/>
  <c r="H105" i="8" s="1"/>
  <c r="I110" i="9"/>
  <c r="I120" i="9"/>
  <c r="J140" i="2"/>
  <c r="J143" i="2"/>
  <c r="I167" i="9"/>
  <c r="I194" i="8"/>
  <c r="J218" i="2"/>
  <c r="G220" i="9"/>
  <c r="I220" i="9" s="1"/>
  <c r="R248" i="2"/>
  <c r="I232" i="9"/>
  <c r="J277" i="2"/>
  <c r="P78" i="5"/>
  <c r="U122" i="5"/>
  <c r="T122" i="5"/>
  <c r="R223" i="5"/>
  <c r="Q223" i="5"/>
  <c r="R228" i="5"/>
  <c r="Q228" i="5"/>
  <c r="U232" i="5"/>
  <c r="U288" i="5"/>
  <c r="T288" i="5"/>
  <c r="T835" i="5"/>
  <c r="U835" i="5"/>
  <c r="U1070" i="5"/>
  <c r="T1070" i="5"/>
  <c r="S221" i="2"/>
  <c r="G251" i="8"/>
  <c r="V257" i="2"/>
  <c r="G258" i="9"/>
  <c r="T286" i="2"/>
  <c r="R286" i="2"/>
  <c r="V286" i="2" s="1"/>
  <c r="U146" i="5"/>
  <c r="T146" i="5"/>
  <c r="P228" i="5"/>
  <c r="T278" i="5"/>
  <c r="U278" i="5"/>
  <c r="Q284" i="5"/>
  <c r="P284" i="5"/>
  <c r="T313" i="5"/>
  <c r="U313" i="5"/>
  <c r="T453" i="5"/>
  <c r="Q573" i="5"/>
  <c r="R573" i="5"/>
  <c r="P573" i="5"/>
  <c r="T608" i="5"/>
  <c r="R1081" i="5"/>
  <c r="Q1081" i="5"/>
  <c r="Q1148" i="5"/>
  <c r="R1148" i="5"/>
  <c r="O6" i="2"/>
  <c r="L7" i="2"/>
  <c r="F6" i="11" s="1"/>
  <c r="H6" i="11" s="1"/>
  <c r="U8" i="2"/>
  <c r="L28" i="2"/>
  <c r="F27" i="11" s="1"/>
  <c r="H27" i="11" s="1"/>
  <c r="T52" i="2"/>
  <c r="H51" i="8" s="1"/>
  <c r="L104" i="2"/>
  <c r="F103" i="11" s="1"/>
  <c r="H103" i="11" s="1"/>
  <c r="M140" i="2"/>
  <c r="I155" i="9"/>
  <c r="I158" i="9"/>
  <c r="L248" i="2"/>
  <c r="F243" i="11" s="1"/>
  <c r="H243" i="11" s="1"/>
  <c r="H243" i="9"/>
  <c r="I243" i="9" s="1"/>
  <c r="W271" i="2"/>
  <c r="M271" i="2"/>
  <c r="L271" i="2"/>
  <c r="F266" i="11" s="1"/>
  <c r="H266" i="11" s="1"/>
  <c r="R133" i="5"/>
  <c r="P133" i="5"/>
  <c r="T170" i="5"/>
  <c r="R215" i="5"/>
  <c r="P215" i="5"/>
  <c r="T223" i="5"/>
  <c r="Q247" i="5"/>
  <c r="R247" i="5"/>
  <c r="P247" i="5"/>
  <c r="R284" i="5"/>
  <c r="T485" i="5"/>
  <c r="R500" i="5"/>
  <c r="P500" i="5"/>
  <c r="Q810" i="5"/>
  <c r="P810" i="5"/>
  <c r="T1055" i="5"/>
  <c r="U1055" i="5"/>
  <c r="M7" i="2"/>
  <c r="J14" i="2"/>
  <c r="M31" i="2"/>
  <c r="W38" i="2"/>
  <c r="J44" i="2"/>
  <c r="L48" i="2"/>
  <c r="F47" i="11" s="1"/>
  <c r="H47" i="11" s="1"/>
  <c r="R57" i="2"/>
  <c r="U58" i="2"/>
  <c r="S67" i="2"/>
  <c r="R91" i="2"/>
  <c r="O91" i="2" s="1"/>
  <c r="L101" i="2"/>
  <c r="F100" i="11" s="1"/>
  <c r="H100" i="11" s="1"/>
  <c r="M104" i="2"/>
  <c r="J108" i="2"/>
  <c r="U109" i="2"/>
  <c r="L122" i="2"/>
  <c r="F120" i="11" s="1"/>
  <c r="H120" i="11" s="1"/>
  <c r="I137" i="9"/>
  <c r="S143" i="2"/>
  <c r="J147" i="2"/>
  <c r="J157" i="2"/>
  <c r="J160" i="2"/>
  <c r="L166" i="2"/>
  <c r="F163" i="11" s="1"/>
  <c r="H163" i="11" s="1"/>
  <c r="I166" i="9"/>
  <c r="L170" i="2"/>
  <c r="F167" i="11" s="1"/>
  <c r="H167" i="11" s="1"/>
  <c r="L177" i="2"/>
  <c r="F174" i="11" s="1"/>
  <c r="H174" i="11" s="1"/>
  <c r="W186" i="2"/>
  <c r="M189" i="2"/>
  <c r="V198" i="2"/>
  <c r="U221" i="2"/>
  <c r="I197" i="9"/>
  <c r="O227" i="2"/>
  <c r="I224" i="11" s="1"/>
  <c r="G224" i="11" s="1"/>
  <c r="H211" i="9"/>
  <c r="J239" i="2"/>
  <c r="U244" i="2"/>
  <c r="J247" i="2"/>
  <c r="M248" i="2"/>
  <c r="G231" i="9"/>
  <c r="I231" i="9" s="1"/>
  <c r="T259" i="2"/>
  <c r="H253" i="8" s="1"/>
  <c r="J280" i="2"/>
  <c r="U371" i="5"/>
  <c r="T371" i="5"/>
  <c r="R805" i="5"/>
  <c r="P805" i="5"/>
  <c r="J263" i="2"/>
  <c r="U338" i="5"/>
  <c r="T338" i="5"/>
  <c r="Q351" i="5"/>
  <c r="P351" i="5"/>
  <c r="T359" i="5"/>
  <c r="U359" i="5"/>
  <c r="R377" i="5"/>
  <c r="Q377" i="5"/>
  <c r="P377" i="5"/>
  <c r="R394" i="5"/>
  <c r="Q394" i="5"/>
  <c r="Q410" i="5"/>
  <c r="P410" i="5"/>
  <c r="R609" i="5"/>
  <c r="Q609" i="5"/>
  <c r="Q639" i="5"/>
  <c r="R639" i="5"/>
  <c r="U1002" i="5"/>
  <c r="T1002" i="5"/>
  <c r="U1186" i="5"/>
  <c r="T1186" i="5"/>
  <c r="Q1243" i="5"/>
  <c r="R1243" i="5"/>
  <c r="P1243" i="5"/>
  <c r="T1307" i="5"/>
  <c r="U1307" i="5"/>
  <c r="U1354" i="5"/>
  <c r="T1354" i="5"/>
  <c r="R1398" i="5"/>
  <c r="Q1398" i="5"/>
  <c r="P8" i="5"/>
  <c r="T11" i="5"/>
  <c r="Q16" i="5"/>
  <c r="P21" i="5"/>
  <c r="T28" i="5"/>
  <c r="P33" i="5"/>
  <c r="T57" i="5"/>
  <c r="P71" i="5"/>
  <c r="T89" i="5"/>
  <c r="Q93" i="5"/>
  <c r="Q101" i="5"/>
  <c r="T109" i="5"/>
  <c r="P121" i="5"/>
  <c r="T144" i="5"/>
  <c r="T155" i="5"/>
  <c r="P171" i="5"/>
  <c r="T189" i="5"/>
  <c r="P193" i="5"/>
  <c r="R200" i="5"/>
  <c r="P203" i="5"/>
  <c r="P214" i="5"/>
  <c r="T234" i="5"/>
  <c r="P241" i="5"/>
  <c r="P252" i="5"/>
  <c r="Q259" i="5"/>
  <c r="Q280" i="5"/>
  <c r="R280" i="5"/>
  <c r="U284" i="5"/>
  <c r="R305" i="5"/>
  <c r="P305" i="5"/>
  <c r="P322" i="5"/>
  <c r="R322" i="5"/>
  <c r="T347" i="5"/>
  <c r="R351" i="5"/>
  <c r="P385" i="5"/>
  <c r="P394" i="5"/>
  <c r="T406" i="5"/>
  <c r="U406" i="5"/>
  <c r="R410" i="5"/>
  <c r="P414" i="5"/>
  <c r="T417" i="5"/>
  <c r="Q434" i="5"/>
  <c r="R438" i="5"/>
  <c r="Q438" i="5"/>
  <c r="P449" i="5"/>
  <c r="R458" i="5"/>
  <c r="Q458" i="5"/>
  <c r="T462" i="5"/>
  <c r="U520" i="5"/>
  <c r="T524" i="5"/>
  <c r="T527" i="5"/>
  <c r="U569" i="5"/>
  <c r="P609" i="5"/>
  <c r="T644" i="5"/>
  <c r="R654" i="5"/>
  <c r="Q654" i="5"/>
  <c r="Q669" i="5"/>
  <c r="R669" i="5"/>
  <c r="R753" i="5"/>
  <c r="Q753" i="5"/>
  <c r="P753" i="5"/>
  <c r="R774" i="5"/>
  <c r="Q774" i="5"/>
  <c r="P774" i="5"/>
  <c r="Q778" i="5"/>
  <c r="R778" i="5"/>
  <c r="P778" i="5"/>
  <c r="T929" i="5"/>
  <c r="U929" i="5"/>
  <c r="T1243" i="5"/>
  <c r="U1243" i="5"/>
  <c r="Q1392" i="5"/>
  <c r="R1392" i="5"/>
  <c r="P1398" i="5"/>
  <c r="I213" i="9"/>
  <c r="I234" i="9"/>
  <c r="L263" i="2"/>
  <c r="F258" i="11" s="1"/>
  <c r="H258" i="11" s="1"/>
  <c r="J266" i="2"/>
  <c r="J269" i="2"/>
  <c r="L276" i="2"/>
  <c r="F271" i="11" s="1"/>
  <c r="H271" i="11" s="1"/>
  <c r="Q8" i="5"/>
  <c r="Q21" i="5"/>
  <c r="Q33" i="5"/>
  <c r="Q71" i="5"/>
  <c r="R121" i="5"/>
  <c r="R171" i="5"/>
  <c r="R203" i="5"/>
  <c r="R214" i="5"/>
  <c r="Q241" i="5"/>
  <c r="R252" i="5"/>
  <c r="R414" i="5"/>
  <c r="R434" i="5"/>
  <c r="P570" i="5"/>
  <c r="R570" i="5"/>
  <c r="Q570" i="5"/>
  <c r="R601" i="5"/>
  <c r="Q601" i="5"/>
  <c r="R645" i="5"/>
  <c r="Q645" i="5"/>
  <c r="U724" i="5"/>
  <c r="T724" i="5"/>
  <c r="U753" i="5"/>
  <c r="T753" i="5"/>
  <c r="U794" i="5"/>
  <c r="T794" i="5"/>
  <c r="Q830" i="5"/>
  <c r="U951" i="5"/>
  <c r="T951" i="5"/>
  <c r="R957" i="5"/>
  <c r="Q957" i="5"/>
  <c r="P957" i="5"/>
  <c r="U1181" i="5"/>
  <c r="T1232" i="5"/>
  <c r="M263" i="2"/>
  <c r="T62" i="5"/>
  <c r="P90" i="5"/>
  <c r="T93" i="5"/>
  <c r="P110" i="5"/>
  <c r="U113" i="5"/>
  <c r="P149" i="5"/>
  <c r="T159" i="5"/>
  <c r="P175" i="5"/>
  <c r="P225" i="5"/>
  <c r="R232" i="5"/>
  <c r="P235" i="5"/>
  <c r="T249" i="5"/>
  <c r="T280" i="5"/>
  <c r="P285" i="5"/>
  <c r="P290" i="5"/>
  <c r="R290" i="5"/>
  <c r="T301" i="5"/>
  <c r="P318" i="5"/>
  <c r="U373" i="5"/>
  <c r="T373" i="5"/>
  <c r="P386" i="5"/>
  <c r="R386" i="5"/>
  <c r="Q386" i="5"/>
  <c r="P467" i="5"/>
  <c r="R467" i="5"/>
  <c r="R540" i="5"/>
  <c r="P540" i="5"/>
  <c r="Q565" i="5"/>
  <c r="T601" i="5"/>
  <c r="U601" i="5"/>
  <c r="R625" i="5"/>
  <c r="Q625" i="5"/>
  <c r="P625" i="5"/>
  <c r="Q635" i="5"/>
  <c r="U645" i="5"/>
  <c r="T645" i="5"/>
  <c r="U665" i="5"/>
  <c r="T673" i="5"/>
  <c r="P683" i="5"/>
  <c r="R687" i="5"/>
  <c r="T806" i="5"/>
  <c r="U806" i="5"/>
  <c r="Q888" i="5"/>
  <c r="R888" i="5"/>
  <c r="Q903" i="5"/>
  <c r="R903" i="5"/>
  <c r="U947" i="5"/>
  <c r="R1041" i="5"/>
  <c r="Q1041" i="5"/>
  <c r="P1041" i="5"/>
  <c r="R1128" i="5"/>
  <c r="P1128" i="5"/>
  <c r="T1175" i="5"/>
  <c r="U1175" i="5"/>
  <c r="Q616" i="5"/>
  <c r="R616" i="5"/>
  <c r="P616" i="5"/>
  <c r="R640" i="5"/>
  <c r="P640" i="5"/>
  <c r="Q655" i="5"/>
  <c r="R655" i="5"/>
  <c r="U660" i="5"/>
  <c r="T660" i="5"/>
  <c r="T790" i="5"/>
  <c r="U790" i="5"/>
  <c r="R868" i="5"/>
  <c r="Q868" i="5"/>
  <c r="P868" i="5"/>
  <c r="P893" i="5"/>
  <c r="R893" i="5"/>
  <c r="Q893" i="5"/>
  <c r="Q909" i="5"/>
  <c r="R909" i="5"/>
  <c r="R1267" i="5"/>
  <c r="Q1267" i="5"/>
  <c r="P1267" i="5"/>
  <c r="Q1382" i="5"/>
  <c r="P1382" i="5"/>
  <c r="R423" i="5"/>
  <c r="Q423" i="5"/>
  <c r="T521" i="5"/>
  <c r="U521" i="5"/>
  <c r="R529" i="5"/>
  <c r="Q529" i="5"/>
  <c r="R537" i="5"/>
  <c r="Q537" i="5"/>
  <c r="P537" i="5"/>
  <c r="Q557" i="5"/>
  <c r="R557" i="5"/>
  <c r="P557" i="5"/>
  <c r="P621" i="5"/>
  <c r="R661" i="5"/>
  <c r="Q661" i="5"/>
  <c r="R822" i="5"/>
  <c r="Q822" i="5"/>
  <c r="P909" i="5"/>
  <c r="Q920" i="5"/>
  <c r="R920" i="5"/>
  <c r="P920" i="5"/>
  <c r="Q1293" i="5"/>
  <c r="R1293" i="5"/>
  <c r="P1293" i="5"/>
  <c r="Q1366" i="5"/>
  <c r="R1366" i="5"/>
  <c r="P1366" i="5"/>
  <c r="T1375" i="5"/>
  <c r="R1382" i="5"/>
  <c r="U294" i="5"/>
  <c r="Q345" i="5"/>
  <c r="P345" i="5"/>
  <c r="R365" i="5"/>
  <c r="Q365" i="5"/>
  <c r="P365" i="5"/>
  <c r="T368" i="5"/>
  <c r="P387" i="5"/>
  <c r="R387" i="5"/>
  <c r="Q399" i="5"/>
  <c r="P399" i="5"/>
  <c r="T403" i="5"/>
  <c r="U407" i="5"/>
  <c r="Q419" i="5"/>
  <c r="P423" i="5"/>
  <c r="P439" i="5"/>
  <c r="T442" i="5"/>
  <c r="T450" i="5"/>
  <c r="T478" i="5"/>
  <c r="T487" i="5"/>
  <c r="U491" i="5"/>
  <c r="T496" i="5"/>
  <c r="P513" i="5"/>
  <c r="T525" i="5"/>
  <c r="P529" i="5"/>
  <c r="P561" i="5"/>
  <c r="T582" i="5"/>
  <c r="P592" i="5"/>
  <c r="T596" i="5"/>
  <c r="R621" i="5"/>
  <c r="R735" i="5"/>
  <c r="R755" i="5"/>
  <c r="Q755" i="5"/>
  <c r="P755" i="5"/>
  <c r="R787" i="5"/>
  <c r="Q787" i="5"/>
  <c r="Q812" i="5"/>
  <c r="R812" i="5"/>
  <c r="P822" i="5"/>
  <c r="T893" i="5"/>
  <c r="T915" i="5"/>
  <c r="U915" i="5"/>
  <c r="R979" i="5"/>
  <c r="P979" i="5"/>
  <c r="R985" i="5"/>
  <c r="Q985" i="5"/>
  <c r="R1145" i="5"/>
  <c r="Q1145" i="5"/>
  <c r="T1249" i="5"/>
  <c r="U1258" i="5"/>
  <c r="T1258" i="5"/>
  <c r="U1293" i="5"/>
  <c r="T1293" i="5"/>
  <c r="U1312" i="5"/>
  <c r="T1312" i="5"/>
  <c r="P1319" i="5"/>
  <c r="R1319" i="5"/>
  <c r="Q1319" i="5"/>
  <c r="Q1400" i="5"/>
  <c r="R1400" i="5"/>
  <c r="I246" i="9"/>
  <c r="J278" i="2"/>
  <c r="J279" i="2"/>
  <c r="Q138" i="5"/>
  <c r="Q180" i="5"/>
  <c r="R201" i="5"/>
  <c r="Q222" i="5"/>
  <c r="R256" i="5"/>
  <c r="U267" i="5"/>
  <c r="T267" i="5"/>
  <c r="R295" i="5"/>
  <c r="P295" i="5"/>
  <c r="U311" i="5"/>
  <c r="T323" i="5"/>
  <c r="R345" i="5"/>
  <c r="P349" i="5"/>
  <c r="U374" i="5"/>
  <c r="T378" i="5"/>
  <c r="Q387" i="5"/>
  <c r="R399" i="5"/>
  <c r="R419" i="5"/>
  <c r="Q439" i="5"/>
  <c r="U446" i="5"/>
  <c r="T446" i="5"/>
  <c r="P451" i="5"/>
  <c r="R451" i="5"/>
  <c r="U471" i="5"/>
  <c r="T483" i="5"/>
  <c r="R509" i="5"/>
  <c r="Q513" i="5"/>
  <c r="R518" i="5"/>
  <c r="Q518" i="5"/>
  <c r="P545" i="5"/>
  <c r="Q549" i="5"/>
  <c r="T553" i="5"/>
  <c r="U553" i="5"/>
  <c r="Q561" i="5"/>
  <c r="P571" i="5"/>
  <c r="T578" i="5"/>
  <c r="U592" i="5"/>
  <c r="T592" i="5"/>
  <c r="Q617" i="5"/>
  <c r="R626" i="5"/>
  <c r="T698" i="5"/>
  <c r="U735" i="5"/>
  <c r="T735" i="5"/>
  <c r="T755" i="5"/>
  <c r="U755" i="5"/>
  <c r="P787" i="5"/>
  <c r="R796" i="5"/>
  <c r="T801" i="5"/>
  <c r="U817" i="5"/>
  <c r="T817" i="5"/>
  <c r="R884" i="5"/>
  <c r="Q884" i="5"/>
  <c r="P985" i="5"/>
  <c r="T1199" i="5"/>
  <c r="U1199" i="5"/>
  <c r="U1229" i="5"/>
  <c r="T1229" i="5"/>
  <c r="T1234" i="5"/>
  <c r="U1234" i="5"/>
  <c r="P1285" i="5"/>
  <c r="R1285" i="5"/>
  <c r="R1324" i="5"/>
  <c r="Q1324" i="5"/>
  <c r="P1324" i="5"/>
  <c r="P1356" i="5"/>
  <c r="R312" i="5"/>
  <c r="Q312" i="5"/>
  <c r="U369" i="5"/>
  <c r="T369" i="5"/>
  <c r="U419" i="5"/>
  <c r="T419" i="5"/>
  <c r="U475" i="5"/>
  <c r="T475" i="5"/>
  <c r="Q545" i="5"/>
  <c r="U561" i="5"/>
  <c r="T561" i="5"/>
  <c r="Q571" i="5"/>
  <c r="U574" i="5"/>
  <c r="U626" i="5"/>
  <c r="T626" i="5"/>
  <c r="T636" i="5"/>
  <c r="U716" i="5"/>
  <c r="T716" i="5"/>
  <c r="P721" i="5"/>
  <c r="Q870" i="5"/>
  <c r="P870" i="5"/>
  <c r="P884" i="5"/>
  <c r="R932" i="5"/>
  <c r="Q932" i="5"/>
  <c r="T1011" i="5"/>
  <c r="P1195" i="5"/>
  <c r="R1195" i="5"/>
  <c r="Q1195" i="5"/>
  <c r="Q1285" i="5"/>
  <c r="Q1356" i="5"/>
  <c r="T1360" i="5"/>
  <c r="U52" i="5"/>
  <c r="P56" i="5"/>
  <c r="P88" i="5"/>
  <c r="P95" i="5"/>
  <c r="Q103" i="5"/>
  <c r="P107" i="5"/>
  <c r="Q111" i="5"/>
  <c r="T115" i="5"/>
  <c r="T138" i="5"/>
  <c r="P154" i="5"/>
  <c r="P158" i="5"/>
  <c r="T165" i="5"/>
  <c r="R184" i="5"/>
  <c r="T201" i="5"/>
  <c r="P230" i="5"/>
  <c r="T239" i="5"/>
  <c r="P243" i="5"/>
  <c r="T250" i="5"/>
  <c r="P261" i="5"/>
  <c r="T264" i="5"/>
  <c r="P268" i="5"/>
  <c r="R282" i="5"/>
  <c r="Q282" i="5"/>
  <c r="P303" i="5"/>
  <c r="P312" i="5"/>
  <c r="T315" i="5"/>
  <c r="U332" i="5"/>
  <c r="U345" i="5"/>
  <c r="T357" i="5"/>
  <c r="P375" i="5"/>
  <c r="P383" i="5"/>
  <c r="Q396" i="5"/>
  <c r="R396" i="5"/>
  <c r="P396" i="5"/>
  <c r="T435" i="5"/>
  <c r="U439" i="5"/>
  <c r="P447" i="5"/>
  <c r="P468" i="5"/>
  <c r="R472" i="5"/>
  <c r="P484" i="5"/>
  <c r="T501" i="5"/>
  <c r="T509" i="5"/>
  <c r="Q538" i="5"/>
  <c r="T549" i="5"/>
  <c r="Q637" i="5"/>
  <c r="R637" i="5"/>
  <c r="P637" i="5"/>
  <c r="T684" i="5"/>
  <c r="R828" i="5"/>
  <c r="Q828" i="5"/>
  <c r="T969" i="5"/>
  <c r="U969" i="5"/>
  <c r="Q994" i="5"/>
  <c r="R994" i="5"/>
  <c r="R1221" i="5"/>
  <c r="Q1221" i="5"/>
  <c r="P1221" i="5"/>
  <c r="I227" i="9"/>
  <c r="W265" i="2"/>
  <c r="W268" i="2"/>
  <c r="L274" i="2"/>
  <c r="F269" i="11" s="1"/>
  <c r="H269" i="11" s="1"/>
  <c r="M278" i="2"/>
  <c r="M279" i="2"/>
  <c r="J282" i="2"/>
  <c r="T9" i="5"/>
  <c r="U18" i="5"/>
  <c r="P23" i="5"/>
  <c r="R26" i="5"/>
  <c r="Q56" i="5"/>
  <c r="P60" i="5"/>
  <c r="R85" i="5"/>
  <c r="Q88" i="5"/>
  <c r="Q95" i="5"/>
  <c r="Q154" i="5"/>
  <c r="Q158" i="5"/>
  <c r="T173" i="5"/>
  <c r="P177" i="5"/>
  <c r="P191" i="5"/>
  <c r="U198" i="5"/>
  <c r="R205" i="5"/>
  <c r="T208" i="5"/>
  <c r="R216" i="5"/>
  <c r="P219" i="5"/>
  <c r="R230" i="5"/>
  <c r="Q243" i="5"/>
  <c r="R261" i="5"/>
  <c r="R268" i="5"/>
  <c r="T277" i="5"/>
  <c r="P282" i="5"/>
  <c r="Q303" i="5"/>
  <c r="R346" i="5"/>
  <c r="P346" i="5"/>
  <c r="R358" i="5"/>
  <c r="Q358" i="5"/>
  <c r="Q366" i="5"/>
  <c r="R366" i="5"/>
  <c r="P366" i="5"/>
  <c r="Q375" i="5"/>
  <c r="Q383" i="5"/>
  <c r="P440" i="5"/>
  <c r="R440" i="5"/>
  <c r="Q447" i="5"/>
  <c r="Q460" i="5"/>
  <c r="R460" i="5"/>
  <c r="P460" i="5"/>
  <c r="Q484" i="5"/>
  <c r="Q510" i="5"/>
  <c r="P510" i="5"/>
  <c r="U545" i="5"/>
  <c r="T545" i="5"/>
  <c r="P580" i="5"/>
  <c r="Q580" i="5"/>
  <c r="Q589" i="5"/>
  <c r="R589" i="5"/>
  <c r="P589" i="5"/>
  <c r="P598" i="5"/>
  <c r="T607" i="5"/>
  <c r="U612" i="5"/>
  <c r="T612" i="5"/>
  <c r="Q633" i="5"/>
  <c r="Q685" i="5"/>
  <c r="R685" i="5"/>
  <c r="Q751" i="5"/>
  <c r="R751" i="5"/>
  <c r="Q768" i="5"/>
  <c r="P768" i="5"/>
  <c r="T772" i="5"/>
  <c r="P776" i="5"/>
  <c r="T953" i="5"/>
  <c r="R965" i="5"/>
  <c r="Q965" i="5"/>
  <c r="P965" i="5"/>
  <c r="P991" i="5"/>
  <c r="P994" i="5"/>
  <c r="U1190" i="5"/>
  <c r="T1190" i="5"/>
  <c r="R1270" i="5"/>
  <c r="Q1270" i="5"/>
  <c r="P1270" i="5"/>
  <c r="Q1279" i="5"/>
  <c r="R1279" i="5"/>
  <c r="M274" i="2"/>
  <c r="Q316" i="5"/>
  <c r="P316" i="5"/>
  <c r="P333" i="5"/>
  <c r="Q346" i="5"/>
  <c r="P358" i="5"/>
  <c r="T370" i="5"/>
  <c r="R416" i="5"/>
  <c r="U424" i="5"/>
  <c r="T424" i="5"/>
  <c r="P452" i="5"/>
  <c r="R456" i="5"/>
  <c r="R489" i="5"/>
  <c r="Q489" i="5"/>
  <c r="R506" i="5"/>
  <c r="R510" i="5"/>
  <c r="Q542" i="5"/>
  <c r="T554" i="5"/>
  <c r="T562" i="5"/>
  <c r="Q598" i="5"/>
  <c r="P685" i="5"/>
  <c r="T689" i="5"/>
  <c r="P747" i="5"/>
  <c r="R768" i="5"/>
  <c r="R776" i="5"/>
  <c r="T808" i="5"/>
  <c r="Q991" i="5"/>
  <c r="U1038" i="5"/>
  <c r="T1038" i="5"/>
  <c r="P1215" i="5"/>
  <c r="R1215" i="5"/>
  <c r="Q1215" i="5"/>
  <c r="U1372" i="5"/>
  <c r="T1372" i="5"/>
  <c r="Q380" i="5"/>
  <c r="R380" i="5"/>
  <c r="P380" i="5"/>
  <c r="R481" i="5"/>
  <c r="Q481" i="5"/>
  <c r="U506" i="5"/>
  <c r="T506" i="5"/>
  <c r="R568" i="5"/>
  <c r="P568" i="5"/>
  <c r="R585" i="5"/>
  <c r="Q585" i="5"/>
  <c r="U628" i="5"/>
  <c r="T628" i="5"/>
  <c r="R758" i="5"/>
  <c r="Q758" i="5"/>
  <c r="U788" i="5"/>
  <c r="T788" i="5"/>
  <c r="U905" i="5"/>
  <c r="T905" i="5"/>
  <c r="P927" i="5"/>
  <c r="R927" i="5"/>
  <c r="Q927" i="5"/>
  <c r="Q1070" i="5"/>
  <c r="P1070" i="5"/>
  <c r="T1101" i="5"/>
  <c r="U1101" i="5"/>
  <c r="R1201" i="5"/>
  <c r="Q1201" i="5"/>
  <c r="P1201" i="5"/>
  <c r="R1378" i="5"/>
  <c r="Q1378" i="5"/>
  <c r="Q393" i="5"/>
  <c r="P393" i="5"/>
  <c r="Q433" i="5"/>
  <c r="P433" i="5"/>
  <c r="U613" i="5"/>
  <c r="T613" i="5"/>
  <c r="T1095" i="5"/>
  <c r="U1095" i="5"/>
  <c r="U1290" i="5"/>
  <c r="T1290" i="5"/>
  <c r="R597" i="5"/>
  <c r="Q597" i="5"/>
  <c r="T633" i="5"/>
  <c r="U633" i="5"/>
  <c r="Q701" i="5"/>
  <c r="R701" i="5"/>
  <c r="P701" i="5"/>
  <c r="T745" i="5"/>
  <c r="U745" i="5"/>
  <c r="P818" i="5"/>
  <c r="R818" i="5"/>
  <c r="Q844" i="5"/>
  <c r="R844" i="5"/>
  <c r="R894" i="5"/>
  <c r="Q894" i="5"/>
  <c r="R983" i="5"/>
  <c r="Q983" i="5"/>
  <c r="P983" i="5"/>
  <c r="R1066" i="5"/>
  <c r="Q1066" i="5"/>
  <c r="R1138" i="5"/>
  <c r="Q1138" i="5"/>
  <c r="T1224" i="5"/>
  <c r="U1224" i="5"/>
  <c r="R1342" i="5"/>
  <c r="Q1342" i="5"/>
  <c r="P1383" i="5"/>
  <c r="R1383" i="5"/>
  <c r="Q1383" i="5"/>
  <c r="R656" i="5"/>
  <c r="P656" i="5"/>
  <c r="U661" i="5"/>
  <c r="T661" i="5"/>
  <c r="Q809" i="5"/>
  <c r="P809" i="5"/>
  <c r="P943" i="5"/>
  <c r="R943" i="5"/>
  <c r="R958" i="5"/>
  <c r="Q958" i="5"/>
  <c r="P958" i="5"/>
  <c r="R995" i="5"/>
  <c r="P995" i="5"/>
  <c r="Q995" i="5"/>
  <c r="R1089" i="5"/>
  <c r="Q1089" i="5"/>
  <c r="T1119" i="5"/>
  <c r="U1119" i="5"/>
  <c r="Q1134" i="5"/>
  <c r="P1134" i="5"/>
  <c r="Q1180" i="5"/>
  <c r="R1180" i="5"/>
  <c r="R1219" i="5"/>
  <c r="Q1219" i="5"/>
  <c r="P1219" i="5"/>
  <c r="R1225" i="5"/>
  <c r="Q1225" i="5"/>
  <c r="P1225" i="5"/>
  <c r="U1298" i="5"/>
  <c r="T1298" i="5"/>
  <c r="P1342" i="5"/>
  <c r="R1353" i="5"/>
  <c r="Q1353" i="5"/>
  <c r="P1353" i="5"/>
  <c r="Q1388" i="5"/>
  <c r="Q370" i="5"/>
  <c r="P374" i="5"/>
  <c r="T387" i="5"/>
  <c r="Q391" i="5"/>
  <c r="T411" i="5"/>
  <c r="Q418" i="5"/>
  <c r="P425" i="5"/>
  <c r="P428" i="5"/>
  <c r="Q431" i="5"/>
  <c r="R448" i="5"/>
  <c r="T451" i="5"/>
  <c r="Q455" i="5"/>
  <c r="P462" i="5"/>
  <c r="P479" i="5"/>
  <c r="P486" i="5"/>
  <c r="T489" i="5"/>
  <c r="R493" i="5"/>
  <c r="Q497" i="5"/>
  <c r="P501" i="5"/>
  <c r="P523" i="5"/>
  <c r="P544" i="5"/>
  <c r="U558" i="5"/>
  <c r="P562" i="5"/>
  <c r="P566" i="5"/>
  <c r="P577" i="5"/>
  <c r="U585" i="5"/>
  <c r="T597" i="5"/>
  <c r="R602" i="5"/>
  <c r="R610" i="5"/>
  <c r="Q629" i="5"/>
  <c r="P688" i="5"/>
  <c r="T697" i="5"/>
  <c r="U697" i="5"/>
  <c r="T714" i="5"/>
  <c r="R746" i="5"/>
  <c r="R754" i="5"/>
  <c r="Q754" i="5"/>
  <c r="U769" i="5"/>
  <c r="T769" i="5"/>
  <c r="T791" i="5"/>
  <c r="U805" i="5"/>
  <c r="R809" i="5"/>
  <c r="R827" i="5"/>
  <c r="Q831" i="5"/>
  <c r="U866" i="5"/>
  <c r="T866" i="5"/>
  <c r="T876" i="5"/>
  <c r="T909" i="5"/>
  <c r="T914" i="5"/>
  <c r="Q943" i="5"/>
  <c r="R988" i="5"/>
  <c r="Q988" i="5"/>
  <c r="P988" i="5"/>
  <c r="Q1052" i="5"/>
  <c r="R1052" i="5"/>
  <c r="T1060" i="5"/>
  <c r="P1089" i="5"/>
  <c r="T1123" i="5"/>
  <c r="R1129" i="5"/>
  <c r="Q1129" i="5"/>
  <c r="R1134" i="5"/>
  <c r="T1149" i="5"/>
  <c r="U1149" i="5"/>
  <c r="T1239" i="5"/>
  <c r="T1271" i="5"/>
  <c r="T1275" i="5"/>
  <c r="U1275" i="5"/>
  <c r="T1279" i="5"/>
  <c r="U1371" i="5"/>
  <c r="R1388" i="5"/>
  <c r="P288" i="5"/>
  <c r="P353" i="5"/>
  <c r="R370" i="5"/>
  <c r="R418" i="5"/>
  <c r="R428" i="5"/>
  <c r="R462" i="5"/>
  <c r="R501" i="5"/>
  <c r="R562" i="5"/>
  <c r="Q577" i="5"/>
  <c r="Q586" i="5"/>
  <c r="R586" i="5"/>
  <c r="T652" i="5"/>
  <c r="Q693" i="5"/>
  <c r="R732" i="5"/>
  <c r="Q732" i="5"/>
  <c r="U746" i="5"/>
  <c r="T746" i="5"/>
  <c r="R765" i="5"/>
  <c r="Q765" i="5"/>
  <c r="R806" i="5"/>
  <c r="Q806" i="5"/>
  <c r="R831" i="5"/>
  <c r="R862" i="5"/>
  <c r="Q862" i="5"/>
  <c r="R905" i="5"/>
  <c r="Q905" i="5"/>
  <c r="R953" i="5"/>
  <c r="Q953" i="5"/>
  <c r="P953" i="5"/>
  <c r="T1026" i="5"/>
  <c r="U1026" i="5"/>
  <c r="P1067" i="5"/>
  <c r="R1067" i="5"/>
  <c r="P1115" i="5"/>
  <c r="R1115" i="5"/>
  <c r="Q1124" i="5"/>
  <c r="R1124" i="5"/>
  <c r="R1144" i="5"/>
  <c r="P1144" i="5"/>
  <c r="U1257" i="5"/>
  <c r="T1257" i="5"/>
  <c r="T1342" i="5"/>
  <c r="Q1368" i="5"/>
  <c r="R1368" i="5"/>
  <c r="Q859" i="5"/>
  <c r="R859" i="5"/>
  <c r="R873" i="5"/>
  <c r="Q873" i="5"/>
  <c r="U1090" i="5"/>
  <c r="T1090" i="5"/>
  <c r="R1162" i="5"/>
  <c r="Q1162" i="5"/>
  <c r="Q1182" i="5"/>
  <c r="R1182" i="5"/>
  <c r="P1182" i="5"/>
  <c r="R1334" i="5"/>
  <c r="Q1334" i="5"/>
  <c r="P1334" i="5"/>
  <c r="R1358" i="5"/>
  <c r="Q1358" i="5"/>
  <c r="P802" i="5"/>
  <c r="R802" i="5"/>
  <c r="Q802" i="5"/>
  <c r="Q807" i="5"/>
  <c r="R807" i="5"/>
  <c r="R838" i="5"/>
  <c r="Q838" i="5"/>
  <c r="P838" i="5"/>
  <c r="U845" i="5"/>
  <c r="T845" i="5"/>
  <c r="R886" i="5"/>
  <c r="Q886" i="5"/>
  <c r="R916" i="5"/>
  <c r="Q916" i="5"/>
  <c r="P916" i="5"/>
  <c r="Q980" i="5"/>
  <c r="R980" i="5"/>
  <c r="P980" i="5"/>
  <c r="U1014" i="5"/>
  <c r="T1014" i="5"/>
  <c r="U1028" i="5"/>
  <c r="T1028" i="5"/>
  <c r="R1102" i="5"/>
  <c r="Q1102" i="5"/>
  <c r="P1102" i="5"/>
  <c r="P1131" i="5"/>
  <c r="R1131" i="5"/>
  <c r="R1176" i="5"/>
  <c r="P1176" i="5"/>
  <c r="T1197" i="5"/>
  <c r="U1197" i="5"/>
  <c r="U1206" i="5"/>
  <c r="T1206" i="5"/>
  <c r="R733" i="5"/>
  <c r="U778" i="5"/>
  <c r="T778" i="5"/>
  <c r="P784" i="5"/>
  <c r="P807" i="5"/>
  <c r="P846" i="5"/>
  <c r="R846" i="5"/>
  <c r="P886" i="5"/>
  <c r="R911" i="5"/>
  <c r="P921" i="5"/>
  <c r="R935" i="5"/>
  <c r="U940" i="5"/>
  <c r="T940" i="5"/>
  <c r="T945" i="5"/>
  <c r="R966" i="5"/>
  <c r="Q966" i="5"/>
  <c r="P986" i="5"/>
  <c r="T989" i="5"/>
  <c r="T1008" i="5"/>
  <c r="R1039" i="5"/>
  <c r="P1039" i="5"/>
  <c r="U1043" i="5"/>
  <c r="T1043" i="5"/>
  <c r="Q1054" i="5"/>
  <c r="T1062" i="5"/>
  <c r="Q1131" i="5"/>
  <c r="R1156" i="5"/>
  <c r="R1171" i="5"/>
  <c r="Q1222" i="5"/>
  <c r="P1222" i="5"/>
  <c r="R1222" i="5"/>
  <c r="R1241" i="5"/>
  <c r="Q1241" i="5"/>
  <c r="P1241" i="5"/>
  <c r="P1306" i="5"/>
  <c r="U1373" i="5"/>
  <c r="T1373" i="5"/>
  <c r="T1389" i="5"/>
  <c r="R756" i="5"/>
  <c r="Q756" i="5"/>
  <c r="U797" i="5"/>
  <c r="T797" i="5"/>
  <c r="U833" i="5"/>
  <c r="T833" i="5"/>
  <c r="R869" i="5"/>
  <c r="Q869" i="5"/>
  <c r="Q921" i="5"/>
  <c r="U961" i="5"/>
  <c r="T961" i="5"/>
  <c r="Q986" i="5"/>
  <c r="R1004" i="5"/>
  <c r="P1004" i="5"/>
  <c r="U1049" i="5"/>
  <c r="T1049" i="5"/>
  <c r="U1106" i="5"/>
  <c r="T1106" i="5"/>
  <c r="U1156" i="5"/>
  <c r="T1156" i="5"/>
  <c r="U1211" i="5"/>
  <c r="T1211" i="5"/>
  <c r="R1246" i="5"/>
  <c r="Q1246" i="5"/>
  <c r="P1246" i="5"/>
  <c r="P1302" i="5"/>
  <c r="T1339" i="5"/>
  <c r="U1339" i="5"/>
  <c r="R1374" i="5"/>
  <c r="Q1374" i="5"/>
  <c r="P1374" i="5"/>
  <c r="R712" i="5"/>
  <c r="P716" i="5"/>
  <c r="T725" i="5"/>
  <c r="R734" i="5"/>
  <c r="Q734" i="5"/>
  <c r="P752" i="5"/>
  <c r="P756" i="5"/>
  <c r="Q775" i="5"/>
  <c r="Q803" i="5"/>
  <c r="R811" i="5"/>
  <c r="T815" i="5"/>
  <c r="T820" i="5"/>
  <c r="T825" i="5"/>
  <c r="Q829" i="5"/>
  <c r="P869" i="5"/>
  <c r="P878" i="5"/>
  <c r="Q936" i="5"/>
  <c r="P936" i="5"/>
  <c r="P941" i="5"/>
  <c r="Q1004" i="5"/>
  <c r="R1024" i="5"/>
  <c r="T1039" i="5"/>
  <c r="U1039" i="5"/>
  <c r="R1050" i="5"/>
  <c r="Q1050" i="5"/>
  <c r="Q1074" i="5"/>
  <c r="P1074" i="5"/>
  <c r="T1078" i="5"/>
  <c r="T1086" i="5"/>
  <c r="U1091" i="5"/>
  <c r="T1091" i="5"/>
  <c r="R1168" i="5"/>
  <c r="Q1168" i="5"/>
  <c r="R1208" i="5"/>
  <c r="Q1208" i="5"/>
  <c r="T1216" i="5"/>
  <c r="U1291" i="5"/>
  <c r="Q1302" i="5"/>
  <c r="P1351" i="5"/>
  <c r="R1351" i="5"/>
  <c r="Q1359" i="5"/>
  <c r="R1359" i="5"/>
  <c r="Q274" i="5"/>
  <c r="P294" i="5"/>
  <c r="U297" i="5"/>
  <c r="P304" i="5"/>
  <c r="T336" i="5"/>
  <c r="P348" i="5"/>
  <c r="T354" i="5"/>
  <c r="P554" i="5"/>
  <c r="Q554" i="5"/>
  <c r="P600" i="5"/>
  <c r="U640" i="5"/>
  <c r="T640" i="5"/>
  <c r="Q716" i="5"/>
  <c r="Q878" i="5"/>
  <c r="U921" i="5"/>
  <c r="R936" i="5"/>
  <c r="Q941" i="5"/>
  <c r="U1015" i="5"/>
  <c r="P1050" i="5"/>
  <c r="R1074" i="5"/>
  <c r="T1082" i="5"/>
  <c r="U1117" i="5"/>
  <c r="Q1152" i="5"/>
  <c r="P1152" i="5"/>
  <c r="U1157" i="5"/>
  <c r="T1157" i="5"/>
  <c r="P1168" i="5"/>
  <c r="U1183" i="5"/>
  <c r="U1188" i="5"/>
  <c r="P1208" i="5"/>
  <c r="T1345" i="5"/>
  <c r="Q1351" i="5"/>
  <c r="U1390" i="5"/>
  <c r="T1390" i="5"/>
  <c r="R982" i="5"/>
  <c r="Q982" i="5"/>
  <c r="U1010" i="5"/>
  <c r="T1010" i="5"/>
  <c r="Q1164" i="5"/>
  <c r="R1164" i="5"/>
  <c r="U1231" i="5"/>
  <c r="T1231" i="5"/>
  <c r="R1238" i="5"/>
  <c r="Q1238" i="5"/>
  <c r="P1238" i="5"/>
  <c r="Q1307" i="5"/>
  <c r="P1307" i="5"/>
  <c r="Q1341" i="5"/>
  <c r="R1341" i="5"/>
  <c r="Q792" i="5"/>
  <c r="R792" i="5"/>
  <c r="R804" i="5"/>
  <c r="P804" i="5"/>
  <c r="T963" i="5"/>
  <c r="U963" i="5"/>
  <c r="U1004" i="5"/>
  <c r="T1004" i="5"/>
  <c r="Q1118" i="5"/>
  <c r="R1118" i="5"/>
  <c r="Q1204" i="5"/>
  <c r="R1204" i="5"/>
  <c r="U1226" i="5"/>
  <c r="T1226" i="5"/>
  <c r="U1260" i="5"/>
  <c r="T1260" i="5"/>
  <c r="P1287" i="5"/>
  <c r="R1287" i="5"/>
  <c r="Q1304" i="5"/>
  <c r="R1304" i="5"/>
  <c r="P1304" i="5"/>
  <c r="T780" i="5"/>
  <c r="T784" i="5"/>
  <c r="P792" i="5"/>
  <c r="P841" i="5"/>
  <c r="P852" i="5"/>
  <c r="P856" i="5"/>
  <c r="R871" i="5"/>
  <c r="T890" i="5"/>
  <c r="Q904" i="5"/>
  <c r="P904" i="5"/>
  <c r="Q908" i="5"/>
  <c r="U924" i="5"/>
  <c r="T924" i="5"/>
  <c r="P937" i="5"/>
  <c r="U941" i="5"/>
  <c r="T941" i="5"/>
  <c r="T946" i="5"/>
  <c r="P968" i="5"/>
  <c r="T972" i="5"/>
  <c r="P981" i="5"/>
  <c r="P999" i="5"/>
  <c r="R999" i="5"/>
  <c r="P1010" i="5"/>
  <c r="U1031" i="5"/>
  <c r="P1042" i="5"/>
  <c r="U1045" i="5"/>
  <c r="T1054" i="5"/>
  <c r="T1077" i="5"/>
  <c r="U1085" i="5"/>
  <c r="P1099" i="5"/>
  <c r="R1099" i="5"/>
  <c r="Q1099" i="5"/>
  <c r="Q1113" i="5"/>
  <c r="P1118" i="5"/>
  <c r="U1159" i="5"/>
  <c r="Q1177" i="5"/>
  <c r="R1244" i="5"/>
  <c r="P1278" i="5"/>
  <c r="T1282" i="5"/>
  <c r="Q1287" i="5"/>
  <c r="Q1318" i="5"/>
  <c r="P1318" i="5"/>
  <c r="T1330" i="5"/>
  <c r="Q1340" i="5"/>
  <c r="R1340" i="5"/>
  <c r="P1340" i="5"/>
  <c r="T1343" i="5"/>
  <c r="T1388" i="5"/>
  <c r="P606" i="5"/>
  <c r="R618" i="5"/>
  <c r="U621" i="5"/>
  <c r="T629" i="5"/>
  <c r="P641" i="5"/>
  <c r="R650" i="5"/>
  <c r="P657" i="5"/>
  <c r="R666" i="5"/>
  <c r="P673" i="5"/>
  <c r="T677" i="5"/>
  <c r="P689" i="5"/>
  <c r="P744" i="5"/>
  <c r="Q841" i="5"/>
  <c r="Q852" i="5"/>
  <c r="R856" i="5"/>
  <c r="R900" i="5"/>
  <c r="Q900" i="5"/>
  <c r="Q937" i="5"/>
  <c r="R968" i="5"/>
  <c r="R973" i="5"/>
  <c r="Q973" i="5"/>
  <c r="P973" i="5"/>
  <c r="Q981" i="5"/>
  <c r="T994" i="5"/>
  <c r="Q1010" i="5"/>
  <c r="Q1042" i="5"/>
  <c r="P1155" i="5"/>
  <c r="Q1155" i="5"/>
  <c r="U1191" i="5"/>
  <c r="T1217" i="5"/>
  <c r="U1217" i="5"/>
  <c r="Q1278" i="5"/>
  <c r="U1294" i="5"/>
  <c r="T1294" i="5"/>
  <c r="T576" i="5"/>
  <c r="P584" i="5"/>
  <c r="R591" i="5"/>
  <c r="T609" i="5"/>
  <c r="U637" i="5"/>
  <c r="Q641" i="5"/>
  <c r="U653" i="5"/>
  <c r="Q657" i="5"/>
  <c r="Q673" i="5"/>
  <c r="Q689" i="5"/>
  <c r="R698" i="5"/>
  <c r="P717" i="5"/>
  <c r="Q725" i="5"/>
  <c r="T732" i="5"/>
  <c r="P736" i="5"/>
  <c r="R744" i="5"/>
  <c r="Q748" i="5"/>
  <c r="T767" i="5"/>
  <c r="P771" i="5"/>
  <c r="Q777" i="5"/>
  <c r="P781" i="5"/>
  <c r="R789" i="5"/>
  <c r="U792" i="5"/>
  <c r="U822" i="5"/>
  <c r="Q863" i="5"/>
  <c r="U867" i="5"/>
  <c r="Q872" i="5"/>
  <c r="R872" i="5"/>
  <c r="R887" i="5"/>
  <c r="P895" i="5"/>
  <c r="R895" i="5"/>
  <c r="Q895" i="5"/>
  <c r="P900" i="5"/>
  <c r="T908" i="5"/>
  <c r="U920" i="5"/>
  <c r="T954" i="5"/>
  <c r="P959" i="5"/>
  <c r="Q959" i="5"/>
  <c r="U985" i="5"/>
  <c r="R1028" i="5"/>
  <c r="P1090" i="5"/>
  <c r="U1140" i="5"/>
  <c r="T1140" i="5"/>
  <c r="U1150" i="5"/>
  <c r="T1150" i="5"/>
  <c r="R1155" i="5"/>
  <c r="P1160" i="5"/>
  <c r="Q1178" i="5"/>
  <c r="R1178" i="5"/>
  <c r="P1178" i="5"/>
  <c r="Q1187" i="5"/>
  <c r="P1218" i="5"/>
  <c r="R1218" i="5"/>
  <c r="Q1218" i="5"/>
  <c r="U1235" i="5"/>
  <c r="U1265" i="5"/>
  <c r="T1265" i="5"/>
  <c r="T1308" i="5"/>
  <c r="R1336" i="5"/>
  <c r="T1340" i="5"/>
  <c r="T1361" i="5"/>
  <c r="U1366" i="5"/>
  <c r="P1385" i="5"/>
  <c r="U1393" i="5"/>
  <c r="T1393" i="5"/>
  <c r="U831" i="5"/>
  <c r="T831" i="5"/>
  <c r="R889" i="5"/>
  <c r="Q889" i="5"/>
  <c r="R910" i="5"/>
  <c r="Q910" i="5"/>
  <c r="T1007" i="5"/>
  <c r="U1007" i="5"/>
  <c r="U1110" i="5"/>
  <c r="T1110" i="5"/>
  <c r="R1153" i="5"/>
  <c r="Q1153" i="5"/>
  <c r="U1324" i="5"/>
  <c r="T1324" i="5"/>
  <c r="P620" i="5"/>
  <c r="P632" i="5"/>
  <c r="P648" i="5"/>
  <c r="P664" i="5"/>
  <c r="Q680" i="5"/>
  <c r="R680" i="5"/>
  <c r="R684" i="5"/>
  <c r="P684" i="5"/>
  <c r="U687" i="5"/>
  <c r="R719" i="5"/>
  <c r="T737" i="5"/>
  <c r="T761" i="5"/>
  <c r="U816" i="5"/>
  <c r="P821" i="5"/>
  <c r="P825" i="5"/>
  <c r="P843" i="5"/>
  <c r="P889" i="5"/>
  <c r="U897" i="5"/>
  <c r="P910" i="5"/>
  <c r="P931" i="5"/>
  <c r="T935" i="5"/>
  <c r="Q975" i="5"/>
  <c r="P1003" i="5"/>
  <c r="Q1003" i="5"/>
  <c r="P1035" i="5"/>
  <c r="Q1035" i="5"/>
  <c r="T1066" i="5"/>
  <c r="Q1097" i="5"/>
  <c r="U1124" i="5"/>
  <c r="T1124" i="5"/>
  <c r="Q1130" i="5"/>
  <c r="P1130" i="5"/>
  <c r="P1153" i="5"/>
  <c r="U1180" i="5"/>
  <c r="T1180" i="5"/>
  <c r="P1185" i="5"/>
  <c r="T1202" i="5"/>
  <c r="U1207" i="5"/>
  <c r="R1211" i="5"/>
  <c r="T1220" i="5"/>
  <c r="R1263" i="5"/>
  <c r="U1276" i="5"/>
  <c r="T1276" i="5"/>
  <c r="T1346" i="5"/>
  <c r="T1376" i="5"/>
  <c r="U1382" i="5"/>
  <c r="R1391" i="5"/>
  <c r="P1075" i="5"/>
  <c r="Q1075" i="5"/>
  <c r="Q990" i="5"/>
  <c r="Q1000" i="5"/>
  <c r="P1009" i="5"/>
  <c r="R1012" i="5"/>
  <c r="T1024" i="5"/>
  <c r="P1038" i="5"/>
  <c r="R1044" i="5"/>
  <c r="R1048" i="5"/>
  <c r="P1056" i="5"/>
  <c r="T1059" i="5"/>
  <c r="T1071" i="5"/>
  <c r="U1071" i="5"/>
  <c r="R1075" i="5"/>
  <c r="T1094" i="5"/>
  <c r="U1103" i="5"/>
  <c r="T1138" i="5"/>
  <c r="T1142" i="5"/>
  <c r="Q1147" i="5"/>
  <c r="T1166" i="5"/>
  <c r="P1170" i="5"/>
  <c r="T1173" i="5"/>
  <c r="P1186" i="5"/>
  <c r="T1189" i="5"/>
  <c r="T1223" i="5"/>
  <c r="T1244" i="5"/>
  <c r="T1247" i="5"/>
  <c r="P1259" i="5"/>
  <c r="U1273" i="5"/>
  <c r="Q1277" i="5"/>
  <c r="R1277" i="5"/>
  <c r="Q1292" i="5"/>
  <c r="R1295" i="5"/>
  <c r="T1314" i="5"/>
  <c r="P1323" i="5"/>
  <c r="P1326" i="5"/>
  <c r="T1329" i="5"/>
  <c r="T1344" i="5"/>
  <c r="T1359" i="5"/>
  <c r="P1372" i="5"/>
  <c r="T1374" i="5"/>
  <c r="T1378" i="5"/>
  <c r="P1387" i="5"/>
  <c r="P1390" i="5"/>
  <c r="U1398" i="5"/>
  <c r="Q892" i="5"/>
  <c r="U899" i="5"/>
  <c r="U983" i="5"/>
  <c r="R990" i="5"/>
  <c r="R1000" i="5"/>
  <c r="Q1009" i="5"/>
  <c r="Q1038" i="5"/>
  <c r="R1056" i="5"/>
  <c r="U1063" i="5"/>
  <c r="Q1068" i="5"/>
  <c r="R1068" i="5"/>
  <c r="U1087" i="5"/>
  <c r="P1120" i="5"/>
  <c r="Q1123" i="5"/>
  <c r="U1135" i="5"/>
  <c r="R1147" i="5"/>
  <c r="P1163" i="5"/>
  <c r="R1163" i="5"/>
  <c r="Q1170" i="5"/>
  <c r="Q1186" i="5"/>
  <c r="T1233" i="5"/>
  <c r="P1256" i="5"/>
  <c r="R1259" i="5"/>
  <c r="P1277" i="5"/>
  <c r="U1280" i="5"/>
  <c r="R1292" i="5"/>
  <c r="T1310" i="5"/>
  <c r="R1323" i="5"/>
  <c r="Q1326" i="5"/>
  <c r="U1334" i="5"/>
  <c r="T1338" i="5"/>
  <c r="T1356" i="5"/>
  <c r="Q1372" i="5"/>
  <c r="R1387" i="5"/>
  <c r="Q1390" i="5"/>
  <c r="Q1394" i="5"/>
  <c r="P1399" i="5"/>
  <c r="Q1399" i="5"/>
  <c r="T1053" i="5"/>
  <c r="U1053" i="5"/>
  <c r="P1271" i="5"/>
  <c r="Q1271" i="5"/>
  <c r="R948" i="5"/>
  <c r="P948" i="5"/>
  <c r="P1015" i="5"/>
  <c r="R1015" i="5"/>
  <c r="P1019" i="5"/>
  <c r="Q1019" i="5"/>
  <c r="Q1325" i="5"/>
  <c r="R1325" i="5"/>
  <c r="H3" i="9"/>
  <c r="W4" i="2"/>
  <c r="U4" i="2"/>
  <c r="J4" i="2"/>
  <c r="S4" i="2"/>
  <c r="M4" i="2"/>
  <c r="L4" i="2"/>
  <c r="F3" i="11" s="1"/>
  <c r="H3" i="11" s="1"/>
  <c r="E103" i="9"/>
  <c r="E103" i="8"/>
  <c r="F4" i="12"/>
  <c r="J3" i="9"/>
  <c r="P4" i="2"/>
  <c r="N4" i="2"/>
  <c r="G174" i="9"/>
  <c r="I174" i="9" s="1"/>
  <c r="T177" i="2"/>
  <c r="H173" i="8" s="1"/>
  <c r="R177" i="2"/>
  <c r="E5" i="9"/>
  <c r="E5" i="8"/>
  <c r="E21" i="9"/>
  <c r="E21" i="8"/>
  <c r="G46" i="9"/>
  <c r="I46" i="9" s="1"/>
  <c r="G18" i="9"/>
  <c r="I18" i="9" s="1"/>
  <c r="G4" i="9"/>
  <c r="I4" i="9" s="1"/>
  <c r="R5" i="2"/>
  <c r="T5" i="2"/>
  <c r="H4" i="8" s="1"/>
  <c r="E92" i="9"/>
  <c r="E92" i="8"/>
  <c r="F7" i="12"/>
  <c r="J6" i="9"/>
  <c r="N7" i="2"/>
  <c r="P7" i="2"/>
  <c r="E23" i="9"/>
  <c r="E23" i="8"/>
  <c r="W8" i="2"/>
  <c r="H16" i="9"/>
  <c r="M17" i="2"/>
  <c r="L17" i="2"/>
  <c r="F16" i="11" s="1"/>
  <c r="H16" i="11" s="1"/>
  <c r="H17" i="9"/>
  <c r="W18" i="2"/>
  <c r="G24" i="9"/>
  <c r="E37" i="9"/>
  <c r="E37" i="8"/>
  <c r="G38" i="9"/>
  <c r="I38" i="9" s="1"/>
  <c r="E44" i="9"/>
  <c r="E44" i="8"/>
  <c r="G54" i="8"/>
  <c r="O55" i="2"/>
  <c r="V55" i="2"/>
  <c r="G59" i="9"/>
  <c r="I59" i="9" s="1"/>
  <c r="E131" i="9"/>
  <c r="E130" i="8"/>
  <c r="T494" i="5"/>
  <c r="U494" i="5"/>
  <c r="U513" i="5"/>
  <c r="T513" i="5"/>
  <c r="R615" i="5"/>
  <c r="Q615" i="5"/>
  <c r="P615" i="5"/>
  <c r="R692" i="5"/>
  <c r="Q692" i="5"/>
  <c r="P692" i="5"/>
  <c r="P786" i="5"/>
  <c r="R786" i="5"/>
  <c r="Q786" i="5"/>
  <c r="H4" i="9"/>
  <c r="U5" i="2"/>
  <c r="B9" i="12"/>
  <c r="B8" i="9"/>
  <c r="B8" i="8"/>
  <c r="U10" i="2"/>
  <c r="W12" i="2"/>
  <c r="L18" i="2"/>
  <c r="F17" i="11" s="1"/>
  <c r="H17" i="11" s="1"/>
  <c r="H19" i="9"/>
  <c r="I19" i="9" s="1"/>
  <c r="M20" i="2"/>
  <c r="J20" i="2"/>
  <c r="W20" i="2"/>
  <c r="H20" i="9"/>
  <c r="G21" i="9"/>
  <c r="I21" i="9" s="1"/>
  <c r="H24" i="9"/>
  <c r="M25" i="2"/>
  <c r="L25" i="2"/>
  <c r="F24" i="11" s="1"/>
  <c r="H24" i="11" s="1"/>
  <c r="J25" i="2"/>
  <c r="S33" i="2"/>
  <c r="E36" i="9"/>
  <c r="E36" i="8"/>
  <c r="L5" i="2"/>
  <c r="F4" i="11" s="1"/>
  <c r="H4" i="11" s="1"/>
  <c r="B10" i="12"/>
  <c r="B9" i="9"/>
  <c r="B9" i="8"/>
  <c r="B13" i="12"/>
  <c r="B12" i="9"/>
  <c r="B12" i="8"/>
  <c r="M18" i="2"/>
  <c r="L20" i="2"/>
  <c r="F19" i="11" s="1"/>
  <c r="H19" i="11" s="1"/>
  <c r="L21" i="2"/>
  <c r="F20" i="11" s="1"/>
  <c r="H20" i="11" s="1"/>
  <c r="H23" i="9"/>
  <c r="D106" i="3"/>
  <c r="J24" i="2"/>
  <c r="U24" i="2"/>
  <c r="S24" i="2"/>
  <c r="B42" i="12"/>
  <c r="B41" i="9"/>
  <c r="B41" i="8"/>
  <c r="G50" i="9"/>
  <c r="I50" i="9" s="1"/>
  <c r="E69" i="9"/>
  <c r="E69" i="8"/>
  <c r="G96" i="9"/>
  <c r="B235" i="12"/>
  <c r="B233" i="8"/>
  <c r="B211" i="9"/>
  <c r="E7" i="9"/>
  <c r="E7" i="8"/>
  <c r="B12" i="12"/>
  <c r="B11" i="9"/>
  <c r="B11" i="8"/>
  <c r="H44" i="9"/>
  <c r="M45" i="2"/>
  <c r="L45" i="2"/>
  <c r="F44" i="11" s="1"/>
  <c r="H44" i="11" s="1"/>
  <c r="J45" i="2"/>
  <c r="B49" i="12"/>
  <c r="B48" i="9"/>
  <c r="B48" i="8"/>
  <c r="B77" i="12"/>
  <c r="B76" i="9"/>
  <c r="B76" i="8"/>
  <c r="G78" i="9"/>
  <c r="I78" i="9" s="1"/>
  <c r="B172" i="9"/>
  <c r="B173" i="12"/>
  <c r="B171" i="8"/>
  <c r="B33" i="12"/>
  <c r="B32" i="9"/>
  <c r="B32" i="8"/>
  <c r="H36" i="9"/>
  <c r="D109" i="3"/>
  <c r="J37" i="2"/>
  <c r="U37" i="2"/>
  <c r="M37" i="2"/>
  <c r="G43" i="9"/>
  <c r="I43" i="9" s="1"/>
  <c r="B99" i="12"/>
  <c r="B98" i="8"/>
  <c r="B98" i="9"/>
  <c r="F6" i="12"/>
  <c r="J5" i="9"/>
  <c r="P6" i="2"/>
  <c r="E8" i="9"/>
  <c r="E8" i="8"/>
  <c r="B16" i="12"/>
  <c r="B15" i="9"/>
  <c r="B15" i="8"/>
  <c r="B29" i="12"/>
  <c r="B28" i="9"/>
  <c r="B28" i="8"/>
  <c r="E56" i="9"/>
  <c r="E56" i="8"/>
  <c r="B61" i="12"/>
  <c r="B60" i="9"/>
  <c r="B60" i="8"/>
  <c r="G62" i="9"/>
  <c r="I62" i="9" s="1"/>
  <c r="T63" i="2"/>
  <c r="H62" i="8" s="1"/>
  <c r="R63" i="2"/>
  <c r="H65" i="9"/>
  <c r="W66" i="2"/>
  <c r="M66" i="2"/>
  <c r="L66" i="2"/>
  <c r="F65" i="11" s="1"/>
  <c r="H65" i="11" s="1"/>
  <c r="E85" i="9"/>
  <c r="E85" i="8"/>
  <c r="H149" i="9"/>
  <c r="W151" i="2"/>
  <c r="M151" i="2"/>
  <c r="J151" i="2"/>
  <c r="L151" i="2"/>
  <c r="F149" i="11" s="1"/>
  <c r="H149" i="11" s="1"/>
  <c r="G3" i="8"/>
  <c r="V4" i="2"/>
  <c r="E12" i="9"/>
  <c r="E12" i="8"/>
  <c r="B28" i="12"/>
  <c r="B27" i="9"/>
  <c r="B27" i="8"/>
  <c r="B41" i="12"/>
  <c r="B40" i="9"/>
  <c r="B40" i="8"/>
  <c r="E116" i="9"/>
  <c r="E116" i="8"/>
  <c r="E129" i="9"/>
  <c r="E128" i="8"/>
  <c r="B4" i="12"/>
  <c r="B3" i="9"/>
  <c r="B3" i="8"/>
  <c r="H7" i="9"/>
  <c r="S8" i="2"/>
  <c r="G8" i="9"/>
  <c r="I8" i="9" s="1"/>
  <c r="T9" i="2"/>
  <c r="H8" i="8" s="1"/>
  <c r="E11" i="9"/>
  <c r="E11" i="8"/>
  <c r="W17" i="2"/>
  <c r="G34" i="9"/>
  <c r="T35" i="2"/>
  <c r="H34" i="8" s="1"/>
  <c r="R35" i="2"/>
  <c r="H35" i="9"/>
  <c r="I35" i="9" s="1"/>
  <c r="D108" i="3"/>
  <c r="M36" i="2"/>
  <c r="J36" i="2"/>
  <c r="W36" i="2"/>
  <c r="U36" i="2"/>
  <c r="S36" i="2"/>
  <c r="G42" i="9"/>
  <c r="T43" i="2"/>
  <c r="H42" i="8" s="1"/>
  <c r="R43" i="2"/>
  <c r="E48" i="9"/>
  <c r="E48" i="8"/>
  <c r="B53" i="12"/>
  <c r="B52" i="9"/>
  <c r="B52" i="8"/>
  <c r="F65" i="12"/>
  <c r="J64" i="9"/>
  <c r="N65" i="2"/>
  <c r="E72" i="9"/>
  <c r="E72" i="8"/>
  <c r="F225" i="12"/>
  <c r="J201" i="9"/>
  <c r="C203" i="3"/>
  <c r="N227" i="2"/>
  <c r="P227" i="2"/>
  <c r="T4" i="2"/>
  <c r="H3" i="8" s="1"/>
  <c r="L8" i="2"/>
  <c r="F7" i="11" s="1"/>
  <c r="H7" i="11" s="1"/>
  <c r="E13" i="9"/>
  <c r="E13" i="8"/>
  <c r="B17" i="12"/>
  <c r="B16" i="9"/>
  <c r="B16" i="8"/>
  <c r="B18" i="12"/>
  <c r="B17" i="9"/>
  <c r="B17" i="8"/>
  <c r="B26" i="12"/>
  <c r="B25" i="9"/>
  <c r="B25" i="8"/>
  <c r="E32" i="9"/>
  <c r="E32" i="8"/>
  <c r="L36" i="2"/>
  <c r="F35" i="11" s="1"/>
  <c r="H35" i="11" s="1"/>
  <c r="S37" i="2"/>
  <c r="H49" i="9"/>
  <c r="W50" i="2"/>
  <c r="M50" i="2"/>
  <c r="L50" i="2"/>
  <c r="F49" i="11" s="1"/>
  <c r="H49" i="11" s="1"/>
  <c r="E53" i="9"/>
  <c r="E53" i="8"/>
  <c r="H56" i="9"/>
  <c r="U57" i="2"/>
  <c r="S57" i="2"/>
  <c r="M57" i="2"/>
  <c r="L57" i="2"/>
  <c r="F56" i="11" s="1"/>
  <c r="H56" i="11" s="1"/>
  <c r="J57" i="2"/>
  <c r="G57" i="8"/>
  <c r="I57" i="8" s="1"/>
  <c r="O58" i="2"/>
  <c r="P65" i="2"/>
  <c r="H102" i="9"/>
  <c r="J103" i="2"/>
  <c r="W103" i="2"/>
  <c r="M103" i="2"/>
  <c r="B5" i="12"/>
  <c r="B4" i="9"/>
  <c r="B4" i="8"/>
  <c r="T6" i="2"/>
  <c r="H5" i="8" s="1"/>
  <c r="I5" i="8" s="1"/>
  <c r="M8" i="2"/>
  <c r="H8" i="9"/>
  <c r="M9" i="2"/>
  <c r="L9" i="2"/>
  <c r="F8" i="11" s="1"/>
  <c r="H8" i="11" s="1"/>
  <c r="G10" i="9"/>
  <c r="I10" i="9" s="1"/>
  <c r="T11" i="2"/>
  <c r="H10" i="8" s="1"/>
  <c r="R11" i="2"/>
  <c r="G11" i="9"/>
  <c r="H12" i="9"/>
  <c r="M13" i="2"/>
  <c r="J13" i="2"/>
  <c r="E15" i="9"/>
  <c r="E15" i="8"/>
  <c r="B21" i="12"/>
  <c r="B20" i="9"/>
  <c r="B20" i="8"/>
  <c r="W24" i="2"/>
  <c r="E28" i="9"/>
  <c r="E28" i="8"/>
  <c r="E60" i="9"/>
  <c r="E60" i="8"/>
  <c r="L103" i="2"/>
  <c r="F102" i="11" s="1"/>
  <c r="H102" i="11" s="1"/>
  <c r="G119" i="9"/>
  <c r="I119" i="9" s="1"/>
  <c r="G156" i="9"/>
  <c r="H9" i="9"/>
  <c r="L10" i="2"/>
  <c r="F9" i="11" s="1"/>
  <c r="H9" i="11" s="1"/>
  <c r="W10" i="2"/>
  <c r="G13" i="9"/>
  <c r="I13" i="9" s="1"/>
  <c r="B20" i="12"/>
  <c r="B19" i="9"/>
  <c r="B19" i="8"/>
  <c r="B23" i="12"/>
  <c r="B22" i="9"/>
  <c r="B22" i="8"/>
  <c r="B25" i="12"/>
  <c r="B24" i="9"/>
  <c r="B24" i="8"/>
  <c r="G29" i="9"/>
  <c r="I29" i="9" s="1"/>
  <c r="E40" i="9"/>
  <c r="E40" i="8"/>
  <c r="H68" i="9"/>
  <c r="J69" i="2"/>
  <c r="W69" i="2"/>
  <c r="M69" i="2"/>
  <c r="B94" i="12"/>
  <c r="B93" i="9"/>
  <c r="B93" i="8"/>
  <c r="H156" i="9"/>
  <c r="M158" i="2"/>
  <c r="L158" i="2"/>
  <c r="F156" i="11" s="1"/>
  <c r="H156" i="11" s="1"/>
  <c r="J158" i="2"/>
  <c r="W158" i="2"/>
  <c r="G197" i="8"/>
  <c r="I197" i="8" s="1"/>
  <c r="G199" i="12" s="1"/>
  <c r="V201" i="2"/>
  <c r="B5" i="9"/>
  <c r="B6" i="12"/>
  <c r="B5" i="8"/>
  <c r="G6" i="8"/>
  <c r="I6" i="8" s="1"/>
  <c r="G7" i="12" s="1"/>
  <c r="V7" i="2"/>
  <c r="H11" i="9"/>
  <c r="M12" i="2"/>
  <c r="H33" i="9"/>
  <c r="W34" i="2"/>
  <c r="M34" i="2"/>
  <c r="L34" i="2"/>
  <c r="F33" i="11" s="1"/>
  <c r="H33" i="11" s="1"/>
  <c r="G106" i="8"/>
  <c r="V107" i="2"/>
  <c r="G109" i="9"/>
  <c r="E128" i="9"/>
  <c r="E127" i="8"/>
  <c r="W130" i="2"/>
  <c r="B218" i="12"/>
  <c r="B216" i="8"/>
  <c r="L12" i="2"/>
  <c r="F11" i="11" s="1"/>
  <c r="H11" i="11" s="1"/>
  <c r="E16" i="9"/>
  <c r="E16" i="8"/>
  <c r="G27" i="9"/>
  <c r="I27" i="9" s="1"/>
  <c r="H28" i="9"/>
  <c r="I28" i="9" s="1"/>
  <c r="M29" i="2"/>
  <c r="L29" i="2"/>
  <c r="F28" i="11" s="1"/>
  <c r="H28" i="11" s="1"/>
  <c r="J29" i="2"/>
  <c r="G30" i="9"/>
  <c r="H32" i="9"/>
  <c r="D107" i="3"/>
  <c r="M33" i="2"/>
  <c r="O33" i="2" s="1"/>
  <c r="L33" i="2"/>
  <c r="F32" i="11" s="1"/>
  <c r="H32" i="11" s="1"/>
  <c r="U33" i="2"/>
  <c r="B45" i="12"/>
  <c r="B44" i="9"/>
  <c r="B44" i="8"/>
  <c r="G88" i="9"/>
  <c r="I88" i="9" s="1"/>
  <c r="E97" i="9"/>
  <c r="E97" i="8"/>
  <c r="G118" i="9"/>
  <c r="I118" i="9" s="1"/>
  <c r="E4" i="9"/>
  <c r="E4" i="8"/>
  <c r="B7" i="12"/>
  <c r="B6" i="9"/>
  <c r="B6" i="8"/>
  <c r="T7" i="2"/>
  <c r="H6" i="8" s="1"/>
  <c r="R9" i="2"/>
  <c r="E18" i="9"/>
  <c r="E18" i="8"/>
  <c r="E20" i="9"/>
  <c r="E20" i="8"/>
  <c r="B37" i="12"/>
  <c r="B36" i="9"/>
  <c r="B36" i="8"/>
  <c r="H40" i="9"/>
  <c r="M41" i="2"/>
  <c r="L41" i="2"/>
  <c r="F40" i="11" s="1"/>
  <c r="H40" i="11" s="1"/>
  <c r="J41" i="2"/>
  <c r="B58" i="12"/>
  <c r="B57" i="9"/>
  <c r="B57" i="8"/>
  <c r="G61" i="8"/>
  <c r="V62" i="2"/>
  <c r="B74" i="12"/>
  <c r="B73" i="9"/>
  <c r="B73" i="8"/>
  <c r="G75" i="9"/>
  <c r="I75" i="9" s="1"/>
  <c r="H81" i="9"/>
  <c r="W82" i="2"/>
  <c r="M82" i="2"/>
  <c r="L82" i="2"/>
  <c r="F81" i="11" s="1"/>
  <c r="H81" i="11" s="1"/>
  <c r="G9" i="8"/>
  <c r="I9" i="8" s="1"/>
  <c r="O10" i="2"/>
  <c r="H14" i="9"/>
  <c r="I14" i="9" s="1"/>
  <c r="W15" i="2"/>
  <c r="G17" i="9"/>
  <c r="I17" i="9" s="1"/>
  <c r="E24" i="9"/>
  <c r="E24" i="8"/>
  <c r="G26" i="9"/>
  <c r="I26" i="9" s="1"/>
  <c r="H30" i="9"/>
  <c r="W31" i="2"/>
  <c r="L31" i="2"/>
  <c r="F30" i="11" s="1"/>
  <c r="H30" i="11" s="1"/>
  <c r="H52" i="9"/>
  <c r="J53" i="2"/>
  <c r="W53" i="2"/>
  <c r="U53" i="2"/>
  <c r="M53" i="2"/>
  <c r="B65" i="12"/>
  <c r="B64" i="9"/>
  <c r="B64" i="8"/>
  <c r="G66" i="9"/>
  <c r="I66" i="9" s="1"/>
  <c r="T67" i="2"/>
  <c r="H66" i="8" s="1"/>
  <c r="R67" i="2"/>
  <c r="H84" i="9"/>
  <c r="J85" i="2"/>
  <c r="W85" i="2"/>
  <c r="M85" i="2"/>
  <c r="H101" i="9"/>
  <c r="M102" i="2"/>
  <c r="J102" i="2"/>
  <c r="W102" i="2"/>
  <c r="F106" i="12"/>
  <c r="J105" i="9"/>
  <c r="C156" i="3"/>
  <c r="P106" i="2"/>
  <c r="N106" i="2"/>
  <c r="E34" i="9"/>
  <c r="E34" i="8"/>
  <c r="W35" i="2"/>
  <c r="I35" i="8"/>
  <c r="B39" i="12"/>
  <c r="B38" i="9"/>
  <c r="B38" i="8"/>
  <c r="I40" i="9"/>
  <c r="E50" i="9"/>
  <c r="E50" i="8"/>
  <c r="I51" i="8"/>
  <c r="G52" i="12" s="1"/>
  <c r="B55" i="12"/>
  <c r="B54" i="9"/>
  <c r="B54" i="8"/>
  <c r="E66" i="9"/>
  <c r="E66" i="8"/>
  <c r="I67" i="8"/>
  <c r="B71" i="12"/>
  <c r="B70" i="9"/>
  <c r="B70" i="8"/>
  <c r="E82" i="9"/>
  <c r="E82" i="8"/>
  <c r="B87" i="12"/>
  <c r="B86" i="9"/>
  <c r="B86" i="8"/>
  <c r="E89" i="9"/>
  <c r="E89" i="8"/>
  <c r="G90" i="8"/>
  <c r="I90" i="8" s="1"/>
  <c r="V91" i="2"/>
  <c r="H96" i="9"/>
  <c r="W97" i="2"/>
  <c r="B99" i="9"/>
  <c r="B100" i="12"/>
  <c r="B99" i="8"/>
  <c r="G103" i="9"/>
  <c r="I103" i="9" s="1"/>
  <c r="E104" i="9"/>
  <c r="E104" i="8"/>
  <c r="R108" i="2"/>
  <c r="D160" i="3"/>
  <c r="M110" i="2"/>
  <c r="W110" i="2"/>
  <c r="E112" i="9"/>
  <c r="E112" i="8"/>
  <c r="E113" i="9"/>
  <c r="E113" i="8"/>
  <c r="E121" i="9"/>
  <c r="E121" i="8"/>
  <c r="H133" i="9"/>
  <c r="W135" i="2"/>
  <c r="J135" i="2"/>
  <c r="E168" i="9"/>
  <c r="E167" i="8"/>
  <c r="B188" i="9"/>
  <c r="B189" i="12"/>
  <c r="B187" i="8"/>
  <c r="W199" i="2"/>
  <c r="U199" i="2"/>
  <c r="S199" i="2"/>
  <c r="M199" i="2"/>
  <c r="J199" i="2"/>
  <c r="H205" i="9"/>
  <c r="W231" i="2"/>
  <c r="M231" i="2"/>
  <c r="J231" i="2"/>
  <c r="H258" i="9"/>
  <c r="W286" i="2"/>
  <c r="U286" i="2"/>
  <c r="S286" i="2"/>
  <c r="D161" i="3"/>
  <c r="M286" i="2"/>
  <c r="O286" i="2" s="1"/>
  <c r="J286" i="2"/>
  <c r="E31" i="9"/>
  <c r="E31" i="8"/>
  <c r="B36" i="12"/>
  <c r="B35" i="9"/>
  <c r="B35" i="8"/>
  <c r="L47" i="2"/>
  <c r="F46" i="11" s="1"/>
  <c r="H46" i="11" s="1"/>
  <c r="E47" i="9"/>
  <c r="E47" i="8"/>
  <c r="B52" i="12"/>
  <c r="B51" i="9"/>
  <c r="B51" i="8"/>
  <c r="S52" i="2"/>
  <c r="T55" i="2"/>
  <c r="H54" i="8" s="1"/>
  <c r="L63" i="2"/>
  <c r="F62" i="11" s="1"/>
  <c r="H62" i="11" s="1"/>
  <c r="E63" i="9"/>
  <c r="E63" i="8"/>
  <c r="B68" i="12"/>
  <c r="B67" i="9"/>
  <c r="B67" i="8"/>
  <c r="S68" i="2"/>
  <c r="E79" i="9"/>
  <c r="E79" i="8"/>
  <c r="B84" i="12"/>
  <c r="B83" i="9"/>
  <c r="B83" i="8"/>
  <c r="B91" i="12"/>
  <c r="B90" i="8"/>
  <c r="B90" i="9"/>
  <c r="S91" i="2"/>
  <c r="B94" i="9"/>
  <c r="B95" i="12"/>
  <c r="B94" i="8"/>
  <c r="G97" i="9"/>
  <c r="I97" i="9" s="1"/>
  <c r="E105" i="9"/>
  <c r="E105" i="8"/>
  <c r="W106" i="2"/>
  <c r="S107" i="2"/>
  <c r="H109" i="9"/>
  <c r="L111" i="2"/>
  <c r="F109" i="11" s="1"/>
  <c r="H109" i="11" s="1"/>
  <c r="E115" i="9"/>
  <c r="E115" i="8"/>
  <c r="H117" i="9"/>
  <c r="D176" i="3"/>
  <c r="W119" i="2"/>
  <c r="J119" i="2"/>
  <c r="G125" i="9"/>
  <c r="I125" i="9" s="1"/>
  <c r="G131" i="9"/>
  <c r="R133" i="2"/>
  <c r="T133" i="2"/>
  <c r="H130" i="8" s="1"/>
  <c r="G141" i="9"/>
  <c r="I141" i="9" s="1"/>
  <c r="R143" i="2"/>
  <c r="G143" i="9"/>
  <c r="I143" i="9" s="1"/>
  <c r="E181" i="9"/>
  <c r="E180" i="8"/>
  <c r="W215" i="2"/>
  <c r="M215" i="2"/>
  <c r="J215" i="2"/>
  <c r="E209" i="9"/>
  <c r="E231" i="8"/>
  <c r="G218" i="9"/>
  <c r="I218" i="9" s="1"/>
  <c r="T246" i="2"/>
  <c r="H240" i="8" s="1"/>
  <c r="R246" i="2"/>
  <c r="H72" i="9"/>
  <c r="I72" i="9" s="1"/>
  <c r="D168" i="3"/>
  <c r="E76" i="8"/>
  <c r="E76" i="9"/>
  <c r="B81" i="12"/>
  <c r="B80" i="9"/>
  <c r="B80" i="8"/>
  <c r="E98" i="9"/>
  <c r="E98" i="8"/>
  <c r="B107" i="12"/>
  <c r="B106" i="8"/>
  <c r="B106" i="9"/>
  <c r="G121" i="9"/>
  <c r="H131" i="9"/>
  <c r="S133" i="2"/>
  <c r="J133" i="2"/>
  <c r="B140" i="12"/>
  <c r="B139" i="9"/>
  <c r="B138" i="8"/>
  <c r="B156" i="8"/>
  <c r="B158" i="12"/>
  <c r="B157" i="9"/>
  <c r="E184" i="9"/>
  <c r="E183" i="8"/>
  <c r="W212" i="2"/>
  <c r="M212" i="2"/>
  <c r="L212" i="2"/>
  <c r="F209" i="11" s="1"/>
  <c r="H209" i="11" s="1"/>
  <c r="L215" i="2"/>
  <c r="F212" i="11" s="1"/>
  <c r="H212" i="11" s="1"/>
  <c r="G196" i="9"/>
  <c r="I196" i="9" s="1"/>
  <c r="G199" i="9"/>
  <c r="I199" i="9" s="1"/>
  <c r="U71" i="5"/>
  <c r="T71" i="5"/>
  <c r="R79" i="5"/>
  <c r="Q79" i="5"/>
  <c r="P79" i="5"/>
  <c r="E9" i="9"/>
  <c r="E9" i="8"/>
  <c r="B14" i="12"/>
  <c r="B13" i="9"/>
  <c r="B13" i="8"/>
  <c r="E25" i="9"/>
  <c r="E25" i="8"/>
  <c r="W26" i="2"/>
  <c r="M28" i="2"/>
  <c r="B30" i="12"/>
  <c r="B29" i="9"/>
  <c r="B29" i="8"/>
  <c r="T33" i="2"/>
  <c r="H32" i="8" s="1"/>
  <c r="I32" i="8" s="1"/>
  <c r="E41" i="9"/>
  <c r="E41" i="8"/>
  <c r="W42" i="2"/>
  <c r="M44" i="2"/>
  <c r="B46" i="12"/>
  <c r="B45" i="9"/>
  <c r="B45" i="8"/>
  <c r="U52" i="2"/>
  <c r="E57" i="9"/>
  <c r="E57" i="8"/>
  <c r="W58" i="2"/>
  <c r="R59" i="2"/>
  <c r="M60" i="2"/>
  <c r="B62" i="12"/>
  <c r="B61" i="9"/>
  <c r="B61" i="8"/>
  <c r="S62" i="2"/>
  <c r="T65" i="2"/>
  <c r="H64" i="8" s="1"/>
  <c r="I64" i="8" s="1"/>
  <c r="U68" i="2"/>
  <c r="L73" i="2"/>
  <c r="F72" i="11" s="1"/>
  <c r="H72" i="11" s="1"/>
  <c r="E73" i="8"/>
  <c r="E73" i="9"/>
  <c r="M76" i="2"/>
  <c r="B78" i="12"/>
  <c r="B77" i="9"/>
  <c r="B77" i="8"/>
  <c r="I79" i="9"/>
  <c r="U91" i="2"/>
  <c r="H97" i="9"/>
  <c r="B107" i="9"/>
  <c r="B108" i="12"/>
  <c r="B107" i="8"/>
  <c r="G111" i="9"/>
  <c r="G115" i="9"/>
  <c r="M119" i="2"/>
  <c r="G124" i="9"/>
  <c r="T126" i="2"/>
  <c r="H124" i="8" s="1"/>
  <c r="R126" i="2"/>
  <c r="H125" i="9"/>
  <c r="M127" i="2"/>
  <c r="L127" i="2"/>
  <c r="F125" i="11" s="1"/>
  <c r="H125" i="11" s="1"/>
  <c r="G126" i="12" s="1"/>
  <c r="G127" i="9"/>
  <c r="H128" i="9"/>
  <c r="D9" i="3"/>
  <c r="M130" i="2"/>
  <c r="S130" i="2"/>
  <c r="H130" i="9"/>
  <c r="D85" i="3"/>
  <c r="W132" i="2"/>
  <c r="U132" i="2"/>
  <c r="S132" i="2"/>
  <c r="L133" i="2"/>
  <c r="F131" i="11" s="1"/>
  <c r="H131" i="11" s="1"/>
  <c r="E153" i="9"/>
  <c r="E152" i="8"/>
  <c r="G159" i="9"/>
  <c r="I159" i="9" s="1"/>
  <c r="V236" i="2"/>
  <c r="B239" i="12"/>
  <c r="B215" i="9"/>
  <c r="B237" i="8"/>
  <c r="R59" i="5"/>
  <c r="Q59" i="5"/>
  <c r="P59" i="5"/>
  <c r="L6" i="2"/>
  <c r="F5" i="11" s="1"/>
  <c r="H5" i="11" s="1"/>
  <c r="E6" i="9"/>
  <c r="E6" i="8"/>
  <c r="W7" i="2"/>
  <c r="R8" i="2"/>
  <c r="B11" i="12"/>
  <c r="B10" i="9"/>
  <c r="B10" i="8"/>
  <c r="S11" i="2"/>
  <c r="I12" i="9"/>
  <c r="L22" i="2"/>
  <c r="F21" i="11" s="1"/>
  <c r="H21" i="11" s="1"/>
  <c r="E22" i="9"/>
  <c r="E22" i="8"/>
  <c r="W23" i="2"/>
  <c r="R24" i="2"/>
  <c r="B27" i="12"/>
  <c r="B26" i="9"/>
  <c r="B26" i="8"/>
  <c r="H34" i="9"/>
  <c r="D111" i="3"/>
  <c r="V36" i="2"/>
  <c r="L38" i="2"/>
  <c r="F37" i="11" s="1"/>
  <c r="H37" i="11" s="1"/>
  <c r="E38" i="9"/>
  <c r="E38" i="8"/>
  <c r="W39" i="2"/>
  <c r="B43" i="12"/>
  <c r="B42" i="9"/>
  <c r="B42" i="8"/>
  <c r="S43" i="2"/>
  <c r="I44" i="9"/>
  <c r="V52" i="2"/>
  <c r="L54" i="2"/>
  <c r="F53" i="11" s="1"/>
  <c r="H53" i="11" s="1"/>
  <c r="E54" i="9"/>
  <c r="E54" i="8"/>
  <c r="W55" i="2"/>
  <c r="R56" i="2"/>
  <c r="B59" i="12"/>
  <c r="B58" i="9"/>
  <c r="B58" i="8"/>
  <c r="S59" i="2"/>
  <c r="I60" i="9"/>
  <c r="T62" i="2"/>
  <c r="H61" i="8" s="1"/>
  <c r="U65" i="2"/>
  <c r="V68" i="2"/>
  <c r="L70" i="2"/>
  <c r="F69" i="11" s="1"/>
  <c r="H69" i="11" s="1"/>
  <c r="E70" i="9"/>
  <c r="E70" i="8"/>
  <c r="W71" i="2"/>
  <c r="M73" i="2"/>
  <c r="B75" i="12"/>
  <c r="B74" i="9"/>
  <c r="B74" i="8"/>
  <c r="I76" i="9"/>
  <c r="L86" i="2"/>
  <c r="F85" i="11" s="1"/>
  <c r="H85" i="11" s="1"/>
  <c r="E86" i="9"/>
  <c r="E86" i="8"/>
  <c r="B87" i="9"/>
  <c r="B88" i="12"/>
  <c r="B87" i="8"/>
  <c r="W91" i="2"/>
  <c r="R92" i="2"/>
  <c r="W95" i="2"/>
  <c r="L98" i="2"/>
  <c r="F97" i="11" s="1"/>
  <c r="H97" i="11" s="1"/>
  <c r="H112" i="9"/>
  <c r="I112" i="9" s="1"/>
  <c r="M114" i="2"/>
  <c r="H115" i="9"/>
  <c r="J117" i="2"/>
  <c r="H121" i="9"/>
  <c r="D175" i="3"/>
  <c r="L123" i="2"/>
  <c r="F121" i="11" s="1"/>
  <c r="H121" i="11" s="1"/>
  <c r="L130" i="2"/>
  <c r="F128" i="11" s="1"/>
  <c r="H128" i="11" s="1"/>
  <c r="L132" i="2"/>
  <c r="F130" i="11" s="1"/>
  <c r="H130" i="11" s="1"/>
  <c r="B139" i="12"/>
  <c r="B138" i="9"/>
  <c r="B137" i="8"/>
  <c r="U51" i="5"/>
  <c r="T51" i="5"/>
  <c r="E3" i="9"/>
  <c r="E3" i="8"/>
  <c r="M6" i="2"/>
  <c r="B8" i="12"/>
  <c r="B7" i="9"/>
  <c r="B7" i="8"/>
  <c r="L19" i="2"/>
  <c r="F18" i="11" s="1"/>
  <c r="H18" i="11" s="1"/>
  <c r="E19" i="9"/>
  <c r="E19" i="8"/>
  <c r="M22" i="2"/>
  <c r="B24" i="12"/>
  <c r="B23" i="9"/>
  <c r="B23" i="8"/>
  <c r="I25" i="9"/>
  <c r="V33" i="2"/>
  <c r="L35" i="2"/>
  <c r="E35" i="9"/>
  <c r="E35" i="8"/>
  <c r="R37" i="2"/>
  <c r="M38" i="2"/>
  <c r="B40" i="12"/>
  <c r="B39" i="9"/>
  <c r="B39" i="8"/>
  <c r="I41" i="9"/>
  <c r="L51" i="2"/>
  <c r="F50" i="11" s="1"/>
  <c r="H50" i="11" s="1"/>
  <c r="E51" i="9"/>
  <c r="E51" i="8"/>
  <c r="W52" i="2"/>
  <c r="R53" i="2"/>
  <c r="M54" i="2"/>
  <c r="B56" i="12"/>
  <c r="B55" i="9"/>
  <c r="B55" i="8"/>
  <c r="S56" i="2"/>
  <c r="T59" i="2"/>
  <c r="H58" i="8" s="1"/>
  <c r="J61" i="2"/>
  <c r="V65" i="2"/>
  <c r="L67" i="2"/>
  <c r="F66" i="11" s="1"/>
  <c r="H66" i="11" s="1"/>
  <c r="E67" i="9"/>
  <c r="E67" i="8"/>
  <c r="W68" i="2"/>
  <c r="M70" i="2"/>
  <c r="B71" i="9"/>
  <c r="B71" i="8"/>
  <c r="B72" i="12"/>
  <c r="J77" i="2"/>
  <c r="H79" i="9"/>
  <c r="D181" i="3"/>
  <c r="L83" i="2"/>
  <c r="F82" i="11" s="1"/>
  <c r="H82" i="11" s="1"/>
  <c r="E83" i="9"/>
  <c r="E83" i="8"/>
  <c r="W84" i="2"/>
  <c r="M86" i="2"/>
  <c r="E90" i="9"/>
  <c r="E90" i="8"/>
  <c r="B92" i="12"/>
  <c r="B91" i="9"/>
  <c r="B91" i="8"/>
  <c r="S92" i="2"/>
  <c r="E94" i="9"/>
  <c r="E94" i="8"/>
  <c r="B96" i="12"/>
  <c r="B95" i="9"/>
  <c r="B95" i="8"/>
  <c r="W101" i="2"/>
  <c r="B109" i="12"/>
  <c r="B108" i="9"/>
  <c r="B108" i="8"/>
  <c r="H111" i="9"/>
  <c r="W113" i="2"/>
  <c r="H114" i="9"/>
  <c r="W116" i="2"/>
  <c r="H124" i="9"/>
  <c r="D3" i="3"/>
  <c r="U126" i="2"/>
  <c r="S126" i="2"/>
  <c r="M126" i="2"/>
  <c r="W126" i="2"/>
  <c r="H127" i="9"/>
  <c r="W129" i="2"/>
  <c r="B135" i="9"/>
  <c r="B136" i="12"/>
  <c r="B134" i="8"/>
  <c r="E151" i="9"/>
  <c r="E150" i="8"/>
  <c r="E165" i="9"/>
  <c r="E164" i="8"/>
  <c r="B180" i="12"/>
  <c r="B178" i="8"/>
  <c r="B179" i="9"/>
  <c r="B221" i="12"/>
  <c r="B197" i="9"/>
  <c r="B219" i="8"/>
  <c r="G242" i="8"/>
  <c r="I242" i="8" s="1"/>
  <c r="G244" i="12" s="1"/>
  <c r="V248" i="2"/>
  <c r="O248" i="2"/>
  <c r="R22" i="5"/>
  <c r="Q22" i="5"/>
  <c r="P22" i="5"/>
  <c r="E64" i="9"/>
  <c r="E64" i="8"/>
  <c r="B69" i="12"/>
  <c r="B68" i="9"/>
  <c r="B68" i="8"/>
  <c r="E80" i="9"/>
  <c r="E80" i="8"/>
  <c r="B85" i="12"/>
  <c r="B84" i="9"/>
  <c r="B84" i="8"/>
  <c r="H93" i="9"/>
  <c r="I93" i="9" s="1"/>
  <c r="W94" i="2"/>
  <c r="H98" i="9"/>
  <c r="I98" i="9" s="1"/>
  <c r="D56" i="3"/>
  <c r="M99" i="2"/>
  <c r="L99" i="2"/>
  <c r="F98" i="11" s="1"/>
  <c r="H98" i="11" s="1"/>
  <c r="B101" i="9"/>
  <c r="B102" i="12"/>
  <c r="B101" i="8"/>
  <c r="E106" i="9"/>
  <c r="E106" i="8"/>
  <c r="G122" i="8"/>
  <c r="I122" i="8" s="1"/>
  <c r="G123" i="12" s="1"/>
  <c r="O124" i="2"/>
  <c r="B137" i="12"/>
  <c r="B136" i="9"/>
  <c r="B135" i="8"/>
  <c r="H147" i="9"/>
  <c r="S149" i="2"/>
  <c r="M149" i="2"/>
  <c r="L149" i="2"/>
  <c r="F147" i="11" s="1"/>
  <c r="H147" i="11" s="1"/>
  <c r="J149" i="2"/>
  <c r="W149" i="2"/>
  <c r="G190" i="9"/>
  <c r="I190" i="9" s="1"/>
  <c r="T193" i="2"/>
  <c r="H189" i="8" s="1"/>
  <c r="R193" i="2"/>
  <c r="H217" i="9"/>
  <c r="U245" i="2"/>
  <c r="W245" i="2"/>
  <c r="S245" i="2"/>
  <c r="J245" i="2"/>
  <c r="F243" i="12"/>
  <c r="J219" i="9"/>
  <c r="P247" i="2"/>
  <c r="N247" i="2"/>
  <c r="G253" i="8"/>
  <c r="I253" i="8" s="1"/>
  <c r="G255" i="12" s="1"/>
  <c r="O259" i="2"/>
  <c r="V259" i="2"/>
  <c r="E29" i="9"/>
  <c r="E29" i="8"/>
  <c r="B34" i="12"/>
  <c r="B33" i="9"/>
  <c r="B33" i="8"/>
  <c r="E45" i="9"/>
  <c r="E45" i="8"/>
  <c r="B50" i="12"/>
  <c r="B49" i="9"/>
  <c r="B49" i="8"/>
  <c r="O54" i="2"/>
  <c r="U56" i="2"/>
  <c r="L61" i="2"/>
  <c r="F60" i="11" s="1"/>
  <c r="H60" i="11" s="1"/>
  <c r="E61" i="9"/>
  <c r="E61" i="8"/>
  <c r="B66" i="12"/>
  <c r="B65" i="9"/>
  <c r="B65" i="8"/>
  <c r="H73" i="9"/>
  <c r="I73" i="9" s="1"/>
  <c r="D169" i="3"/>
  <c r="L77" i="2"/>
  <c r="F76" i="11" s="1"/>
  <c r="H76" i="11" s="1"/>
  <c r="E77" i="9"/>
  <c r="E77" i="8"/>
  <c r="B82" i="12"/>
  <c r="B81" i="9"/>
  <c r="B81" i="8"/>
  <c r="I83" i="9"/>
  <c r="H86" i="9"/>
  <c r="I86" i="9" s="1"/>
  <c r="J87" i="2"/>
  <c r="U92" i="2"/>
  <c r="L94" i="2"/>
  <c r="F93" i="11" s="1"/>
  <c r="H93" i="11" s="1"/>
  <c r="G94" i="9"/>
  <c r="I94" i="9" s="1"/>
  <c r="B103" i="12"/>
  <c r="B102" i="9"/>
  <c r="B102" i="8"/>
  <c r="M113" i="2"/>
  <c r="M116" i="2"/>
  <c r="I125" i="8"/>
  <c r="M129" i="2"/>
  <c r="U130" i="2"/>
  <c r="G140" i="9"/>
  <c r="E150" i="9"/>
  <c r="E149" i="8"/>
  <c r="G165" i="9"/>
  <c r="I165" i="9" s="1"/>
  <c r="H177" i="9"/>
  <c r="W180" i="2"/>
  <c r="L180" i="2"/>
  <c r="F177" i="11" s="1"/>
  <c r="H177" i="11" s="1"/>
  <c r="G181" i="8"/>
  <c r="I181" i="8" s="1"/>
  <c r="G183" i="12" s="1"/>
  <c r="O185" i="2"/>
  <c r="V185" i="2"/>
  <c r="E206" i="9"/>
  <c r="E228" i="8"/>
  <c r="L245" i="2"/>
  <c r="F240" i="11" s="1"/>
  <c r="H240" i="11" s="1"/>
  <c r="E10" i="9"/>
  <c r="E10" i="8"/>
  <c r="W11" i="2"/>
  <c r="B14" i="9"/>
  <c r="B15" i="12"/>
  <c r="B14" i="8"/>
  <c r="I16" i="9"/>
  <c r="L26" i="2"/>
  <c r="F25" i="11" s="1"/>
  <c r="H25" i="11" s="1"/>
  <c r="E26" i="9"/>
  <c r="E26" i="8"/>
  <c r="W27" i="2"/>
  <c r="B31" i="12"/>
  <c r="B30" i="9"/>
  <c r="B30" i="8"/>
  <c r="I32" i="9"/>
  <c r="L42" i="2"/>
  <c r="F41" i="11" s="1"/>
  <c r="H41" i="11" s="1"/>
  <c r="E42" i="9"/>
  <c r="E42" i="8"/>
  <c r="W43" i="2"/>
  <c r="B47" i="12"/>
  <c r="B46" i="9"/>
  <c r="B46" i="8"/>
  <c r="I48" i="9"/>
  <c r="J52" i="2"/>
  <c r="L58" i="2"/>
  <c r="F57" i="11" s="1"/>
  <c r="H57" i="11" s="1"/>
  <c r="G58" i="12" s="1"/>
  <c r="E58" i="9"/>
  <c r="E58" i="8"/>
  <c r="W59" i="2"/>
  <c r="M61" i="2"/>
  <c r="B63" i="12"/>
  <c r="B62" i="9"/>
  <c r="B62" i="8"/>
  <c r="S63" i="2"/>
  <c r="L74" i="2"/>
  <c r="F73" i="11" s="1"/>
  <c r="H73" i="11" s="1"/>
  <c r="E74" i="9"/>
  <c r="E74" i="8"/>
  <c r="M77" i="2"/>
  <c r="B79" i="12"/>
  <c r="B78" i="9"/>
  <c r="B78" i="8"/>
  <c r="I80" i="9"/>
  <c r="J84" i="2"/>
  <c r="L87" i="2"/>
  <c r="F86" i="11" s="1"/>
  <c r="H86" i="11" s="1"/>
  <c r="E87" i="9"/>
  <c r="E87" i="8"/>
  <c r="B89" i="12"/>
  <c r="B88" i="9"/>
  <c r="B88" i="8"/>
  <c r="J91" i="2"/>
  <c r="R93" i="2"/>
  <c r="M94" i="2"/>
  <c r="J95" i="2"/>
  <c r="B97" i="12"/>
  <c r="B96" i="9"/>
  <c r="B96" i="8"/>
  <c r="H99" i="9"/>
  <c r="W100" i="2"/>
  <c r="E100" i="9"/>
  <c r="E100" i="8"/>
  <c r="G106" i="9"/>
  <c r="I106" i="9" s="1"/>
  <c r="T107" i="2"/>
  <c r="H106" i="8" s="1"/>
  <c r="B120" i="12"/>
  <c r="B119" i="9"/>
  <c r="B119" i="8"/>
  <c r="W133" i="2"/>
  <c r="H140" i="9"/>
  <c r="M142" i="2"/>
  <c r="L142" i="2"/>
  <c r="F140" i="11" s="1"/>
  <c r="H140" i="11" s="1"/>
  <c r="J142" i="2"/>
  <c r="W142" i="2"/>
  <c r="U149" i="2"/>
  <c r="B170" i="12"/>
  <c r="B169" i="9"/>
  <c r="B168" i="8"/>
  <c r="E174" i="8"/>
  <c r="E175" i="9"/>
  <c r="J229" i="9"/>
  <c r="C4" i="3"/>
  <c r="N257" i="2"/>
  <c r="E39" i="9"/>
  <c r="E39" i="8"/>
  <c r="B44" i="12"/>
  <c r="B43" i="9"/>
  <c r="B43" i="8"/>
  <c r="J49" i="2"/>
  <c r="E55" i="9"/>
  <c r="E55" i="8"/>
  <c r="B60" i="12"/>
  <c r="B59" i="9"/>
  <c r="B59" i="8"/>
  <c r="F64" i="12"/>
  <c r="J63" i="9"/>
  <c r="H67" i="9"/>
  <c r="I67" i="9" s="1"/>
  <c r="D151" i="3"/>
  <c r="E71" i="9"/>
  <c r="E71" i="8"/>
  <c r="B75" i="9"/>
  <c r="B76" i="12"/>
  <c r="B75" i="8"/>
  <c r="E91" i="9"/>
  <c r="E91" i="8"/>
  <c r="E95" i="9"/>
  <c r="E95" i="8"/>
  <c r="E108" i="9"/>
  <c r="E108" i="8"/>
  <c r="B110" i="12"/>
  <c r="B109" i="9"/>
  <c r="B109" i="8"/>
  <c r="B121" i="12"/>
  <c r="B120" i="9"/>
  <c r="B120" i="8"/>
  <c r="V131" i="2"/>
  <c r="G129" i="8"/>
  <c r="I129" i="8" s="1"/>
  <c r="V132" i="2"/>
  <c r="B133" i="12"/>
  <c r="B132" i="9"/>
  <c r="B131" i="8"/>
  <c r="E135" i="9"/>
  <c r="E134" i="8"/>
  <c r="G150" i="9"/>
  <c r="I150" i="9" s="1"/>
  <c r="B155" i="9"/>
  <c r="B156" i="12"/>
  <c r="B154" i="8"/>
  <c r="B164" i="12"/>
  <c r="B162" i="8"/>
  <c r="B163" i="9"/>
  <c r="H180" i="9"/>
  <c r="W183" i="2"/>
  <c r="M183" i="2"/>
  <c r="J183" i="2"/>
  <c r="G216" i="8"/>
  <c r="I216" i="8" s="1"/>
  <c r="G218" i="12" s="1"/>
  <c r="O220" i="2"/>
  <c r="V220" i="2"/>
  <c r="E52" i="9"/>
  <c r="E52" i="8"/>
  <c r="B57" i="12"/>
  <c r="B56" i="9"/>
  <c r="B56" i="8"/>
  <c r="P64" i="2"/>
  <c r="L68" i="2"/>
  <c r="F67" i="11" s="1"/>
  <c r="H67" i="11" s="1"/>
  <c r="G68" i="12" s="1"/>
  <c r="E68" i="9"/>
  <c r="E68" i="8"/>
  <c r="B73" i="12"/>
  <c r="B72" i="9"/>
  <c r="B72" i="8"/>
  <c r="L84" i="2"/>
  <c r="F83" i="11" s="1"/>
  <c r="H83" i="11" s="1"/>
  <c r="E84" i="9"/>
  <c r="E84" i="8"/>
  <c r="L91" i="2"/>
  <c r="F90" i="11" s="1"/>
  <c r="H90" i="11" s="1"/>
  <c r="G91" i="12" s="1"/>
  <c r="B93" i="12"/>
  <c r="B92" i="9"/>
  <c r="B92" i="8"/>
  <c r="L95" i="2"/>
  <c r="F94" i="11" s="1"/>
  <c r="H94" i="11" s="1"/>
  <c r="G100" i="9"/>
  <c r="E101" i="9"/>
  <c r="E101" i="8"/>
  <c r="H106" i="9"/>
  <c r="D157" i="3"/>
  <c r="U107" i="2"/>
  <c r="L107" i="2"/>
  <c r="F106" i="11" s="1"/>
  <c r="H106" i="11" s="1"/>
  <c r="B117" i="9"/>
  <c r="B118" i="12"/>
  <c r="B117" i="8"/>
  <c r="B123" i="12"/>
  <c r="B122" i="9"/>
  <c r="B122" i="8"/>
  <c r="V124" i="2"/>
  <c r="B130" i="12"/>
  <c r="B129" i="9"/>
  <c r="B128" i="8"/>
  <c r="B148" i="9"/>
  <c r="B149" i="12"/>
  <c r="B147" i="8"/>
  <c r="L183" i="2"/>
  <c r="F180" i="11" s="1"/>
  <c r="H180" i="11" s="1"/>
  <c r="B186" i="12"/>
  <c r="B185" i="9"/>
  <c r="B184" i="8"/>
  <c r="J11" i="2"/>
  <c r="M11" i="2" s="1"/>
  <c r="E17" i="9"/>
  <c r="E17" i="8"/>
  <c r="B22" i="12"/>
  <c r="B21" i="9"/>
  <c r="B21" i="8"/>
  <c r="I23" i="9"/>
  <c r="J27" i="2"/>
  <c r="E33" i="9"/>
  <c r="E33" i="8"/>
  <c r="B38" i="12"/>
  <c r="B37" i="9"/>
  <c r="B37" i="8"/>
  <c r="I39" i="9"/>
  <c r="L49" i="2"/>
  <c r="F48" i="11" s="1"/>
  <c r="H48" i="11" s="1"/>
  <c r="E49" i="9"/>
  <c r="E49" i="8"/>
  <c r="M52" i="2"/>
  <c r="B54" i="12"/>
  <c r="B53" i="9"/>
  <c r="B53" i="8"/>
  <c r="T57" i="2"/>
  <c r="H56" i="8" s="1"/>
  <c r="J59" i="2"/>
  <c r="M59" i="2" s="1"/>
  <c r="H61" i="9"/>
  <c r="I61" i="9" s="1"/>
  <c r="D105" i="3"/>
  <c r="L65" i="2"/>
  <c r="F64" i="11" s="1"/>
  <c r="H64" i="11" s="1"/>
  <c r="E65" i="9"/>
  <c r="E65" i="8"/>
  <c r="M68" i="2"/>
  <c r="O68" i="2" s="1"/>
  <c r="B70" i="12"/>
  <c r="B69" i="9"/>
  <c r="B69" i="8"/>
  <c r="I71" i="9"/>
  <c r="L81" i="2"/>
  <c r="F80" i="11" s="1"/>
  <c r="H80" i="11" s="1"/>
  <c r="E81" i="9"/>
  <c r="E81" i="8"/>
  <c r="M84" i="2"/>
  <c r="B86" i="12"/>
  <c r="B85" i="9"/>
  <c r="B85" i="8"/>
  <c r="W89" i="2"/>
  <c r="M91" i="2"/>
  <c r="M95" i="2"/>
  <c r="E102" i="9"/>
  <c r="E102" i="8"/>
  <c r="M107" i="2"/>
  <c r="O107" i="2" s="1"/>
  <c r="H107" i="9"/>
  <c r="I107" i="9" s="1"/>
  <c r="D158" i="3"/>
  <c r="W108" i="2"/>
  <c r="G108" i="9"/>
  <c r="I108" i="9" s="1"/>
  <c r="R109" i="2"/>
  <c r="B117" i="12"/>
  <c r="B116" i="9"/>
  <c r="B116" i="8"/>
  <c r="B124" i="12"/>
  <c r="B123" i="9"/>
  <c r="B123" i="8"/>
  <c r="B126" i="12"/>
  <c r="B125" i="9"/>
  <c r="E134" i="9"/>
  <c r="E133" i="8"/>
  <c r="E137" i="9"/>
  <c r="E136" i="8"/>
  <c r="B140" i="8"/>
  <c r="B141" i="9"/>
  <c r="B142" i="12"/>
  <c r="E144" i="9"/>
  <c r="E143" i="8"/>
  <c r="H146" i="9"/>
  <c r="W148" i="2"/>
  <c r="L148" i="2"/>
  <c r="F146" i="11" s="1"/>
  <c r="H146" i="11" s="1"/>
  <c r="B155" i="12"/>
  <c r="B154" i="9"/>
  <c r="B153" i="8"/>
  <c r="W164" i="2"/>
  <c r="L164" i="2"/>
  <c r="G171" i="9"/>
  <c r="B202" i="12"/>
  <c r="B200" i="8"/>
  <c r="E14" i="9"/>
  <c r="E14" i="8"/>
  <c r="B19" i="12"/>
  <c r="B18" i="9"/>
  <c r="B18" i="8"/>
  <c r="I20" i="9"/>
  <c r="E30" i="9"/>
  <c r="E30" i="8"/>
  <c r="B34" i="9"/>
  <c r="B35" i="12"/>
  <c r="B34" i="8"/>
  <c r="I36" i="9"/>
  <c r="J40" i="2"/>
  <c r="H42" i="9"/>
  <c r="D110" i="3"/>
  <c r="E46" i="9"/>
  <c r="E46" i="8"/>
  <c r="W47" i="2"/>
  <c r="M49" i="2"/>
  <c r="B51" i="12"/>
  <c r="B50" i="9"/>
  <c r="B50" i="8"/>
  <c r="T54" i="2"/>
  <c r="H53" i="8" s="1"/>
  <c r="J56" i="2"/>
  <c r="L62" i="2"/>
  <c r="F61" i="11" s="1"/>
  <c r="H61" i="11" s="1"/>
  <c r="E62" i="9"/>
  <c r="E62" i="8"/>
  <c r="W63" i="2"/>
  <c r="I63" i="8"/>
  <c r="G64" i="12" s="1"/>
  <c r="M65" i="2"/>
  <c r="B67" i="12"/>
  <c r="B66" i="9"/>
  <c r="B66" i="8"/>
  <c r="I68" i="9"/>
  <c r="J72" i="2"/>
  <c r="H74" i="9"/>
  <c r="I74" i="9" s="1"/>
  <c r="D170" i="3"/>
  <c r="L78" i="2"/>
  <c r="F77" i="11" s="1"/>
  <c r="H77" i="11" s="1"/>
  <c r="E78" i="9"/>
  <c r="E78" i="8"/>
  <c r="W79" i="2"/>
  <c r="M81" i="2"/>
  <c r="B83" i="12"/>
  <c r="B82" i="9"/>
  <c r="B82" i="8"/>
  <c r="I84" i="9"/>
  <c r="H87" i="9"/>
  <c r="I87" i="9" s="1"/>
  <c r="E88" i="9"/>
  <c r="E88" i="8"/>
  <c r="B90" i="12"/>
  <c r="B89" i="9"/>
  <c r="B89" i="8"/>
  <c r="J92" i="2"/>
  <c r="H100" i="9"/>
  <c r="I101" i="9"/>
  <c r="B105" i="12"/>
  <c r="B104" i="9"/>
  <c r="B104" i="8"/>
  <c r="L108" i="2"/>
  <c r="B113" i="9"/>
  <c r="B114" i="12"/>
  <c r="B113" i="8"/>
  <c r="E119" i="9"/>
  <c r="E119" i="8"/>
  <c r="M148" i="2"/>
  <c r="E160" i="9"/>
  <c r="E159" i="8"/>
  <c r="M164" i="2"/>
  <c r="H171" i="9"/>
  <c r="M174" i="2"/>
  <c r="L174" i="2"/>
  <c r="F171" i="11" s="1"/>
  <c r="H171" i="11" s="1"/>
  <c r="J174" i="2"/>
  <c r="W174" i="2"/>
  <c r="G210" i="9"/>
  <c r="I210" i="9" s="1"/>
  <c r="T238" i="2"/>
  <c r="H232" i="8" s="1"/>
  <c r="R238" i="2"/>
  <c r="E27" i="9"/>
  <c r="E27" i="8"/>
  <c r="B32" i="12"/>
  <c r="B31" i="9"/>
  <c r="B31" i="8"/>
  <c r="I33" i="9"/>
  <c r="O36" i="2"/>
  <c r="E43" i="9"/>
  <c r="E43" i="8"/>
  <c r="B48" i="12"/>
  <c r="B47" i="9"/>
  <c r="B47" i="8"/>
  <c r="I49" i="9"/>
  <c r="O52" i="2"/>
  <c r="V57" i="2"/>
  <c r="E59" i="9"/>
  <c r="E59" i="8"/>
  <c r="W60" i="2"/>
  <c r="B64" i="12"/>
  <c r="B63" i="9"/>
  <c r="B63" i="8"/>
  <c r="I65" i="9"/>
  <c r="E75" i="9"/>
  <c r="E75" i="8"/>
  <c r="B80" i="12"/>
  <c r="B79" i="9"/>
  <c r="B79" i="8"/>
  <c r="I81" i="9"/>
  <c r="F91" i="12"/>
  <c r="J90" i="9"/>
  <c r="B106" i="12"/>
  <c r="B105" i="9"/>
  <c r="B105" i="8"/>
  <c r="E109" i="9"/>
  <c r="E109" i="8"/>
  <c r="E118" i="9"/>
  <c r="E118" i="8"/>
  <c r="E132" i="9"/>
  <c r="E131" i="8"/>
  <c r="G134" i="9"/>
  <c r="I134" i="9" s="1"/>
  <c r="H164" i="9"/>
  <c r="W167" i="2"/>
  <c r="M167" i="2"/>
  <c r="J167" i="2"/>
  <c r="G187" i="9"/>
  <c r="I187" i="9" s="1"/>
  <c r="T190" i="2"/>
  <c r="H186" i="8" s="1"/>
  <c r="R190" i="2"/>
  <c r="H193" i="9"/>
  <c r="I193" i="9" s="1"/>
  <c r="W196" i="2"/>
  <c r="M196" i="2"/>
  <c r="L196" i="2"/>
  <c r="F193" i="11" s="1"/>
  <c r="H193" i="11" s="1"/>
  <c r="B205" i="12"/>
  <c r="B203" i="8"/>
  <c r="H202" i="9"/>
  <c r="I202" i="9" s="1"/>
  <c r="W228" i="2"/>
  <c r="M228" i="2"/>
  <c r="L228" i="2"/>
  <c r="F225" i="11" s="1"/>
  <c r="H225" i="11" s="1"/>
  <c r="V237" i="2"/>
  <c r="O237" i="2"/>
  <c r="L93" i="2"/>
  <c r="F92" i="11" s="1"/>
  <c r="H92" i="11" s="1"/>
  <c r="E93" i="9"/>
  <c r="E93" i="8"/>
  <c r="M96" i="2"/>
  <c r="B98" i="12"/>
  <c r="B97" i="9"/>
  <c r="B97" i="8"/>
  <c r="I99" i="9"/>
  <c r="H105" i="9"/>
  <c r="D156" i="3"/>
  <c r="L109" i="2"/>
  <c r="M112" i="2"/>
  <c r="B113" i="12"/>
  <c r="B112" i="9"/>
  <c r="B112" i="8"/>
  <c r="I114" i="9"/>
  <c r="L125" i="2"/>
  <c r="F123" i="11" s="1"/>
  <c r="H123" i="11" s="1"/>
  <c r="E124" i="9"/>
  <c r="E124" i="8"/>
  <c r="B129" i="12"/>
  <c r="B128" i="9"/>
  <c r="B127" i="8"/>
  <c r="I130" i="9"/>
  <c r="L141" i="2"/>
  <c r="F139" i="11" s="1"/>
  <c r="H139" i="11" s="1"/>
  <c r="E140" i="9"/>
  <c r="E139" i="8"/>
  <c r="B145" i="12"/>
  <c r="B144" i="9"/>
  <c r="B143" i="8"/>
  <c r="I146" i="9"/>
  <c r="T149" i="2"/>
  <c r="H146" i="8" s="1"/>
  <c r="L157" i="2"/>
  <c r="F155" i="11" s="1"/>
  <c r="H155" i="11" s="1"/>
  <c r="E155" i="8"/>
  <c r="E156" i="9"/>
  <c r="M160" i="2"/>
  <c r="B160" i="9"/>
  <c r="B161" i="12"/>
  <c r="B159" i="8"/>
  <c r="E171" i="9"/>
  <c r="E170" i="8"/>
  <c r="M176" i="2"/>
  <c r="B176" i="12"/>
  <c r="B174" i="8"/>
  <c r="B175" i="9"/>
  <c r="I177" i="9"/>
  <c r="T181" i="2"/>
  <c r="H177" i="8" s="1"/>
  <c r="E187" i="9"/>
  <c r="E186" i="8"/>
  <c r="W190" i="2"/>
  <c r="R191" i="2"/>
  <c r="B192" i="12"/>
  <c r="B191" i="9"/>
  <c r="B190" i="8"/>
  <c r="S194" i="2"/>
  <c r="T197" i="2"/>
  <c r="H193" i="8" s="1"/>
  <c r="O198" i="2"/>
  <c r="L205" i="2"/>
  <c r="F202" i="11" s="1"/>
  <c r="H202" i="11" s="1"/>
  <c r="W206" i="2"/>
  <c r="M208" i="2"/>
  <c r="B208" i="12"/>
  <c r="B206" i="8"/>
  <c r="L221" i="2"/>
  <c r="F218" i="11" s="1"/>
  <c r="H218" i="11" s="1"/>
  <c r="E196" i="9"/>
  <c r="E218" i="8"/>
  <c r="W222" i="2"/>
  <c r="R223" i="2"/>
  <c r="M224" i="2"/>
  <c r="B200" i="9"/>
  <c r="B224" i="12"/>
  <c r="B222" i="8"/>
  <c r="T229" i="2"/>
  <c r="H225" i="8" s="1"/>
  <c r="U232" i="2"/>
  <c r="L237" i="2"/>
  <c r="E210" i="9"/>
  <c r="E232" i="8"/>
  <c r="W238" i="2"/>
  <c r="R239" i="2"/>
  <c r="M240" i="2"/>
  <c r="T247" i="2"/>
  <c r="H241" i="8" s="1"/>
  <c r="S253" i="2"/>
  <c r="G238" i="9"/>
  <c r="I238" i="9" s="1"/>
  <c r="G249" i="9"/>
  <c r="I249" i="9" s="1"/>
  <c r="R38" i="5"/>
  <c r="Q38" i="5"/>
  <c r="P38" i="5"/>
  <c r="Q140" i="5"/>
  <c r="R140" i="5"/>
  <c r="P140" i="5"/>
  <c r="Q179" i="5"/>
  <c r="P179" i="5"/>
  <c r="U185" i="5"/>
  <c r="T185" i="5"/>
  <c r="E147" i="9"/>
  <c r="E146" i="8"/>
  <c r="B152" i="12"/>
  <c r="B151" i="9"/>
  <c r="B150" i="8"/>
  <c r="E162" i="9"/>
  <c r="E161" i="8"/>
  <c r="W165" i="2"/>
  <c r="B167" i="12"/>
  <c r="B166" i="9"/>
  <c r="B165" i="8"/>
  <c r="E178" i="9"/>
  <c r="E177" i="8"/>
  <c r="W181" i="2"/>
  <c r="B183" i="12"/>
  <c r="B182" i="9"/>
  <c r="B181" i="8"/>
  <c r="J190" i="2"/>
  <c r="M190" i="2" s="1"/>
  <c r="H190" i="9"/>
  <c r="D167" i="3"/>
  <c r="E194" i="9"/>
  <c r="E193" i="8"/>
  <c r="B199" i="12"/>
  <c r="B197" i="8"/>
  <c r="J206" i="2"/>
  <c r="W213" i="2"/>
  <c r="B215" i="12"/>
  <c r="B213" i="8"/>
  <c r="J222" i="2"/>
  <c r="E203" i="9"/>
  <c r="E225" i="8"/>
  <c r="B231" i="12"/>
  <c r="B207" i="9"/>
  <c r="B229" i="8"/>
  <c r="J238" i="2"/>
  <c r="E214" i="9"/>
  <c r="E236" i="8"/>
  <c r="E241" i="8"/>
  <c r="E219" i="9"/>
  <c r="B244" i="12"/>
  <c r="B220" i="9"/>
  <c r="B242" i="8"/>
  <c r="E227" i="9"/>
  <c r="E249" i="8"/>
  <c r="R47" i="5"/>
  <c r="Q47" i="5"/>
  <c r="R94" i="5"/>
  <c r="Q94" i="5"/>
  <c r="R114" i="5"/>
  <c r="P114" i="5"/>
  <c r="Q114" i="5"/>
  <c r="J183" i="9"/>
  <c r="F184" i="12"/>
  <c r="E190" i="8"/>
  <c r="E191" i="9"/>
  <c r="B196" i="12"/>
  <c r="B194" i="8"/>
  <c r="B212" i="12"/>
  <c r="B210" i="8"/>
  <c r="E222" i="8"/>
  <c r="E200" i="9"/>
  <c r="B228" i="12"/>
  <c r="B204" i="9"/>
  <c r="B226" i="8"/>
  <c r="B216" i="9"/>
  <c r="B240" i="12"/>
  <c r="B238" i="8"/>
  <c r="B249" i="12"/>
  <c r="B225" i="9"/>
  <c r="B247" i="8"/>
  <c r="H242" i="9"/>
  <c r="W270" i="2"/>
  <c r="J270" i="2"/>
  <c r="B274" i="12"/>
  <c r="B250" i="9"/>
  <c r="B272" i="8"/>
  <c r="R6" i="5"/>
  <c r="Q6" i="5"/>
  <c r="P6" i="5"/>
  <c r="U42" i="5"/>
  <c r="T42" i="5"/>
  <c r="R122" i="5"/>
  <c r="Q122" i="5"/>
  <c r="E141" i="9"/>
  <c r="E140" i="8"/>
  <c r="I141" i="8"/>
  <c r="M145" i="2"/>
  <c r="B145" i="9"/>
  <c r="B146" i="12"/>
  <c r="B144" i="8"/>
  <c r="I147" i="9"/>
  <c r="E157" i="9"/>
  <c r="E156" i="8"/>
  <c r="M161" i="2"/>
  <c r="B162" i="12"/>
  <c r="B160" i="8"/>
  <c r="B161" i="9"/>
  <c r="I162" i="9"/>
  <c r="E172" i="9"/>
  <c r="E171" i="8"/>
  <c r="M177" i="2"/>
  <c r="B176" i="9"/>
  <c r="B177" i="12"/>
  <c r="B175" i="8"/>
  <c r="P186" i="2"/>
  <c r="L190" i="2"/>
  <c r="F187" i="11" s="1"/>
  <c r="H187" i="11" s="1"/>
  <c r="E187" i="8"/>
  <c r="E188" i="9"/>
  <c r="I188" i="8"/>
  <c r="M193" i="2"/>
  <c r="B193" i="12"/>
  <c r="B192" i="9"/>
  <c r="B191" i="8"/>
  <c r="O199" i="2"/>
  <c r="L206" i="2"/>
  <c r="F203" i="11" s="1"/>
  <c r="H203" i="11" s="1"/>
  <c r="W207" i="2"/>
  <c r="M209" i="2"/>
  <c r="B209" i="12"/>
  <c r="B207" i="8"/>
  <c r="L222" i="2"/>
  <c r="F219" i="11" s="1"/>
  <c r="H219" i="11" s="1"/>
  <c r="E197" i="9"/>
  <c r="E219" i="8"/>
  <c r="W223" i="2"/>
  <c r="M225" i="2"/>
  <c r="B225" i="12"/>
  <c r="B201" i="9"/>
  <c r="B223" i="8"/>
  <c r="L238" i="2"/>
  <c r="F233" i="11" s="1"/>
  <c r="H233" i="11" s="1"/>
  <c r="E211" i="9"/>
  <c r="E233" i="8"/>
  <c r="W239" i="2"/>
  <c r="M241" i="2"/>
  <c r="O241" i="2" s="1"/>
  <c r="G214" i="9"/>
  <c r="I214" i="9" s="1"/>
  <c r="T242" i="2"/>
  <c r="H236" i="8" s="1"/>
  <c r="B247" i="12"/>
  <c r="B223" i="9"/>
  <c r="B245" i="8"/>
  <c r="H228" i="9"/>
  <c r="M256" i="2"/>
  <c r="L256" i="2"/>
  <c r="F251" i="11" s="1"/>
  <c r="H251" i="11" s="1"/>
  <c r="J256" i="2"/>
  <c r="W256" i="2"/>
  <c r="G236" i="9"/>
  <c r="L270" i="2"/>
  <c r="F265" i="11" s="1"/>
  <c r="H265" i="11" s="1"/>
  <c r="R31" i="5"/>
  <c r="Q31" i="5"/>
  <c r="T35" i="5"/>
  <c r="P64" i="5"/>
  <c r="R64" i="5"/>
  <c r="Q64" i="5"/>
  <c r="P122" i="5"/>
  <c r="R260" i="5"/>
  <c r="Q260" i="5"/>
  <c r="P260" i="5"/>
  <c r="E107" i="9"/>
  <c r="E107" i="8"/>
  <c r="B111" i="12"/>
  <c r="B110" i="9"/>
  <c r="B110" i="8"/>
  <c r="E122" i="9"/>
  <c r="E122" i="8"/>
  <c r="W124" i="2"/>
  <c r="R125" i="2"/>
  <c r="B127" i="12"/>
  <c r="B126" i="9"/>
  <c r="B125" i="8"/>
  <c r="I128" i="9"/>
  <c r="T131" i="2"/>
  <c r="H128" i="8" s="1"/>
  <c r="I128" i="8" s="1"/>
  <c r="L139" i="2"/>
  <c r="F137" i="11" s="1"/>
  <c r="H137" i="11" s="1"/>
  <c r="E138" i="9"/>
  <c r="E137" i="8"/>
  <c r="W140" i="2"/>
  <c r="B143" i="12"/>
  <c r="B142" i="9"/>
  <c r="B141" i="8"/>
  <c r="I144" i="9"/>
  <c r="L155" i="2"/>
  <c r="F153" i="11" s="1"/>
  <c r="H153" i="11" s="1"/>
  <c r="E154" i="9"/>
  <c r="E153" i="8"/>
  <c r="W156" i="2"/>
  <c r="B158" i="9"/>
  <c r="B159" i="12"/>
  <c r="B157" i="8"/>
  <c r="I160" i="9"/>
  <c r="J165" i="2"/>
  <c r="L171" i="2"/>
  <c r="F168" i="11" s="1"/>
  <c r="H168" i="11" s="1"/>
  <c r="E169" i="9"/>
  <c r="E168" i="8"/>
  <c r="W172" i="2"/>
  <c r="B174" i="12"/>
  <c r="B172" i="8"/>
  <c r="B173" i="9"/>
  <c r="I175" i="9"/>
  <c r="J181" i="2"/>
  <c r="L187" i="2"/>
  <c r="F184" i="11" s="1"/>
  <c r="H184" i="11" s="1"/>
  <c r="E185" i="9"/>
  <c r="E184" i="8"/>
  <c r="W188" i="2"/>
  <c r="R189" i="2"/>
  <c r="B190" i="12"/>
  <c r="B188" i="8"/>
  <c r="B189" i="9"/>
  <c r="J197" i="2"/>
  <c r="U198" i="2"/>
  <c r="L203" i="2"/>
  <c r="F200" i="11" s="1"/>
  <c r="H200" i="11" s="1"/>
  <c r="W204" i="2"/>
  <c r="M206" i="2"/>
  <c r="B206" i="12"/>
  <c r="B204" i="8"/>
  <c r="J213" i="2"/>
  <c r="L219" i="2"/>
  <c r="F216" i="11" s="1"/>
  <c r="H216" i="11" s="1"/>
  <c r="W220" i="2"/>
  <c r="R221" i="2"/>
  <c r="M222" i="2"/>
  <c r="B222" i="12"/>
  <c r="B220" i="8"/>
  <c r="B198" i="9"/>
  <c r="I200" i="9"/>
  <c r="T227" i="2"/>
  <c r="H223" i="8" s="1"/>
  <c r="I223" i="8" s="1"/>
  <c r="G225" i="12" s="1"/>
  <c r="J229" i="2"/>
  <c r="U230" i="2"/>
  <c r="L235" i="2"/>
  <c r="F232" i="11" s="1"/>
  <c r="H232" i="11" s="1"/>
  <c r="W236" i="2"/>
  <c r="M238" i="2"/>
  <c r="B212" i="9"/>
  <c r="B236" i="12"/>
  <c r="B234" i="8"/>
  <c r="J242" i="2"/>
  <c r="E215" i="9"/>
  <c r="E237" i="8"/>
  <c r="B255" i="12"/>
  <c r="B231" i="9"/>
  <c r="B253" i="8"/>
  <c r="E262" i="8"/>
  <c r="E240" i="9"/>
  <c r="M270" i="2"/>
  <c r="E246" i="9"/>
  <c r="E268" i="8"/>
  <c r="U26" i="5"/>
  <c r="T26" i="5"/>
  <c r="R69" i="5"/>
  <c r="Q69" i="5"/>
  <c r="R172" i="5"/>
  <c r="Q172" i="5"/>
  <c r="P172" i="5"/>
  <c r="E166" i="9"/>
  <c r="E165" i="8"/>
  <c r="B171" i="12"/>
  <c r="B170" i="9"/>
  <c r="B169" i="8"/>
  <c r="E182" i="9"/>
  <c r="E181" i="8"/>
  <c r="B187" i="12"/>
  <c r="B186" i="9"/>
  <c r="B185" i="8"/>
  <c r="W201" i="2"/>
  <c r="B203" i="12"/>
  <c r="B201" i="8"/>
  <c r="B219" i="12"/>
  <c r="B217" i="8"/>
  <c r="B195" i="9"/>
  <c r="V230" i="2"/>
  <c r="E229" i="8"/>
  <c r="E207" i="9"/>
  <c r="V244" i="2"/>
  <c r="G239" i="8"/>
  <c r="I239" i="8" s="1"/>
  <c r="V245" i="2"/>
  <c r="H236" i="9"/>
  <c r="W264" i="2"/>
  <c r="M264" i="2"/>
  <c r="L264" i="2"/>
  <c r="F259" i="11" s="1"/>
  <c r="H259" i="11" s="1"/>
  <c r="R15" i="5"/>
  <c r="Q15" i="5"/>
  <c r="T19" i="5"/>
  <c r="P69" i="5"/>
  <c r="E148" i="9"/>
  <c r="E147" i="8"/>
  <c r="B152" i="9"/>
  <c r="B153" i="12"/>
  <c r="B151" i="8"/>
  <c r="L165" i="2"/>
  <c r="F162" i="11" s="1"/>
  <c r="H162" i="11" s="1"/>
  <c r="E163" i="9"/>
  <c r="E162" i="8"/>
  <c r="B168" i="12"/>
  <c r="B167" i="9"/>
  <c r="B166" i="8"/>
  <c r="L181" i="2"/>
  <c r="F178" i="11" s="1"/>
  <c r="H178" i="11" s="1"/>
  <c r="E178" i="8"/>
  <c r="E179" i="9"/>
  <c r="B183" i="9"/>
  <c r="B184" i="12"/>
  <c r="B182" i="8"/>
  <c r="L197" i="2"/>
  <c r="F194" i="11" s="1"/>
  <c r="H194" i="11" s="1"/>
  <c r="W198" i="2"/>
  <c r="B200" i="12"/>
  <c r="B198" i="8"/>
  <c r="J207" i="2"/>
  <c r="L213" i="2"/>
  <c r="F210" i="11" s="1"/>
  <c r="H210" i="11" s="1"/>
  <c r="B216" i="12"/>
  <c r="B214" i="8"/>
  <c r="J223" i="2"/>
  <c r="V227" i="2"/>
  <c r="L229" i="2"/>
  <c r="F226" i="11" s="1"/>
  <c r="H226" i="11" s="1"/>
  <c r="E204" i="9"/>
  <c r="E226" i="8"/>
  <c r="W230" i="2"/>
  <c r="B232" i="12"/>
  <c r="B208" i="9"/>
  <c r="B230" i="8"/>
  <c r="E238" i="8"/>
  <c r="E216" i="9"/>
  <c r="W244" i="2"/>
  <c r="H226" i="9"/>
  <c r="W254" i="2"/>
  <c r="D200" i="3"/>
  <c r="J254" i="2"/>
  <c r="B268" i="12"/>
  <c r="B244" i="9"/>
  <c r="B266" i="8"/>
  <c r="U10" i="5"/>
  <c r="T10" i="5"/>
  <c r="R236" i="5"/>
  <c r="Q236" i="5"/>
  <c r="P236" i="5"/>
  <c r="B133" i="9"/>
  <c r="B134" i="12"/>
  <c r="B132" i="8"/>
  <c r="V144" i="2"/>
  <c r="L146" i="2"/>
  <c r="F144" i="11" s="1"/>
  <c r="H144" i="11" s="1"/>
  <c r="E145" i="9"/>
  <c r="E144" i="8"/>
  <c r="B150" i="12"/>
  <c r="B149" i="9"/>
  <c r="B148" i="8"/>
  <c r="L162" i="2"/>
  <c r="F160" i="11" s="1"/>
  <c r="H160" i="11" s="1"/>
  <c r="E161" i="9"/>
  <c r="E160" i="8"/>
  <c r="M165" i="2"/>
  <c r="B164" i="9"/>
  <c r="B165" i="12"/>
  <c r="B163" i="8"/>
  <c r="L178" i="2"/>
  <c r="F175" i="11" s="1"/>
  <c r="H175" i="11" s="1"/>
  <c r="E176" i="9"/>
  <c r="E175" i="8"/>
  <c r="M181" i="2"/>
  <c r="B180" i="9"/>
  <c r="B181" i="12"/>
  <c r="B179" i="8"/>
  <c r="H188" i="9"/>
  <c r="I188" i="9" s="1"/>
  <c r="D165" i="3"/>
  <c r="L194" i="2"/>
  <c r="F191" i="11" s="1"/>
  <c r="H191" i="11" s="1"/>
  <c r="E192" i="9"/>
  <c r="E191" i="8"/>
  <c r="M197" i="2"/>
  <c r="B197" i="12"/>
  <c r="B195" i="8"/>
  <c r="M213" i="2"/>
  <c r="B213" i="12"/>
  <c r="B211" i="8"/>
  <c r="E223" i="8"/>
  <c r="E201" i="9"/>
  <c r="W227" i="2"/>
  <c r="B229" i="12"/>
  <c r="B227" i="8"/>
  <c r="B205" i="9"/>
  <c r="H215" i="9"/>
  <c r="I215" i="9" s="1"/>
  <c r="J243" i="2"/>
  <c r="B241" i="12"/>
  <c r="B217" i="9"/>
  <c r="B239" i="8"/>
  <c r="E221" i="9"/>
  <c r="E243" i="8"/>
  <c r="E224" i="9"/>
  <c r="E246" i="8"/>
  <c r="L254" i="2"/>
  <c r="F249" i="11" s="1"/>
  <c r="H249" i="11" s="1"/>
  <c r="E254" i="8"/>
  <c r="E232" i="9"/>
  <c r="G252" i="9"/>
  <c r="I252" i="9" s="1"/>
  <c r="T3" i="5"/>
  <c r="E110" i="9"/>
  <c r="E110" i="8"/>
  <c r="B115" i="12"/>
  <c r="B114" i="9"/>
  <c r="B114" i="8"/>
  <c r="I116" i="9"/>
  <c r="E126" i="9"/>
  <c r="E125" i="8"/>
  <c r="B131" i="12"/>
  <c r="B130" i="9"/>
  <c r="B129" i="8"/>
  <c r="I132" i="9"/>
  <c r="L143" i="2"/>
  <c r="F141" i="11" s="1"/>
  <c r="H141" i="11" s="1"/>
  <c r="E142" i="9"/>
  <c r="E141" i="8"/>
  <c r="M146" i="2"/>
  <c r="B147" i="12"/>
  <c r="B146" i="9"/>
  <c r="B145" i="8"/>
  <c r="I148" i="9"/>
  <c r="L159" i="2"/>
  <c r="F157" i="11" s="1"/>
  <c r="H157" i="11" s="1"/>
  <c r="E158" i="9"/>
  <c r="E157" i="8"/>
  <c r="M162" i="2"/>
  <c r="I163" i="9"/>
  <c r="L175" i="2"/>
  <c r="F172" i="11" s="1"/>
  <c r="H172" i="11" s="1"/>
  <c r="E173" i="9"/>
  <c r="E172" i="8"/>
  <c r="M178" i="2"/>
  <c r="B178" i="12"/>
  <c r="B177" i="9"/>
  <c r="B176" i="8"/>
  <c r="I179" i="9"/>
  <c r="L191" i="2"/>
  <c r="F188" i="11" s="1"/>
  <c r="H188" i="11" s="1"/>
  <c r="E189" i="9"/>
  <c r="E188" i="8"/>
  <c r="M194" i="2"/>
  <c r="B194" i="12"/>
  <c r="B193" i="9"/>
  <c r="B192" i="8"/>
  <c r="L207" i="2"/>
  <c r="F204" i="11" s="1"/>
  <c r="H204" i="11" s="1"/>
  <c r="W208" i="2"/>
  <c r="B210" i="12"/>
  <c r="B208" i="8"/>
  <c r="L223" i="2"/>
  <c r="F220" i="11" s="1"/>
  <c r="H220" i="11" s="1"/>
  <c r="E198" i="9"/>
  <c r="E220" i="8"/>
  <c r="W224" i="2"/>
  <c r="M226" i="2"/>
  <c r="B226" i="12"/>
  <c r="B202" i="9"/>
  <c r="B224" i="8"/>
  <c r="L239" i="2"/>
  <c r="F234" i="11" s="1"/>
  <c r="H234" i="11" s="1"/>
  <c r="E212" i="9"/>
  <c r="E234" i="8"/>
  <c r="L243" i="2"/>
  <c r="F238" i="11" s="1"/>
  <c r="H238" i="11" s="1"/>
  <c r="G225" i="9"/>
  <c r="T253" i="2"/>
  <c r="H247" i="8" s="1"/>
  <c r="M254" i="2"/>
  <c r="G233" i="9"/>
  <c r="I233" i="9" s="1"/>
  <c r="U212" i="5"/>
  <c r="T212" i="5"/>
  <c r="B112" i="12"/>
  <c r="B111" i="9"/>
  <c r="B111" i="8"/>
  <c r="J118" i="2"/>
  <c r="E123" i="9"/>
  <c r="E123" i="8"/>
  <c r="B128" i="12"/>
  <c r="B127" i="9"/>
  <c r="B126" i="8"/>
  <c r="I129" i="9"/>
  <c r="J134" i="2"/>
  <c r="L140" i="2"/>
  <c r="F138" i="11" s="1"/>
  <c r="H138" i="11" s="1"/>
  <c r="E139" i="9"/>
  <c r="E138" i="8"/>
  <c r="M143" i="2"/>
  <c r="B143" i="9"/>
  <c r="B144" i="12"/>
  <c r="B142" i="8"/>
  <c r="I145" i="9"/>
  <c r="J150" i="2"/>
  <c r="L156" i="2"/>
  <c r="F154" i="11" s="1"/>
  <c r="H154" i="11" s="1"/>
  <c r="E154" i="8"/>
  <c r="E155" i="9"/>
  <c r="M159" i="2"/>
  <c r="B160" i="12"/>
  <c r="B158" i="8"/>
  <c r="B159" i="9"/>
  <c r="I161" i="9"/>
  <c r="J166" i="2"/>
  <c r="L172" i="2"/>
  <c r="F169" i="11" s="1"/>
  <c r="H169" i="11" s="1"/>
  <c r="E170" i="9"/>
  <c r="E169" i="8"/>
  <c r="M175" i="2"/>
  <c r="B174" i="9"/>
  <c r="B175" i="12"/>
  <c r="B173" i="8"/>
  <c r="S177" i="2"/>
  <c r="I176" i="9"/>
  <c r="J182" i="2"/>
  <c r="V186" i="2"/>
  <c r="L188" i="2"/>
  <c r="F185" i="11" s="1"/>
  <c r="H185" i="11" s="1"/>
  <c r="E186" i="9"/>
  <c r="E185" i="8"/>
  <c r="B191" i="12"/>
  <c r="B190" i="9"/>
  <c r="B189" i="8"/>
  <c r="S193" i="2"/>
  <c r="I192" i="9"/>
  <c r="J198" i="2"/>
  <c r="B207" i="12"/>
  <c r="B205" i="8"/>
  <c r="J214" i="2"/>
  <c r="V218" i="2"/>
  <c r="E195" i="9"/>
  <c r="E217" i="8"/>
  <c r="B223" i="12"/>
  <c r="B199" i="9"/>
  <c r="B221" i="8"/>
  <c r="J230" i="2"/>
  <c r="L236" i="2"/>
  <c r="M236" i="2" s="1"/>
  <c r="O236" i="2" s="1"/>
  <c r="M239" i="2"/>
  <c r="B237" i="12"/>
  <c r="B213" i="9"/>
  <c r="B235" i="8"/>
  <c r="S241" i="2"/>
  <c r="M243" i="2"/>
  <c r="B242" i="12"/>
  <c r="B240" i="8"/>
  <c r="B218" i="9"/>
  <c r="H220" i="9"/>
  <c r="W248" i="2"/>
  <c r="U248" i="2"/>
  <c r="R74" i="5"/>
  <c r="Q74" i="5"/>
  <c r="P74" i="5"/>
  <c r="E120" i="9"/>
  <c r="E120" i="8"/>
  <c r="B124" i="8"/>
  <c r="B124" i="9"/>
  <c r="B125" i="12"/>
  <c r="E136" i="9"/>
  <c r="E135" i="8"/>
  <c r="B141" i="12"/>
  <c r="B140" i="9"/>
  <c r="B139" i="8"/>
  <c r="E152" i="9"/>
  <c r="E151" i="8"/>
  <c r="B156" i="9"/>
  <c r="B157" i="12"/>
  <c r="B155" i="8"/>
  <c r="E167" i="9"/>
  <c r="E166" i="8"/>
  <c r="B172" i="12"/>
  <c r="B171" i="9"/>
  <c r="B170" i="8"/>
  <c r="E183" i="9"/>
  <c r="E182" i="8"/>
  <c r="B188" i="12"/>
  <c r="B187" i="9"/>
  <c r="B186" i="8"/>
  <c r="S190" i="2"/>
  <c r="V199" i="2"/>
  <c r="B202" i="8"/>
  <c r="B204" i="12"/>
  <c r="R219" i="2"/>
  <c r="B196" i="9"/>
  <c r="B220" i="12"/>
  <c r="B218" i="8"/>
  <c r="I198" i="9"/>
  <c r="E208" i="9"/>
  <c r="E230" i="8"/>
  <c r="B234" i="12"/>
  <c r="B210" i="9"/>
  <c r="B232" i="8"/>
  <c r="S238" i="2"/>
  <c r="I212" i="9"/>
  <c r="U241" i="2"/>
  <c r="G222" i="9"/>
  <c r="I222" i="9" s="1"/>
  <c r="H224" i="9"/>
  <c r="S252" i="2"/>
  <c r="L252" i="2"/>
  <c r="F247" i="11" s="1"/>
  <c r="H247" i="11" s="1"/>
  <c r="J252" i="2"/>
  <c r="H225" i="9"/>
  <c r="M253" i="2"/>
  <c r="O253" i="2" s="1"/>
  <c r="L253" i="2"/>
  <c r="F248" i="11" s="1"/>
  <c r="H248" i="11" s="1"/>
  <c r="W253" i="2"/>
  <c r="U253" i="2"/>
  <c r="T81" i="5"/>
  <c r="U81" i="5"/>
  <c r="R108" i="5"/>
  <c r="Q108" i="5"/>
  <c r="P108" i="5"/>
  <c r="P128" i="5"/>
  <c r="R128" i="5"/>
  <c r="Q128" i="5"/>
  <c r="L118" i="2"/>
  <c r="F116" i="11" s="1"/>
  <c r="H116" i="11" s="1"/>
  <c r="E117" i="9"/>
  <c r="E117" i="8"/>
  <c r="B121" i="9"/>
  <c r="B122" i="12"/>
  <c r="B121" i="8"/>
  <c r="H129" i="9"/>
  <c r="D58" i="3"/>
  <c r="E133" i="9"/>
  <c r="E132" i="8"/>
  <c r="B137" i="9"/>
  <c r="B138" i="12"/>
  <c r="B136" i="8"/>
  <c r="E149" i="9"/>
  <c r="E148" i="8"/>
  <c r="B154" i="12"/>
  <c r="B153" i="9"/>
  <c r="B152" i="8"/>
  <c r="E164" i="9"/>
  <c r="E163" i="8"/>
  <c r="B168" i="9"/>
  <c r="B169" i="12"/>
  <c r="B167" i="8"/>
  <c r="U177" i="2"/>
  <c r="E180" i="9"/>
  <c r="E179" i="8"/>
  <c r="B185" i="12"/>
  <c r="B184" i="9"/>
  <c r="B183" i="8"/>
  <c r="U193" i="2"/>
  <c r="L198" i="2"/>
  <c r="F195" i="11" s="1"/>
  <c r="H195" i="11" s="1"/>
  <c r="G196" i="12" s="1"/>
  <c r="R200" i="2"/>
  <c r="B201" i="12"/>
  <c r="B199" i="8"/>
  <c r="J208" i="2"/>
  <c r="L214" i="2"/>
  <c r="F211" i="11" s="1"/>
  <c r="H211" i="11" s="1"/>
  <c r="B217" i="12"/>
  <c r="B215" i="8"/>
  <c r="S219" i="2"/>
  <c r="J224" i="2"/>
  <c r="L230" i="2"/>
  <c r="F227" i="11" s="1"/>
  <c r="H227" i="11" s="1"/>
  <c r="E205" i="9"/>
  <c r="E227" i="8"/>
  <c r="R232" i="2"/>
  <c r="B233" i="12"/>
  <c r="B209" i="9"/>
  <c r="B231" i="8"/>
  <c r="R242" i="2"/>
  <c r="E217" i="9"/>
  <c r="E239" i="8"/>
  <c r="H221" i="9"/>
  <c r="I221" i="9" s="1"/>
  <c r="L249" i="2"/>
  <c r="F244" i="11" s="1"/>
  <c r="H244" i="11" s="1"/>
  <c r="H223" i="9"/>
  <c r="I223" i="9" s="1"/>
  <c r="W251" i="2"/>
  <c r="E230" i="9"/>
  <c r="E252" i="8"/>
  <c r="E243" i="9"/>
  <c r="E265" i="8"/>
  <c r="E99" i="9"/>
  <c r="E99" i="8"/>
  <c r="B103" i="9"/>
  <c r="B104" i="12"/>
  <c r="B103" i="8"/>
  <c r="I105" i="9"/>
  <c r="L115" i="2"/>
  <c r="F113" i="11" s="1"/>
  <c r="H113" i="11" s="1"/>
  <c r="E114" i="9"/>
  <c r="E114" i="8"/>
  <c r="M118" i="2"/>
  <c r="B119" i="12"/>
  <c r="B118" i="9"/>
  <c r="B118" i="8"/>
  <c r="H126" i="9"/>
  <c r="I126" i="9" s="1"/>
  <c r="D7" i="3"/>
  <c r="L131" i="2"/>
  <c r="F129" i="11" s="1"/>
  <c r="H129" i="11" s="1"/>
  <c r="E130" i="9"/>
  <c r="E129" i="8"/>
  <c r="M134" i="2"/>
  <c r="B135" i="12"/>
  <c r="B134" i="9"/>
  <c r="B133" i="8"/>
  <c r="H142" i="9"/>
  <c r="I142" i="9" s="1"/>
  <c r="D57" i="3"/>
  <c r="L147" i="2"/>
  <c r="F145" i="11" s="1"/>
  <c r="H145" i="11" s="1"/>
  <c r="E146" i="9"/>
  <c r="E145" i="8"/>
  <c r="R149" i="2"/>
  <c r="M150" i="2"/>
  <c r="B151" i="12"/>
  <c r="B150" i="9"/>
  <c r="B149" i="8"/>
  <c r="L163" i="2"/>
  <c r="F161" i="11" s="1"/>
  <c r="H161" i="11" s="1"/>
  <c r="M166" i="2"/>
  <c r="B166" i="12"/>
  <c r="B165" i="9"/>
  <c r="B164" i="8"/>
  <c r="L179" i="2"/>
  <c r="F176" i="11" s="1"/>
  <c r="H176" i="11" s="1"/>
  <c r="E177" i="9"/>
  <c r="E176" i="8"/>
  <c r="R181" i="2"/>
  <c r="M182" i="2"/>
  <c r="B182" i="12"/>
  <c r="B181" i="9"/>
  <c r="B180" i="8"/>
  <c r="U190" i="2"/>
  <c r="H189" i="9"/>
  <c r="I189" i="9" s="1"/>
  <c r="D166" i="3"/>
  <c r="L195" i="2"/>
  <c r="F192" i="11" s="1"/>
  <c r="H192" i="11" s="1"/>
  <c r="E193" i="9"/>
  <c r="E192" i="8"/>
  <c r="R197" i="2"/>
  <c r="B198" i="12"/>
  <c r="B196" i="8"/>
  <c r="B214" i="12"/>
  <c r="B212" i="8"/>
  <c r="E202" i="9"/>
  <c r="E224" i="8"/>
  <c r="R229" i="2"/>
  <c r="B230" i="12"/>
  <c r="B206" i="9"/>
  <c r="B228" i="8"/>
  <c r="U238" i="2"/>
  <c r="W241" i="2"/>
  <c r="S242" i="2"/>
  <c r="G241" i="8"/>
  <c r="I241" i="8" s="1"/>
  <c r="G243" i="12" s="1"/>
  <c r="V247" i="2"/>
  <c r="M249" i="2"/>
  <c r="L251" i="2"/>
  <c r="F246" i="11" s="1"/>
  <c r="H246" i="11" s="1"/>
  <c r="B228" i="9"/>
  <c r="B252" i="12"/>
  <c r="B250" i="8"/>
  <c r="H239" i="9"/>
  <c r="I239" i="9" s="1"/>
  <c r="W267" i="2"/>
  <c r="M267" i="2"/>
  <c r="Q54" i="5"/>
  <c r="R54" i="5"/>
  <c r="P54" i="5"/>
  <c r="Q89" i="5"/>
  <c r="R89" i="5"/>
  <c r="P89" i="5"/>
  <c r="T116" i="5"/>
  <c r="U116" i="5"/>
  <c r="L96" i="2"/>
  <c r="F95" i="11" s="1"/>
  <c r="H95" i="11" s="1"/>
  <c r="E96" i="9"/>
  <c r="E96" i="8"/>
  <c r="B101" i="12"/>
  <c r="B100" i="9"/>
  <c r="B100" i="8"/>
  <c r="I102" i="9"/>
  <c r="L112" i="2"/>
  <c r="F110" i="11" s="1"/>
  <c r="H110" i="11" s="1"/>
  <c r="E111" i="9"/>
  <c r="E111" i="8"/>
  <c r="M115" i="2"/>
  <c r="B116" i="12"/>
  <c r="B115" i="9"/>
  <c r="B115" i="8"/>
  <c r="I117" i="9"/>
  <c r="L128" i="2"/>
  <c r="F126" i="11" s="1"/>
  <c r="H126" i="11" s="1"/>
  <c r="G127" i="12" s="1"/>
  <c r="E126" i="8"/>
  <c r="E127" i="9"/>
  <c r="R130" i="2"/>
  <c r="B132" i="12"/>
  <c r="B131" i="9"/>
  <c r="B130" i="8"/>
  <c r="I133" i="9"/>
  <c r="L144" i="2"/>
  <c r="F142" i="11" s="1"/>
  <c r="H142" i="11" s="1"/>
  <c r="G143" i="12" s="1"/>
  <c r="E142" i="8"/>
  <c r="E143" i="9"/>
  <c r="W145" i="2"/>
  <c r="M147" i="2"/>
  <c r="B148" i="12"/>
  <c r="B147" i="9"/>
  <c r="B146" i="8"/>
  <c r="I149" i="9"/>
  <c r="L160" i="2"/>
  <c r="F158" i="11" s="1"/>
  <c r="H158" i="11" s="1"/>
  <c r="E158" i="8"/>
  <c r="E159" i="9"/>
  <c r="W161" i="2"/>
  <c r="M163" i="2"/>
  <c r="B162" i="9"/>
  <c r="B163" i="12"/>
  <c r="B161" i="8"/>
  <c r="I164" i="9"/>
  <c r="L176" i="2"/>
  <c r="F173" i="11" s="1"/>
  <c r="H173" i="11" s="1"/>
  <c r="E174" i="9"/>
  <c r="E173" i="8"/>
  <c r="W177" i="2"/>
  <c r="M179" i="2"/>
  <c r="B178" i="9"/>
  <c r="B179" i="12"/>
  <c r="B177" i="8"/>
  <c r="S181" i="2"/>
  <c r="I180" i="9"/>
  <c r="H186" i="9"/>
  <c r="I186" i="9" s="1"/>
  <c r="D163" i="3"/>
  <c r="L192" i="2"/>
  <c r="F189" i="11" s="1"/>
  <c r="H189" i="11" s="1"/>
  <c r="G190" i="12" s="1"/>
  <c r="E190" i="9"/>
  <c r="E189" i="8"/>
  <c r="W193" i="2"/>
  <c r="R194" i="2"/>
  <c r="M195" i="2"/>
  <c r="B194" i="9"/>
  <c r="B195" i="12"/>
  <c r="B193" i="8"/>
  <c r="S197" i="2"/>
  <c r="B209" i="8"/>
  <c r="B211" i="12"/>
  <c r="H195" i="9"/>
  <c r="I195" i="9" s="1"/>
  <c r="D5" i="3"/>
  <c r="L224" i="2"/>
  <c r="F221" i="11" s="1"/>
  <c r="H221" i="11" s="1"/>
  <c r="E199" i="9"/>
  <c r="E221" i="8"/>
  <c r="W225" i="2"/>
  <c r="B227" i="12"/>
  <c r="B203" i="9"/>
  <c r="B225" i="8"/>
  <c r="S229" i="2"/>
  <c r="I205" i="9"/>
  <c r="T232" i="2"/>
  <c r="H228" i="8" s="1"/>
  <c r="E213" i="9"/>
  <c r="E235" i="8"/>
  <c r="B238" i="12"/>
  <c r="B236" i="8"/>
  <c r="B214" i="9"/>
  <c r="U242" i="2"/>
  <c r="I217" i="9"/>
  <c r="E218" i="9"/>
  <c r="E240" i="8"/>
  <c r="B243" i="12"/>
  <c r="B219" i="9"/>
  <c r="B241" i="8"/>
  <c r="M251" i="2"/>
  <c r="G247" i="8"/>
  <c r="I247" i="8" s="1"/>
  <c r="V253" i="2"/>
  <c r="G230" i="9"/>
  <c r="I230" i="9" s="1"/>
  <c r="B258" i="12"/>
  <c r="B234" i="9"/>
  <c r="B256" i="8"/>
  <c r="B260" i="12"/>
  <c r="B258" i="8"/>
  <c r="B236" i="9"/>
  <c r="L267" i="2"/>
  <c r="F262" i="11" s="1"/>
  <c r="H262" i="11" s="1"/>
  <c r="H244" i="9"/>
  <c r="I244" i="9" s="1"/>
  <c r="M272" i="2"/>
  <c r="L272" i="2"/>
  <c r="F267" i="11" s="1"/>
  <c r="H267" i="11" s="1"/>
  <c r="J272" i="2"/>
  <c r="W272" i="2"/>
  <c r="B271" i="12"/>
  <c r="B247" i="9"/>
  <c r="B269" i="8"/>
  <c r="H255" i="9"/>
  <c r="I255" i="9" s="1"/>
  <c r="W283" i="2"/>
  <c r="M283" i="2"/>
  <c r="L283" i="2"/>
  <c r="F278" i="11" s="1"/>
  <c r="H278" i="11" s="1"/>
  <c r="T86" i="5"/>
  <c r="P125" i="5"/>
  <c r="R125" i="5"/>
  <c r="B245" i="12"/>
  <c r="B221" i="9"/>
  <c r="B243" i="8"/>
  <c r="T252" i="2"/>
  <c r="H246" i="8" s="1"/>
  <c r="E233" i="9"/>
  <c r="E255" i="8"/>
  <c r="W261" i="2"/>
  <c r="B261" i="12"/>
  <c r="B259" i="8"/>
  <c r="B237" i="9"/>
  <c r="E249" i="9"/>
  <c r="E271" i="8"/>
  <c r="W277" i="2"/>
  <c r="R278" i="2"/>
  <c r="B277" i="12"/>
  <c r="B253" i="9"/>
  <c r="B275" i="8"/>
  <c r="S281" i="2"/>
  <c r="R3" i="5"/>
  <c r="Q10" i="5"/>
  <c r="U14" i="5"/>
  <c r="R19" i="5"/>
  <c r="Q26" i="5"/>
  <c r="U30" i="5"/>
  <c r="R35" i="5"/>
  <c r="Q42" i="5"/>
  <c r="U46" i="5"/>
  <c r="R51" i="5"/>
  <c r="Q66" i="5"/>
  <c r="Q81" i="5"/>
  <c r="U83" i="5"/>
  <c r="R99" i="5"/>
  <c r="U124" i="5"/>
  <c r="T124" i="5"/>
  <c r="R188" i="5"/>
  <c r="Q188" i="5"/>
  <c r="U215" i="5"/>
  <c r="T215" i="5"/>
  <c r="U303" i="5"/>
  <c r="T303" i="5"/>
  <c r="E278" i="8"/>
  <c r="E256" i="9"/>
  <c r="Q163" i="5"/>
  <c r="P163" i="5"/>
  <c r="Q189" i="5"/>
  <c r="P189" i="5"/>
  <c r="R192" i="5"/>
  <c r="Q192" i="5"/>
  <c r="P192" i="5"/>
  <c r="U463" i="5"/>
  <c r="T463" i="5"/>
  <c r="E259" i="8"/>
  <c r="E237" i="9"/>
  <c r="B265" i="12"/>
  <c r="B241" i="9"/>
  <c r="B263" i="8"/>
  <c r="L280" i="2"/>
  <c r="F275" i="11" s="1"/>
  <c r="H275" i="11" s="1"/>
  <c r="E253" i="9"/>
  <c r="E275" i="8"/>
  <c r="W281" i="2"/>
  <c r="R282" i="2"/>
  <c r="B281" i="12"/>
  <c r="B257" i="9"/>
  <c r="P13" i="5"/>
  <c r="T17" i="5"/>
  <c r="P29" i="5"/>
  <c r="T33" i="5"/>
  <c r="P45" i="5"/>
  <c r="T49" i="5"/>
  <c r="T61" i="5"/>
  <c r="T76" i="5"/>
  <c r="P97" i="5"/>
  <c r="U102" i="5"/>
  <c r="T119" i="5"/>
  <c r="Q147" i="5"/>
  <c r="R156" i="5"/>
  <c r="Q156" i="5"/>
  <c r="R163" i="5"/>
  <c r="U172" i="5"/>
  <c r="T172" i="5"/>
  <c r="U182" i="5"/>
  <c r="R189" i="5"/>
  <c r="R210" i="5"/>
  <c r="P210" i="5"/>
  <c r="R227" i="5"/>
  <c r="Q227" i="5"/>
  <c r="P227" i="5"/>
  <c r="R301" i="5"/>
  <c r="Q301" i="5"/>
  <c r="P301" i="5"/>
  <c r="T327" i="5"/>
  <c r="U327" i="5"/>
  <c r="T348" i="5"/>
  <c r="U348" i="5"/>
  <c r="R420" i="5"/>
  <c r="Q420" i="5"/>
  <c r="B246" i="12"/>
  <c r="B222" i="9"/>
  <c r="B244" i="8"/>
  <c r="I224" i="9"/>
  <c r="L261" i="2"/>
  <c r="F256" i="11" s="1"/>
  <c r="H256" i="11" s="1"/>
  <c r="E234" i="9"/>
  <c r="E256" i="8"/>
  <c r="B262" i="12"/>
  <c r="B238" i="9"/>
  <c r="B260" i="8"/>
  <c r="I240" i="9"/>
  <c r="L277" i="2"/>
  <c r="F272" i="11" s="1"/>
  <c r="H272" i="11" s="1"/>
  <c r="E272" i="8"/>
  <c r="E250" i="9"/>
  <c r="M280" i="2"/>
  <c r="B278" i="12"/>
  <c r="B276" i="8"/>
  <c r="B254" i="9"/>
  <c r="P4" i="5"/>
  <c r="T8" i="5"/>
  <c r="Q13" i="5"/>
  <c r="P20" i="5"/>
  <c r="T24" i="5"/>
  <c r="Q29" i="5"/>
  <c r="P36" i="5"/>
  <c r="T40" i="5"/>
  <c r="Q45" i="5"/>
  <c r="P52" i="5"/>
  <c r="P67" i="5"/>
  <c r="P82" i="5"/>
  <c r="R97" i="5"/>
  <c r="T105" i="5"/>
  <c r="T114" i="5"/>
  <c r="P117" i="5"/>
  <c r="U134" i="5"/>
  <c r="T137" i="5"/>
  <c r="U140" i="5"/>
  <c r="T140" i="5"/>
  <c r="R147" i="5"/>
  <c r="P156" i="5"/>
  <c r="T169" i="5"/>
  <c r="Q173" i="5"/>
  <c r="P173" i="5"/>
  <c r="Q176" i="5"/>
  <c r="P176" i="5"/>
  <c r="T192" i="5"/>
  <c r="U199" i="5"/>
  <c r="T199" i="5"/>
  <c r="Q210" i="5"/>
  <c r="R427" i="5"/>
  <c r="Q427" i="5"/>
  <c r="P427" i="5"/>
  <c r="R461" i="5"/>
  <c r="P461" i="5"/>
  <c r="Q461" i="5"/>
  <c r="E231" i="9"/>
  <c r="E253" i="8"/>
  <c r="W259" i="2"/>
  <c r="M261" i="2"/>
  <c r="B259" i="12"/>
  <c r="B257" i="8"/>
  <c r="B235" i="9"/>
  <c r="I237" i="9"/>
  <c r="E247" i="9"/>
  <c r="E269" i="8"/>
  <c r="W275" i="2"/>
  <c r="M277" i="2"/>
  <c r="B275" i="12"/>
  <c r="B251" i="9"/>
  <c r="B273" i="8"/>
  <c r="I253" i="9"/>
  <c r="T282" i="2"/>
  <c r="H276" i="8" s="1"/>
  <c r="D162" i="3"/>
  <c r="Q4" i="5"/>
  <c r="P11" i="5"/>
  <c r="T15" i="5"/>
  <c r="Q20" i="5"/>
  <c r="P27" i="5"/>
  <c r="T31" i="5"/>
  <c r="Q36" i="5"/>
  <c r="P43" i="5"/>
  <c r="T47" i="5"/>
  <c r="Q52" i="5"/>
  <c r="T54" i="5"/>
  <c r="P62" i="5"/>
  <c r="T64" i="5"/>
  <c r="Q67" i="5"/>
  <c r="T69" i="5"/>
  <c r="P72" i="5"/>
  <c r="T79" i="5"/>
  <c r="Q82" i="5"/>
  <c r="U84" i="5"/>
  <c r="U108" i="5"/>
  <c r="T108" i="5"/>
  <c r="Q117" i="5"/>
  <c r="Q120" i="5"/>
  <c r="P120" i="5"/>
  <c r="T128" i="5"/>
  <c r="Q141" i="5"/>
  <c r="P141" i="5"/>
  <c r="U156" i="5"/>
  <c r="T156" i="5"/>
  <c r="U166" i="5"/>
  <c r="R173" i="5"/>
  <c r="R176" i="5"/>
  <c r="U196" i="5"/>
  <c r="T196" i="5"/>
  <c r="R287" i="5"/>
  <c r="Q287" i="5"/>
  <c r="P287" i="5"/>
  <c r="U309" i="5"/>
  <c r="T309" i="5"/>
  <c r="E228" i="9"/>
  <c r="E250" i="8"/>
  <c r="I251" i="8"/>
  <c r="G253" i="12" s="1"/>
  <c r="B256" i="12"/>
  <c r="B232" i="9"/>
  <c r="B254" i="8"/>
  <c r="E266" i="8"/>
  <c r="E244" i="9"/>
  <c r="B272" i="12"/>
  <c r="B270" i="8"/>
  <c r="B248" i="9"/>
  <c r="T6" i="5"/>
  <c r="Q11" i="5"/>
  <c r="P18" i="5"/>
  <c r="T22" i="5"/>
  <c r="Q27" i="5"/>
  <c r="P34" i="5"/>
  <c r="T38" i="5"/>
  <c r="Q43" i="5"/>
  <c r="P50" i="5"/>
  <c r="P57" i="5"/>
  <c r="Q62" i="5"/>
  <c r="Q72" i="5"/>
  <c r="T74" i="5"/>
  <c r="Q77" i="5"/>
  <c r="Q92" i="5"/>
  <c r="U97" i="5"/>
  <c r="T111" i="5"/>
  <c r="R120" i="5"/>
  <c r="P123" i="5"/>
  <c r="P126" i="5"/>
  <c r="R129" i="5"/>
  <c r="Q129" i="5"/>
  <c r="R141" i="5"/>
  <c r="Q144" i="5"/>
  <c r="T153" i="5"/>
  <c r="Q157" i="5"/>
  <c r="P157" i="5"/>
  <c r="Q160" i="5"/>
  <c r="P160" i="5"/>
  <c r="R220" i="5"/>
  <c r="Q220" i="5"/>
  <c r="E247" i="8"/>
  <c r="E225" i="9"/>
  <c r="B253" i="12"/>
  <c r="B229" i="9"/>
  <c r="B251" i="8"/>
  <c r="E241" i="9"/>
  <c r="E263" i="8"/>
  <c r="W269" i="2"/>
  <c r="B269" i="12"/>
  <c r="B245" i="9"/>
  <c r="B267" i="8"/>
  <c r="I247" i="9"/>
  <c r="W285" i="2"/>
  <c r="Q18" i="5"/>
  <c r="Q34" i="5"/>
  <c r="Q50" i="5"/>
  <c r="R57" i="5"/>
  <c r="R77" i="5"/>
  <c r="T82" i="5"/>
  <c r="P85" i="5"/>
  <c r="R98" i="5"/>
  <c r="P98" i="5"/>
  <c r="P106" i="5"/>
  <c r="Q109" i="5"/>
  <c r="P115" i="5"/>
  <c r="R123" i="5"/>
  <c r="Q126" i="5"/>
  <c r="P129" i="5"/>
  <c r="R144" i="5"/>
  <c r="U150" i="5"/>
  <c r="R157" i="5"/>
  <c r="R160" i="5"/>
  <c r="T176" i="5"/>
  <c r="U193" i="5"/>
  <c r="T193" i="5"/>
  <c r="P220" i="5"/>
  <c r="R248" i="5"/>
  <c r="Q248" i="5"/>
  <c r="T241" i="2"/>
  <c r="H235" i="8" s="1"/>
  <c r="I235" i="8" s="1"/>
  <c r="G237" i="12" s="1"/>
  <c r="E222" i="9"/>
  <c r="E244" i="8"/>
  <c r="W250" i="2"/>
  <c r="R251" i="2"/>
  <c r="B250" i="12"/>
  <c r="B226" i="9"/>
  <c r="B248" i="8"/>
  <c r="I228" i="9"/>
  <c r="T257" i="2"/>
  <c r="H251" i="8" s="1"/>
  <c r="J259" i="2"/>
  <c r="L265" i="2"/>
  <c r="F260" i="11" s="1"/>
  <c r="H260" i="11" s="1"/>
  <c r="E238" i="9"/>
  <c r="E260" i="8"/>
  <c r="W266" i="2"/>
  <c r="M268" i="2"/>
  <c r="B266" i="12"/>
  <c r="B242" i="9"/>
  <c r="B264" i="8"/>
  <c r="J275" i="2"/>
  <c r="L281" i="2"/>
  <c r="E254" i="9"/>
  <c r="E276" i="8"/>
  <c r="W282" i="2"/>
  <c r="M284" i="2"/>
  <c r="B282" i="12"/>
  <c r="B258" i="9"/>
  <c r="D39" i="3"/>
  <c r="P16" i="5"/>
  <c r="P32" i="5"/>
  <c r="P48" i="5"/>
  <c r="P65" i="5"/>
  <c r="P70" i="5"/>
  <c r="Q106" i="5"/>
  <c r="R109" i="5"/>
  <c r="U183" i="5"/>
  <c r="T183" i="5"/>
  <c r="R194" i="5"/>
  <c r="P194" i="5"/>
  <c r="R211" i="5"/>
  <c r="Q211" i="5"/>
  <c r="P211" i="5"/>
  <c r="R224" i="5"/>
  <c r="Q224" i="5"/>
  <c r="P224" i="5"/>
  <c r="P248" i="5"/>
  <c r="T295" i="5"/>
  <c r="U295" i="5"/>
  <c r="U383" i="5"/>
  <c r="T383" i="5"/>
  <c r="E235" i="9"/>
  <c r="E257" i="8"/>
  <c r="B263" i="12"/>
  <c r="B239" i="9"/>
  <c r="B261" i="8"/>
  <c r="I241" i="9"/>
  <c r="E251" i="9"/>
  <c r="E273" i="8"/>
  <c r="B279" i="12"/>
  <c r="B255" i="9"/>
  <c r="B277" i="8"/>
  <c r="I257" i="9"/>
  <c r="U180" i="5"/>
  <c r="T180" i="5"/>
  <c r="U257" i="5"/>
  <c r="T257" i="5"/>
  <c r="U377" i="5"/>
  <c r="T377" i="5"/>
  <c r="R381" i="5"/>
  <c r="Q381" i="5"/>
  <c r="E270" i="8"/>
  <c r="E248" i="9"/>
  <c r="B276" i="12"/>
  <c r="B252" i="9"/>
  <c r="B274" i="8"/>
  <c r="P14" i="5"/>
  <c r="R249" i="2" s="1"/>
  <c r="P30" i="5"/>
  <c r="P46" i="5"/>
  <c r="P83" i="5"/>
  <c r="T98" i="5"/>
  <c r="P101" i="5"/>
  <c r="R130" i="5"/>
  <c r="P130" i="5"/>
  <c r="U132" i="5"/>
  <c r="U135" i="5"/>
  <c r="P142" i="5"/>
  <c r="R145" i="5"/>
  <c r="Q145" i="5"/>
  <c r="U167" i="5"/>
  <c r="T167" i="5"/>
  <c r="U177" i="5"/>
  <c r="T177" i="5"/>
  <c r="U214" i="5"/>
  <c r="T224" i="5"/>
  <c r="U231" i="5"/>
  <c r="T231" i="5"/>
  <c r="P381" i="5"/>
  <c r="E229" i="9"/>
  <c r="E251" i="8"/>
  <c r="W257" i="2"/>
  <c r="B257" i="12"/>
  <c r="B233" i="9"/>
  <c r="B255" i="8"/>
  <c r="E245" i="9"/>
  <c r="E267" i="8"/>
  <c r="B273" i="12"/>
  <c r="B249" i="9"/>
  <c r="B271" i="8"/>
  <c r="Q104" i="5"/>
  <c r="P104" i="5"/>
  <c r="Q136" i="5"/>
  <c r="P136" i="5"/>
  <c r="U164" i="5"/>
  <c r="T164" i="5"/>
  <c r="Q168" i="5"/>
  <c r="P168" i="5"/>
  <c r="R178" i="5"/>
  <c r="P178" i="5"/>
  <c r="R204" i="5"/>
  <c r="Q204" i="5"/>
  <c r="U228" i="5"/>
  <c r="T228" i="5"/>
  <c r="E248" i="8"/>
  <c r="E226" i="9"/>
  <c r="B254" i="12"/>
  <c r="B252" i="8"/>
  <c r="B230" i="9"/>
  <c r="L269" i="2"/>
  <c r="F264" i="11" s="1"/>
  <c r="H264" i="11" s="1"/>
  <c r="E264" i="8"/>
  <c r="E242" i="9"/>
  <c r="B270" i="12"/>
  <c r="B268" i="8"/>
  <c r="B246" i="9"/>
  <c r="L285" i="2"/>
  <c r="F280" i="11" s="1"/>
  <c r="H280" i="11" s="1"/>
  <c r="G281" i="12" s="1"/>
  <c r="P12" i="5"/>
  <c r="T16" i="5"/>
  <c r="P28" i="5"/>
  <c r="T32" i="5"/>
  <c r="P44" i="5"/>
  <c r="T48" i="5"/>
  <c r="T55" i="5"/>
  <c r="P58" i="5"/>
  <c r="P63" i="5"/>
  <c r="U65" i="5"/>
  <c r="P73" i="5"/>
  <c r="T90" i="5"/>
  <c r="R104" i="5"/>
  <c r="U145" i="5"/>
  <c r="T145" i="5"/>
  <c r="U151" i="5"/>
  <c r="T151" i="5"/>
  <c r="U161" i="5"/>
  <c r="T161" i="5"/>
  <c r="R168" i="5"/>
  <c r="Q178" i="5"/>
  <c r="R273" i="5"/>
  <c r="Q273" i="5"/>
  <c r="T281" i="5"/>
  <c r="U281" i="5"/>
  <c r="Q321" i="5"/>
  <c r="R321" i="5"/>
  <c r="P321" i="5"/>
  <c r="L250" i="2"/>
  <c r="F245" i="11" s="1"/>
  <c r="H245" i="11" s="1"/>
  <c r="E223" i="9"/>
  <c r="E245" i="8"/>
  <c r="R252" i="2"/>
  <c r="B251" i="12"/>
  <c r="B249" i="8"/>
  <c r="B227" i="9"/>
  <c r="I229" i="9"/>
  <c r="L266" i="2"/>
  <c r="F261" i="11" s="1"/>
  <c r="H261" i="11" s="1"/>
  <c r="E239" i="9"/>
  <c r="E261" i="8"/>
  <c r="M269" i="2"/>
  <c r="B267" i="12"/>
  <c r="B265" i="8"/>
  <c r="B243" i="9"/>
  <c r="I245" i="9"/>
  <c r="L282" i="2"/>
  <c r="F277" i="11" s="1"/>
  <c r="H277" i="11" s="1"/>
  <c r="E277" i="8"/>
  <c r="E255" i="9"/>
  <c r="M285" i="2"/>
  <c r="P3" i="5"/>
  <c r="T7" i="5"/>
  <c r="Q12" i="5"/>
  <c r="P19" i="5"/>
  <c r="T23" i="5"/>
  <c r="Q28" i="5"/>
  <c r="P35" i="5"/>
  <c r="T39" i="5"/>
  <c r="Q44" i="5"/>
  <c r="P51" i="5"/>
  <c r="Q58" i="5"/>
  <c r="T60" i="5"/>
  <c r="Q63" i="5"/>
  <c r="R73" i="5"/>
  <c r="R93" i="5"/>
  <c r="Q96" i="5"/>
  <c r="P99" i="5"/>
  <c r="R107" i="5"/>
  <c r="Q110" i="5"/>
  <c r="R113" i="5"/>
  <c r="Q113" i="5"/>
  <c r="U118" i="5"/>
  <c r="Q124" i="5"/>
  <c r="T130" i="5"/>
  <c r="Q133" i="5"/>
  <c r="R146" i="5"/>
  <c r="P146" i="5"/>
  <c r="U148" i="5"/>
  <c r="Q152" i="5"/>
  <c r="P152" i="5"/>
  <c r="R162" i="5"/>
  <c r="P162" i="5"/>
  <c r="P165" i="5"/>
  <c r="R195" i="5"/>
  <c r="Q195" i="5"/>
  <c r="P195" i="5"/>
  <c r="R208" i="5"/>
  <c r="Q208" i="5"/>
  <c r="P208" i="5"/>
  <c r="T245" i="5"/>
  <c r="P273" i="5"/>
  <c r="T289" i="5"/>
  <c r="E220" i="9"/>
  <c r="E242" i="8"/>
  <c r="M250" i="2"/>
  <c r="B248" i="12"/>
  <c r="B224" i="9"/>
  <c r="B246" i="8"/>
  <c r="I226" i="9"/>
  <c r="J257" i="2"/>
  <c r="E236" i="9"/>
  <c r="E258" i="8"/>
  <c r="M266" i="2"/>
  <c r="B264" i="12"/>
  <c r="B240" i="9"/>
  <c r="B262" i="8"/>
  <c r="I242" i="9"/>
  <c r="E252" i="9"/>
  <c r="E274" i="8"/>
  <c r="W280" i="2"/>
  <c r="R281" i="2"/>
  <c r="M282" i="2"/>
  <c r="B280" i="12"/>
  <c r="B256" i="9"/>
  <c r="B278" i="8"/>
  <c r="I258" i="9"/>
  <c r="P66" i="5"/>
  <c r="P86" i="5"/>
  <c r="R96" i="5"/>
  <c r="T101" i="5"/>
  <c r="P113" i="5"/>
  <c r="Q146" i="5"/>
  <c r="R152" i="5"/>
  <c r="Q162" i="5"/>
  <c r="Q165" i="5"/>
  <c r="R226" i="5"/>
  <c r="P226" i="5"/>
  <c r="R255" i="5"/>
  <c r="Q255" i="5"/>
  <c r="Q336" i="5"/>
  <c r="P336" i="5"/>
  <c r="T364" i="5"/>
  <c r="U364" i="5"/>
  <c r="R276" i="5"/>
  <c r="Q276" i="5"/>
  <c r="Q315" i="5"/>
  <c r="P315" i="5"/>
  <c r="R324" i="5"/>
  <c r="Q324" i="5"/>
  <c r="U361" i="5"/>
  <c r="T361" i="5"/>
  <c r="U367" i="5"/>
  <c r="T367" i="5"/>
  <c r="R404" i="5"/>
  <c r="Q404" i="5"/>
  <c r="P495" i="5"/>
  <c r="R495" i="5"/>
  <c r="Q495" i="5"/>
  <c r="R514" i="5"/>
  <c r="Q514" i="5"/>
  <c r="P514" i="5"/>
  <c r="T531" i="5"/>
  <c r="U531" i="5"/>
  <c r="R293" i="5"/>
  <c r="P293" i="5"/>
  <c r="U351" i="5"/>
  <c r="T351" i="5"/>
  <c r="R411" i="5"/>
  <c r="Q411" i="5"/>
  <c r="P411" i="5"/>
  <c r="U502" i="5"/>
  <c r="T502" i="5"/>
  <c r="P532" i="5"/>
  <c r="R532" i="5"/>
  <c r="Q532" i="5"/>
  <c r="U696" i="5"/>
  <c r="T696" i="5"/>
  <c r="R761" i="5"/>
  <c r="Q761" i="5"/>
  <c r="P761" i="5"/>
  <c r="U324" i="5"/>
  <c r="T324" i="5"/>
  <c r="U447" i="5"/>
  <c r="T447" i="5"/>
  <c r="R475" i="5"/>
  <c r="Q475" i="5"/>
  <c r="P475" i="5"/>
  <c r="Q161" i="5"/>
  <c r="Q177" i="5"/>
  <c r="P184" i="5"/>
  <c r="T188" i="5"/>
  <c r="Q193" i="5"/>
  <c r="P200" i="5"/>
  <c r="T204" i="5"/>
  <c r="Q209" i="5"/>
  <c r="P216" i="5"/>
  <c r="T220" i="5"/>
  <c r="Q225" i="5"/>
  <c r="P232" i="5"/>
  <c r="T236" i="5"/>
  <c r="Q246" i="5"/>
  <c r="T248" i="5"/>
  <c r="T255" i="5"/>
  <c r="Q258" i="5"/>
  <c r="Q263" i="5"/>
  <c r="T265" i="5"/>
  <c r="T273" i="5"/>
  <c r="T276" i="5"/>
  <c r="U287" i="5"/>
  <c r="T287" i="5"/>
  <c r="Q296" i="5"/>
  <c r="Q307" i="5"/>
  <c r="P310" i="5"/>
  <c r="T321" i="5"/>
  <c r="R325" i="5"/>
  <c r="P325" i="5"/>
  <c r="R328" i="5"/>
  <c r="Q331" i="5"/>
  <c r="P331" i="5"/>
  <c r="P337" i="5"/>
  <c r="R340" i="5"/>
  <c r="Q340" i="5"/>
  <c r="Q349" i="5"/>
  <c r="R388" i="5"/>
  <c r="Q388" i="5"/>
  <c r="T401" i="5"/>
  <c r="R445" i="5"/>
  <c r="P445" i="5"/>
  <c r="P207" i="5"/>
  <c r="P223" i="5"/>
  <c r="P239" i="5"/>
  <c r="P251" i="5"/>
  <c r="R258" i="5"/>
  <c r="P271" i="5"/>
  <c r="U279" i="5"/>
  <c r="Q299" i="5"/>
  <c r="P299" i="5"/>
  <c r="R307" i="5"/>
  <c r="Q325" i="5"/>
  <c r="R331" i="5"/>
  <c r="R337" i="5"/>
  <c r="R395" i="5"/>
  <c r="Q395" i="5"/>
  <c r="P395" i="5"/>
  <c r="R482" i="5"/>
  <c r="Q482" i="5"/>
  <c r="P482" i="5"/>
  <c r="R492" i="5"/>
  <c r="P492" i="5"/>
  <c r="R277" i="5"/>
  <c r="P277" i="5"/>
  <c r="U340" i="5"/>
  <c r="T340" i="5"/>
  <c r="Q369" i="5"/>
  <c r="R369" i="5"/>
  <c r="R372" i="5"/>
  <c r="Q372" i="5"/>
  <c r="P511" i="5"/>
  <c r="R511" i="5"/>
  <c r="Q511" i="5"/>
  <c r="P205" i="5"/>
  <c r="T209" i="5"/>
  <c r="P221" i="5"/>
  <c r="T225" i="5"/>
  <c r="P237" i="5"/>
  <c r="Q244" i="5"/>
  <c r="U246" i="5"/>
  <c r="T258" i="5"/>
  <c r="T263" i="5"/>
  <c r="Q277" i="5"/>
  <c r="P280" i="5"/>
  <c r="T282" i="5"/>
  <c r="Q288" i="5"/>
  <c r="T296" i="5"/>
  <c r="P302" i="5"/>
  <c r="T307" i="5"/>
  <c r="T325" i="5"/>
  <c r="T337" i="5"/>
  <c r="R341" i="5"/>
  <c r="P341" i="5"/>
  <c r="Q344" i="5"/>
  <c r="P369" i="5"/>
  <c r="P372" i="5"/>
  <c r="P376" i="5"/>
  <c r="Q376" i="5"/>
  <c r="R379" i="5"/>
  <c r="Q379" i="5"/>
  <c r="P379" i="5"/>
  <c r="T385" i="5"/>
  <c r="U431" i="5"/>
  <c r="T431" i="5"/>
  <c r="U465" i="5"/>
  <c r="Q547" i="5"/>
  <c r="P547" i="5"/>
  <c r="R547" i="5"/>
  <c r="U271" i="5"/>
  <c r="T271" i="5"/>
  <c r="R302" i="5"/>
  <c r="R344" i="5"/>
  <c r="Q347" i="5"/>
  <c r="P347" i="5"/>
  <c r="R356" i="5"/>
  <c r="Q356" i="5"/>
  <c r="R429" i="5"/>
  <c r="P429" i="5"/>
  <c r="R459" i="5"/>
  <c r="Q459" i="5"/>
  <c r="P459" i="5"/>
  <c r="U519" i="5"/>
  <c r="T519" i="5"/>
  <c r="U547" i="5"/>
  <c r="T547" i="5"/>
  <c r="Q283" i="5"/>
  <c r="P283" i="5"/>
  <c r="R308" i="5"/>
  <c r="Q308" i="5"/>
  <c r="P360" i="5"/>
  <c r="Q360" i="5"/>
  <c r="R363" i="5"/>
  <c r="Q363" i="5"/>
  <c r="P363" i="5"/>
  <c r="R373" i="5"/>
  <c r="Q373" i="5"/>
  <c r="P373" i="5"/>
  <c r="R242" i="5"/>
  <c r="T256" i="5"/>
  <c r="P259" i="5"/>
  <c r="P264" i="5"/>
  <c r="Q269" i="5"/>
  <c r="P272" i="5"/>
  <c r="T274" i="5"/>
  <c r="R283" i="5"/>
  <c r="P308" i="5"/>
  <c r="P311" i="5"/>
  <c r="U316" i="5"/>
  <c r="T341" i="5"/>
  <c r="T344" i="5"/>
  <c r="R360" i="5"/>
  <c r="T376" i="5"/>
  <c r="U415" i="5"/>
  <c r="T415" i="5"/>
  <c r="U516" i="5"/>
  <c r="T516" i="5"/>
  <c r="U319" i="5"/>
  <c r="T319" i="5"/>
  <c r="R357" i="5"/>
  <c r="Q357" i="5"/>
  <c r="P357" i="5"/>
  <c r="R477" i="5"/>
  <c r="P477" i="5"/>
  <c r="U479" i="5"/>
  <c r="T479" i="5"/>
  <c r="U497" i="5"/>
  <c r="T497" i="5"/>
  <c r="R517" i="5"/>
  <c r="P517" i="5"/>
  <c r="Q517" i="5"/>
  <c r="T242" i="5"/>
  <c r="P245" i="5"/>
  <c r="Q275" i="5"/>
  <c r="P278" i="5"/>
  <c r="T283" i="5"/>
  <c r="R286" i="5"/>
  <c r="P289" i="5"/>
  <c r="T305" i="5"/>
  <c r="T308" i="5"/>
  <c r="P317" i="5"/>
  <c r="Q320" i="5"/>
  <c r="P320" i="5"/>
  <c r="Q323" i="5"/>
  <c r="U329" i="5"/>
  <c r="P342" i="5"/>
  <c r="T360" i="5"/>
  <c r="Q413" i="5"/>
  <c r="R443" i="5"/>
  <c r="Q443" i="5"/>
  <c r="P443" i="5"/>
  <c r="Q477" i="5"/>
  <c r="U486" i="5"/>
  <c r="U505" i="5"/>
  <c r="T505" i="5"/>
  <c r="T541" i="5"/>
  <c r="U541" i="5"/>
  <c r="Q245" i="5"/>
  <c r="Q267" i="5"/>
  <c r="P267" i="5"/>
  <c r="R275" i="5"/>
  <c r="Q278" i="5"/>
  <c r="Q289" i="5"/>
  <c r="R292" i="5"/>
  <c r="Q292" i="5"/>
  <c r="Q317" i="5"/>
  <c r="R323" i="5"/>
  <c r="Q342" i="5"/>
  <c r="U399" i="5"/>
  <c r="T399" i="5"/>
  <c r="R309" i="5"/>
  <c r="P309" i="5"/>
  <c r="U335" i="5"/>
  <c r="T335" i="5"/>
  <c r="T380" i="5"/>
  <c r="U380" i="5"/>
  <c r="R385" i="5"/>
  <c r="Q392" i="5"/>
  <c r="U396" i="5"/>
  <c r="R401" i="5"/>
  <c r="Q408" i="5"/>
  <c r="U412" i="5"/>
  <c r="R417" i="5"/>
  <c r="Q424" i="5"/>
  <c r="U428" i="5"/>
  <c r="R433" i="5"/>
  <c r="Q440" i="5"/>
  <c r="U444" i="5"/>
  <c r="R449" i="5"/>
  <c r="Q456" i="5"/>
  <c r="U460" i="5"/>
  <c r="R465" i="5"/>
  <c r="Q472" i="5"/>
  <c r="U476" i="5"/>
  <c r="R516" i="5"/>
  <c r="R528" i="5"/>
  <c r="R564" i="5"/>
  <c r="R596" i="5"/>
  <c r="Q596" i="5"/>
  <c r="P596" i="5"/>
  <c r="U603" i="5"/>
  <c r="T603" i="5"/>
  <c r="U680" i="5"/>
  <c r="T680" i="5"/>
  <c r="R939" i="5"/>
  <c r="Q939" i="5"/>
  <c r="P939" i="5"/>
  <c r="R1030" i="5"/>
  <c r="Q1030" i="5"/>
  <c r="P1030" i="5"/>
  <c r="R508" i="5"/>
  <c r="Q508" i="5"/>
  <c r="U571" i="5"/>
  <c r="T571" i="5"/>
  <c r="U600" i="5"/>
  <c r="T600" i="5"/>
  <c r="U832" i="5"/>
  <c r="T832" i="5"/>
  <c r="Q436" i="5"/>
  <c r="Q452" i="5"/>
  <c r="Q468" i="5"/>
  <c r="Q500" i="5"/>
  <c r="R520" i="5"/>
  <c r="R535" i="5"/>
  <c r="P535" i="5"/>
  <c r="R551" i="5"/>
  <c r="Q551" i="5"/>
  <c r="P551" i="5"/>
  <c r="R569" i="5"/>
  <c r="P569" i="5"/>
  <c r="R612" i="5"/>
  <c r="Q612" i="5"/>
  <c r="P612" i="5"/>
  <c r="R708" i="5"/>
  <c r="Q708" i="5"/>
  <c r="P708" i="5"/>
  <c r="T484" i="5"/>
  <c r="Q487" i="5"/>
  <c r="T492" i="5"/>
  <c r="T508" i="5"/>
  <c r="Q535" i="5"/>
  <c r="Q548" i="5"/>
  <c r="U551" i="5"/>
  <c r="T551" i="5"/>
  <c r="Q569" i="5"/>
  <c r="U535" i="5"/>
  <c r="T535" i="5"/>
  <c r="R552" i="5"/>
  <c r="Q552" i="5"/>
  <c r="R579" i="5"/>
  <c r="Q579" i="5"/>
  <c r="P579" i="5"/>
  <c r="U616" i="5"/>
  <c r="T616" i="5"/>
  <c r="U712" i="5"/>
  <c r="T712" i="5"/>
  <c r="P352" i="5"/>
  <c r="T356" i="5"/>
  <c r="P368" i="5"/>
  <c r="T372" i="5"/>
  <c r="P384" i="5"/>
  <c r="T388" i="5"/>
  <c r="P400" i="5"/>
  <c r="T404" i="5"/>
  <c r="P416" i="5"/>
  <c r="T420" i="5"/>
  <c r="P432" i="5"/>
  <c r="T436" i="5"/>
  <c r="P448" i="5"/>
  <c r="T452" i="5"/>
  <c r="P464" i="5"/>
  <c r="T468" i="5"/>
  <c r="P480" i="5"/>
  <c r="P485" i="5"/>
  <c r="P493" i="5"/>
  <c r="T495" i="5"/>
  <c r="P498" i="5"/>
  <c r="T500" i="5"/>
  <c r="Q503" i="5"/>
  <c r="P509" i="5"/>
  <c r="U523" i="5"/>
  <c r="T529" i="5"/>
  <c r="R724" i="5"/>
  <c r="Q724" i="5"/>
  <c r="P724" i="5"/>
  <c r="P327" i="5"/>
  <c r="P471" i="5"/>
  <c r="R480" i="5"/>
  <c r="R503" i="5"/>
  <c r="R533" i="5"/>
  <c r="P533" i="5"/>
  <c r="P536" i="5"/>
  <c r="U555" i="5"/>
  <c r="T555" i="5"/>
  <c r="Q559" i="5"/>
  <c r="P559" i="5"/>
  <c r="R583" i="5"/>
  <c r="Q583" i="5"/>
  <c r="P583" i="5"/>
  <c r="R628" i="5"/>
  <c r="Q628" i="5"/>
  <c r="P628" i="5"/>
  <c r="R890" i="5"/>
  <c r="Q890" i="5"/>
  <c r="P890" i="5"/>
  <c r="U503" i="5"/>
  <c r="T503" i="5"/>
  <c r="U583" i="5"/>
  <c r="T583" i="5"/>
  <c r="U728" i="5"/>
  <c r="T728" i="5"/>
  <c r="P389" i="5"/>
  <c r="T393" i="5"/>
  <c r="P405" i="5"/>
  <c r="T409" i="5"/>
  <c r="P421" i="5"/>
  <c r="T425" i="5"/>
  <c r="P437" i="5"/>
  <c r="T441" i="5"/>
  <c r="P453" i="5"/>
  <c r="T457" i="5"/>
  <c r="P469" i="5"/>
  <c r="T473" i="5"/>
  <c r="T480" i="5"/>
  <c r="P488" i="5"/>
  <c r="P496" i="5"/>
  <c r="P512" i="5"/>
  <c r="Q515" i="5"/>
  <c r="P515" i="5"/>
  <c r="R527" i="5"/>
  <c r="R553" i="5"/>
  <c r="P553" i="5"/>
  <c r="R580" i="5"/>
  <c r="U632" i="5"/>
  <c r="T632" i="5"/>
  <c r="R740" i="5"/>
  <c r="Q740" i="5"/>
  <c r="P740" i="5"/>
  <c r="U879" i="5"/>
  <c r="T879" i="5"/>
  <c r="Q389" i="5"/>
  <c r="Q405" i="5"/>
  <c r="Q421" i="5"/>
  <c r="Q437" i="5"/>
  <c r="Q453" i="5"/>
  <c r="Q469" i="5"/>
  <c r="R488" i="5"/>
  <c r="R496" i="5"/>
  <c r="R512" i="5"/>
  <c r="U539" i="5"/>
  <c r="T539" i="5"/>
  <c r="R644" i="5"/>
  <c r="Q644" i="5"/>
  <c r="P644" i="5"/>
  <c r="R483" i="5"/>
  <c r="R504" i="5"/>
  <c r="Q543" i="5"/>
  <c r="P546" i="5"/>
  <c r="R563" i="5"/>
  <c r="Q563" i="5"/>
  <c r="P563" i="5"/>
  <c r="U587" i="5"/>
  <c r="T587" i="5"/>
  <c r="U744" i="5"/>
  <c r="T744" i="5"/>
  <c r="U563" i="5"/>
  <c r="T563" i="5"/>
  <c r="R599" i="5"/>
  <c r="Q599" i="5"/>
  <c r="P599" i="5"/>
  <c r="U648" i="5"/>
  <c r="T648" i="5"/>
  <c r="R660" i="5"/>
  <c r="Q660" i="5"/>
  <c r="P660" i="5"/>
  <c r="U758" i="5"/>
  <c r="T758" i="5"/>
  <c r="R836" i="5"/>
  <c r="Q836" i="5"/>
  <c r="P836" i="5"/>
  <c r="P401" i="5"/>
  <c r="R567" i="5"/>
  <c r="Q567" i="5"/>
  <c r="P567" i="5"/>
  <c r="U584" i="5"/>
  <c r="R676" i="5"/>
  <c r="Q676" i="5"/>
  <c r="P676" i="5"/>
  <c r="P799" i="5"/>
  <c r="R799" i="5"/>
  <c r="Q799" i="5"/>
  <c r="R499" i="5"/>
  <c r="Q516" i="5"/>
  <c r="R519" i="5"/>
  <c r="P519" i="5"/>
  <c r="P528" i="5"/>
  <c r="Q531" i="5"/>
  <c r="P531" i="5"/>
  <c r="T540" i="5"/>
  <c r="Q564" i="5"/>
  <c r="U567" i="5"/>
  <c r="T567" i="5"/>
  <c r="U664" i="5"/>
  <c r="T664" i="5"/>
  <c r="U862" i="5"/>
  <c r="T862" i="5"/>
  <c r="U1147" i="5"/>
  <c r="T1147" i="5"/>
  <c r="U910" i="5"/>
  <c r="T910" i="5"/>
  <c r="T1003" i="5"/>
  <c r="U1003" i="5"/>
  <c r="R1049" i="5"/>
  <c r="P1049" i="5"/>
  <c r="Q1049" i="5"/>
  <c r="P594" i="5"/>
  <c r="T598" i="5"/>
  <c r="P610" i="5"/>
  <c r="T614" i="5"/>
  <c r="P626" i="5"/>
  <c r="T630" i="5"/>
  <c r="P642" i="5"/>
  <c r="T646" i="5"/>
  <c r="P658" i="5"/>
  <c r="T662" i="5"/>
  <c r="P674" i="5"/>
  <c r="T678" i="5"/>
  <c r="P690" i="5"/>
  <c r="T694" i="5"/>
  <c r="P706" i="5"/>
  <c r="T710" i="5"/>
  <c r="P722" i="5"/>
  <c r="T726" i="5"/>
  <c r="P738" i="5"/>
  <c r="T742" i="5"/>
  <c r="T756" i="5"/>
  <c r="T763" i="5"/>
  <c r="P766" i="5"/>
  <c r="U821" i="5"/>
  <c r="T821" i="5"/>
  <c r="R833" i="5"/>
  <c r="Q833" i="5"/>
  <c r="P833" i="5"/>
  <c r="R842" i="5"/>
  <c r="Q842" i="5"/>
  <c r="R867" i="5"/>
  <c r="Q867" i="5"/>
  <c r="T887" i="5"/>
  <c r="P908" i="5"/>
  <c r="P585" i="5"/>
  <c r="P601" i="5"/>
  <c r="P617" i="5"/>
  <c r="P633" i="5"/>
  <c r="Q642" i="5"/>
  <c r="P649" i="5"/>
  <c r="Q658" i="5"/>
  <c r="P665" i="5"/>
  <c r="T669" i="5"/>
  <c r="Q674" i="5"/>
  <c r="P681" i="5"/>
  <c r="T685" i="5"/>
  <c r="Q690" i="5"/>
  <c r="P697" i="5"/>
  <c r="T701" i="5"/>
  <c r="Q706" i="5"/>
  <c r="P713" i="5"/>
  <c r="T717" i="5"/>
  <c r="Q722" i="5"/>
  <c r="P729" i="5"/>
  <c r="T733" i="5"/>
  <c r="Q738" i="5"/>
  <c r="P745" i="5"/>
  <c r="T749" i="5"/>
  <c r="P759" i="5"/>
  <c r="Q766" i="5"/>
  <c r="T768" i="5"/>
  <c r="Q771" i="5"/>
  <c r="Q781" i="5"/>
  <c r="T786" i="5"/>
  <c r="P797" i="5"/>
  <c r="T799" i="5"/>
  <c r="Q805" i="5"/>
  <c r="R810" i="5"/>
  <c r="P813" i="5"/>
  <c r="T824" i="5"/>
  <c r="U836" i="5"/>
  <c r="P842" i="5"/>
  <c r="R848" i="5"/>
  <c r="Q848" i="5"/>
  <c r="P848" i="5"/>
  <c r="U854" i="5"/>
  <c r="U870" i="5"/>
  <c r="T870" i="5"/>
  <c r="R891" i="5"/>
  <c r="Q891" i="5"/>
  <c r="U943" i="5"/>
  <c r="T943" i="5"/>
  <c r="Q649" i="5"/>
  <c r="Q665" i="5"/>
  <c r="Q681" i="5"/>
  <c r="Q697" i="5"/>
  <c r="Q713" i="5"/>
  <c r="Q729" i="5"/>
  <c r="Q745" i="5"/>
  <c r="Q759" i="5"/>
  <c r="Q797" i="5"/>
  <c r="T802" i="5"/>
  <c r="Q813" i="5"/>
  <c r="R874" i="5"/>
  <c r="Q874" i="5"/>
  <c r="P874" i="5"/>
  <c r="R898" i="5"/>
  <c r="Q898" i="5"/>
  <c r="P898" i="5"/>
  <c r="R955" i="5"/>
  <c r="Q955" i="5"/>
  <c r="P955" i="5"/>
  <c r="Q544" i="5"/>
  <c r="Q560" i="5"/>
  <c r="Q576" i="5"/>
  <c r="Q592" i="5"/>
  <c r="Q608" i="5"/>
  <c r="T619" i="5"/>
  <c r="Q624" i="5"/>
  <c r="P631" i="5"/>
  <c r="T635" i="5"/>
  <c r="Q640" i="5"/>
  <c r="P647" i="5"/>
  <c r="T651" i="5"/>
  <c r="Q656" i="5"/>
  <c r="P663" i="5"/>
  <c r="T667" i="5"/>
  <c r="Q672" i="5"/>
  <c r="P679" i="5"/>
  <c r="T683" i="5"/>
  <c r="Q688" i="5"/>
  <c r="P695" i="5"/>
  <c r="T699" i="5"/>
  <c r="Q704" i="5"/>
  <c r="P711" i="5"/>
  <c r="T715" i="5"/>
  <c r="Q720" i="5"/>
  <c r="P727" i="5"/>
  <c r="T731" i="5"/>
  <c r="Q736" i="5"/>
  <c r="P743" i="5"/>
  <c r="T747" i="5"/>
  <c r="Q752" i="5"/>
  <c r="T754" i="5"/>
  <c r="P757" i="5"/>
  <c r="P764" i="5"/>
  <c r="R769" i="5"/>
  <c r="P769" i="5"/>
  <c r="U771" i="5"/>
  <c r="T776" i="5"/>
  <c r="P779" i="5"/>
  <c r="Q784" i="5"/>
  <c r="U789" i="5"/>
  <c r="P800" i="5"/>
  <c r="Q816" i="5"/>
  <c r="Q819" i="5"/>
  <c r="R830" i="5"/>
  <c r="T848" i="5"/>
  <c r="R858" i="5"/>
  <c r="Q858" i="5"/>
  <c r="T863" i="5"/>
  <c r="R922" i="5"/>
  <c r="Q922" i="5"/>
  <c r="P922" i="5"/>
  <c r="P1027" i="5"/>
  <c r="R1027" i="5"/>
  <c r="Q1027" i="5"/>
  <c r="Q631" i="5"/>
  <c r="Q647" i="5"/>
  <c r="Q663" i="5"/>
  <c r="Q679" i="5"/>
  <c r="Q695" i="5"/>
  <c r="Q711" i="5"/>
  <c r="Q727" i="5"/>
  <c r="Q743" i="5"/>
  <c r="Q757" i="5"/>
  <c r="Q764" i="5"/>
  <c r="Q779" i="5"/>
  <c r="Q800" i="5"/>
  <c r="R834" i="5"/>
  <c r="P834" i="5"/>
  <c r="P858" i="5"/>
  <c r="U894" i="5"/>
  <c r="T894" i="5"/>
  <c r="T911" i="5"/>
  <c r="P549" i="5"/>
  <c r="P565" i="5"/>
  <c r="P581" i="5"/>
  <c r="P597" i="5"/>
  <c r="P613" i="5"/>
  <c r="P629" i="5"/>
  <c r="P645" i="5"/>
  <c r="P661" i="5"/>
  <c r="P677" i="5"/>
  <c r="P693" i="5"/>
  <c r="P709" i="5"/>
  <c r="P725" i="5"/>
  <c r="P741" i="5"/>
  <c r="P762" i="5"/>
  <c r="P772" i="5"/>
  <c r="P795" i="5"/>
  <c r="P803" i="5"/>
  <c r="P828" i="5"/>
  <c r="T830" i="5"/>
  <c r="Q834" i="5"/>
  <c r="R849" i="5"/>
  <c r="Q849" i="5"/>
  <c r="P849" i="5"/>
  <c r="T871" i="5"/>
  <c r="P892" i="5"/>
  <c r="R1103" i="5"/>
  <c r="Q1103" i="5"/>
  <c r="P1103" i="5"/>
  <c r="U837" i="5"/>
  <c r="T837" i="5"/>
  <c r="U852" i="5"/>
  <c r="T852" i="5"/>
  <c r="R875" i="5"/>
  <c r="Q875" i="5"/>
  <c r="R899" i="5"/>
  <c r="Q899" i="5"/>
  <c r="U959" i="5"/>
  <c r="T959" i="5"/>
  <c r="U1036" i="5"/>
  <c r="T1036" i="5"/>
  <c r="Q524" i="5"/>
  <c r="Q540" i="5"/>
  <c r="Q556" i="5"/>
  <c r="Q572" i="5"/>
  <c r="Q588" i="5"/>
  <c r="P595" i="5"/>
  <c r="T599" i="5"/>
  <c r="Q604" i="5"/>
  <c r="P611" i="5"/>
  <c r="T615" i="5"/>
  <c r="Q620" i="5"/>
  <c r="P627" i="5"/>
  <c r="T631" i="5"/>
  <c r="Q636" i="5"/>
  <c r="P643" i="5"/>
  <c r="T647" i="5"/>
  <c r="Q652" i="5"/>
  <c r="P659" i="5"/>
  <c r="T663" i="5"/>
  <c r="Q668" i="5"/>
  <c r="P675" i="5"/>
  <c r="T679" i="5"/>
  <c r="P691" i="5"/>
  <c r="T695" i="5"/>
  <c r="P707" i="5"/>
  <c r="T711" i="5"/>
  <c r="P723" i="5"/>
  <c r="T727" i="5"/>
  <c r="P739" i="5"/>
  <c r="T743" i="5"/>
  <c r="T757" i="5"/>
  <c r="T764" i="5"/>
  <c r="Q767" i="5"/>
  <c r="T779" i="5"/>
  <c r="P782" i="5"/>
  <c r="U787" i="5"/>
  <c r="T800" i="5"/>
  <c r="R817" i="5"/>
  <c r="P817" i="5"/>
  <c r="P820" i="5"/>
  <c r="U834" i="5"/>
  <c r="P875" i="5"/>
  <c r="R882" i="5"/>
  <c r="Q882" i="5"/>
  <c r="P882" i="5"/>
  <c r="P899" i="5"/>
  <c r="U902" i="5"/>
  <c r="T902" i="5"/>
  <c r="T912" i="5"/>
  <c r="R923" i="5"/>
  <c r="Q923" i="5"/>
  <c r="P923" i="5"/>
  <c r="R971" i="5"/>
  <c r="Q971" i="5"/>
  <c r="P971" i="5"/>
  <c r="U1099" i="5"/>
  <c r="T1099" i="5"/>
  <c r="P586" i="5"/>
  <c r="T590" i="5"/>
  <c r="Q595" i="5"/>
  <c r="P602" i="5"/>
  <c r="T606" i="5"/>
  <c r="Q611" i="5"/>
  <c r="P618" i="5"/>
  <c r="T622" i="5"/>
  <c r="Q627" i="5"/>
  <c r="P634" i="5"/>
  <c r="T638" i="5"/>
  <c r="Q643" i="5"/>
  <c r="P650" i="5"/>
  <c r="T654" i="5"/>
  <c r="Q659" i="5"/>
  <c r="P666" i="5"/>
  <c r="T670" i="5"/>
  <c r="Q675" i="5"/>
  <c r="P682" i="5"/>
  <c r="T686" i="5"/>
  <c r="Q691" i="5"/>
  <c r="P698" i="5"/>
  <c r="T702" i="5"/>
  <c r="Q707" i="5"/>
  <c r="P714" i="5"/>
  <c r="T718" i="5"/>
  <c r="Q723" i="5"/>
  <c r="P730" i="5"/>
  <c r="T734" i="5"/>
  <c r="Q739" i="5"/>
  <c r="P746" i="5"/>
  <c r="T750" i="5"/>
  <c r="P760" i="5"/>
  <c r="R767" i="5"/>
  <c r="Q782" i="5"/>
  <c r="R785" i="5"/>
  <c r="P785" i="5"/>
  <c r="T795" i="5"/>
  <c r="P798" i="5"/>
  <c r="U803" i="5"/>
  <c r="Q814" i="5"/>
  <c r="Q817" i="5"/>
  <c r="Q820" i="5"/>
  <c r="P823" i="5"/>
  <c r="R906" i="5"/>
  <c r="Q906" i="5"/>
  <c r="P906" i="5"/>
  <c r="R1021" i="5"/>
  <c r="Q1021" i="5"/>
  <c r="P1021" i="5"/>
  <c r="R760" i="5"/>
  <c r="R801" i="5"/>
  <c r="P801" i="5"/>
  <c r="R814" i="5"/>
  <c r="R823" i="5"/>
  <c r="P835" i="5"/>
  <c r="R850" i="5"/>
  <c r="P850" i="5"/>
  <c r="P859" i="5"/>
  <c r="U878" i="5"/>
  <c r="T878" i="5"/>
  <c r="T895" i="5"/>
  <c r="R924" i="5"/>
  <c r="P924" i="5"/>
  <c r="R826" i="5"/>
  <c r="Q826" i="5"/>
  <c r="Q568" i="5"/>
  <c r="P575" i="5"/>
  <c r="T579" i="5"/>
  <c r="P591" i="5"/>
  <c r="T595" i="5"/>
  <c r="P607" i="5"/>
  <c r="T611" i="5"/>
  <c r="P623" i="5"/>
  <c r="T627" i="5"/>
  <c r="P639" i="5"/>
  <c r="T643" i="5"/>
  <c r="P655" i="5"/>
  <c r="T659" i="5"/>
  <c r="P671" i="5"/>
  <c r="T675" i="5"/>
  <c r="P687" i="5"/>
  <c r="T691" i="5"/>
  <c r="P703" i="5"/>
  <c r="T707" i="5"/>
  <c r="P719" i="5"/>
  <c r="T723" i="5"/>
  <c r="P735" i="5"/>
  <c r="T739" i="5"/>
  <c r="P751" i="5"/>
  <c r="T760" i="5"/>
  <c r="Q780" i="5"/>
  <c r="T782" i="5"/>
  <c r="T785" i="5"/>
  <c r="P791" i="5"/>
  <c r="P796" i="5"/>
  <c r="Q804" i="5"/>
  <c r="P812" i="5"/>
  <c r="T814" i="5"/>
  <c r="T823" i="5"/>
  <c r="P826" i="5"/>
  <c r="R832" i="5"/>
  <c r="P832" i="5"/>
  <c r="P844" i="5"/>
  <c r="T846" i="5"/>
  <c r="U853" i="5"/>
  <c r="T853" i="5"/>
  <c r="Q876" i="5"/>
  <c r="R883" i="5"/>
  <c r="Q883" i="5"/>
  <c r="T903" i="5"/>
  <c r="U975" i="5"/>
  <c r="T975" i="5"/>
  <c r="R866" i="5"/>
  <c r="Q866" i="5"/>
  <c r="P866" i="5"/>
  <c r="U886" i="5"/>
  <c r="T886" i="5"/>
  <c r="R907" i="5"/>
  <c r="Q907" i="5"/>
  <c r="U927" i="5"/>
  <c r="T927" i="5"/>
  <c r="R1033" i="5"/>
  <c r="P1033" i="5"/>
  <c r="R1065" i="5"/>
  <c r="P1065" i="5"/>
  <c r="R1143" i="5"/>
  <c r="Q1143" i="5"/>
  <c r="P1143" i="5"/>
  <c r="U1195" i="5"/>
  <c r="T1195" i="5"/>
  <c r="R998" i="5"/>
  <c r="Q998" i="5"/>
  <c r="R1046" i="5"/>
  <c r="Q1046" i="5"/>
  <c r="R1062" i="5"/>
  <c r="Q1062" i="5"/>
  <c r="R1069" i="5"/>
  <c r="Q1069" i="5"/>
  <c r="P1069" i="5"/>
  <c r="R1110" i="5"/>
  <c r="Q1110" i="5"/>
  <c r="P1110" i="5"/>
  <c r="T1270" i="5"/>
  <c r="U1270" i="5"/>
  <c r="P914" i="5"/>
  <c r="T918" i="5"/>
  <c r="P930" i="5"/>
  <c r="T934" i="5"/>
  <c r="P946" i="5"/>
  <c r="T950" i="5"/>
  <c r="P962" i="5"/>
  <c r="T966" i="5"/>
  <c r="P998" i="5"/>
  <c r="P1001" i="5"/>
  <c r="U1009" i="5"/>
  <c r="T1009" i="5"/>
  <c r="U1021" i="5"/>
  <c r="T1033" i="5"/>
  <c r="P1046" i="5"/>
  <c r="T1052" i="5"/>
  <c r="P1062" i="5"/>
  <c r="P1096" i="5"/>
  <c r="Q914" i="5"/>
  <c r="Q930" i="5"/>
  <c r="Q946" i="5"/>
  <c r="Q962" i="5"/>
  <c r="Q1001" i="5"/>
  <c r="R1037" i="5"/>
  <c r="Q1037" i="5"/>
  <c r="P1037" i="5"/>
  <c r="R1079" i="5"/>
  <c r="Q1079" i="5"/>
  <c r="P1079" i="5"/>
  <c r="Q1096" i="5"/>
  <c r="U1114" i="5"/>
  <c r="T1114" i="5"/>
  <c r="R1159" i="5"/>
  <c r="Q1159" i="5"/>
  <c r="P1159" i="5"/>
  <c r="Q1242" i="5"/>
  <c r="R1242" i="5"/>
  <c r="P1242" i="5"/>
  <c r="U1303" i="5"/>
  <c r="T1303" i="5"/>
  <c r="P864" i="5"/>
  <c r="T868" i="5"/>
  <c r="P880" i="5"/>
  <c r="T884" i="5"/>
  <c r="P896" i="5"/>
  <c r="T900" i="5"/>
  <c r="P912" i="5"/>
  <c r="T916" i="5"/>
  <c r="P928" i="5"/>
  <c r="T932" i="5"/>
  <c r="P944" i="5"/>
  <c r="T948" i="5"/>
  <c r="P960" i="5"/>
  <c r="T964" i="5"/>
  <c r="P976" i="5"/>
  <c r="T995" i="5"/>
  <c r="T1018" i="5"/>
  <c r="T1027" i="5"/>
  <c r="R1053" i="5"/>
  <c r="Q1053" i="5"/>
  <c r="P1053" i="5"/>
  <c r="T1075" i="5"/>
  <c r="U1089" i="5"/>
  <c r="T1089" i="5"/>
  <c r="T1100" i="5"/>
  <c r="U1163" i="5"/>
  <c r="T1163" i="5"/>
  <c r="R1207" i="5"/>
  <c r="Q1207" i="5"/>
  <c r="P1207" i="5"/>
  <c r="P855" i="5"/>
  <c r="T859" i="5"/>
  <c r="Q864" i="5"/>
  <c r="P871" i="5"/>
  <c r="T875" i="5"/>
  <c r="Q880" i="5"/>
  <c r="P887" i="5"/>
  <c r="T891" i="5"/>
  <c r="Q896" i="5"/>
  <c r="P903" i="5"/>
  <c r="T907" i="5"/>
  <c r="Q912" i="5"/>
  <c r="P919" i="5"/>
  <c r="T923" i="5"/>
  <c r="Q928" i="5"/>
  <c r="P935" i="5"/>
  <c r="T939" i="5"/>
  <c r="Q944" i="5"/>
  <c r="P951" i="5"/>
  <c r="T955" i="5"/>
  <c r="Q960" i="5"/>
  <c r="P967" i="5"/>
  <c r="T971" i="5"/>
  <c r="Q976" i="5"/>
  <c r="T1001" i="5"/>
  <c r="P1007" i="5"/>
  <c r="P1013" i="5"/>
  <c r="P1016" i="5"/>
  <c r="P1025" i="5"/>
  <c r="U1037" i="5"/>
  <c r="U1040" i="5"/>
  <c r="T1040" i="5"/>
  <c r="P1073" i="5"/>
  <c r="R1111" i="5"/>
  <c r="Q1111" i="5"/>
  <c r="P1111" i="5"/>
  <c r="Q1007" i="5"/>
  <c r="Q1013" i="5"/>
  <c r="R1063" i="5"/>
  <c r="P1063" i="5"/>
  <c r="U1083" i="5"/>
  <c r="T1083" i="5"/>
  <c r="U1115" i="5"/>
  <c r="T1115" i="5"/>
  <c r="R1119" i="5"/>
  <c r="Q1119" i="5"/>
  <c r="T1289" i="5"/>
  <c r="U1289" i="5"/>
  <c r="T928" i="5"/>
  <c r="P940" i="5"/>
  <c r="T944" i="5"/>
  <c r="P956" i="5"/>
  <c r="T960" i="5"/>
  <c r="P972" i="5"/>
  <c r="T976" i="5"/>
  <c r="P1002" i="5"/>
  <c r="T1013" i="5"/>
  <c r="U1025" i="5"/>
  <c r="T1025" i="5"/>
  <c r="T1034" i="5"/>
  <c r="P1057" i="5"/>
  <c r="U1073" i="5"/>
  <c r="T1073" i="5"/>
  <c r="P1087" i="5"/>
  <c r="T1107" i="5"/>
  <c r="P1119" i="5"/>
  <c r="R1175" i="5"/>
  <c r="Q1175" i="5"/>
  <c r="P1175" i="5"/>
  <c r="T1254" i="5"/>
  <c r="U1254" i="5"/>
  <c r="T1385" i="5"/>
  <c r="U1385" i="5"/>
  <c r="Q940" i="5"/>
  <c r="Q956" i="5"/>
  <c r="Q972" i="5"/>
  <c r="R989" i="5"/>
  <c r="Q989" i="5"/>
  <c r="T996" i="5"/>
  <c r="Q1002" i="5"/>
  <c r="R1005" i="5"/>
  <c r="Q1005" i="5"/>
  <c r="P1005" i="5"/>
  <c r="U1019" i="5"/>
  <c r="T1050" i="5"/>
  <c r="Q1057" i="5"/>
  <c r="Q1087" i="5"/>
  <c r="P1112" i="5"/>
  <c r="U1179" i="5"/>
  <c r="T1179" i="5"/>
  <c r="U1236" i="5"/>
  <c r="T1236" i="5"/>
  <c r="Q915" i="5"/>
  <c r="T926" i="5"/>
  <c r="Q931" i="5"/>
  <c r="P938" i="5"/>
  <c r="T942" i="5"/>
  <c r="Q947" i="5"/>
  <c r="P954" i="5"/>
  <c r="T958" i="5"/>
  <c r="Q963" i="5"/>
  <c r="P970" i="5"/>
  <c r="T974" i="5"/>
  <c r="Q979" i="5"/>
  <c r="T981" i="5"/>
  <c r="P984" i="5"/>
  <c r="T986" i="5"/>
  <c r="P989" i="5"/>
  <c r="T999" i="5"/>
  <c r="P1008" i="5"/>
  <c r="R1014" i="5"/>
  <c r="Q1014" i="5"/>
  <c r="P1017" i="5"/>
  <c r="U1041" i="5"/>
  <c r="T1041" i="5"/>
  <c r="R1094" i="5"/>
  <c r="Q1094" i="5"/>
  <c r="P1094" i="5"/>
  <c r="Q1112" i="5"/>
  <c r="U1367" i="5"/>
  <c r="T1367" i="5"/>
  <c r="P865" i="5"/>
  <c r="T869" i="5"/>
  <c r="P881" i="5"/>
  <c r="T885" i="5"/>
  <c r="P897" i="5"/>
  <c r="T901" i="5"/>
  <c r="P913" i="5"/>
  <c r="T917" i="5"/>
  <c r="P929" i="5"/>
  <c r="T933" i="5"/>
  <c r="Q938" i="5"/>
  <c r="P945" i="5"/>
  <c r="T949" i="5"/>
  <c r="Q954" i="5"/>
  <c r="P961" i="5"/>
  <c r="T965" i="5"/>
  <c r="Q970" i="5"/>
  <c r="P977" i="5"/>
  <c r="Q984" i="5"/>
  <c r="P997" i="5"/>
  <c r="T1005" i="5"/>
  <c r="R1008" i="5"/>
  <c r="Q1011" i="5"/>
  <c r="P1014" i="5"/>
  <c r="Q1017" i="5"/>
  <c r="P1020" i="5"/>
  <c r="P1023" i="5"/>
  <c r="P1029" i="5"/>
  <c r="P1032" i="5"/>
  <c r="U1057" i="5"/>
  <c r="T1057" i="5"/>
  <c r="P1064" i="5"/>
  <c r="U1067" i="5"/>
  <c r="T1067" i="5"/>
  <c r="T1084" i="5"/>
  <c r="T1116" i="5"/>
  <c r="R1251" i="5"/>
  <c r="Q1251" i="5"/>
  <c r="P1251" i="5"/>
  <c r="R1363" i="5"/>
  <c r="Q1363" i="5"/>
  <c r="P1363" i="5"/>
  <c r="Q865" i="5"/>
  <c r="Q881" i="5"/>
  <c r="Q897" i="5"/>
  <c r="Q913" i="5"/>
  <c r="Q929" i="5"/>
  <c r="Q945" i="5"/>
  <c r="Q961" i="5"/>
  <c r="Q977" i="5"/>
  <c r="Q997" i="5"/>
  <c r="R1011" i="5"/>
  <c r="R1020" i="5"/>
  <c r="Q1023" i="5"/>
  <c r="Q1029" i="5"/>
  <c r="Q1032" i="5"/>
  <c r="R1045" i="5"/>
  <c r="Q1045" i="5"/>
  <c r="P1048" i="5"/>
  <c r="Q1064" i="5"/>
  <c r="P1071" i="5"/>
  <c r="U1098" i="5"/>
  <c r="T1098" i="5"/>
  <c r="R1127" i="5"/>
  <c r="Q1127" i="5"/>
  <c r="P1127" i="5"/>
  <c r="R1135" i="5"/>
  <c r="Q1135" i="5"/>
  <c r="P1135" i="5"/>
  <c r="R1283" i="5"/>
  <c r="Q1283" i="5"/>
  <c r="P1283" i="5"/>
  <c r="P982" i="5"/>
  <c r="U984" i="5"/>
  <c r="T984" i="5"/>
  <c r="U1035" i="5"/>
  <c r="P1045" i="5"/>
  <c r="R1061" i="5"/>
  <c r="Q1061" i="5"/>
  <c r="P1061" i="5"/>
  <c r="Q1071" i="5"/>
  <c r="R1085" i="5"/>
  <c r="Q1085" i="5"/>
  <c r="P1085" i="5"/>
  <c r="U1131" i="5"/>
  <c r="T1131" i="5"/>
  <c r="R1191" i="5"/>
  <c r="Q1191" i="5"/>
  <c r="P1191" i="5"/>
  <c r="T1219" i="5"/>
  <c r="U1219" i="5"/>
  <c r="Q1036" i="5"/>
  <c r="P1036" i="5"/>
  <c r="R1078" i="5"/>
  <c r="Q1078" i="5"/>
  <c r="R1095" i="5"/>
  <c r="Q1095" i="5"/>
  <c r="P1095" i="5"/>
  <c r="P1081" i="5"/>
  <c r="P1097" i="5"/>
  <c r="P1113" i="5"/>
  <c r="P1129" i="5"/>
  <c r="P1145" i="5"/>
  <c r="P1161" i="5"/>
  <c r="P1177" i="5"/>
  <c r="P1193" i="5"/>
  <c r="R1233" i="5"/>
  <c r="P1233" i="5"/>
  <c r="Q1239" i="5"/>
  <c r="T1262" i="5"/>
  <c r="R1299" i="5"/>
  <c r="Q1299" i="5"/>
  <c r="P1299" i="5"/>
  <c r="U1320" i="5"/>
  <c r="R1300" i="5"/>
  <c r="P1300" i="5"/>
  <c r="R1217" i="5"/>
  <c r="P1217" i="5"/>
  <c r="Q1248" i="5"/>
  <c r="P1248" i="5"/>
  <c r="Q1296" i="5"/>
  <c r="P1296" i="5"/>
  <c r="R1331" i="5"/>
  <c r="Q1331" i="5"/>
  <c r="P1331" i="5"/>
  <c r="U1335" i="5"/>
  <c r="T1335" i="5"/>
  <c r="R1397" i="5"/>
  <c r="P1397" i="5"/>
  <c r="T1065" i="5"/>
  <c r="P1077" i="5"/>
  <c r="T1081" i="5"/>
  <c r="P1093" i="5"/>
  <c r="T1097" i="5"/>
  <c r="P1109" i="5"/>
  <c r="T1113" i="5"/>
  <c r="P1125" i="5"/>
  <c r="T1129" i="5"/>
  <c r="P1141" i="5"/>
  <c r="T1145" i="5"/>
  <c r="P1157" i="5"/>
  <c r="T1161" i="5"/>
  <c r="P1173" i="5"/>
  <c r="T1177" i="5"/>
  <c r="P1189" i="5"/>
  <c r="T1193" i="5"/>
  <c r="P1205" i="5"/>
  <c r="T1209" i="5"/>
  <c r="P1212" i="5"/>
  <c r="Q1217" i="5"/>
  <c r="P1220" i="5"/>
  <c r="T1230" i="5"/>
  <c r="P1237" i="5"/>
  <c r="R1248" i="5"/>
  <c r="R1274" i="5"/>
  <c r="Q1274" i="5"/>
  <c r="Q1280" i="5"/>
  <c r="P1280" i="5"/>
  <c r="U1300" i="5"/>
  <c r="T1300" i="5"/>
  <c r="P1052" i="5"/>
  <c r="T1056" i="5"/>
  <c r="P1068" i="5"/>
  <c r="T1072" i="5"/>
  <c r="Q1077" i="5"/>
  <c r="P1084" i="5"/>
  <c r="T1088" i="5"/>
  <c r="Q1093" i="5"/>
  <c r="P1100" i="5"/>
  <c r="T1104" i="5"/>
  <c r="Q1109" i="5"/>
  <c r="P1116" i="5"/>
  <c r="T1120" i="5"/>
  <c r="Q1125" i="5"/>
  <c r="P1132" i="5"/>
  <c r="T1136" i="5"/>
  <c r="Q1141" i="5"/>
  <c r="P1148" i="5"/>
  <c r="T1152" i="5"/>
  <c r="Q1157" i="5"/>
  <c r="P1164" i="5"/>
  <c r="T1168" i="5"/>
  <c r="Q1173" i="5"/>
  <c r="P1180" i="5"/>
  <c r="T1184" i="5"/>
  <c r="Q1189" i="5"/>
  <c r="P1196" i="5"/>
  <c r="T1200" i="5"/>
  <c r="Q1205" i="5"/>
  <c r="Q1212" i="5"/>
  <c r="T1214" i="5"/>
  <c r="Q1220" i="5"/>
  <c r="Q1223" i="5"/>
  <c r="T1225" i="5"/>
  <c r="Q1237" i="5"/>
  <c r="R1252" i="5"/>
  <c r="P1252" i="5"/>
  <c r="R1258" i="5"/>
  <c r="Q1258" i="5"/>
  <c r="Q1264" i="5"/>
  <c r="P1264" i="5"/>
  <c r="P1274" i="5"/>
  <c r="R1280" i="5"/>
  <c r="R1284" i="5"/>
  <c r="P1284" i="5"/>
  <c r="R1301" i="5"/>
  <c r="P1301" i="5"/>
  <c r="R1314" i="5"/>
  <c r="P1314" i="5"/>
  <c r="R1365" i="5"/>
  <c r="P1365" i="5"/>
  <c r="R1223" i="5"/>
  <c r="Q1231" i="5"/>
  <c r="R1234" i="5"/>
  <c r="Q1252" i="5"/>
  <c r="P1258" i="5"/>
  <c r="R1264" i="5"/>
  <c r="R1268" i="5"/>
  <c r="P1268" i="5"/>
  <c r="Q1284" i="5"/>
  <c r="Q1301" i="5"/>
  <c r="U1304" i="5"/>
  <c r="Q1314" i="5"/>
  <c r="U1321" i="5"/>
  <c r="Q1328" i="5"/>
  <c r="P1328" i="5"/>
  <c r="U1332" i="5"/>
  <c r="T1332" i="5"/>
  <c r="Q1365" i="5"/>
  <c r="U1252" i="5"/>
  <c r="T1252" i="5"/>
  <c r="U1284" i="5"/>
  <c r="T1284" i="5"/>
  <c r="R1333" i="5"/>
  <c r="P1333" i="5"/>
  <c r="R1249" i="5"/>
  <c r="P1249" i="5"/>
  <c r="U1268" i="5"/>
  <c r="T1268" i="5"/>
  <c r="R1379" i="5"/>
  <c r="Q1379" i="5"/>
  <c r="P1379" i="5"/>
  <c r="U1383" i="5"/>
  <c r="T1383" i="5"/>
  <c r="R1281" i="5"/>
  <c r="Q1281" i="5"/>
  <c r="P1281" i="5"/>
  <c r="Q1128" i="5"/>
  <c r="T1139" i="5"/>
  <c r="Q1144" i="5"/>
  <c r="P1151" i="5"/>
  <c r="T1155" i="5"/>
  <c r="Q1160" i="5"/>
  <c r="P1167" i="5"/>
  <c r="T1171" i="5"/>
  <c r="Q1176" i="5"/>
  <c r="P1183" i="5"/>
  <c r="T1187" i="5"/>
  <c r="P1199" i="5"/>
  <c r="T1203" i="5"/>
  <c r="P1213" i="5"/>
  <c r="R1265" i="5"/>
  <c r="Q1265" i="5"/>
  <c r="P1265" i="5"/>
  <c r="Q1269" i="5"/>
  <c r="R1315" i="5"/>
  <c r="Q1315" i="5"/>
  <c r="P1315" i="5"/>
  <c r="R1347" i="5"/>
  <c r="Q1347" i="5"/>
  <c r="P1347" i="5"/>
  <c r="U1351" i="5"/>
  <c r="T1351" i="5"/>
  <c r="P1126" i="5"/>
  <c r="T1130" i="5"/>
  <c r="P1142" i="5"/>
  <c r="T1146" i="5"/>
  <c r="Q1151" i="5"/>
  <c r="P1158" i="5"/>
  <c r="T1162" i="5"/>
  <c r="Q1167" i="5"/>
  <c r="P1174" i="5"/>
  <c r="T1178" i="5"/>
  <c r="Q1183" i="5"/>
  <c r="P1190" i="5"/>
  <c r="T1194" i="5"/>
  <c r="Q1199" i="5"/>
  <c r="P1206" i="5"/>
  <c r="Q1213" i="5"/>
  <c r="T1215" i="5"/>
  <c r="P1232" i="5"/>
  <c r="P1235" i="5"/>
  <c r="R1269" i="5"/>
  <c r="U1285" i="5"/>
  <c r="T1285" i="5"/>
  <c r="R1298" i="5"/>
  <c r="P1298" i="5"/>
  <c r="U1319" i="5"/>
  <c r="T1319" i="5"/>
  <c r="U1369" i="5"/>
  <c r="P1101" i="5"/>
  <c r="T1105" i="5"/>
  <c r="P1117" i="5"/>
  <c r="T1121" i="5"/>
  <c r="Q1126" i="5"/>
  <c r="P1133" i="5"/>
  <c r="T1137" i="5"/>
  <c r="Q1142" i="5"/>
  <c r="P1149" i="5"/>
  <c r="T1153" i="5"/>
  <c r="Q1158" i="5"/>
  <c r="P1165" i="5"/>
  <c r="T1169" i="5"/>
  <c r="Q1174" i="5"/>
  <c r="P1181" i="5"/>
  <c r="T1185" i="5"/>
  <c r="Q1190" i="5"/>
  <c r="P1197" i="5"/>
  <c r="T1201" i="5"/>
  <c r="Q1206" i="5"/>
  <c r="R1232" i="5"/>
  <c r="Q1235" i="5"/>
  <c r="R1250" i="5"/>
  <c r="P1250" i="5"/>
  <c r="U1253" i="5"/>
  <c r="T1253" i="5"/>
  <c r="U1269" i="5"/>
  <c r="T1269" i="5"/>
  <c r="R1282" i="5"/>
  <c r="P1282" i="5"/>
  <c r="U1288" i="5"/>
  <c r="Q1298" i="5"/>
  <c r="U1305" i="5"/>
  <c r="R1316" i="5"/>
  <c r="P1316" i="5"/>
  <c r="R1381" i="5"/>
  <c r="P1381" i="5"/>
  <c r="P996" i="5"/>
  <c r="T1000" i="5"/>
  <c r="P1012" i="5"/>
  <c r="T1016" i="5"/>
  <c r="P1028" i="5"/>
  <c r="T1032" i="5"/>
  <c r="P1044" i="5"/>
  <c r="T1048" i="5"/>
  <c r="P1060" i="5"/>
  <c r="T1064" i="5"/>
  <c r="P1076" i="5"/>
  <c r="T1080" i="5"/>
  <c r="P1092" i="5"/>
  <c r="T1096" i="5"/>
  <c r="Q1101" i="5"/>
  <c r="P1108" i="5"/>
  <c r="T1112" i="5"/>
  <c r="Q1117" i="5"/>
  <c r="P1124" i="5"/>
  <c r="T1128" i="5"/>
  <c r="Q1133" i="5"/>
  <c r="P1140" i="5"/>
  <c r="T1144" i="5"/>
  <c r="Q1149" i="5"/>
  <c r="P1156" i="5"/>
  <c r="T1160" i="5"/>
  <c r="Q1165" i="5"/>
  <c r="P1172" i="5"/>
  <c r="T1176" i="5"/>
  <c r="Q1181" i="5"/>
  <c r="P1188" i="5"/>
  <c r="T1192" i="5"/>
  <c r="Q1197" i="5"/>
  <c r="P1204" i="5"/>
  <c r="T1208" i="5"/>
  <c r="P1216" i="5"/>
  <c r="U1221" i="5"/>
  <c r="P1244" i="5"/>
  <c r="T1246" i="5"/>
  <c r="Q1250" i="5"/>
  <c r="U1256" i="5"/>
  <c r="R1266" i="5"/>
  <c r="P1266" i="5"/>
  <c r="U1272" i="5"/>
  <c r="Q1282" i="5"/>
  <c r="U1302" i="5"/>
  <c r="Q1312" i="5"/>
  <c r="P1312" i="5"/>
  <c r="Q1316" i="5"/>
  <c r="U1337" i="5"/>
  <c r="Q1344" i="5"/>
  <c r="P1344" i="5"/>
  <c r="U1348" i="5"/>
  <c r="T1348" i="5"/>
  <c r="Q1381" i="5"/>
  <c r="P1211" i="5"/>
  <c r="P1227" i="5"/>
  <c r="U1316" i="5"/>
  <c r="T1316" i="5"/>
  <c r="R1349" i="5"/>
  <c r="P1349" i="5"/>
  <c r="R1236" i="5"/>
  <c r="P1236" i="5"/>
  <c r="R1317" i="5"/>
  <c r="P1317" i="5"/>
  <c r="R1395" i="5"/>
  <c r="Q1395" i="5"/>
  <c r="P1395" i="5"/>
  <c r="T1399" i="5"/>
  <c r="P1322" i="5"/>
  <c r="P1338" i="5"/>
  <c r="P1354" i="5"/>
  <c r="P1370" i="5"/>
  <c r="P1386" i="5"/>
  <c r="Q1290" i="5"/>
  <c r="P1297" i="5"/>
  <c r="T1301" i="5"/>
  <c r="Q1306" i="5"/>
  <c r="P1313" i="5"/>
  <c r="T1317" i="5"/>
  <c r="Q1322" i="5"/>
  <c r="P1329" i="5"/>
  <c r="T1333" i="5"/>
  <c r="Q1338" i="5"/>
  <c r="P1345" i="5"/>
  <c r="T1349" i="5"/>
  <c r="Q1354" i="5"/>
  <c r="P1361" i="5"/>
  <c r="T1365" i="5"/>
  <c r="Q1370" i="5"/>
  <c r="P1377" i="5"/>
  <c r="T1381" i="5"/>
  <c r="Q1386" i="5"/>
  <c r="P1393" i="5"/>
  <c r="T1397" i="5"/>
  <c r="Q1297" i="5"/>
  <c r="Q1313" i="5"/>
  <c r="Q1329" i="5"/>
  <c r="Q1345" i="5"/>
  <c r="Q1361" i="5"/>
  <c r="Q1377" i="5"/>
  <c r="Q1393" i="5"/>
  <c r="P1400" i="5"/>
  <c r="T1251" i="5"/>
  <c r="P1263" i="5"/>
  <c r="T1267" i="5"/>
  <c r="P1279" i="5"/>
  <c r="T1283" i="5"/>
  <c r="P1295" i="5"/>
  <c r="T1299" i="5"/>
  <c r="P1311" i="5"/>
  <c r="T1315" i="5"/>
  <c r="P1327" i="5"/>
  <c r="T1331" i="5"/>
  <c r="P1343" i="5"/>
  <c r="T1347" i="5"/>
  <c r="P1359" i="5"/>
  <c r="T1363" i="5"/>
  <c r="P1375" i="5"/>
  <c r="T1379" i="5"/>
  <c r="P1391" i="5"/>
  <c r="T1395" i="5"/>
  <c r="P1332" i="5"/>
  <c r="T1336" i="5"/>
  <c r="P1348" i="5"/>
  <c r="T1352" i="5"/>
  <c r="P1364" i="5"/>
  <c r="T1368" i="5"/>
  <c r="P1380" i="5"/>
  <c r="T1384" i="5"/>
  <c r="P1396" i="5"/>
  <c r="T1400" i="5"/>
  <c r="Q1332" i="5"/>
  <c r="Q1348" i="5"/>
  <c r="Q1364" i="5"/>
  <c r="Q1380" i="5"/>
  <c r="Q1396" i="5"/>
  <c r="P1330" i="5"/>
  <c r="P1346" i="5"/>
  <c r="P1362" i="5"/>
  <c r="P1378" i="5"/>
  <c r="P1394" i="5"/>
  <c r="P1360" i="5"/>
  <c r="T1364" i="5"/>
  <c r="P1376" i="5"/>
  <c r="T1380" i="5"/>
  <c r="P1392" i="5"/>
  <c r="T1396" i="5"/>
  <c r="P257" i="2" l="1"/>
  <c r="M133" i="2"/>
  <c r="N64" i="2"/>
  <c r="I63" i="11"/>
  <c r="G63" i="11" s="1"/>
  <c r="N91" i="2"/>
  <c r="P91" i="2"/>
  <c r="I90" i="11"/>
  <c r="G90" i="11" s="1"/>
  <c r="R255" i="2"/>
  <c r="S255" i="2" s="1"/>
  <c r="F253" i="12"/>
  <c r="G53" i="8"/>
  <c r="I53" i="8" s="1"/>
  <c r="V54" i="2"/>
  <c r="G56" i="8"/>
  <c r="I56" i="8" s="1"/>
  <c r="G57" i="12" s="1"/>
  <c r="O57" i="2"/>
  <c r="N186" i="2"/>
  <c r="I183" i="11"/>
  <c r="G183" i="11" s="1"/>
  <c r="R60" i="2"/>
  <c r="G59" i="8" s="1"/>
  <c r="G10" i="12"/>
  <c r="M244" i="2"/>
  <c r="O244" i="2" s="1"/>
  <c r="T39" i="2"/>
  <c r="I131" i="9"/>
  <c r="G228" i="12"/>
  <c r="I226" i="8"/>
  <c r="I109" i="9"/>
  <c r="N6" i="2"/>
  <c r="I5" i="11"/>
  <c r="G5" i="11" s="1"/>
  <c r="G214" i="8"/>
  <c r="I214" i="8" s="1"/>
  <c r="G216" i="12" s="1"/>
  <c r="O218" i="2"/>
  <c r="R95" i="2"/>
  <c r="G94" i="8" s="1"/>
  <c r="I30" i="9"/>
  <c r="G105" i="8"/>
  <c r="I105" i="8" s="1"/>
  <c r="G106" i="12" s="1"/>
  <c r="V106" i="2"/>
  <c r="M201" i="2"/>
  <c r="O201" i="2" s="1"/>
  <c r="M191" i="2"/>
  <c r="I171" i="9"/>
  <c r="H38" i="8"/>
  <c r="O95" i="2"/>
  <c r="S95" i="2"/>
  <c r="F249" i="12"/>
  <c r="J225" i="9"/>
  <c r="N253" i="2"/>
  <c r="C21" i="3"/>
  <c r="P253" i="2"/>
  <c r="I248" i="11"/>
  <c r="G248" i="11" s="1"/>
  <c r="C205" i="3"/>
  <c r="P236" i="2"/>
  <c r="N236" i="2"/>
  <c r="S60" i="2"/>
  <c r="G243" i="8"/>
  <c r="V249" i="2"/>
  <c r="O249" i="2"/>
  <c r="T163" i="2"/>
  <c r="R141" i="2"/>
  <c r="R265" i="2"/>
  <c r="G127" i="8"/>
  <c r="I127" i="8" s="1"/>
  <c r="O130" i="2"/>
  <c r="V130" i="2"/>
  <c r="G225" i="8"/>
  <c r="I225" i="8" s="1"/>
  <c r="G227" i="12" s="1"/>
  <c r="O229" i="2"/>
  <c r="V229" i="2"/>
  <c r="R171" i="2"/>
  <c r="R157" i="2"/>
  <c r="R277" i="2"/>
  <c r="G232" i="8"/>
  <c r="I232" i="8" s="1"/>
  <c r="V238" i="2"/>
  <c r="O238" i="2"/>
  <c r="T105" i="2"/>
  <c r="F218" i="12"/>
  <c r="P220" i="2"/>
  <c r="N220" i="2"/>
  <c r="I217" i="11"/>
  <c r="G217" i="11" s="1"/>
  <c r="R152" i="2"/>
  <c r="I140" i="9"/>
  <c r="G23" i="8"/>
  <c r="I23" i="8" s="1"/>
  <c r="G24" i="12" s="1"/>
  <c r="V24" i="2"/>
  <c r="O24" i="2"/>
  <c r="I124" i="9"/>
  <c r="T81" i="2"/>
  <c r="I121" i="9"/>
  <c r="G130" i="8"/>
  <c r="I130" i="8" s="1"/>
  <c r="O133" i="2"/>
  <c r="V133" i="2"/>
  <c r="T71" i="2"/>
  <c r="T104" i="2"/>
  <c r="T18" i="2"/>
  <c r="R89" i="2"/>
  <c r="T79" i="2"/>
  <c r="T51" i="2"/>
  <c r="T110" i="2"/>
  <c r="R159" i="2"/>
  <c r="T90" i="2"/>
  <c r="F52" i="12"/>
  <c r="J51" i="9"/>
  <c r="N52" i="2"/>
  <c r="I51" i="11"/>
  <c r="G51" i="11" s="1"/>
  <c r="P52" i="2"/>
  <c r="R209" i="2"/>
  <c r="F183" i="12"/>
  <c r="J182" i="9"/>
  <c r="N185" i="2"/>
  <c r="P185" i="2"/>
  <c r="I182" i="11"/>
  <c r="G182" i="11" s="1"/>
  <c r="M192" i="2"/>
  <c r="O192" i="2" s="1"/>
  <c r="R21" i="2"/>
  <c r="T102" i="2"/>
  <c r="T78" i="2"/>
  <c r="T117" i="2"/>
  <c r="G58" i="8"/>
  <c r="I58" i="8" s="1"/>
  <c r="G59" i="12" s="1"/>
  <c r="V59" i="2"/>
  <c r="O59" i="2"/>
  <c r="R127" i="2"/>
  <c r="R28" i="2"/>
  <c r="T158" i="2"/>
  <c r="T60" i="2"/>
  <c r="G4" i="8"/>
  <c r="I4" i="8" s="1"/>
  <c r="V5" i="2"/>
  <c r="O5" i="2"/>
  <c r="T152" i="2"/>
  <c r="R98" i="2"/>
  <c r="R203" i="2"/>
  <c r="R266" i="2"/>
  <c r="R136" i="2"/>
  <c r="T83" i="2"/>
  <c r="T70" i="2"/>
  <c r="T101" i="2"/>
  <c r="T209" i="2"/>
  <c r="T50" i="2"/>
  <c r="F255" i="12"/>
  <c r="J231" i="9"/>
  <c r="P259" i="2"/>
  <c r="N259" i="2"/>
  <c r="I254" i="11"/>
  <c r="G254" i="11" s="1"/>
  <c r="R40" i="2"/>
  <c r="R117" i="2"/>
  <c r="M62" i="2"/>
  <c r="O62" i="2" s="1"/>
  <c r="I106" i="8"/>
  <c r="I156" i="9"/>
  <c r="T20" i="2"/>
  <c r="I3" i="8"/>
  <c r="G4" i="12" s="1"/>
  <c r="R14" i="2"/>
  <c r="T279" i="2"/>
  <c r="R271" i="2"/>
  <c r="R279" i="2"/>
  <c r="T284" i="2"/>
  <c r="G177" i="8"/>
  <c r="I177" i="8" s="1"/>
  <c r="G179" i="12" s="1"/>
  <c r="O181" i="2"/>
  <c r="V181" i="2"/>
  <c r="G146" i="8"/>
  <c r="I146" i="8" s="1"/>
  <c r="O149" i="2"/>
  <c r="V149" i="2"/>
  <c r="G228" i="8"/>
  <c r="I228" i="8" s="1"/>
  <c r="G230" i="12" s="1"/>
  <c r="O232" i="2"/>
  <c r="V232" i="2"/>
  <c r="R173" i="2"/>
  <c r="T266" i="2"/>
  <c r="T136" i="2"/>
  <c r="R101" i="2"/>
  <c r="G131" i="12"/>
  <c r="I115" i="9"/>
  <c r="I61" i="8"/>
  <c r="G8" i="8"/>
  <c r="I8" i="8" s="1"/>
  <c r="O9" i="2"/>
  <c r="V9" i="2"/>
  <c r="M132" i="2"/>
  <c r="O132" i="2" s="1"/>
  <c r="R205" i="2"/>
  <c r="R283" i="2"/>
  <c r="T203" i="2"/>
  <c r="R158" i="2"/>
  <c r="G275" i="8"/>
  <c r="I275" i="8" s="1"/>
  <c r="V281" i="2"/>
  <c r="T255" i="2"/>
  <c r="R268" i="2"/>
  <c r="M281" i="2"/>
  <c r="O281" i="2" s="1"/>
  <c r="F276" i="11"/>
  <c r="H276" i="11" s="1"/>
  <c r="R262" i="2"/>
  <c r="R146" i="2"/>
  <c r="G196" i="8"/>
  <c r="I196" i="8" s="1"/>
  <c r="G198" i="12" s="1"/>
  <c r="O200" i="2"/>
  <c r="V200" i="2"/>
  <c r="T140" i="2"/>
  <c r="F196" i="12"/>
  <c r="N198" i="2"/>
  <c r="P198" i="2"/>
  <c r="I195" i="11"/>
  <c r="G195" i="11" s="1"/>
  <c r="M108" i="2"/>
  <c r="F107" i="11"/>
  <c r="H107" i="11" s="1"/>
  <c r="T86" i="2"/>
  <c r="I100" i="9"/>
  <c r="G92" i="8"/>
  <c r="I92" i="8" s="1"/>
  <c r="V93" i="2"/>
  <c r="O93" i="2"/>
  <c r="F54" i="12"/>
  <c r="J53" i="9"/>
  <c r="P54" i="2"/>
  <c r="N54" i="2"/>
  <c r="I53" i="11"/>
  <c r="G53" i="11" s="1"/>
  <c r="G148" i="12"/>
  <c r="G129" i="12"/>
  <c r="T96" i="2"/>
  <c r="R113" i="2"/>
  <c r="R225" i="2"/>
  <c r="J9" i="9"/>
  <c r="F10" i="12"/>
  <c r="P10" i="2"/>
  <c r="N10" i="2"/>
  <c r="I9" i="11"/>
  <c r="G9" i="11" s="1"/>
  <c r="T14" i="2"/>
  <c r="R121" i="2"/>
  <c r="G62" i="8"/>
  <c r="I62" i="8" s="1"/>
  <c r="G63" i="12" s="1"/>
  <c r="V63" i="2"/>
  <c r="O63" i="2"/>
  <c r="J54" i="9"/>
  <c r="F55" i="12"/>
  <c r="P55" i="2"/>
  <c r="N55" i="2"/>
  <c r="I54" i="11"/>
  <c r="G54" i="11" s="1"/>
  <c r="G130" i="12"/>
  <c r="T73" i="2"/>
  <c r="R155" i="2"/>
  <c r="T147" i="2"/>
  <c r="G123" i="8"/>
  <c r="I123" i="8" s="1"/>
  <c r="V125" i="2"/>
  <c r="O125" i="2"/>
  <c r="R90" i="2"/>
  <c r="F68" i="12"/>
  <c r="J67" i="9"/>
  <c r="C151" i="3"/>
  <c r="N68" i="2"/>
  <c r="I67" i="11"/>
  <c r="G67" i="11" s="1"/>
  <c r="P68" i="2"/>
  <c r="R112" i="2"/>
  <c r="G55" i="8"/>
  <c r="I55" i="8" s="1"/>
  <c r="G56" i="12" s="1"/>
  <c r="V56" i="2"/>
  <c r="O56" i="2"/>
  <c r="I111" i="9"/>
  <c r="T225" i="2"/>
  <c r="M144" i="2"/>
  <c r="O144" i="2" s="1"/>
  <c r="F199" i="12"/>
  <c r="N201" i="2"/>
  <c r="P201" i="2"/>
  <c r="I198" i="11"/>
  <c r="G198" i="11" s="1"/>
  <c r="T121" i="2"/>
  <c r="G5" i="12"/>
  <c r="I54" i="8"/>
  <c r="G55" i="12" s="1"/>
  <c r="T19" i="2"/>
  <c r="T89" i="2"/>
  <c r="T273" i="2"/>
  <c r="R258" i="2"/>
  <c r="T184" i="2"/>
  <c r="G249" i="12"/>
  <c r="R235" i="2"/>
  <c r="G217" i="8"/>
  <c r="I217" i="8" s="1"/>
  <c r="V221" i="2"/>
  <c r="O221" i="2"/>
  <c r="G124" i="12"/>
  <c r="T41" i="2"/>
  <c r="T216" i="2"/>
  <c r="T75" i="2"/>
  <c r="G36" i="8"/>
  <c r="I36" i="8" s="1"/>
  <c r="G37" i="12" s="1"/>
  <c r="V37" i="2"/>
  <c r="O37" i="2"/>
  <c r="R207" i="2"/>
  <c r="R75" i="2"/>
  <c r="T49" i="2"/>
  <c r="R12" i="2"/>
  <c r="G34" i="8"/>
  <c r="I34" i="8" s="1"/>
  <c r="V35" i="2"/>
  <c r="R19" i="2"/>
  <c r="T277" i="2"/>
  <c r="G245" i="8"/>
  <c r="I245" i="8" s="1"/>
  <c r="G247" i="12" s="1"/>
  <c r="V251" i="2"/>
  <c r="O251" i="2"/>
  <c r="T263" i="2"/>
  <c r="T269" i="2"/>
  <c r="T258" i="2"/>
  <c r="R243" i="2"/>
  <c r="G193" i="8"/>
  <c r="I193" i="8" s="1"/>
  <c r="G195" i="12" s="1"/>
  <c r="O197" i="2"/>
  <c r="V197" i="2"/>
  <c r="T171" i="2"/>
  <c r="G185" i="8"/>
  <c r="I185" i="8" s="1"/>
  <c r="G187" i="12" s="1"/>
  <c r="V189" i="2"/>
  <c r="O189" i="2"/>
  <c r="T172" i="2"/>
  <c r="F240" i="12"/>
  <c r="J216" i="9"/>
  <c r="N244" i="2"/>
  <c r="C17" i="3"/>
  <c r="P244" i="2"/>
  <c r="I239" i="11"/>
  <c r="G239" i="11" s="1"/>
  <c r="R175" i="2"/>
  <c r="R213" i="2"/>
  <c r="T66" i="2"/>
  <c r="G91" i="8"/>
  <c r="I91" i="8" s="1"/>
  <c r="G92" i="12" s="1"/>
  <c r="V92" i="2"/>
  <c r="O92" i="2"/>
  <c r="R161" i="2"/>
  <c r="R129" i="2"/>
  <c r="R222" i="2"/>
  <c r="F282" i="12"/>
  <c r="J258" i="9"/>
  <c r="P286" i="2"/>
  <c r="N286" i="2"/>
  <c r="C161" i="3"/>
  <c r="I281" i="11"/>
  <c r="G281" i="11" s="1"/>
  <c r="G33" i="12"/>
  <c r="I11" i="9"/>
  <c r="T31" i="2"/>
  <c r="T28" i="2"/>
  <c r="R284" i="2"/>
  <c r="R114" i="2"/>
  <c r="R280" i="2"/>
  <c r="T243" i="2"/>
  <c r="G219" i="8"/>
  <c r="I219" i="8" s="1"/>
  <c r="V223" i="2"/>
  <c r="G93" i="12"/>
  <c r="F36" i="12"/>
  <c r="J35" i="9"/>
  <c r="C108" i="3"/>
  <c r="N36" i="2"/>
  <c r="P36" i="2"/>
  <c r="I35" i="11"/>
  <c r="G35" i="11" s="1"/>
  <c r="G65" i="12"/>
  <c r="R206" i="2"/>
  <c r="R168" i="2"/>
  <c r="R72" i="2"/>
  <c r="T161" i="2"/>
  <c r="T129" i="2"/>
  <c r="T17" i="2"/>
  <c r="T222" i="2"/>
  <c r="F33" i="12"/>
  <c r="J32" i="9"/>
  <c r="C107" i="3"/>
  <c r="N33" i="2"/>
  <c r="P33" i="2"/>
  <c r="I32" i="11"/>
  <c r="G32" i="11" s="1"/>
  <c r="G10" i="8"/>
  <c r="I10" i="8" s="1"/>
  <c r="G11" i="12" s="1"/>
  <c r="O11" i="2"/>
  <c r="V11" i="2"/>
  <c r="I34" i="9"/>
  <c r="G249" i="8"/>
  <c r="O255" i="2"/>
  <c r="V255" i="2"/>
  <c r="J106" i="9"/>
  <c r="F107" i="12"/>
  <c r="C157" i="3"/>
  <c r="N107" i="2"/>
  <c r="I106" i="11"/>
  <c r="G106" i="11" s="1"/>
  <c r="P107" i="2"/>
  <c r="T283" i="2"/>
  <c r="T270" i="2"/>
  <c r="T254" i="2"/>
  <c r="T276" i="2"/>
  <c r="R270" i="2"/>
  <c r="T260" i="2"/>
  <c r="R254" i="2"/>
  <c r="R273" i="2"/>
  <c r="R276" i="2"/>
  <c r="R260" i="2"/>
  <c r="T272" i="2"/>
  <c r="T256" i="2"/>
  <c r="R285" i="2"/>
  <c r="T275" i="2"/>
  <c r="R226" i="2"/>
  <c r="R261" i="2"/>
  <c r="R269" i="2"/>
  <c r="T262" i="2"/>
  <c r="T228" i="2"/>
  <c r="T212" i="2"/>
  <c r="T196" i="2"/>
  <c r="T180" i="2"/>
  <c r="T164" i="2"/>
  <c r="U164" i="2" s="1"/>
  <c r="T148" i="2"/>
  <c r="T116" i="2"/>
  <c r="R275" i="2"/>
  <c r="T231" i="2"/>
  <c r="T215" i="2"/>
  <c r="T183" i="2"/>
  <c r="T167" i="2"/>
  <c r="T151" i="2"/>
  <c r="T135" i="2"/>
  <c r="T119" i="2"/>
  <c r="T234" i="2"/>
  <c r="R228" i="2"/>
  <c r="R212" i="2"/>
  <c r="T202" i="2"/>
  <c r="R196" i="2"/>
  <c r="R180" i="2"/>
  <c r="T170" i="2"/>
  <c r="R164" i="2"/>
  <c r="T154" i="2"/>
  <c r="R148" i="2"/>
  <c r="T138" i="2"/>
  <c r="R231" i="2"/>
  <c r="R215" i="2"/>
  <c r="T205" i="2"/>
  <c r="R183" i="2"/>
  <c r="T173" i="2"/>
  <c r="R167" i="2"/>
  <c r="T157" i="2"/>
  <c r="R151" i="2"/>
  <c r="T141" i="2"/>
  <c r="R256" i="2"/>
  <c r="T240" i="2"/>
  <c r="R234" i="2"/>
  <c r="T224" i="2"/>
  <c r="T208" i="2"/>
  <c r="R202" i="2"/>
  <c r="T176" i="2"/>
  <c r="R170" i="2"/>
  <c r="T160" i="2"/>
  <c r="T265" i="2"/>
  <c r="T211" i="2"/>
  <c r="T195" i="2"/>
  <c r="R240" i="2"/>
  <c r="R224" i="2"/>
  <c r="T214" i="2"/>
  <c r="R208" i="2"/>
  <c r="T182" i="2"/>
  <c r="R176" i="2"/>
  <c r="T166" i="2"/>
  <c r="R160" i="2"/>
  <c r="T150" i="2"/>
  <c r="T233" i="2"/>
  <c r="T217" i="2"/>
  <c r="R211" i="2"/>
  <c r="R195" i="2"/>
  <c r="R214" i="2"/>
  <c r="T204" i="2"/>
  <c r="T188" i="2"/>
  <c r="R182" i="2"/>
  <c r="R166" i="2"/>
  <c r="R150" i="2"/>
  <c r="R250" i="2"/>
  <c r="R179" i="2"/>
  <c r="T159" i="2"/>
  <c r="R154" i="2"/>
  <c r="R153" i="2"/>
  <c r="R94" i="2"/>
  <c r="R77" i="2"/>
  <c r="R61" i="2"/>
  <c r="R45" i="2"/>
  <c r="R29" i="2"/>
  <c r="T169" i="2"/>
  <c r="T99" i="2"/>
  <c r="R80" i="2"/>
  <c r="R48" i="2"/>
  <c r="R32" i="2"/>
  <c r="R16" i="2"/>
  <c r="R272" i="2"/>
  <c r="R169" i="2"/>
  <c r="R116" i="2"/>
  <c r="T113" i="2"/>
  <c r="T122" i="2"/>
  <c r="R99" i="2"/>
  <c r="T98" i="2"/>
  <c r="R86" i="2"/>
  <c r="R70" i="2"/>
  <c r="T210" i="2"/>
  <c r="T175" i="2"/>
  <c r="T112" i="2"/>
  <c r="R104" i="2"/>
  <c r="R73" i="2"/>
  <c r="R41" i="2"/>
  <c r="R122" i="2"/>
  <c r="R115" i="2"/>
  <c r="T114" i="2"/>
  <c r="T207" i="2"/>
  <c r="R119" i="2"/>
  <c r="T118" i="2"/>
  <c r="T85" i="2"/>
  <c r="T69" i="2"/>
  <c r="R204" i="2"/>
  <c r="R156" i="2"/>
  <c r="R135" i="2"/>
  <c r="T134" i="2"/>
  <c r="T127" i="2"/>
  <c r="U127" i="2" s="1"/>
  <c r="T103" i="2"/>
  <c r="R82" i="2"/>
  <c r="T72" i="2"/>
  <c r="R66" i="2"/>
  <c r="T267" i="2"/>
  <c r="R188" i="2"/>
  <c r="R118" i="2"/>
  <c r="R138" i="2"/>
  <c r="R134" i="2"/>
  <c r="R103" i="2"/>
  <c r="R172" i="2"/>
  <c r="T137" i="2"/>
  <c r="T249" i="2"/>
  <c r="T226" i="2"/>
  <c r="T162" i="2"/>
  <c r="R102" i="2"/>
  <c r="R96" i="2"/>
  <c r="T84" i="2"/>
  <c r="R78" i="2"/>
  <c r="R163" i="2"/>
  <c r="T146" i="2"/>
  <c r="R137" i="2"/>
  <c r="T100" i="2"/>
  <c r="T95" i="2"/>
  <c r="R81" i="2"/>
  <c r="R49" i="2"/>
  <c r="R147" i="2"/>
  <c r="R84" i="2"/>
  <c r="T74" i="2"/>
  <c r="T42" i="2"/>
  <c r="T178" i="2"/>
  <c r="R42" i="2"/>
  <c r="R34" i="2"/>
  <c r="R13" i="2"/>
  <c r="T77" i="2"/>
  <c r="R217" i="2"/>
  <c r="R50" i="2"/>
  <c r="R140" i="2"/>
  <c r="R100" i="2"/>
  <c r="T44" i="2"/>
  <c r="R74" i="2"/>
  <c r="T21" i="2"/>
  <c r="R87" i="2"/>
  <c r="R38" i="2"/>
  <c r="R23" i="2"/>
  <c r="R71" i="2"/>
  <c r="R46" i="2"/>
  <c r="T45" i="2"/>
  <c r="R39" i="2"/>
  <c r="T26" i="2"/>
  <c r="R22" i="2"/>
  <c r="R20" i="2"/>
  <c r="T80" i="2"/>
  <c r="R18" i="2"/>
  <c r="R17" i="2"/>
  <c r="T94" i="2"/>
  <c r="T40" i="2"/>
  <c r="R26" i="2"/>
  <c r="R25" i="2"/>
  <c r="T16" i="2"/>
  <c r="R233" i="2"/>
  <c r="T153" i="2"/>
  <c r="T32" i="2"/>
  <c r="T29" i="2"/>
  <c r="T48" i="2"/>
  <c r="T13" i="2"/>
  <c r="T12" i="2"/>
  <c r="T61" i="2"/>
  <c r="T271" i="2"/>
  <c r="G276" i="8"/>
  <c r="I276" i="8" s="1"/>
  <c r="G278" i="12" s="1"/>
  <c r="V282" i="2"/>
  <c r="O282" i="2"/>
  <c r="G272" i="8"/>
  <c r="I272" i="8" s="1"/>
  <c r="G274" i="12" s="1"/>
  <c r="O278" i="2"/>
  <c r="V278" i="2"/>
  <c r="R162" i="2"/>
  <c r="T139" i="2"/>
  <c r="S249" i="2"/>
  <c r="R187" i="2"/>
  <c r="T261" i="2"/>
  <c r="T280" i="2"/>
  <c r="C221" i="3"/>
  <c r="P237" i="2"/>
  <c r="N237" i="2"/>
  <c r="G186" i="8"/>
  <c r="I186" i="8" s="1"/>
  <c r="G188" i="12" s="1"/>
  <c r="V190" i="2"/>
  <c r="O190" i="2"/>
  <c r="T38" i="2"/>
  <c r="T206" i="2"/>
  <c r="R105" i="2"/>
  <c r="T168" i="2"/>
  <c r="M245" i="2"/>
  <c r="O245" i="2" s="1"/>
  <c r="F244" i="12"/>
  <c r="J220" i="9"/>
  <c r="N248" i="2"/>
  <c r="P248" i="2"/>
  <c r="I243" i="11"/>
  <c r="G243" i="11" s="1"/>
  <c r="M35" i="2"/>
  <c r="O35" i="2" s="1"/>
  <c r="F34" i="11"/>
  <c r="H34" i="11" s="1"/>
  <c r="G35" i="12" s="1"/>
  <c r="G54" i="12"/>
  <c r="G7" i="8"/>
  <c r="I7" i="8" s="1"/>
  <c r="G8" i="12" s="1"/>
  <c r="V8" i="2"/>
  <c r="O8" i="2"/>
  <c r="I127" i="9"/>
  <c r="R145" i="2"/>
  <c r="T30" i="2"/>
  <c r="R97" i="2"/>
  <c r="T145" i="2"/>
  <c r="R27" i="2"/>
  <c r="R120" i="2"/>
  <c r="T97" i="2"/>
  <c r="G233" i="8"/>
  <c r="I233" i="8" s="1"/>
  <c r="G235" i="12" s="1"/>
  <c r="O239" i="2"/>
  <c r="V239" i="2"/>
  <c r="T235" i="2"/>
  <c r="M252" i="2"/>
  <c r="O252" i="2" s="1"/>
  <c r="M223" i="2"/>
  <c r="O223" i="2" s="1"/>
  <c r="G187" i="8"/>
  <c r="I187" i="8" s="1"/>
  <c r="G189" i="12" s="1"/>
  <c r="O191" i="2"/>
  <c r="V191" i="2"/>
  <c r="T165" i="2"/>
  <c r="T174" i="2"/>
  <c r="R83" i="2"/>
  <c r="G107" i="12"/>
  <c r="T88" i="2"/>
  <c r="G66" i="8"/>
  <c r="I66" i="8" s="1"/>
  <c r="G67" i="12" s="1"/>
  <c r="O67" i="2"/>
  <c r="V67" i="2"/>
  <c r="T27" i="2"/>
  <c r="T120" i="2"/>
  <c r="R31" i="2"/>
  <c r="G9" i="12"/>
  <c r="J57" i="9"/>
  <c r="F58" i="12"/>
  <c r="P58" i="2"/>
  <c r="N58" i="2"/>
  <c r="I57" i="11"/>
  <c r="G57" i="11" s="1"/>
  <c r="I96" i="9"/>
  <c r="G173" i="8"/>
  <c r="I173" i="8" s="1"/>
  <c r="G175" i="12" s="1"/>
  <c r="V177" i="2"/>
  <c r="O177" i="2"/>
  <c r="T115" i="2"/>
  <c r="R174" i="2"/>
  <c r="G108" i="8"/>
  <c r="I108" i="8" s="1"/>
  <c r="V109" i="2"/>
  <c r="R267" i="2"/>
  <c r="R263" i="2"/>
  <c r="R165" i="2"/>
  <c r="R184" i="2"/>
  <c r="R139" i="2"/>
  <c r="R264" i="2"/>
  <c r="G219" i="12"/>
  <c r="G62" i="12"/>
  <c r="T34" i="2"/>
  <c r="G241" i="12"/>
  <c r="F123" i="12"/>
  <c r="J122" i="9"/>
  <c r="P124" i="2"/>
  <c r="N124" i="2"/>
  <c r="I122" i="11"/>
  <c r="G122" i="11" s="1"/>
  <c r="M230" i="2"/>
  <c r="O230" i="2" s="1"/>
  <c r="T46" i="2"/>
  <c r="G132" i="12"/>
  <c r="M128" i="2"/>
  <c r="O128" i="2" s="1"/>
  <c r="G240" i="8"/>
  <c r="I240" i="8" s="1"/>
  <c r="G242" i="12" s="1"/>
  <c r="V246" i="2"/>
  <c r="O246" i="2"/>
  <c r="G140" i="8"/>
  <c r="I140" i="8" s="1"/>
  <c r="G142" i="12" s="1"/>
  <c r="O143" i="2"/>
  <c r="V143" i="2"/>
  <c r="G107" i="8"/>
  <c r="I107" i="8" s="1"/>
  <c r="O108" i="2"/>
  <c r="V108" i="2"/>
  <c r="R76" i="2"/>
  <c r="G36" i="12"/>
  <c r="G42" i="8"/>
  <c r="I42" i="8" s="1"/>
  <c r="G43" i="12" s="1"/>
  <c r="V43" i="2"/>
  <c r="O43" i="2"/>
  <c r="T15" i="2"/>
  <c r="G221" i="12"/>
  <c r="F237" i="12"/>
  <c r="J213" i="9"/>
  <c r="P241" i="2"/>
  <c r="N241" i="2"/>
  <c r="C196" i="3"/>
  <c r="I236" i="11"/>
  <c r="G236" i="11" s="1"/>
  <c r="G52" i="8"/>
  <c r="I52" i="8" s="1"/>
  <c r="G53" i="12" s="1"/>
  <c r="V53" i="2"/>
  <c r="O53" i="2"/>
  <c r="T274" i="2"/>
  <c r="R178" i="2"/>
  <c r="R216" i="2"/>
  <c r="I225" i="9"/>
  <c r="T264" i="2"/>
  <c r="F197" i="12"/>
  <c r="P199" i="2"/>
  <c r="N199" i="2"/>
  <c r="I196" i="11"/>
  <c r="G196" i="11" s="1"/>
  <c r="T213" i="2"/>
  <c r="F108" i="11"/>
  <c r="H108" i="11" s="1"/>
  <c r="G109" i="12" s="1"/>
  <c r="M109" i="2"/>
  <c r="O109" i="2" s="1"/>
  <c r="T82" i="2"/>
  <c r="R142" i="2"/>
  <c r="R85" i="2"/>
  <c r="R69" i="2"/>
  <c r="G6" i="12"/>
  <c r="G124" i="8"/>
  <c r="I124" i="8" s="1"/>
  <c r="G125" i="12" s="1"/>
  <c r="V126" i="2"/>
  <c r="O126" i="2"/>
  <c r="R88" i="2"/>
  <c r="R123" i="2"/>
  <c r="T87" i="2"/>
  <c r="T76" i="2"/>
  <c r="T111" i="2"/>
  <c r="T23" i="2"/>
  <c r="T25" i="2"/>
  <c r="R47" i="2"/>
  <c r="G246" i="8"/>
  <c r="I246" i="8" s="1"/>
  <c r="G248" i="12" s="1"/>
  <c r="V252" i="2"/>
  <c r="R274" i="2"/>
  <c r="T285" i="2"/>
  <c r="U285" i="2" s="1"/>
  <c r="T268" i="2"/>
  <c r="G190" i="8"/>
  <c r="I190" i="8" s="1"/>
  <c r="G192" i="12" s="1"/>
  <c r="O194" i="2"/>
  <c r="V194" i="2"/>
  <c r="M131" i="2"/>
  <c r="O131" i="2" s="1"/>
  <c r="T187" i="2"/>
  <c r="T155" i="2"/>
  <c r="G236" i="8"/>
  <c r="I236" i="8" s="1"/>
  <c r="G238" i="12" s="1"/>
  <c r="O242" i="2"/>
  <c r="V242" i="2"/>
  <c r="T250" i="2"/>
  <c r="G215" i="8"/>
  <c r="I215" i="8" s="1"/>
  <c r="G217" i="12" s="1"/>
  <c r="O219" i="2"/>
  <c r="V219" i="2"/>
  <c r="T179" i="2"/>
  <c r="I236" i="9"/>
  <c r="G234" i="12"/>
  <c r="T156" i="2"/>
  <c r="T142" i="2"/>
  <c r="G189" i="8"/>
  <c r="I189" i="8" s="1"/>
  <c r="G191" i="12" s="1"/>
  <c r="V193" i="2"/>
  <c r="O193" i="2"/>
  <c r="R210" i="2"/>
  <c r="T123" i="2"/>
  <c r="R111" i="2"/>
  <c r="I42" i="9"/>
  <c r="R44" i="2"/>
  <c r="R79" i="2"/>
  <c r="R51" i="2"/>
  <c r="R15" i="2"/>
  <c r="T22" i="2"/>
  <c r="R110" i="2"/>
  <c r="I24" i="9"/>
  <c r="T47" i="2"/>
  <c r="R30" i="2"/>
  <c r="G108" i="12" l="1"/>
  <c r="N57" i="2"/>
  <c r="I56" i="11"/>
  <c r="G56" i="11" s="1"/>
  <c r="P57" i="2"/>
  <c r="F57" i="12"/>
  <c r="J56" i="9"/>
  <c r="F216" i="12"/>
  <c r="I215" i="11"/>
  <c r="G215" i="11" s="1"/>
  <c r="P218" i="2"/>
  <c r="N218" i="2"/>
  <c r="V95" i="2"/>
  <c r="O60" i="2"/>
  <c r="V60" i="2"/>
  <c r="F221" i="12"/>
  <c r="J197" i="9"/>
  <c r="C198" i="3"/>
  <c r="P223" i="2"/>
  <c r="N223" i="2"/>
  <c r="I220" i="11"/>
  <c r="G220" i="11" s="1"/>
  <c r="F248" i="12"/>
  <c r="J224" i="9"/>
  <c r="C172" i="3"/>
  <c r="P252" i="2"/>
  <c r="N252" i="2"/>
  <c r="I247" i="11"/>
  <c r="G247" i="11" s="1"/>
  <c r="J108" i="9"/>
  <c r="F109" i="12"/>
  <c r="C159" i="3"/>
  <c r="P109" i="2"/>
  <c r="I108" i="11"/>
  <c r="G108" i="11" s="1"/>
  <c r="N109" i="2"/>
  <c r="G209" i="8"/>
  <c r="O213" i="2"/>
  <c r="V213" i="2"/>
  <c r="S213" i="2"/>
  <c r="F195" i="12"/>
  <c r="J194" i="9"/>
  <c r="P197" i="2"/>
  <c r="N197" i="2"/>
  <c r="I194" i="11"/>
  <c r="G194" i="11" s="1"/>
  <c r="H18" i="8"/>
  <c r="U19" i="2"/>
  <c r="G110" i="8"/>
  <c r="S112" i="2"/>
  <c r="V112" i="2"/>
  <c r="O112" i="2"/>
  <c r="G152" i="8"/>
  <c r="O155" i="2"/>
  <c r="V155" i="2"/>
  <c r="S155" i="2"/>
  <c r="F131" i="12"/>
  <c r="J130" i="9"/>
  <c r="C85" i="3"/>
  <c r="P132" i="2"/>
  <c r="N132" i="2"/>
  <c r="I130" i="11"/>
  <c r="G130" i="11" s="1"/>
  <c r="H260" i="8"/>
  <c r="U266" i="2"/>
  <c r="H273" i="8"/>
  <c r="U279" i="2"/>
  <c r="H175" i="8"/>
  <c r="U179" i="2"/>
  <c r="G121" i="8"/>
  <c r="V123" i="2"/>
  <c r="O123" i="2"/>
  <c r="S123" i="2"/>
  <c r="G257" i="8"/>
  <c r="V263" i="2"/>
  <c r="S263" i="2"/>
  <c r="O263" i="2"/>
  <c r="G82" i="8"/>
  <c r="S83" i="2"/>
  <c r="O83" i="2"/>
  <c r="V83" i="2"/>
  <c r="H39" i="8"/>
  <c r="U40" i="2"/>
  <c r="G73" i="8"/>
  <c r="O74" i="2"/>
  <c r="V74" i="2"/>
  <c r="S74" i="2"/>
  <c r="G80" i="8"/>
  <c r="V81" i="2"/>
  <c r="S81" i="2"/>
  <c r="O81" i="2"/>
  <c r="G109" i="8"/>
  <c r="V111" i="2"/>
  <c r="S111" i="2"/>
  <c r="O111" i="2"/>
  <c r="F192" i="12"/>
  <c r="J191" i="9"/>
  <c r="P194" i="2"/>
  <c r="N194" i="2"/>
  <c r="I191" i="11"/>
  <c r="G191" i="11" s="1"/>
  <c r="G87" i="8"/>
  <c r="V88" i="2"/>
  <c r="O88" i="2"/>
  <c r="S88" i="2"/>
  <c r="G261" i="8"/>
  <c r="V267" i="2"/>
  <c r="O267" i="2"/>
  <c r="S267" i="2"/>
  <c r="H170" i="8"/>
  <c r="U174" i="2"/>
  <c r="F235" i="12"/>
  <c r="J211" i="9"/>
  <c r="P239" i="2"/>
  <c r="N239" i="2"/>
  <c r="I234" i="11"/>
  <c r="G234" i="11" s="1"/>
  <c r="H37" i="8"/>
  <c r="U38" i="2"/>
  <c r="J254" i="9"/>
  <c r="F278" i="12"/>
  <c r="N282" i="2"/>
  <c r="P282" i="2"/>
  <c r="I277" i="11"/>
  <c r="G277" i="11" s="1"/>
  <c r="H93" i="8"/>
  <c r="U94" i="2"/>
  <c r="H43" i="8"/>
  <c r="U44" i="2"/>
  <c r="H94" i="8"/>
  <c r="U95" i="2"/>
  <c r="G135" i="8"/>
  <c r="V138" i="2"/>
  <c r="S138" i="2"/>
  <c r="O138" i="2"/>
  <c r="G117" i="8"/>
  <c r="V119" i="2"/>
  <c r="O119" i="2"/>
  <c r="S119" i="2"/>
  <c r="H111" i="8"/>
  <c r="U113" i="2"/>
  <c r="G151" i="8"/>
  <c r="V154" i="2"/>
  <c r="S154" i="2"/>
  <c r="O154" i="2"/>
  <c r="H162" i="8"/>
  <c r="U166" i="2"/>
  <c r="G230" i="8"/>
  <c r="V234" i="2"/>
  <c r="S234" i="2"/>
  <c r="O234" i="2"/>
  <c r="H166" i="8"/>
  <c r="U170" i="2"/>
  <c r="H145" i="8"/>
  <c r="U148" i="2"/>
  <c r="G267" i="8"/>
  <c r="S273" i="2"/>
  <c r="O273" i="2"/>
  <c r="V273" i="2"/>
  <c r="H126" i="8"/>
  <c r="U129" i="2"/>
  <c r="H237" i="8"/>
  <c r="U243" i="2"/>
  <c r="G237" i="8"/>
  <c r="O243" i="2"/>
  <c r="V243" i="2"/>
  <c r="S243" i="2"/>
  <c r="G169" i="8"/>
  <c r="V173" i="2"/>
  <c r="S173" i="2"/>
  <c r="O173" i="2"/>
  <c r="G13" i="8"/>
  <c r="V14" i="2"/>
  <c r="O14" i="2"/>
  <c r="S14" i="2"/>
  <c r="H69" i="8"/>
  <c r="U70" i="2"/>
  <c r="H59" i="8"/>
  <c r="I59" i="8" s="1"/>
  <c r="G60" i="12" s="1"/>
  <c r="U60" i="2"/>
  <c r="H50" i="8"/>
  <c r="U51" i="2"/>
  <c r="F227" i="12"/>
  <c r="J203" i="9"/>
  <c r="P229" i="2"/>
  <c r="N229" i="2"/>
  <c r="I226" i="11"/>
  <c r="G226" i="11" s="1"/>
  <c r="H204" i="8"/>
  <c r="U208" i="2"/>
  <c r="H151" i="8"/>
  <c r="U154" i="2"/>
  <c r="G269" i="8"/>
  <c r="O275" i="2"/>
  <c r="V275" i="2"/>
  <c r="S275" i="2"/>
  <c r="G254" i="8"/>
  <c r="V260" i="2"/>
  <c r="S260" i="2"/>
  <c r="O260" i="2"/>
  <c r="H218" i="8"/>
  <c r="U222" i="2"/>
  <c r="F125" i="12"/>
  <c r="J124" i="9"/>
  <c r="C3" i="3"/>
  <c r="P126" i="2"/>
  <c r="N126" i="2"/>
  <c r="I124" i="11"/>
  <c r="G124" i="11" s="1"/>
  <c r="F142" i="12"/>
  <c r="J141" i="9"/>
  <c r="P143" i="2"/>
  <c r="N143" i="2"/>
  <c r="I141" i="11"/>
  <c r="G141" i="11" s="1"/>
  <c r="F8" i="12"/>
  <c r="J7" i="9"/>
  <c r="P8" i="2"/>
  <c r="N8" i="2"/>
  <c r="I7" i="11"/>
  <c r="G7" i="11" s="1"/>
  <c r="J187" i="9"/>
  <c r="F188" i="12"/>
  <c r="C164" i="3"/>
  <c r="P190" i="2"/>
  <c r="N190" i="2"/>
  <c r="I187" i="11"/>
  <c r="G187" i="11" s="1"/>
  <c r="G16" i="8"/>
  <c r="V17" i="2"/>
  <c r="S17" i="2"/>
  <c r="O17" i="2"/>
  <c r="G99" i="8"/>
  <c r="I99" i="8" s="1"/>
  <c r="G100" i="12" s="1"/>
  <c r="O100" i="2"/>
  <c r="V100" i="2"/>
  <c r="S100" i="2"/>
  <c r="H99" i="8"/>
  <c r="U100" i="2"/>
  <c r="G116" i="8"/>
  <c r="O118" i="2"/>
  <c r="V118" i="2"/>
  <c r="S118" i="2"/>
  <c r="H203" i="8"/>
  <c r="U207" i="2"/>
  <c r="G114" i="8"/>
  <c r="V116" i="2"/>
  <c r="O116" i="2"/>
  <c r="S116" i="2"/>
  <c r="H156" i="8"/>
  <c r="U159" i="2"/>
  <c r="G172" i="8"/>
  <c r="V176" i="2"/>
  <c r="S176" i="2"/>
  <c r="O176" i="2"/>
  <c r="H234" i="8"/>
  <c r="U240" i="2"/>
  <c r="G176" i="8"/>
  <c r="V180" i="2"/>
  <c r="O180" i="2"/>
  <c r="S180" i="2"/>
  <c r="G248" i="8"/>
  <c r="O254" i="2"/>
  <c r="V254" i="2"/>
  <c r="S254" i="2"/>
  <c r="F251" i="12"/>
  <c r="J227" i="9"/>
  <c r="N255" i="2"/>
  <c r="C201" i="3"/>
  <c r="P255" i="2"/>
  <c r="I250" i="11"/>
  <c r="G250" i="11" s="1"/>
  <c r="H158" i="8"/>
  <c r="U161" i="2"/>
  <c r="H252" i="8"/>
  <c r="U258" i="2"/>
  <c r="H48" i="8"/>
  <c r="U49" i="2"/>
  <c r="G221" i="8"/>
  <c r="V225" i="2"/>
  <c r="O225" i="2"/>
  <c r="S225" i="2"/>
  <c r="G256" i="8"/>
  <c r="O262" i="2"/>
  <c r="V262" i="2"/>
  <c r="S262" i="2"/>
  <c r="F9" i="12"/>
  <c r="J8" i="9"/>
  <c r="N9" i="2"/>
  <c r="P9" i="2"/>
  <c r="I8" i="11"/>
  <c r="G8" i="11" s="1"/>
  <c r="H82" i="8"/>
  <c r="U83" i="2"/>
  <c r="H155" i="8"/>
  <c r="U158" i="2"/>
  <c r="H78" i="8"/>
  <c r="U79" i="2"/>
  <c r="H121" i="8"/>
  <c r="U123" i="2"/>
  <c r="H262" i="8"/>
  <c r="U268" i="2"/>
  <c r="H33" i="8"/>
  <c r="U34" i="2"/>
  <c r="H161" i="8"/>
  <c r="U165" i="2"/>
  <c r="G17" i="8"/>
  <c r="O18" i="2"/>
  <c r="V18" i="2"/>
  <c r="S18" i="2"/>
  <c r="G137" i="8"/>
  <c r="O140" i="2"/>
  <c r="V140" i="2"/>
  <c r="S140" i="2"/>
  <c r="G134" i="8"/>
  <c r="O137" i="2"/>
  <c r="V137" i="2"/>
  <c r="S137" i="2"/>
  <c r="G184" i="8"/>
  <c r="O188" i="2"/>
  <c r="V188" i="2"/>
  <c r="S188" i="2"/>
  <c r="H112" i="8"/>
  <c r="U114" i="2"/>
  <c r="G165" i="8"/>
  <c r="O169" i="2"/>
  <c r="V169" i="2"/>
  <c r="S169" i="2"/>
  <c r="G175" i="8"/>
  <c r="V179" i="2"/>
  <c r="S179" i="2"/>
  <c r="O179" i="2"/>
  <c r="H178" i="8"/>
  <c r="U182" i="2"/>
  <c r="G250" i="8"/>
  <c r="O256" i="2"/>
  <c r="V256" i="2"/>
  <c r="S256" i="2"/>
  <c r="G192" i="8"/>
  <c r="V196" i="2"/>
  <c r="O196" i="2"/>
  <c r="S196" i="2"/>
  <c r="H176" i="8"/>
  <c r="U180" i="2"/>
  <c r="H254" i="8"/>
  <c r="U260" i="2"/>
  <c r="G71" i="8"/>
  <c r="V72" i="2"/>
  <c r="O72" i="2"/>
  <c r="S72" i="2"/>
  <c r="H263" i="8"/>
  <c r="U269" i="2"/>
  <c r="G74" i="8"/>
  <c r="V75" i="2"/>
  <c r="O75" i="2"/>
  <c r="S75" i="2"/>
  <c r="G111" i="8"/>
  <c r="I111" i="8" s="1"/>
  <c r="G112" i="12" s="1"/>
  <c r="V113" i="2"/>
  <c r="O113" i="2"/>
  <c r="S113" i="2"/>
  <c r="G277" i="12"/>
  <c r="F230" i="12"/>
  <c r="J206" i="9"/>
  <c r="P232" i="2"/>
  <c r="N232" i="2"/>
  <c r="I229" i="11"/>
  <c r="G229" i="11" s="1"/>
  <c r="H19" i="8"/>
  <c r="U20" i="2"/>
  <c r="G133" i="8"/>
  <c r="S136" i="2"/>
  <c r="O136" i="2"/>
  <c r="V136" i="2"/>
  <c r="G27" i="8"/>
  <c r="V28" i="2"/>
  <c r="O28" i="2"/>
  <c r="S28" i="2"/>
  <c r="G88" i="8"/>
  <c r="V89" i="2"/>
  <c r="O89" i="2"/>
  <c r="S89" i="2"/>
  <c r="G149" i="8"/>
  <c r="S152" i="2"/>
  <c r="O152" i="2"/>
  <c r="V152" i="2"/>
  <c r="H198" i="8"/>
  <c r="U202" i="2"/>
  <c r="H192" i="8"/>
  <c r="U196" i="2"/>
  <c r="G264" i="8"/>
  <c r="V270" i="2"/>
  <c r="O270" i="2"/>
  <c r="S270" i="2"/>
  <c r="G164" i="8"/>
  <c r="S168" i="2"/>
  <c r="O168" i="2"/>
  <c r="V168" i="2"/>
  <c r="H257" i="8"/>
  <c r="U263" i="2"/>
  <c r="G203" i="8"/>
  <c r="I203" i="8" s="1"/>
  <c r="G205" i="12" s="1"/>
  <c r="O207" i="2"/>
  <c r="V207" i="2"/>
  <c r="S207" i="2"/>
  <c r="H119" i="8"/>
  <c r="U121" i="2"/>
  <c r="H95" i="8"/>
  <c r="U96" i="2"/>
  <c r="H85" i="8"/>
  <c r="U86" i="2"/>
  <c r="G260" i="8"/>
  <c r="I260" i="8" s="1"/>
  <c r="G262" i="12" s="1"/>
  <c r="V266" i="2"/>
  <c r="S266" i="2"/>
  <c r="O266" i="2"/>
  <c r="O127" i="2"/>
  <c r="V127" i="2"/>
  <c r="S127" i="2"/>
  <c r="H17" i="8"/>
  <c r="U18" i="2"/>
  <c r="J128" i="9"/>
  <c r="F129" i="12"/>
  <c r="C9" i="3"/>
  <c r="P130" i="2"/>
  <c r="N130" i="2"/>
  <c r="I128" i="11"/>
  <c r="G128" i="11" s="1"/>
  <c r="G208" i="8"/>
  <c r="I208" i="8" s="1"/>
  <c r="G210" i="12" s="1"/>
  <c r="V212" i="2"/>
  <c r="O212" i="2"/>
  <c r="S212" i="2"/>
  <c r="G205" i="8"/>
  <c r="V209" i="2"/>
  <c r="O209" i="2"/>
  <c r="S209" i="2"/>
  <c r="H103" i="8"/>
  <c r="U104" i="2"/>
  <c r="H208" i="8"/>
  <c r="U212" i="2"/>
  <c r="H270" i="8"/>
  <c r="U276" i="2"/>
  <c r="F247" i="12"/>
  <c r="J223" i="9"/>
  <c r="N251" i="2"/>
  <c r="C197" i="3"/>
  <c r="P251" i="2"/>
  <c r="I246" i="11"/>
  <c r="G246" i="11" s="1"/>
  <c r="G231" i="8"/>
  <c r="O235" i="2"/>
  <c r="V235" i="2"/>
  <c r="S235" i="2"/>
  <c r="G262" i="8"/>
  <c r="V268" i="2"/>
  <c r="O268" i="2"/>
  <c r="S268" i="2"/>
  <c r="G118" i="8"/>
  <c r="O120" i="2"/>
  <c r="V120" i="2"/>
  <c r="S120" i="2"/>
  <c r="H11" i="8"/>
  <c r="U12" i="2"/>
  <c r="G21" i="8"/>
  <c r="S22" i="2"/>
  <c r="O22" i="2"/>
  <c r="V22" i="2"/>
  <c r="H76" i="8"/>
  <c r="U77" i="2"/>
  <c r="G77" i="8"/>
  <c r="V78" i="2"/>
  <c r="O78" i="2"/>
  <c r="S78" i="2"/>
  <c r="H71" i="8"/>
  <c r="U72" i="2"/>
  <c r="G40" i="8"/>
  <c r="V41" i="2"/>
  <c r="O41" i="2"/>
  <c r="S41" i="2"/>
  <c r="G31" i="8"/>
  <c r="S32" i="2"/>
  <c r="V32" i="2"/>
  <c r="O32" i="2"/>
  <c r="G162" i="8"/>
  <c r="I162" i="8" s="1"/>
  <c r="G164" i="12" s="1"/>
  <c r="V166" i="2"/>
  <c r="O166" i="2"/>
  <c r="S166" i="2"/>
  <c r="G220" i="8"/>
  <c r="V224" i="2"/>
  <c r="O224" i="2"/>
  <c r="S224" i="2"/>
  <c r="H154" i="8"/>
  <c r="U157" i="2"/>
  <c r="G224" i="8"/>
  <c r="V228" i="2"/>
  <c r="O228" i="2"/>
  <c r="S228" i="2"/>
  <c r="H224" i="8"/>
  <c r="U228" i="2"/>
  <c r="H248" i="8"/>
  <c r="U254" i="2"/>
  <c r="F11" i="12"/>
  <c r="J10" i="9"/>
  <c r="C113" i="3"/>
  <c r="N11" i="2"/>
  <c r="P11" i="2"/>
  <c r="I10" i="11"/>
  <c r="G10" i="11" s="1"/>
  <c r="G274" i="8"/>
  <c r="V280" i="2"/>
  <c r="S280" i="2"/>
  <c r="O280" i="2"/>
  <c r="H249" i="8"/>
  <c r="I249" i="8" s="1"/>
  <c r="G251" i="12" s="1"/>
  <c r="U255" i="2"/>
  <c r="F148" i="12"/>
  <c r="J147" i="9"/>
  <c r="P149" i="2"/>
  <c r="N149" i="2"/>
  <c r="I147" i="11"/>
  <c r="G147" i="11" s="1"/>
  <c r="F62" i="12"/>
  <c r="J61" i="9"/>
  <c r="C105" i="3"/>
  <c r="P62" i="2"/>
  <c r="N62" i="2"/>
  <c r="I61" i="11"/>
  <c r="G61" i="11" s="1"/>
  <c r="V110" i="2"/>
  <c r="O110" i="2"/>
  <c r="S110" i="2"/>
  <c r="H244" i="8"/>
  <c r="U250" i="2"/>
  <c r="G139" i="8"/>
  <c r="I139" i="8" s="1"/>
  <c r="G141" i="12" s="1"/>
  <c r="V142" i="2"/>
  <c r="O142" i="2"/>
  <c r="S142" i="2"/>
  <c r="H21" i="8"/>
  <c r="U22" i="2"/>
  <c r="H139" i="8"/>
  <c r="U142" i="2"/>
  <c r="H81" i="8"/>
  <c r="U82" i="2"/>
  <c r="F43" i="12"/>
  <c r="J42" i="9"/>
  <c r="C110" i="3"/>
  <c r="P43" i="2"/>
  <c r="N43" i="2"/>
  <c r="I42" i="11"/>
  <c r="G42" i="11" s="1"/>
  <c r="H45" i="8"/>
  <c r="U46" i="2"/>
  <c r="H142" i="8"/>
  <c r="U145" i="2"/>
  <c r="H255" i="8"/>
  <c r="U261" i="2"/>
  <c r="H28" i="8"/>
  <c r="U29" i="2"/>
  <c r="H44" i="8"/>
  <c r="U45" i="2"/>
  <c r="G41" i="8"/>
  <c r="O42" i="2"/>
  <c r="V42" i="2"/>
  <c r="S42" i="2"/>
  <c r="G101" i="8"/>
  <c r="O102" i="2"/>
  <c r="V102" i="2"/>
  <c r="S102" i="2"/>
  <c r="H110" i="8"/>
  <c r="U112" i="2"/>
  <c r="H98" i="8"/>
  <c r="U99" i="2"/>
  <c r="H200" i="8"/>
  <c r="U204" i="2"/>
  <c r="G14" i="8"/>
  <c r="V15" i="2"/>
  <c r="O15" i="2"/>
  <c r="S15" i="2"/>
  <c r="G46" i="8"/>
  <c r="V47" i="2"/>
  <c r="O47" i="2"/>
  <c r="S47" i="2"/>
  <c r="G183" i="8"/>
  <c r="O187" i="2"/>
  <c r="V187" i="2"/>
  <c r="S187" i="2"/>
  <c r="H31" i="8"/>
  <c r="U32" i="2"/>
  <c r="G45" i="8"/>
  <c r="V46" i="2"/>
  <c r="O46" i="2"/>
  <c r="S46" i="2"/>
  <c r="H174" i="8"/>
  <c r="U178" i="2"/>
  <c r="H159" i="8"/>
  <c r="U162" i="2"/>
  <c r="H131" i="8"/>
  <c r="U134" i="2"/>
  <c r="H171" i="8"/>
  <c r="U175" i="2"/>
  <c r="H165" i="8"/>
  <c r="U169" i="2"/>
  <c r="G50" i="8"/>
  <c r="S51" i="2"/>
  <c r="O51" i="2"/>
  <c r="V51" i="2"/>
  <c r="F238" i="12"/>
  <c r="J214" i="9"/>
  <c r="P242" i="2"/>
  <c r="N242" i="2"/>
  <c r="I237" i="11"/>
  <c r="G237" i="11" s="1"/>
  <c r="H24" i="8"/>
  <c r="U25" i="2"/>
  <c r="G174" i="8"/>
  <c r="I174" i="8" s="1"/>
  <c r="G176" i="12" s="1"/>
  <c r="O178" i="2"/>
  <c r="V178" i="2"/>
  <c r="S178" i="2"/>
  <c r="F228" i="12"/>
  <c r="J204" i="9"/>
  <c r="C199" i="3"/>
  <c r="N230" i="2"/>
  <c r="P230" i="2"/>
  <c r="I227" i="11"/>
  <c r="G227" i="11" s="1"/>
  <c r="G136" i="8"/>
  <c r="O139" i="2"/>
  <c r="V139" i="2"/>
  <c r="S139" i="2"/>
  <c r="H87" i="8"/>
  <c r="U88" i="2"/>
  <c r="G96" i="8"/>
  <c r="V97" i="2"/>
  <c r="O97" i="2"/>
  <c r="S97" i="2"/>
  <c r="H150" i="8"/>
  <c r="U153" i="2"/>
  <c r="G70" i="8"/>
  <c r="O71" i="2"/>
  <c r="V71" i="2"/>
  <c r="S71" i="2"/>
  <c r="H41" i="8"/>
  <c r="U42" i="2"/>
  <c r="H222" i="8"/>
  <c r="U226" i="2"/>
  <c r="G132" i="8"/>
  <c r="V135" i="2"/>
  <c r="O135" i="2"/>
  <c r="S135" i="2"/>
  <c r="H206" i="8"/>
  <c r="U210" i="2"/>
  <c r="G28" i="8"/>
  <c r="I28" i="8" s="1"/>
  <c r="G29" i="12" s="1"/>
  <c r="V29" i="2"/>
  <c r="O29" i="2"/>
  <c r="S29" i="2"/>
  <c r="G191" i="8"/>
  <c r="V195" i="2"/>
  <c r="S195" i="2"/>
  <c r="O195" i="2"/>
  <c r="H157" i="8"/>
  <c r="U160" i="2"/>
  <c r="G78" i="8"/>
  <c r="I78" i="8" s="1"/>
  <c r="G79" i="12" s="1"/>
  <c r="V79" i="2"/>
  <c r="O79" i="2"/>
  <c r="S79" i="2"/>
  <c r="H153" i="8"/>
  <c r="U156" i="2"/>
  <c r="H22" i="8"/>
  <c r="U23" i="2"/>
  <c r="H268" i="8"/>
  <c r="U274" i="2"/>
  <c r="G180" i="8"/>
  <c r="S184" i="2"/>
  <c r="O184" i="2"/>
  <c r="V184" i="2"/>
  <c r="H136" i="8"/>
  <c r="U139" i="2"/>
  <c r="G229" i="8"/>
  <c r="I229" i="8" s="1"/>
  <c r="G231" i="12" s="1"/>
  <c r="O233" i="2"/>
  <c r="V233" i="2"/>
  <c r="S233" i="2"/>
  <c r="G22" i="8"/>
  <c r="O23" i="2"/>
  <c r="V23" i="2"/>
  <c r="S23" i="2"/>
  <c r="H73" i="8"/>
  <c r="U74" i="2"/>
  <c r="H243" i="8"/>
  <c r="U249" i="2"/>
  <c r="G153" i="8"/>
  <c r="O156" i="2"/>
  <c r="V156" i="2"/>
  <c r="S156" i="2"/>
  <c r="G69" i="8"/>
  <c r="I69" i="8" s="1"/>
  <c r="G70" i="12" s="1"/>
  <c r="S70" i="2"/>
  <c r="O70" i="2"/>
  <c r="V70" i="2"/>
  <c r="G44" i="8"/>
  <c r="I44" i="8" s="1"/>
  <c r="G45" i="12" s="1"/>
  <c r="O45" i="2"/>
  <c r="V45" i="2"/>
  <c r="S45" i="2"/>
  <c r="G43" i="8"/>
  <c r="I43" i="8" s="1"/>
  <c r="G44" i="12" s="1"/>
  <c r="V44" i="2"/>
  <c r="S44" i="2"/>
  <c r="O44" i="2"/>
  <c r="H152" i="8"/>
  <c r="U155" i="2"/>
  <c r="H109" i="8"/>
  <c r="U111" i="2"/>
  <c r="F53" i="12"/>
  <c r="J52" i="9"/>
  <c r="P53" i="2"/>
  <c r="N53" i="2"/>
  <c r="I52" i="11"/>
  <c r="G52" i="11" s="1"/>
  <c r="G75" i="8"/>
  <c r="V76" i="2"/>
  <c r="S76" i="2"/>
  <c r="O76" i="2"/>
  <c r="G161" i="8"/>
  <c r="I161" i="8" s="1"/>
  <c r="G163" i="12" s="1"/>
  <c r="O165" i="2"/>
  <c r="V165" i="2"/>
  <c r="S165" i="2"/>
  <c r="H231" i="8"/>
  <c r="U235" i="2"/>
  <c r="H29" i="8"/>
  <c r="U30" i="2"/>
  <c r="F241" i="12"/>
  <c r="J217" i="9"/>
  <c r="C11" i="3"/>
  <c r="P245" i="2"/>
  <c r="N245" i="2"/>
  <c r="I240" i="11"/>
  <c r="G240" i="11" s="1"/>
  <c r="G159" i="8"/>
  <c r="O162" i="2"/>
  <c r="V162" i="2"/>
  <c r="S162" i="2"/>
  <c r="H15" i="8"/>
  <c r="U16" i="2"/>
  <c r="G37" i="8"/>
  <c r="S38" i="2"/>
  <c r="O38" i="2"/>
  <c r="V38" i="2"/>
  <c r="G83" i="8"/>
  <c r="O84" i="2"/>
  <c r="V84" i="2"/>
  <c r="S84" i="2"/>
  <c r="H134" i="8"/>
  <c r="U137" i="2"/>
  <c r="G200" i="8"/>
  <c r="I200" i="8" s="1"/>
  <c r="G202" i="12" s="1"/>
  <c r="O204" i="2"/>
  <c r="V204" i="2"/>
  <c r="S204" i="2"/>
  <c r="G85" i="8"/>
  <c r="I85" i="8" s="1"/>
  <c r="G86" i="12" s="1"/>
  <c r="S86" i="2"/>
  <c r="O86" i="2"/>
  <c r="V86" i="2"/>
  <c r="G60" i="8"/>
  <c r="O61" i="2"/>
  <c r="V61" i="2"/>
  <c r="S61" i="2"/>
  <c r="H183" i="8"/>
  <c r="U187" i="2"/>
  <c r="H75" i="8"/>
  <c r="U76" i="2"/>
  <c r="H164" i="8"/>
  <c r="U168" i="2"/>
  <c r="G24" i="8"/>
  <c r="V25" i="2"/>
  <c r="S25" i="2"/>
  <c r="O25" i="2"/>
  <c r="G86" i="8"/>
  <c r="O87" i="2"/>
  <c r="V87" i="2"/>
  <c r="S87" i="2"/>
  <c r="G144" i="8"/>
  <c r="V147" i="2"/>
  <c r="S147" i="2"/>
  <c r="O147" i="2"/>
  <c r="G168" i="8"/>
  <c r="O172" i="2"/>
  <c r="V172" i="2"/>
  <c r="S172" i="2"/>
  <c r="H68" i="8"/>
  <c r="U69" i="2"/>
  <c r="H97" i="8"/>
  <c r="U98" i="2"/>
  <c r="G76" i="8"/>
  <c r="O77" i="2"/>
  <c r="V77" i="2"/>
  <c r="S77" i="2"/>
  <c r="H229" i="8"/>
  <c r="U233" i="2"/>
  <c r="F130" i="12"/>
  <c r="J129" i="9"/>
  <c r="C58" i="3"/>
  <c r="N131" i="2"/>
  <c r="P131" i="2"/>
  <c r="I129" i="11"/>
  <c r="G129" i="11" s="1"/>
  <c r="H86" i="8"/>
  <c r="U87" i="2"/>
  <c r="G206" i="8"/>
  <c r="O210" i="2"/>
  <c r="V210" i="2"/>
  <c r="S210" i="2"/>
  <c r="H258" i="8"/>
  <c r="U264" i="2"/>
  <c r="F242" i="12"/>
  <c r="J218" i="9"/>
  <c r="P246" i="2"/>
  <c r="N246" i="2"/>
  <c r="I241" i="11"/>
  <c r="G241" i="11" s="1"/>
  <c r="G30" i="8"/>
  <c r="V31" i="2"/>
  <c r="O31" i="2"/>
  <c r="S31" i="2"/>
  <c r="H265" i="8"/>
  <c r="U271" i="2"/>
  <c r="H79" i="8"/>
  <c r="U80" i="2"/>
  <c r="G49" i="8"/>
  <c r="V50" i="2"/>
  <c r="O50" i="2"/>
  <c r="S50" i="2"/>
  <c r="H143" i="8"/>
  <c r="U146" i="2"/>
  <c r="H261" i="8"/>
  <c r="U267" i="2"/>
  <c r="G113" i="8"/>
  <c r="V115" i="2"/>
  <c r="S115" i="2"/>
  <c r="O115" i="2"/>
  <c r="G266" i="8"/>
  <c r="O272" i="2"/>
  <c r="V272" i="2"/>
  <c r="S272" i="2"/>
  <c r="G244" i="8"/>
  <c r="I244" i="8" s="1"/>
  <c r="G246" i="12" s="1"/>
  <c r="S250" i="2"/>
  <c r="O250" i="2"/>
  <c r="V250" i="2"/>
  <c r="G204" i="8"/>
  <c r="I204" i="8" s="1"/>
  <c r="G206" i="12" s="1"/>
  <c r="V208" i="2"/>
  <c r="O208" i="2"/>
  <c r="S208" i="2"/>
  <c r="H138" i="8"/>
  <c r="U141" i="2"/>
  <c r="G29" i="8"/>
  <c r="V30" i="2"/>
  <c r="O30" i="2"/>
  <c r="S30" i="2"/>
  <c r="G268" i="8"/>
  <c r="I268" i="8" s="1"/>
  <c r="G270" i="12" s="1"/>
  <c r="S274" i="2"/>
  <c r="O274" i="2"/>
  <c r="V274" i="2"/>
  <c r="G170" i="8"/>
  <c r="I170" i="8" s="1"/>
  <c r="G172" i="12" s="1"/>
  <c r="V174" i="2"/>
  <c r="O174" i="2"/>
  <c r="S174" i="2"/>
  <c r="H118" i="8"/>
  <c r="U120" i="2"/>
  <c r="F189" i="12"/>
  <c r="J188" i="9"/>
  <c r="C165" i="3"/>
  <c r="P191" i="2"/>
  <c r="N191" i="2"/>
  <c r="I188" i="11"/>
  <c r="G188" i="11" s="1"/>
  <c r="H96" i="8"/>
  <c r="U97" i="2"/>
  <c r="H60" i="8"/>
  <c r="U61" i="2"/>
  <c r="G19" i="8"/>
  <c r="I19" i="8" s="1"/>
  <c r="G20" i="12" s="1"/>
  <c r="V20" i="2"/>
  <c r="S20" i="2"/>
  <c r="O20" i="2"/>
  <c r="G213" i="8"/>
  <c r="O217" i="2"/>
  <c r="V217" i="2"/>
  <c r="S217" i="2"/>
  <c r="G160" i="8"/>
  <c r="V163" i="2"/>
  <c r="S163" i="2"/>
  <c r="O163" i="2"/>
  <c r="G65" i="8"/>
  <c r="V66" i="2"/>
  <c r="O66" i="2"/>
  <c r="S66" i="2"/>
  <c r="G120" i="8"/>
  <c r="V122" i="2"/>
  <c r="S122" i="2"/>
  <c r="O122" i="2"/>
  <c r="G15" i="8"/>
  <c r="I15" i="8" s="1"/>
  <c r="G16" i="12" s="1"/>
  <c r="V16" i="2"/>
  <c r="S16" i="2"/>
  <c r="O16" i="2"/>
  <c r="G147" i="8"/>
  <c r="O150" i="2"/>
  <c r="V150" i="2"/>
  <c r="S150" i="2"/>
  <c r="H210" i="8"/>
  <c r="U214" i="2"/>
  <c r="G148" i="8"/>
  <c r="V151" i="2"/>
  <c r="O151" i="2"/>
  <c r="S151" i="2"/>
  <c r="G202" i="8"/>
  <c r="V206" i="2"/>
  <c r="O206" i="2"/>
  <c r="S206" i="2"/>
  <c r="J58" i="9"/>
  <c r="F59" i="12"/>
  <c r="C112" i="3"/>
  <c r="P59" i="2"/>
  <c r="N59" i="2"/>
  <c r="I58" i="11"/>
  <c r="G58" i="11" s="1"/>
  <c r="H46" i="8"/>
  <c r="U47" i="2"/>
  <c r="F191" i="12"/>
  <c r="J190" i="9"/>
  <c r="C167" i="3"/>
  <c r="P193" i="2"/>
  <c r="N193" i="2"/>
  <c r="I190" i="11"/>
  <c r="G190" i="11" s="1"/>
  <c r="F217" i="12"/>
  <c r="P219" i="2"/>
  <c r="N219" i="2"/>
  <c r="I216" i="11"/>
  <c r="G216" i="11" s="1"/>
  <c r="G68" i="8"/>
  <c r="I68" i="8" s="1"/>
  <c r="G69" i="12" s="1"/>
  <c r="V69" i="2"/>
  <c r="O69" i="2"/>
  <c r="S69" i="2"/>
  <c r="H113" i="8"/>
  <c r="U115" i="2"/>
  <c r="H26" i="8"/>
  <c r="U27" i="2"/>
  <c r="G84" i="8"/>
  <c r="V85" i="2"/>
  <c r="O85" i="2"/>
  <c r="S85" i="2"/>
  <c r="F127" i="12"/>
  <c r="J126" i="9"/>
  <c r="C7" i="3"/>
  <c r="P128" i="2"/>
  <c r="N128" i="2"/>
  <c r="I126" i="11"/>
  <c r="G126" i="11" s="1"/>
  <c r="G258" i="8"/>
  <c r="V264" i="2"/>
  <c r="O264" i="2"/>
  <c r="S264" i="2"/>
  <c r="G26" i="8"/>
  <c r="I26" i="8" s="1"/>
  <c r="G27" i="12" s="1"/>
  <c r="V27" i="2"/>
  <c r="O27" i="2"/>
  <c r="S27" i="2"/>
  <c r="H12" i="8"/>
  <c r="U13" i="2"/>
  <c r="H25" i="8"/>
  <c r="U26" i="2"/>
  <c r="G12" i="8"/>
  <c r="O13" i="2"/>
  <c r="V13" i="2"/>
  <c r="S13" i="2"/>
  <c r="H83" i="8"/>
  <c r="U84" i="2"/>
  <c r="G81" i="8"/>
  <c r="I81" i="8" s="1"/>
  <c r="G82" i="12" s="1"/>
  <c r="V82" i="2"/>
  <c r="O82" i="2"/>
  <c r="S82" i="2"/>
  <c r="G72" i="8"/>
  <c r="V73" i="2"/>
  <c r="O73" i="2"/>
  <c r="S73" i="2"/>
  <c r="G47" i="8"/>
  <c r="S48" i="2"/>
  <c r="O48" i="2"/>
  <c r="V48" i="2"/>
  <c r="G178" i="8"/>
  <c r="I178" i="8" s="1"/>
  <c r="G180" i="12" s="1"/>
  <c r="V182" i="2"/>
  <c r="O182" i="2"/>
  <c r="S182" i="2"/>
  <c r="G234" i="8"/>
  <c r="I234" i="8" s="1"/>
  <c r="G236" i="12" s="1"/>
  <c r="V240" i="2"/>
  <c r="O240" i="2"/>
  <c r="S240" i="2"/>
  <c r="G163" i="8"/>
  <c r="V167" i="2"/>
  <c r="O167" i="2"/>
  <c r="S167" i="2"/>
  <c r="H230" i="8"/>
  <c r="U234" i="2"/>
  <c r="H256" i="8"/>
  <c r="U262" i="2"/>
  <c r="H264" i="8"/>
  <c r="U270" i="2"/>
  <c r="G112" i="8"/>
  <c r="I112" i="8" s="1"/>
  <c r="G113" i="12" s="1"/>
  <c r="V114" i="2"/>
  <c r="O114" i="2"/>
  <c r="S114" i="2"/>
  <c r="G218" i="8"/>
  <c r="I218" i="8" s="1"/>
  <c r="G220" i="12" s="1"/>
  <c r="V222" i="2"/>
  <c r="O222" i="2"/>
  <c r="S222" i="2"/>
  <c r="H168" i="8"/>
  <c r="U172" i="2"/>
  <c r="F37" i="12"/>
  <c r="J36" i="9"/>
  <c r="C109" i="3"/>
  <c r="P37" i="2"/>
  <c r="N37" i="2"/>
  <c r="I36" i="11"/>
  <c r="G36" i="11" s="1"/>
  <c r="G89" i="8"/>
  <c r="S90" i="2"/>
  <c r="O90" i="2"/>
  <c r="V90" i="2"/>
  <c r="G115" i="8"/>
  <c r="O117" i="2"/>
  <c r="V117" i="2"/>
  <c r="S117" i="2"/>
  <c r="H70" i="8"/>
  <c r="U71" i="2"/>
  <c r="G212" i="8"/>
  <c r="S216" i="2"/>
  <c r="O216" i="2"/>
  <c r="V216" i="2"/>
  <c r="H14" i="8"/>
  <c r="U15" i="2"/>
  <c r="F175" i="12"/>
  <c r="J174" i="9"/>
  <c r="P177" i="2"/>
  <c r="N177" i="2"/>
  <c r="I174" i="11"/>
  <c r="G174" i="11" s="1"/>
  <c r="F67" i="12"/>
  <c r="J66" i="9"/>
  <c r="P67" i="2"/>
  <c r="N67" i="2"/>
  <c r="I66" i="11"/>
  <c r="G66" i="11" s="1"/>
  <c r="H274" i="8"/>
  <c r="U280" i="2"/>
  <c r="H47" i="8"/>
  <c r="U48" i="2"/>
  <c r="G38" i="8"/>
  <c r="I38" i="8" s="1"/>
  <c r="G39" i="12" s="1"/>
  <c r="O39" i="2"/>
  <c r="V39" i="2"/>
  <c r="S39" i="2"/>
  <c r="G33" i="8"/>
  <c r="O34" i="2"/>
  <c r="V34" i="2"/>
  <c r="S34" i="2"/>
  <c r="G95" i="8"/>
  <c r="I95" i="8" s="1"/>
  <c r="G96" i="12" s="1"/>
  <c r="V96" i="2"/>
  <c r="S96" i="2"/>
  <c r="O96" i="2"/>
  <c r="H102" i="8"/>
  <c r="U103" i="2"/>
  <c r="G103" i="8"/>
  <c r="I103" i="8" s="1"/>
  <c r="G104" i="12" s="1"/>
  <c r="V104" i="2"/>
  <c r="O104" i="2"/>
  <c r="S104" i="2"/>
  <c r="G79" i="8"/>
  <c r="I79" i="8" s="1"/>
  <c r="G80" i="12" s="1"/>
  <c r="S80" i="2"/>
  <c r="O80" i="2"/>
  <c r="V80" i="2"/>
  <c r="H184" i="8"/>
  <c r="U188" i="2"/>
  <c r="H191" i="8"/>
  <c r="U195" i="2"/>
  <c r="H169" i="8"/>
  <c r="U173" i="2"/>
  <c r="H117" i="8"/>
  <c r="U119" i="2"/>
  <c r="G263" i="8"/>
  <c r="I263" i="8" s="1"/>
  <c r="G265" i="12" s="1"/>
  <c r="V269" i="2"/>
  <c r="S269" i="2"/>
  <c r="O269" i="2"/>
  <c r="H277" i="8"/>
  <c r="U283" i="2"/>
  <c r="G278" i="8"/>
  <c r="S284" i="2"/>
  <c r="O284" i="2"/>
  <c r="V284" i="2"/>
  <c r="G126" i="8"/>
  <c r="I126" i="8" s="1"/>
  <c r="G128" i="12" s="1"/>
  <c r="V129" i="2"/>
  <c r="O129" i="2"/>
  <c r="S129" i="2"/>
  <c r="J62" i="9"/>
  <c r="F63" i="12"/>
  <c r="P63" i="2"/>
  <c r="N63" i="2"/>
  <c r="I62" i="11"/>
  <c r="G62" i="11" s="1"/>
  <c r="F277" i="12"/>
  <c r="J253" i="9"/>
  <c r="P281" i="2"/>
  <c r="N281" i="2"/>
  <c r="C40" i="3"/>
  <c r="I276" i="11"/>
  <c r="G276" i="11" s="1"/>
  <c r="G39" i="8"/>
  <c r="I39" i="8" s="1"/>
  <c r="G40" i="12" s="1"/>
  <c r="V40" i="2"/>
  <c r="O40" i="2"/>
  <c r="S40" i="2"/>
  <c r="H115" i="8"/>
  <c r="U117" i="2"/>
  <c r="H104" i="8"/>
  <c r="U105" i="2"/>
  <c r="G259" i="8"/>
  <c r="O265" i="2"/>
  <c r="V265" i="2"/>
  <c r="S265" i="2"/>
  <c r="H207" i="8"/>
  <c r="U211" i="2"/>
  <c r="G179" i="8"/>
  <c r="V183" i="2"/>
  <c r="O183" i="2"/>
  <c r="S183" i="2"/>
  <c r="H132" i="8"/>
  <c r="U135" i="2"/>
  <c r="G255" i="8"/>
  <c r="I255" i="8" s="1"/>
  <c r="G257" i="12" s="1"/>
  <c r="V261" i="2"/>
  <c r="S261" i="2"/>
  <c r="O261" i="2"/>
  <c r="G158" i="8"/>
  <c r="I158" i="8" s="1"/>
  <c r="G160" i="12" s="1"/>
  <c r="V161" i="2"/>
  <c r="O161" i="2"/>
  <c r="S161" i="2"/>
  <c r="F187" i="12"/>
  <c r="J186" i="9"/>
  <c r="C163" i="3"/>
  <c r="P189" i="2"/>
  <c r="N189" i="2"/>
  <c r="I186" i="11"/>
  <c r="G186" i="11" s="1"/>
  <c r="H271" i="8"/>
  <c r="U277" i="2"/>
  <c r="H180" i="8"/>
  <c r="U184" i="2"/>
  <c r="F143" i="12"/>
  <c r="J142" i="9"/>
  <c r="C57" i="3"/>
  <c r="P144" i="2"/>
  <c r="N144" i="2"/>
  <c r="I142" i="11"/>
  <c r="G142" i="11" s="1"/>
  <c r="F179" i="12"/>
  <c r="J178" i="9"/>
  <c r="P181" i="2"/>
  <c r="N181" i="2"/>
  <c r="I178" i="11"/>
  <c r="G178" i="11" s="1"/>
  <c r="G199" i="8"/>
  <c r="O203" i="2"/>
  <c r="V203" i="2"/>
  <c r="S203" i="2"/>
  <c r="H77" i="8"/>
  <c r="U78" i="2"/>
  <c r="F132" i="12"/>
  <c r="J131" i="9"/>
  <c r="C86" i="3"/>
  <c r="P133" i="2"/>
  <c r="N133" i="2"/>
  <c r="I131" i="11"/>
  <c r="G131" i="11" s="1"/>
  <c r="F234" i="12"/>
  <c r="J210" i="9"/>
  <c r="C194" i="3"/>
  <c r="P238" i="2"/>
  <c r="N238" i="2"/>
  <c r="I233" i="11"/>
  <c r="G233" i="11" s="1"/>
  <c r="G138" i="8"/>
  <c r="I138" i="8" s="1"/>
  <c r="G140" i="12" s="1"/>
  <c r="V141" i="2"/>
  <c r="O141" i="2"/>
  <c r="S141" i="2"/>
  <c r="G210" i="8"/>
  <c r="I210" i="8" s="1"/>
  <c r="G212" i="12" s="1"/>
  <c r="V214" i="2"/>
  <c r="S214" i="2"/>
  <c r="O214" i="2"/>
  <c r="H259" i="8"/>
  <c r="U265" i="2"/>
  <c r="H201" i="8"/>
  <c r="U205" i="2"/>
  <c r="H148" i="8"/>
  <c r="U151" i="2"/>
  <c r="G222" i="8"/>
  <c r="I222" i="8" s="1"/>
  <c r="G224" i="12" s="1"/>
  <c r="O226" i="2"/>
  <c r="V226" i="2"/>
  <c r="S226" i="2"/>
  <c r="H27" i="8"/>
  <c r="U28" i="2"/>
  <c r="F92" i="12"/>
  <c r="J91" i="9"/>
  <c r="P92" i="2"/>
  <c r="N92" i="2"/>
  <c r="I91" i="11"/>
  <c r="G91" i="11" s="1"/>
  <c r="G18" i="8"/>
  <c r="I18" i="8" s="1"/>
  <c r="G19" i="12" s="1"/>
  <c r="S19" i="2"/>
  <c r="O19" i="2"/>
  <c r="V19" i="2"/>
  <c r="H74" i="8"/>
  <c r="U75" i="2"/>
  <c r="G252" i="8"/>
  <c r="I252" i="8" s="1"/>
  <c r="G254" i="12" s="1"/>
  <c r="S258" i="2"/>
  <c r="O258" i="2"/>
  <c r="V258" i="2"/>
  <c r="H221" i="8"/>
  <c r="U225" i="2"/>
  <c r="F124" i="12"/>
  <c r="J123" i="9"/>
  <c r="P125" i="2"/>
  <c r="N125" i="2"/>
  <c r="I123" i="11"/>
  <c r="G123" i="11" s="1"/>
  <c r="G155" i="8"/>
  <c r="I155" i="8" s="1"/>
  <c r="G157" i="12" s="1"/>
  <c r="V158" i="2"/>
  <c r="O158" i="2"/>
  <c r="S158" i="2"/>
  <c r="H101" i="8"/>
  <c r="U102" i="2"/>
  <c r="H160" i="8"/>
  <c r="U163" i="2"/>
  <c r="G211" i="8"/>
  <c r="V215" i="2"/>
  <c r="O215" i="2"/>
  <c r="S215" i="2"/>
  <c r="H163" i="8"/>
  <c r="U167" i="2"/>
  <c r="H269" i="8"/>
  <c r="U275" i="2"/>
  <c r="H30" i="8"/>
  <c r="U31" i="2"/>
  <c r="G119" i="8"/>
  <c r="I119" i="8" s="1"/>
  <c r="G120" i="12" s="1"/>
  <c r="O121" i="2"/>
  <c r="V121" i="2"/>
  <c r="S121" i="2"/>
  <c r="H199" i="8"/>
  <c r="U203" i="2"/>
  <c r="G100" i="8"/>
  <c r="V101" i="2"/>
  <c r="O101" i="2"/>
  <c r="S101" i="2"/>
  <c r="G97" i="8"/>
  <c r="I97" i="8" s="1"/>
  <c r="G98" i="12" s="1"/>
  <c r="V98" i="2"/>
  <c r="O98" i="2"/>
  <c r="S98" i="2"/>
  <c r="G20" i="8"/>
  <c r="V21" i="2"/>
  <c r="S21" i="2"/>
  <c r="O21" i="2"/>
  <c r="H89" i="8"/>
  <c r="U90" i="2"/>
  <c r="J221" i="9"/>
  <c r="F245" i="12"/>
  <c r="P249" i="2"/>
  <c r="C220" i="3"/>
  <c r="N249" i="2"/>
  <c r="I244" i="11"/>
  <c r="G244" i="11" s="1"/>
  <c r="G207" i="8"/>
  <c r="I207" i="8" s="1"/>
  <c r="G209" i="12" s="1"/>
  <c r="V211" i="2"/>
  <c r="S211" i="2"/>
  <c r="O211" i="2"/>
  <c r="G166" i="8"/>
  <c r="I166" i="8" s="1"/>
  <c r="G168" i="12" s="1"/>
  <c r="V170" i="2"/>
  <c r="S170" i="2"/>
  <c r="O170" i="2"/>
  <c r="G227" i="8"/>
  <c r="I227" i="8" s="1"/>
  <c r="G229" i="12" s="1"/>
  <c r="V231" i="2"/>
  <c r="O231" i="2"/>
  <c r="S231" i="2"/>
  <c r="H179" i="8"/>
  <c r="U183" i="2"/>
  <c r="V285" i="2"/>
  <c r="O285" i="2"/>
  <c r="S285" i="2"/>
  <c r="F35" i="12"/>
  <c r="J34" i="9"/>
  <c r="C111" i="3"/>
  <c r="N35" i="2"/>
  <c r="P35" i="2"/>
  <c r="I34" i="11"/>
  <c r="G34" i="11" s="1"/>
  <c r="H212" i="8"/>
  <c r="U216" i="2"/>
  <c r="H267" i="8"/>
  <c r="U273" i="2"/>
  <c r="F56" i="12"/>
  <c r="J55" i="9"/>
  <c r="N56" i="2"/>
  <c r="P56" i="2"/>
  <c r="I55" i="11"/>
  <c r="G55" i="11" s="1"/>
  <c r="H13" i="8"/>
  <c r="U14" i="2"/>
  <c r="H137" i="8"/>
  <c r="U140" i="2"/>
  <c r="G277" i="8"/>
  <c r="I277" i="8" s="1"/>
  <c r="G279" i="12" s="1"/>
  <c r="V283" i="2"/>
  <c r="O283" i="2"/>
  <c r="S283" i="2"/>
  <c r="H133" i="8"/>
  <c r="U136" i="2"/>
  <c r="H278" i="8"/>
  <c r="U284" i="2"/>
  <c r="H149" i="8"/>
  <c r="U152" i="2"/>
  <c r="G156" i="8"/>
  <c r="O159" i="2"/>
  <c r="S159" i="2"/>
  <c r="V159" i="2"/>
  <c r="H80" i="8"/>
  <c r="U81" i="2"/>
  <c r="G271" i="8"/>
  <c r="I271" i="8" s="1"/>
  <c r="G273" i="12" s="1"/>
  <c r="V277" i="2"/>
  <c r="S277" i="2"/>
  <c r="O277" i="2"/>
  <c r="H213" i="8"/>
  <c r="U217" i="2"/>
  <c r="H172" i="8"/>
  <c r="U176" i="2"/>
  <c r="H135" i="8"/>
  <c r="U138" i="2"/>
  <c r="H211" i="8"/>
  <c r="U215" i="2"/>
  <c r="H250" i="8"/>
  <c r="U256" i="2"/>
  <c r="H167" i="8"/>
  <c r="U171" i="2"/>
  <c r="H40" i="8"/>
  <c r="U41" i="2"/>
  <c r="H88" i="8"/>
  <c r="U89" i="2"/>
  <c r="H144" i="8"/>
  <c r="U147" i="2"/>
  <c r="G273" i="8"/>
  <c r="I273" i="8" s="1"/>
  <c r="G275" i="12" s="1"/>
  <c r="V279" i="2"/>
  <c r="S279" i="2"/>
  <c r="O279" i="2"/>
  <c r="G154" i="8"/>
  <c r="I154" i="8" s="1"/>
  <c r="G156" i="12" s="1"/>
  <c r="V157" i="2"/>
  <c r="O157" i="2"/>
  <c r="S157" i="2"/>
  <c r="I243" i="8"/>
  <c r="G245" i="12" s="1"/>
  <c r="J94" i="9"/>
  <c r="F95" i="12"/>
  <c r="C29" i="3"/>
  <c r="N95" i="2"/>
  <c r="P95" i="2"/>
  <c r="I94" i="11"/>
  <c r="G94" i="11" s="1"/>
  <c r="G198" i="8"/>
  <c r="I198" i="8" s="1"/>
  <c r="G200" i="12" s="1"/>
  <c r="V202" i="2"/>
  <c r="S202" i="2"/>
  <c r="O202" i="2"/>
  <c r="G145" i="8"/>
  <c r="I145" i="8" s="1"/>
  <c r="G147" i="12" s="1"/>
  <c r="V148" i="2"/>
  <c r="O148" i="2"/>
  <c r="S148" i="2"/>
  <c r="H227" i="8"/>
  <c r="U231" i="2"/>
  <c r="H266" i="8"/>
  <c r="U272" i="2"/>
  <c r="H65" i="8"/>
  <c r="U66" i="2"/>
  <c r="G11" i="8"/>
  <c r="I11" i="8" s="1"/>
  <c r="G12" i="12" s="1"/>
  <c r="V12" i="2"/>
  <c r="O12" i="2"/>
  <c r="S12" i="2"/>
  <c r="F93" i="12"/>
  <c r="J92" i="9"/>
  <c r="P93" i="2"/>
  <c r="N93" i="2"/>
  <c r="I92" i="11"/>
  <c r="G92" i="11" s="1"/>
  <c r="F198" i="12"/>
  <c r="P200" i="2"/>
  <c r="N200" i="2"/>
  <c r="I197" i="11"/>
  <c r="G197" i="11" s="1"/>
  <c r="G201" i="8"/>
  <c r="I201" i="8" s="1"/>
  <c r="G203" i="12" s="1"/>
  <c r="V205" i="2"/>
  <c r="S205" i="2"/>
  <c r="O205" i="2"/>
  <c r="G265" i="8"/>
  <c r="I265" i="8" s="1"/>
  <c r="G267" i="12" s="1"/>
  <c r="O271" i="2"/>
  <c r="V271" i="2"/>
  <c r="S271" i="2"/>
  <c r="H49" i="8"/>
  <c r="U50" i="2"/>
  <c r="F5" i="12"/>
  <c r="J4" i="9"/>
  <c r="P5" i="2"/>
  <c r="N5" i="2"/>
  <c r="I4" i="11"/>
  <c r="G4" i="11" s="1"/>
  <c r="F190" i="12"/>
  <c r="J189" i="9"/>
  <c r="C166" i="3"/>
  <c r="P192" i="2"/>
  <c r="N192" i="2"/>
  <c r="I189" i="11"/>
  <c r="G189" i="11" s="1"/>
  <c r="F24" i="12"/>
  <c r="J23" i="9"/>
  <c r="C106" i="3"/>
  <c r="I23" i="11"/>
  <c r="G23" i="11" s="1"/>
  <c r="P24" i="2"/>
  <c r="N24" i="2"/>
  <c r="F60" i="12"/>
  <c r="J59" i="9"/>
  <c r="C120" i="3"/>
  <c r="P60" i="2"/>
  <c r="N60" i="2"/>
  <c r="I59" i="11"/>
  <c r="G59" i="11" s="1"/>
  <c r="I94" i="8"/>
  <c r="G95" i="12" s="1"/>
  <c r="H209" i="8"/>
  <c r="U213" i="2"/>
  <c r="F108" i="12"/>
  <c r="J107" i="9"/>
  <c r="C158" i="3"/>
  <c r="P108" i="2"/>
  <c r="N108" i="2"/>
  <c r="I107" i="11"/>
  <c r="G107" i="11" s="1"/>
  <c r="G142" i="8"/>
  <c r="V145" i="2"/>
  <c r="O145" i="2"/>
  <c r="S145" i="2"/>
  <c r="G104" i="8"/>
  <c r="O105" i="2"/>
  <c r="V105" i="2"/>
  <c r="S105" i="2"/>
  <c r="J250" i="9"/>
  <c r="F274" i="12"/>
  <c r="P278" i="2"/>
  <c r="N278" i="2"/>
  <c r="I273" i="11"/>
  <c r="G273" i="11" s="1"/>
  <c r="G25" i="8"/>
  <c r="O26" i="2"/>
  <c r="V26" i="2"/>
  <c r="S26" i="2"/>
  <c r="H20" i="8"/>
  <c r="U21" i="2"/>
  <c r="G48" i="8"/>
  <c r="I48" i="8" s="1"/>
  <c r="G49" i="12" s="1"/>
  <c r="V49" i="2"/>
  <c r="S49" i="2"/>
  <c r="O49" i="2"/>
  <c r="G102" i="8"/>
  <c r="V103" i="2"/>
  <c r="O103" i="2"/>
  <c r="S103" i="2"/>
  <c r="H84" i="8"/>
  <c r="U85" i="2"/>
  <c r="G98" i="8"/>
  <c r="I98" i="8" s="1"/>
  <c r="G99" i="12" s="1"/>
  <c r="O99" i="2"/>
  <c r="V99" i="2"/>
  <c r="S99" i="2"/>
  <c r="G93" i="8"/>
  <c r="I93" i="8" s="1"/>
  <c r="G94" i="12" s="1"/>
  <c r="V94" i="2"/>
  <c r="O94" i="2"/>
  <c r="S94" i="2"/>
  <c r="H147" i="8"/>
  <c r="U150" i="2"/>
  <c r="H205" i="8"/>
  <c r="U209" i="2"/>
  <c r="G167" i="8"/>
  <c r="O171" i="2"/>
  <c r="V171" i="2"/>
  <c r="S171" i="2"/>
  <c r="U39" i="2"/>
  <c r="H202" i="8"/>
  <c r="U206" i="2"/>
  <c r="G131" i="8"/>
  <c r="I131" i="8" s="1"/>
  <c r="G133" i="12" s="1"/>
  <c r="O134" i="2"/>
  <c r="V134" i="2"/>
  <c r="S134" i="2"/>
  <c r="H116" i="8"/>
  <c r="U118" i="2"/>
  <c r="H120" i="8"/>
  <c r="U122" i="2"/>
  <c r="G150" i="8"/>
  <c r="I150" i="8" s="1"/>
  <c r="G152" i="12" s="1"/>
  <c r="O153" i="2"/>
  <c r="V153" i="2"/>
  <c r="S153" i="2"/>
  <c r="G157" i="8"/>
  <c r="I157" i="8" s="1"/>
  <c r="G159" i="12" s="1"/>
  <c r="V160" i="2"/>
  <c r="S160" i="2"/>
  <c r="O160" i="2"/>
  <c r="H220" i="8"/>
  <c r="U224" i="2"/>
  <c r="V164" i="2"/>
  <c r="O164" i="2"/>
  <c r="S164" i="2"/>
  <c r="H114" i="8"/>
  <c r="U116" i="2"/>
  <c r="G270" i="8"/>
  <c r="I270" i="8" s="1"/>
  <c r="G272" i="12" s="1"/>
  <c r="V276" i="2"/>
  <c r="S276" i="2"/>
  <c r="O276" i="2"/>
  <c r="H16" i="8"/>
  <c r="U17" i="2"/>
  <c r="G171" i="8"/>
  <c r="I171" i="8" s="1"/>
  <c r="G173" i="12" s="1"/>
  <c r="O175" i="2"/>
  <c r="V175" i="2"/>
  <c r="S175" i="2"/>
  <c r="F219" i="12"/>
  <c r="J195" i="9"/>
  <c r="C5" i="3"/>
  <c r="P221" i="2"/>
  <c r="N221" i="2"/>
  <c r="I218" i="11"/>
  <c r="G218" i="11" s="1"/>
  <c r="H72" i="8"/>
  <c r="U73" i="2"/>
  <c r="G143" i="8"/>
  <c r="O146" i="2"/>
  <c r="V146" i="2"/>
  <c r="S146" i="2"/>
  <c r="H100" i="8"/>
  <c r="U101" i="2"/>
  <c r="U110" i="2"/>
  <c r="I20" i="8" l="1"/>
  <c r="G21" i="12" s="1"/>
  <c r="I258" i="8"/>
  <c r="G260" i="12" s="1"/>
  <c r="I29" i="8"/>
  <c r="G30" i="12" s="1"/>
  <c r="I159" i="8"/>
  <c r="G161" i="12" s="1"/>
  <c r="I73" i="8"/>
  <c r="G74" i="12" s="1"/>
  <c r="I250" i="8"/>
  <c r="G252" i="12" s="1"/>
  <c r="I184" i="8"/>
  <c r="G186" i="12" s="1"/>
  <c r="I168" i="8"/>
  <c r="G170" i="12" s="1"/>
  <c r="I172" i="8"/>
  <c r="G174" i="12" s="1"/>
  <c r="I100" i="8"/>
  <c r="G101" i="12" s="1"/>
  <c r="I211" i="8"/>
  <c r="G213" i="12" s="1"/>
  <c r="I212" i="8"/>
  <c r="G214" i="12" s="1"/>
  <c r="I47" i="8"/>
  <c r="G48" i="12" s="1"/>
  <c r="I213" i="8"/>
  <c r="G215" i="12" s="1"/>
  <c r="I22" i="8"/>
  <c r="G23" i="12" s="1"/>
  <c r="I237" i="8"/>
  <c r="G239" i="12" s="1"/>
  <c r="I231" i="8"/>
  <c r="G233" i="12" s="1"/>
  <c r="I256" i="8"/>
  <c r="G258" i="12" s="1"/>
  <c r="I254" i="8"/>
  <c r="G256" i="12" s="1"/>
  <c r="I96" i="8"/>
  <c r="G97" i="12" s="1"/>
  <c r="I71" i="8"/>
  <c r="G72" i="12" s="1"/>
  <c r="I86" i="8"/>
  <c r="G87" i="12" s="1"/>
  <c r="F215" i="12"/>
  <c r="N217" i="2"/>
  <c r="P217" i="2"/>
  <c r="I214" i="11"/>
  <c r="G214" i="11" s="1"/>
  <c r="I75" i="8"/>
  <c r="G76" i="12" s="1"/>
  <c r="I25" i="8"/>
  <c r="G26" i="12" s="1"/>
  <c r="J230" i="9"/>
  <c r="F254" i="12"/>
  <c r="C189" i="3"/>
  <c r="P258" i="2"/>
  <c r="N258" i="2"/>
  <c r="I253" i="11"/>
  <c r="G253" i="11" s="1"/>
  <c r="F96" i="12"/>
  <c r="J95" i="9"/>
  <c r="C187" i="3"/>
  <c r="P96" i="2"/>
  <c r="N96" i="2"/>
  <c r="I95" i="11"/>
  <c r="G95" i="11" s="1"/>
  <c r="J120" i="9"/>
  <c r="F121" i="12"/>
  <c r="C174" i="3"/>
  <c r="P122" i="2"/>
  <c r="N122" i="2"/>
  <c r="I120" i="11"/>
  <c r="G120" i="11" s="1"/>
  <c r="F20" i="12"/>
  <c r="J19" i="9"/>
  <c r="C145" i="3"/>
  <c r="N20" i="2"/>
  <c r="P20" i="2"/>
  <c r="I19" i="11"/>
  <c r="G19" i="11" s="1"/>
  <c r="F176" i="12"/>
  <c r="J175" i="9"/>
  <c r="P178" i="2"/>
  <c r="N178" i="2"/>
  <c r="C92" i="3"/>
  <c r="I175" i="11"/>
  <c r="G175" i="11" s="1"/>
  <c r="I183" i="8"/>
  <c r="G185" i="12" s="1"/>
  <c r="F22" i="12"/>
  <c r="J21" i="9"/>
  <c r="C121" i="3"/>
  <c r="P22" i="2"/>
  <c r="N22" i="2"/>
  <c r="I21" i="11"/>
  <c r="G21" i="11" s="1"/>
  <c r="I205" i="8"/>
  <c r="G207" i="12" s="1"/>
  <c r="J238" i="9"/>
  <c r="F262" i="12"/>
  <c r="C44" i="3"/>
  <c r="N266" i="2"/>
  <c r="P266" i="2"/>
  <c r="I261" i="11"/>
  <c r="G261" i="11" s="1"/>
  <c r="J234" i="9"/>
  <c r="F258" i="12"/>
  <c r="P262" i="2"/>
  <c r="N262" i="2"/>
  <c r="C53" i="3"/>
  <c r="I257" i="11"/>
  <c r="G257" i="11" s="1"/>
  <c r="F100" i="12"/>
  <c r="J99" i="9"/>
  <c r="C178" i="3"/>
  <c r="P100" i="2"/>
  <c r="N100" i="2"/>
  <c r="I99" i="11"/>
  <c r="G99" i="11" s="1"/>
  <c r="F239" i="12"/>
  <c r="J215" i="9"/>
  <c r="P243" i="2"/>
  <c r="C16" i="3"/>
  <c r="N243" i="2"/>
  <c r="I238" i="11"/>
  <c r="G238" i="11" s="1"/>
  <c r="I110" i="8"/>
  <c r="G111" i="12" s="1"/>
  <c r="F136" i="12"/>
  <c r="J135" i="9"/>
  <c r="C93" i="3"/>
  <c r="N137" i="2"/>
  <c r="P137" i="2"/>
  <c r="I135" i="11"/>
  <c r="G135" i="11" s="1"/>
  <c r="I230" i="8"/>
  <c r="G232" i="12" s="1"/>
  <c r="I135" i="8"/>
  <c r="G137" i="12" s="1"/>
  <c r="F267" i="12"/>
  <c r="J243" i="9"/>
  <c r="N271" i="2"/>
  <c r="C46" i="3"/>
  <c r="P271" i="2"/>
  <c r="I266" i="11"/>
  <c r="G266" i="11" s="1"/>
  <c r="F12" i="12"/>
  <c r="J11" i="9"/>
  <c r="C114" i="3"/>
  <c r="N12" i="2"/>
  <c r="P12" i="2"/>
  <c r="I11" i="11"/>
  <c r="G11" i="11" s="1"/>
  <c r="F224" i="12"/>
  <c r="J200" i="9"/>
  <c r="P226" i="2"/>
  <c r="C32" i="3"/>
  <c r="N226" i="2"/>
  <c r="I223" i="11"/>
  <c r="G223" i="11" s="1"/>
  <c r="F201" i="12"/>
  <c r="P203" i="2"/>
  <c r="N203" i="2"/>
  <c r="I200" i="11"/>
  <c r="G200" i="11" s="1"/>
  <c r="F40" i="12"/>
  <c r="J39" i="9"/>
  <c r="C126" i="3"/>
  <c r="N40" i="2"/>
  <c r="I39" i="11"/>
  <c r="G39" i="11" s="1"/>
  <c r="P40" i="2"/>
  <c r="I144" i="8"/>
  <c r="G146" i="12" s="1"/>
  <c r="I83" i="8"/>
  <c r="G84" i="12" s="1"/>
  <c r="F231" i="12"/>
  <c r="J207" i="9"/>
  <c r="C15" i="3"/>
  <c r="N233" i="2"/>
  <c r="P233" i="2"/>
  <c r="I230" i="11"/>
  <c r="G230" i="11" s="1"/>
  <c r="F47" i="12"/>
  <c r="J46" i="9"/>
  <c r="C117" i="3"/>
  <c r="P47" i="2"/>
  <c r="N47" i="2"/>
  <c r="I46" i="11"/>
  <c r="G46" i="11" s="1"/>
  <c r="I101" i="8"/>
  <c r="G102" i="12" s="1"/>
  <c r="F226" i="12"/>
  <c r="J202" i="9"/>
  <c r="C12" i="3"/>
  <c r="P228" i="2"/>
  <c r="N228" i="2"/>
  <c r="I225" i="11"/>
  <c r="G225" i="11" s="1"/>
  <c r="I31" i="8"/>
  <c r="G32" i="12" s="1"/>
  <c r="I21" i="8"/>
  <c r="G22" i="12" s="1"/>
  <c r="F210" i="12"/>
  <c r="P212" i="2"/>
  <c r="N212" i="2"/>
  <c r="I209" i="11"/>
  <c r="G209" i="11" s="1"/>
  <c r="I134" i="8"/>
  <c r="G136" i="12" s="1"/>
  <c r="F17" i="12"/>
  <c r="J16" i="9"/>
  <c r="C148" i="3"/>
  <c r="P17" i="2"/>
  <c r="N17" i="2"/>
  <c r="I16" i="11"/>
  <c r="G16" i="11" s="1"/>
  <c r="F83" i="12"/>
  <c r="J82" i="9"/>
  <c r="C184" i="3"/>
  <c r="P83" i="2"/>
  <c r="N83" i="2"/>
  <c r="I82" i="11"/>
  <c r="G82" i="11" s="1"/>
  <c r="F146" i="12"/>
  <c r="J145" i="9"/>
  <c r="C81" i="3"/>
  <c r="N147" i="2"/>
  <c r="P147" i="2"/>
  <c r="I145" i="11"/>
  <c r="G145" i="11" s="1"/>
  <c r="J69" i="9"/>
  <c r="F70" i="12"/>
  <c r="C96" i="3"/>
  <c r="P70" i="2"/>
  <c r="N70" i="2"/>
  <c r="I69" i="11"/>
  <c r="G69" i="11" s="1"/>
  <c r="F220" i="12"/>
  <c r="J196" i="9"/>
  <c r="C6" i="3"/>
  <c r="P222" i="2"/>
  <c r="N222" i="2"/>
  <c r="I219" i="11"/>
  <c r="G219" i="11" s="1"/>
  <c r="I72" i="8"/>
  <c r="G73" i="12" s="1"/>
  <c r="F27" i="12"/>
  <c r="J26" i="9"/>
  <c r="C131" i="3"/>
  <c r="P27" i="2"/>
  <c r="N27" i="2"/>
  <c r="I26" i="11"/>
  <c r="G26" i="11" s="1"/>
  <c r="F150" i="12"/>
  <c r="J149" i="9"/>
  <c r="C62" i="3"/>
  <c r="P151" i="2"/>
  <c r="N151" i="2"/>
  <c r="I149" i="11"/>
  <c r="G149" i="11" s="1"/>
  <c r="I120" i="8"/>
  <c r="G121" i="12" s="1"/>
  <c r="F246" i="12"/>
  <c r="J222" i="9"/>
  <c r="C55" i="3"/>
  <c r="N250" i="2"/>
  <c r="P250" i="2"/>
  <c r="I245" i="11"/>
  <c r="G245" i="11" s="1"/>
  <c r="J49" i="9"/>
  <c r="F50" i="12"/>
  <c r="C141" i="3"/>
  <c r="P50" i="2"/>
  <c r="N50" i="2"/>
  <c r="I49" i="11"/>
  <c r="G49" i="11" s="1"/>
  <c r="F61" i="12"/>
  <c r="J60" i="9"/>
  <c r="C150" i="3"/>
  <c r="P61" i="2"/>
  <c r="N61" i="2"/>
  <c r="I60" i="11"/>
  <c r="G60" i="11" s="1"/>
  <c r="I132" i="8"/>
  <c r="G134" i="12" s="1"/>
  <c r="J252" i="9"/>
  <c r="F276" i="12"/>
  <c r="P280" i="2"/>
  <c r="N280" i="2"/>
  <c r="C49" i="3"/>
  <c r="I275" i="11"/>
  <c r="G275" i="11" s="1"/>
  <c r="I164" i="8"/>
  <c r="G166" i="12" s="1"/>
  <c r="I88" i="8"/>
  <c r="G89" i="12" s="1"/>
  <c r="F223" i="12"/>
  <c r="J199" i="9"/>
  <c r="C22" i="3"/>
  <c r="P225" i="2"/>
  <c r="N225" i="2"/>
  <c r="I222" i="11"/>
  <c r="G222" i="11" s="1"/>
  <c r="J114" i="9"/>
  <c r="F115" i="12"/>
  <c r="C214" i="3"/>
  <c r="P116" i="2"/>
  <c r="N116" i="2"/>
  <c r="I114" i="11"/>
  <c r="G114" i="11" s="1"/>
  <c r="F110" i="12"/>
  <c r="J109" i="9"/>
  <c r="C217" i="3"/>
  <c r="P111" i="2"/>
  <c r="N111" i="2"/>
  <c r="I109" i="11"/>
  <c r="G109" i="11" s="1"/>
  <c r="F159" i="12"/>
  <c r="J158" i="9"/>
  <c r="C71" i="3"/>
  <c r="P160" i="2"/>
  <c r="N160" i="2"/>
  <c r="I158" i="11"/>
  <c r="G158" i="11" s="1"/>
  <c r="F45" i="12"/>
  <c r="J44" i="9"/>
  <c r="C118" i="3"/>
  <c r="P45" i="2"/>
  <c r="N45" i="2"/>
  <c r="I44" i="11"/>
  <c r="G44" i="11" s="1"/>
  <c r="J209" i="9"/>
  <c r="F233" i="12"/>
  <c r="C33" i="3"/>
  <c r="P235" i="2"/>
  <c r="N235" i="2"/>
  <c r="I232" i="11"/>
  <c r="G232" i="11" s="1"/>
  <c r="F84" i="12"/>
  <c r="J83" i="9"/>
  <c r="C185" i="3"/>
  <c r="N84" i="2"/>
  <c r="I83" i="11"/>
  <c r="G83" i="11" s="1"/>
  <c r="P84" i="2"/>
  <c r="F134" i="12"/>
  <c r="J133" i="9"/>
  <c r="C88" i="3"/>
  <c r="P135" i="2"/>
  <c r="N135" i="2"/>
  <c r="I133" i="11"/>
  <c r="G133" i="11" s="1"/>
  <c r="F102" i="12"/>
  <c r="J101" i="9"/>
  <c r="C192" i="3"/>
  <c r="N102" i="2"/>
  <c r="P102" i="2"/>
  <c r="I101" i="11"/>
  <c r="G101" i="11" s="1"/>
  <c r="I199" i="8"/>
  <c r="G201" i="12" s="1"/>
  <c r="I163" i="8"/>
  <c r="G165" i="12" s="1"/>
  <c r="I84" i="8"/>
  <c r="G85" i="12" s="1"/>
  <c r="I143" i="8"/>
  <c r="G145" i="12" s="1"/>
  <c r="F152" i="12"/>
  <c r="J151" i="9"/>
  <c r="C64" i="3"/>
  <c r="N153" i="2"/>
  <c r="P153" i="2"/>
  <c r="I151" i="11"/>
  <c r="G151" i="11" s="1"/>
  <c r="I167" i="8"/>
  <c r="G169" i="12" s="1"/>
  <c r="F103" i="12"/>
  <c r="J102" i="9"/>
  <c r="C30" i="3"/>
  <c r="P103" i="2"/>
  <c r="N103" i="2"/>
  <c r="I102" i="11"/>
  <c r="G102" i="11" s="1"/>
  <c r="F203" i="12"/>
  <c r="P205" i="2"/>
  <c r="N205" i="2"/>
  <c r="I202" i="11"/>
  <c r="G202" i="11" s="1"/>
  <c r="F273" i="12"/>
  <c r="J249" i="9"/>
  <c r="P277" i="2"/>
  <c r="C39" i="3"/>
  <c r="N277" i="2"/>
  <c r="I272" i="11"/>
  <c r="G272" i="11" s="1"/>
  <c r="J167" i="9"/>
  <c r="F168" i="12"/>
  <c r="C78" i="3"/>
  <c r="P170" i="2"/>
  <c r="N170" i="2"/>
  <c r="I167" i="11"/>
  <c r="G167" i="11" s="1"/>
  <c r="F21" i="12"/>
  <c r="J20" i="9"/>
  <c r="C142" i="3"/>
  <c r="P21" i="2"/>
  <c r="N21" i="2"/>
  <c r="I20" i="11"/>
  <c r="G20" i="11" s="1"/>
  <c r="F120" i="12"/>
  <c r="J119" i="9"/>
  <c r="C28" i="3"/>
  <c r="N121" i="2"/>
  <c r="P121" i="2"/>
  <c r="I119" i="11"/>
  <c r="G119" i="11" s="1"/>
  <c r="J180" i="9"/>
  <c r="F181" i="12"/>
  <c r="C27" i="3"/>
  <c r="P183" i="2"/>
  <c r="N183" i="2"/>
  <c r="I180" i="11"/>
  <c r="G180" i="11" s="1"/>
  <c r="F116" i="12"/>
  <c r="J115" i="9"/>
  <c r="C215" i="3"/>
  <c r="P117" i="2"/>
  <c r="N117" i="2"/>
  <c r="I115" i="11"/>
  <c r="G115" i="11" s="1"/>
  <c r="I60" i="8"/>
  <c r="G61" i="12" s="1"/>
  <c r="J37" i="9"/>
  <c r="F38" i="12"/>
  <c r="C125" i="3"/>
  <c r="P38" i="2"/>
  <c r="N38" i="2"/>
  <c r="I37" i="11"/>
  <c r="G37" i="11" s="1"/>
  <c r="I46" i="8"/>
  <c r="G47" i="12" s="1"/>
  <c r="C160" i="3"/>
  <c r="P110" i="2"/>
  <c r="N110" i="2"/>
  <c r="I224" i="8"/>
  <c r="G226" i="12" s="1"/>
  <c r="F41" i="12"/>
  <c r="J40" i="9"/>
  <c r="C127" i="3"/>
  <c r="P41" i="2"/>
  <c r="N41" i="2"/>
  <c r="I40" i="11"/>
  <c r="G40" i="11" s="1"/>
  <c r="I175" i="8"/>
  <c r="G177" i="12" s="1"/>
  <c r="F250" i="12"/>
  <c r="J226" i="9"/>
  <c r="C200" i="3"/>
  <c r="P254" i="2"/>
  <c r="N254" i="2"/>
  <c r="I249" i="11"/>
  <c r="G249" i="11" s="1"/>
  <c r="F271" i="12"/>
  <c r="J247" i="9"/>
  <c r="P275" i="2"/>
  <c r="C43" i="3"/>
  <c r="N275" i="2"/>
  <c r="I270" i="11"/>
  <c r="G270" i="11" s="1"/>
  <c r="F153" i="12"/>
  <c r="J152" i="9"/>
  <c r="C65" i="3"/>
  <c r="P154" i="2"/>
  <c r="N154" i="2"/>
  <c r="I152" i="11"/>
  <c r="G152" i="11" s="1"/>
  <c r="I82" i="8"/>
  <c r="G83" i="12" s="1"/>
  <c r="F207" i="12"/>
  <c r="P209" i="2"/>
  <c r="N209" i="2"/>
  <c r="I206" i="11"/>
  <c r="G206" i="11" s="1"/>
  <c r="F140" i="12"/>
  <c r="J139" i="9"/>
  <c r="C100" i="3"/>
  <c r="P141" i="2"/>
  <c r="N141" i="2"/>
  <c r="I139" i="11"/>
  <c r="G139" i="11" s="1"/>
  <c r="I149" i="8"/>
  <c r="G151" i="12" s="1"/>
  <c r="J205" i="9"/>
  <c r="F229" i="12"/>
  <c r="C13" i="3"/>
  <c r="P231" i="2"/>
  <c r="N231" i="2"/>
  <c r="I228" i="11"/>
  <c r="G228" i="11" s="1"/>
  <c r="I202" i="8"/>
  <c r="G204" i="12" s="1"/>
  <c r="F279" i="12"/>
  <c r="J255" i="9"/>
  <c r="C41" i="3"/>
  <c r="P283" i="2"/>
  <c r="N283" i="2"/>
  <c r="I278" i="11"/>
  <c r="G278" i="11" s="1"/>
  <c r="F157" i="12"/>
  <c r="J156" i="9"/>
  <c r="C69" i="3"/>
  <c r="P158" i="2"/>
  <c r="N158" i="2"/>
  <c r="I156" i="11"/>
  <c r="G156" i="11" s="1"/>
  <c r="J256" i="9"/>
  <c r="F280" i="12"/>
  <c r="P284" i="2"/>
  <c r="N284" i="2"/>
  <c r="C36" i="3"/>
  <c r="I279" i="11"/>
  <c r="G279" i="11" s="1"/>
  <c r="I115" i="8"/>
  <c r="G116" i="12" s="1"/>
  <c r="F236" i="12"/>
  <c r="J212" i="9"/>
  <c r="C195" i="3"/>
  <c r="P240" i="2"/>
  <c r="N240" i="2"/>
  <c r="I235" i="11"/>
  <c r="G235" i="11" s="1"/>
  <c r="F82" i="12"/>
  <c r="J81" i="9"/>
  <c r="C183" i="3"/>
  <c r="P82" i="2"/>
  <c r="N82" i="2"/>
  <c r="I81" i="11"/>
  <c r="G81" i="11" s="1"/>
  <c r="I148" i="8"/>
  <c r="G150" i="12" s="1"/>
  <c r="F66" i="12"/>
  <c r="J65" i="9"/>
  <c r="C115" i="3"/>
  <c r="P66" i="2"/>
  <c r="N66" i="2"/>
  <c r="I65" i="11"/>
  <c r="G65" i="11" s="1"/>
  <c r="J246" i="9"/>
  <c r="F270" i="12"/>
  <c r="P274" i="2"/>
  <c r="N274" i="2"/>
  <c r="C37" i="3"/>
  <c r="I269" i="11"/>
  <c r="G269" i="11" s="1"/>
  <c r="I49" i="8"/>
  <c r="G50" i="12" s="1"/>
  <c r="F77" i="12"/>
  <c r="J76" i="9"/>
  <c r="C155" i="3"/>
  <c r="P77" i="2"/>
  <c r="N77" i="2"/>
  <c r="I76" i="11"/>
  <c r="G76" i="11" s="1"/>
  <c r="F87" i="12"/>
  <c r="J86" i="9"/>
  <c r="C91" i="3"/>
  <c r="P87" i="2"/>
  <c r="N87" i="2"/>
  <c r="I86" i="11"/>
  <c r="G86" i="11" s="1"/>
  <c r="F42" i="12"/>
  <c r="J41" i="9"/>
  <c r="C132" i="3"/>
  <c r="P42" i="2"/>
  <c r="N42" i="2"/>
  <c r="I41" i="11"/>
  <c r="G41" i="11" s="1"/>
  <c r="F266" i="12"/>
  <c r="J242" i="9"/>
  <c r="C45" i="3"/>
  <c r="P270" i="2"/>
  <c r="N270" i="2"/>
  <c r="I265" i="11"/>
  <c r="G265" i="11" s="1"/>
  <c r="F28" i="12"/>
  <c r="J27" i="9"/>
  <c r="C124" i="3"/>
  <c r="N28" i="2"/>
  <c r="P28" i="2"/>
  <c r="I27" i="11"/>
  <c r="G27" i="11" s="1"/>
  <c r="F112" i="12"/>
  <c r="J111" i="9"/>
  <c r="C219" i="3"/>
  <c r="N113" i="2"/>
  <c r="P113" i="2"/>
  <c r="I111" i="11"/>
  <c r="G111" i="11" s="1"/>
  <c r="F139" i="12"/>
  <c r="J138" i="9"/>
  <c r="C99" i="3"/>
  <c r="P140" i="2"/>
  <c r="N140" i="2"/>
  <c r="I138" i="11"/>
  <c r="G138" i="11" s="1"/>
  <c r="I221" i="8"/>
  <c r="G223" i="12" s="1"/>
  <c r="I248" i="8"/>
  <c r="G250" i="12" s="1"/>
  <c r="I114" i="8"/>
  <c r="G115" i="12" s="1"/>
  <c r="I16" i="8"/>
  <c r="G17" i="12" s="1"/>
  <c r="I269" i="8"/>
  <c r="G271" i="12" s="1"/>
  <c r="F259" i="12"/>
  <c r="J235" i="9"/>
  <c r="C48" i="3"/>
  <c r="P263" i="2"/>
  <c r="N263" i="2"/>
  <c r="I258" i="11"/>
  <c r="G258" i="11" s="1"/>
  <c r="J136" i="9"/>
  <c r="F137" i="12"/>
  <c r="C94" i="3"/>
  <c r="P138" i="2"/>
  <c r="N138" i="2"/>
  <c r="I136" i="11"/>
  <c r="G136" i="11" s="1"/>
  <c r="F99" i="12"/>
  <c r="J98" i="9"/>
  <c r="C56" i="3"/>
  <c r="N99" i="2"/>
  <c r="P99" i="2"/>
  <c r="I98" i="11"/>
  <c r="G98" i="11" s="1"/>
  <c r="F126" i="12"/>
  <c r="J125" i="9"/>
  <c r="C10" i="3"/>
  <c r="P127" i="2"/>
  <c r="N127" i="2"/>
  <c r="I125" i="11"/>
  <c r="G125" i="11" s="1"/>
  <c r="F85" i="12"/>
  <c r="J84" i="9"/>
  <c r="C186" i="3"/>
  <c r="P85" i="2"/>
  <c r="N85" i="2"/>
  <c r="I84" i="11"/>
  <c r="G84" i="11" s="1"/>
  <c r="J78" i="9"/>
  <c r="F79" i="12"/>
  <c r="C180" i="3"/>
  <c r="P79" i="2"/>
  <c r="N79" i="2"/>
  <c r="I78" i="11"/>
  <c r="G78" i="11" s="1"/>
  <c r="I102" i="8"/>
  <c r="G103" i="12" s="1"/>
  <c r="F19" i="12"/>
  <c r="J18" i="9"/>
  <c r="C139" i="3"/>
  <c r="P19" i="2"/>
  <c r="N19" i="2"/>
  <c r="I18" i="11"/>
  <c r="G18" i="11" s="1"/>
  <c r="I179" i="8"/>
  <c r="G181" i="12" s="1"/>
  <c r="J33" i="9"/>
  <c r="F34" i="12"/>
  <c r="C133" i="3"/>
  <c r="P34" i="2"/>
  <c r="N34" i="2"/>
  <c r="I33" i="11"/>
  <c r="G33" i="11" s="1"/>
  <c r="I76" i="8"/>
  <c r="G77" i="12" s="1"/>
  <c r="F86" i="12"/>
  <c r="J85" i="9"/>
  <c r="C31" i="3"/>
  <c r="P86" i="2"/>
  <c r="N86" i="2"/>
  <c r="I85" i="11"/>
  <c r="G85" i="11" s="1"/>
  <c r="I37" i="8"/>
  <c r="G38" i="12" s="1"/>
  <c r="J154" i="9"/>
  <c r="F155" i="12"/>
  <c r="C67" i="3"/>
  <c r="P156" i="2"/>
  <c r="N156" i="2"/>
  <c r="I154" i="11"/>
  <c r="G154" i="11" s="1"/>
  <c r="F193" i="12"/>
  <c r="J192" i="9"/>
  <c r="C14" i="3"/>
  <c r="N195" i="2"/>
  <c r="P195" i="2"/>
  <c r="I192" i="11"/>
  <c r="G192" i="11" s="1"/>
  <c r="F138" i="12"/>
  <c r="J137" i="9"/>
  <c r="C95" i="3"/>
  <c r="P139" i="2"/>
  <c r="N139" i="2"/>
  <c r="I137" i="11"/>
  <c r="G137" i="11" s="1"/>
  <c r="F15" i="12"/>
  <c r="J14" i="9"/>
  <c r="C143" i="3"/>
  <c r="P15" i="2"/>
  <c r="N15" i="2"/>
  <c r="I14" i="11"/>
  <c r="G14" i="11" s="1"/>
  <c r="I41" i="8"/>
  <c r="G42" i="12" s="1"/>
  <c r="I274" i="8"/>
  <c r="G276" i="12" s="1"/>
  <c r="I40" i="8"/>
  <c r="G41" i="12" s="1"/>
  <c r="I137" i="8"/>
  <c r="G139" i="12" s="1"/>
  <c r="I109" i="8"/>
  <c r="G110" i="12" s="1"/>
  <c r="F206" i="12"/>
  <c r="P208" i="2"/>
  <c r="N208" i="2"/>
  <c r="I205" i="11"/>
  <c r="G205" i="11" s="1"/>
  <c r="F185" i="12"/>
  <c r="J184" i="9"/>
  <c r="C179" i="3"/>
  <c r="P187" i="2"/>
  <c r="N187" i="2"/>
  <c r="I184" i="11"/>
  <c r="G184" i="11" s="1"/>
  <c r="F73" i="12"/>
  <c r="J72" i="9"/>
  <c r="C168" i="3"/>
  <c r="P73" i="2"/>
  <c r="N73" i="2"/>
  <c r="I72" i="11"/>
  <c r="G72" i="11" s="1"/>
  <c r="I278" i="8"/>
  <c r="G280" i="12" s="1"/>
  <c r="F80" i="12"/>
  <c r="J79" i="9"/>
  <c r="C181" i="3"/>
  <c r="P80" i="2"/>
  <c r="N80" i="2"/>
  <c r="I79" i="11"/>
  <c r="G79" i="11" s="1"/>
  <c r="I33" i="8"/>
  <c r="G34" i="12" s="1"/>
  <c r="F90" i="12"/>
  <c r="J89" i="9"/>
  <c r="C34" i="3"/>
  <c r="P90" i="2"/>
  <c r="N90" i="2"/>
  <c r="I89" i="11"/>
  <c r="G89" i="11" s="1"/>
  <c r="J112" i="9"/>
  <c r="F113" i="12"/>
  <c r="C206" i="3"/>
  <c r="P114" i="2"/>
  <c r="N114" i="2"/>
  <c r="I112" i="11"/>
  <c r="G112" i="11" s="1"/>
  <c r="J236" i="9"/>
  <c r="F260" i="12"/>
  <c r="C54" i="3"/>
  <c r="P264" i="2"/>
  <c r="N264" i="2"/>
  <c r="I259" i="11"/>
  <c r="G259" i="11" s="1"/>
  <c r="I65" i="8"/>
  <c r="G66" i="12" s="1"/>
  <c r="F208" i="12"/>
  <c r="P210" i="2"/>
  <c r="N210" i="2"/>
  <c r="I207" i="11"/>
  <c r="G207" i="11" s="1"/>
  <c r="F25" i="12"/>
  <c r="J24" i="9"/>
  <c r="C129" i="3"/>
  <c r="P25" i="2"/>
  <c r="N25" i="2"/>
  <c r="I24" i="11"/>
  <c r="G24" i="11" s="1"/>
  <c r="I153" i="8"/>
  <c r="G155" i="12" s="1"/>
  <c r="J181" i="9"/>
  <c r="F182" i="12"/>
  <c r="C171" i="3"/>
  <c r="P184" i="2"/>
  <c r="N184" i="2"/>
  <c r="I181" i="11"/>
  <c r="G181" i="11" s="1"/>
  <c r="I136" i="8"/>
  <c r="G138" i="12" s="1"/>
  <c r="F119" i="12"/>
  <c r="J118" i="9"/>
  <c r="C173" i="3"/>
  <c r="P120" i="2"/>
  <c r="N120" i="2"/>
  <c r="I118" i="11"/>
  <c r="G118" i="11" s="1"/>
  <c r="I264" i="8"/>
  <c r="G266" i="12" s="1"/>
  <c r="I27" i="8"/>
  <c r="G28" i="12" s="1"/>
  <c r="F167" i="12"/>
  <c r="J166" i="9"/>
  <c r="N169" i="2"/>
  <c r="P169" i="2"/>
  <c r="C76" i="3"/>
  <c r="I166" i="11"/>
  <c r="G166" i="11" s="1"/>
  <c r="F178" i="12"/>
  <c r="J177" i="9"/>
  <c r="C104" i="3"/>
  <c r="P180" i="2"/>
  <c r="N180" i="2"/>
  <c r="I177" i="11"/>
  <c r="G177" i="11" s="1"/>
  <c r="F14" i="12"/>
  <c r="J13" i="9"/>
  <c r="C146" i="3"/>
  <c r="P14" i="2"/>
  <c r="N14" i="2"/>
  <c r="I13" i="11"/>
  <c r="G13" i="11" s="1"/>
  <c r="F269" i="12"/>
  <c r="J245" i="9"/>
  <c r="C42" i="3"/>
  <c r="P273" i="2"/>
  <c r="N273" i="2"/>
  <c r="I268" i="11"/>
  <c r="G268" i="11" s="1"/>
  <c r="I151" i="8"/>
  <c r="G153" i="12" s="1"/>
  <c r="F263" i="12"/>
  <c r="J239" i="9"/>
  <c r="P267" i="2"/>
  <c r="N267" i="2"/>
  <c r="C50" i="3"/>
  <c r="I262" i="11"/>
  <c r="G262" i="11" s="1"/>
  <c r="F81" i="12"/>
  <c r="J80" i="9"/>
  <c r="C182" i="3"/>
  <c r="N81" i="2"/>
  <c r="I80" i="11"/>
  <c r="G80" i="11" s="1"/>
  <c r="P81" i="2"/>
  <c r="F256" i="12"/>
  <c r="J232" i="9"/>
  <c r="C188" i="3"/>
  <c r="P260" i="2"/>
  <c r="N260" i="2"/>
  <c r="I255" i="11"/>
  <c r="G255" i="11" s="1"/>
  <c r="F232" i="12"/>
  <c r="J208" i="9"/>
  <c r="C23" i="3"/>
  <c r="P234" i="2"/>
  <c r="N234" i="2"/>
  <c r="I231" i="11"/>
  <c r="G231" i="11" s="1"/>
  <c r="F204" i="12"/>
  <c r="P206" i="2"/>
  <c r="N206" i="2"/>
  <c r="I203" i="11"/>
  <c r="G203" i="11" s="1"/>
  <c r="J164" i="9"/>
  <c r="F165" i="12"/>
  <c r="P167" i="2"/>
  <c r="C77" i="3"/>
  <c r="N167" i="2"/>
  <c r="I164" i="11"/>
  <c r="G164" i="11" s="1"/>
  <c r="J171" i="9"/>
  <c r="F172" i="12"/>
  <c r="C212" i="3"/>
  <c r="P174" i="2"/>
  <c r="N174" i="2"/>
  <c r="I171" i="11"/>
  <c r="G171" i="11" s="1"/>
  <c r="F145" i="12"/>
  <c r="J144" i="9"/>
  <c r="C80" i="3"/>
  <c r="P146" i="2"/>
  <c r="N146" i="2"/>
  <c r="I144" i="11"/>
  <c r="G144" i="11" s="1"/>
  <c r="F105" i="12"/>
  <c r="J104" i="9"/>
  <c r="C216" i="3"/>
  <c r="N105" i="2"/>
  <c r="P105" i="2"/>
  <c r="I104" i="11"/>
  <c r="G104" i="11" s="1"/>
  <c r="F209" i="12"/>
  <c r="N211" i="2"/>
  <c r="P211" i="2"/>
  <c r="I208" i="11"/>
  <c r="G208" i="11" s="1"/>
  <c r="J161" i="9"/>
  <c r="F162" i="12"/>
  <c r="C74" i="3"/>
  <c r="N163" i="2"/>
  <c r="P163" i="2"/>
  <c r="I161" i="11"/>
  <c r="G161" i="11" s="1"/>
  <c r="J244" i="9"/>
  <c r="F268" i="12"/>
  <c r="N272" i="2"/>
  <c r="P272" i="2"/>
  <c r="C47" i="3"/>
  <c r="I267" i="11"/>
  <c r="G267" i="11" s="1"/>
  <c r="I206" i="8"/>
  <c r="G208" i="12" s="1"/>
  <c r="J43" i="9"/>
  <c r="F44" i="12"/>
  <c r="C128" i="3"/>
  <c r="N44" i="2"/>
  <c r="P44" i="2"/>
  <c r="I43" i="11"/>
  <c r="G43" i="11" s="1"/>
  <c r="F46" i="12"/>
  <c r="J45" i="9"/>
  <c r="C138" i="3"/>
  <c r="P46" i="2"/>
  <c r="N46" i="2"/>
  <c r="I45" i="11"/>
  <c r="G45" i="11" s="1"/>
  <c r="I14" i="8"/>
  <c r="G15" i="12" s="1"/>
  <c r="F222" i="12"/>
  <c r="J198" i="9"/>
  <c r="C204" i="3"/>
  <c r="P224" i="2"/>
  <c r="N224" i="2"/>
  <c r="I221" i="11"/>
  <c r="G221" i="11" s="1"/>
  <c r="I118" i="8"/>
  <c r="G119" i="12" s="1"/>
  <c r="F194" i="12"/>
  <c r="J193" i="9"/>
  <c r="C193" i="3"/>
  <c r="P196" i="2"/>
  <c r="N196" i="2"/>
  <c r="I193" i="11"/>
  <c r="G193" i="11" s="1"/>
  <c r="I165" i="8"/>
  <c r="G167" i="12" s="1"/>
  <c r="I257" i="8"/>
  <c r="G259" i="12" s="1"/>
  <c r="F272" i="12"/>
  <c r="J248" i="9"/>
  <c r="C38" i="3"/>
  <c r="P276" i="2"/>
  <c r="N276" i="2"/>
  <c r="I271" i="11"/>
  <c r="G271" i="11" s="1"/>
  <c r="F49" i="12"/>
  <c r="J48" i="9"/>
  <c r="C144" i="3"/>
  <c r="N49" i="2"/>
  <c r="P49" i="2"/>
  <c r="I48" i="11"/>
  <c r="G48" i="11" s="1"/>
  <c r="I104" i="8"/>
  <c r="G105" i="12" s="1"/>
  <c r="F98" i="12"/>
  <c r="J97" i="9"/>
  <c r="C25" i="3"/>
  <c r="P98" i="2"/>
  <c r="N98" i="2"/>
  <c r="I97" i="11"/>
  <c r="G97" i="11" s="1"/>
  <c r="I89" i="8"/>
  <c r="G90" i="12" s="1"/>
  <c r="F180" i="12"/>
  <c r="J179" i="9"/>
  <c r="C26" i="3"/>
  <c r="N182" i="2"/>
  <c r="I179" i="11"/>
  <c r="G179" i="11" s="1"/>
  <c r="P182" i="2"/>
  <c r="F69" i="12"/>
  <c r="J68" i="9"/>
  <c r="C90" i="3"/>
  <c r="P69" i="2"/>
  <c r="N69" i="2"/>
  <c r="I68" i="11"/>
  <c r="G68" i="11" s="1"/>
  <c r="J29" i="9"/>
  <c r="F30" i="12"/>
  <c r="C134" i="3"/>
  <c r="P30" i="2"/>
  <c r="I29" i="11"/>
  <c r="G29" i="11" s="1"/>
  <c r="N30" i="2"/>
  <c r="I266" i="8"/>
  <c r="G268" i="12" s="1"/>
  <c r="F163" i="12"/>
  <c r="J162" i="9"/>
  <c r="C59" i="3"/>
  <c r="P165" i="2"/>
  <c r="N165" i="2"/>
  <c r="I162" i="11"/>
  <c r="G162" i="11" s="1"/>
  <c r="I180" i="8"/>
  <c r="G182" i="12" s="1"/>
  <c r="I191" i="8"/>
  <c r="G193" i="12" s="1"/>
  <c r="J134" i="9"/>
  <c r="F135" i="12"/>
  <c r="C89" i="3"/>
  <c r="P136" i="2"/>
  <c r="N136" i="2"/>
  <c r="I134" i="11"/>
  <c r="G134" i="11" s="1"/>
  <c r="F75" i="12"/>
  <c r="J74" i="9"/>
  <c r="C170" i="3"/>
  <c r="P75" i="2"/>
  <c r="I74" i="11"/>
  <c r="G74" i="11" s="1"/>
  <c r="N75" i="2"/>
  <c r="F18" i="12"/>
  <c r="J17" i="9"/>
  <c r="C119" i="3"/>
  <c r="P18" i="2"/>
  <c r="N18" i="2"/>
  <c r="I17" i="11"/>
  <c r="G17" i="11" s="1"/>
  <c r="I176" i="8"/>
  <c r="G178" i="12" s="1"/>
  <c r="I13" i="8"/>
  <c r="G14" i="12" s="1"/>
  <c r="I267" i="8"/>
  <c r="G269" i="12" s="1"/>
  <c r="I261" i="8"/>
  <c r="G263" i="12" s="1"/>
  <c r="F23" i="12"/>
  <c r="J22" i="9"/>
  <c r="C116" i="3"/>
  <c r="N23" i="2"/>
  <c r="P23" i="2"/>
  <c r="I22" i="11"/>
  <c r="G22" i="11" s="1"/>
  <c r="F141" i="12"/>
  <c r="J140" i="9"/>
  <c r="C101" i="3"/>
  <c r="P142" i="2"/>
  <c r="N142" i="2"/>
  <c r="I140" i="11"/>
  <c r="G140" i="11" s="1"/>
  <c r="J165" i="9"/>
  <c r="F166" i="12"/>
  <c r="P168" i="2"/>
  <c r="N168" i="2"/>
  <c r="C211" i="3"/>
  <c r="I165" i="11"/>
  <c r="G165" i="11" s="1"/>
  <c r="F89" i="12"/>
  <c r="J88" i="9"/>
  <c r="C103" i="3"/>
  <c r="P89" i="2"/>
  <c r="N89" i="2"/>
  <c r="I88" i="11"/>
  <c r="G88" i="11" s="1"/>
  <c r="F177" i="12"/>
  <c r="J176" i="9"/>
  <c r="C98" i="3"/>
  <c r="N179" i="2"/>
  <c r="P179" i="2"/>
  <c r="I176" i="11"/>
  <c r="G176" i="11" s="1"/>
  <c r="F169" i="12"/>
  <c r="J168" i="9"/>
  <c r="P171" i="2"/>
  <c r="N171" i="2"/>
  <c r="C210" i="3"/>
  <c r="I168" i="11"/>
  <c r="G168" i="11" s="1"/>
  <c r="C75" i="3"/>
  <c r="P164" i="2"/>
  <c r="N164" i="2"/>
  <c r="F94" i="12"/>
  <c r="J93" i="9"/>
  <c r="C20" i="3"/>
  <c r="P94" i="2"/>
  <c r="N94" i="2"/>
  <c r="I93" i="11"/>
  <c r="G93" i="11" s="1"/>
  <c r="F212" i="12"/>
  <c r="N214" i="2"/>
  <c r="P214" i="2"/>
  <c r="I211" i="11"/>
  <c r="G211" i="11" s="1"/>
  <c r="F160" i="12"/>
  <c r="J159" i="9"/>
  <c r="C72" i="3"/>
  <c r="P161" i="2"/>
  <c r="N161" i="2"/>
  <c r="I159" i="11"/>
  <c r="G159" i="11" s="1"/>
  <c r="F265" i="12"/>
  <c r="J241" i="9"/>
  <c r="N269" i="2"/>
  <c r="C52" i="3"/>
  <c r="P269" i="2"/>
  <c r="I264" i="11"/>
  <c r="G264" i="11" s="1"/>
  <c r="F39" i="12"/>
  <c r="J38" i="9"/>
  <c r="C122" i="3"/>
  <c r="P39" i="2"/>
  <c r="N39" i="2"/>
  <c r="I38" i="11"/>
  <c r="G38" i="11" s="1"/>
  <c r="F149" i="12"/>
  <c r="J148" i="9"/>
  <c r="N150" i="2"/>
  <c r="C61" i="3"/>
  <c r="P150" i="2"/>
  <c r="I148" i="11"/>
  <c r="G148" i="11" s="1"/>
  <c r="F114" i="12"/>
  <c r="J113" i="9"/>
  <c r="C207" i="3"/>
  <c r="N115" i="2"/>
  <c r="P115" i="2"/>
  <c r="I113" i="11"/>
  <c r="G113" i="11" s="1"/>
  <c r="I24" i="8"/>
  <c r="G25" i="12" s="1"/>
  <c r="J70" i="9"/>
  <c r="F71" i="12"/>
  <c r="C102" i="3"/>
  <c r="P71" i="2"/>
  <c r="N71" i="2"/>
  <c r="I70" i="11"/>
  <c r="G70" i="11" s="1"/>
  <c r="F51" i="12"/>
  <c r="J50" i="9"/>
  <c r="C149" i="3"/>
  <c r="P51" i="2"/>
  <c r="N51" i="2"/>
  <c r="I50" i="11"/>
  <c r="G50" i="11" s="1"/>
  <c r="I45" i="8"/>
  <c r="G46" i="12" s="1"/>
  <c r="I220" i="8"/>
  <c r="G222" i="12" s="1"/>
  <c r="F78" i="12"/>
  <c r="J77" i="9"/>
  <c r="C152" i="3"/>
  <c r="P78" i="2"/>
  <c r="N78" i="2"/>
  <c r="I77" i="11"/>
  <c r="G77" i="11" s="1"/>
  <c r="J240" i="9"/>
  <c r="F264" i="12"/>
  <c r="P268" i="2"/>
  <c r="N268" i="2"/>
  <c r="C51" i="3"/>
  <c r="I263" i="11"/>
  <c r="G263" i="11" s="1"/>
  <c r="I192" i="8"/>
  <c r="G194" i="12" s="1"/>
  <c r="I17" i="8"/>
  <c r="G18" i="12" s="1"/>
  <c r="J116" i="9"/>
  <c r="F117" i="12"/>
  <c r="C177" i="3"/>
  <c r="N118" i="2"/>
  <c r="P118" i="2"/>
  <c r="I116" i="11"/>
  <c r="G116" i="11" s="1"/>
  <c r="F171" i="12"/>
  <c r="J170" i="9"/>
  <c r="C82" i="3"/>
  <c r="P173" i="2"/>
  <c r="N173" i="2"/>
  <c r="I170" i="11"/>
  <c r="G170" i="11" s="1"/>
  <c r="I80" i="8"/>
  <c r="G81" i="12" s="1"/>
  <c r="F122" i="12"/>
  <c r="J121" i="9"/>
  <c r="C175" i="3"/>
  <c r="P123" i="2"/>
  <c r="N123" i="2"/>
  <c r="I121" i="11"/>
  <c r="G121" i="11" s="1"/>
  <c r="F211" i="12"/>
  <c r="P213" i="2"/>
  <c r="N213" i="2"/>
  <c r="I210" i="11"/>
  <c r="G210" i="11" s="1"/>
  <c r="J25" i="9"/>
  <c r="F26" i="12"/>
  <c r="C130" i="3"/>
  <c r="P26" i="2"/>
  <c r="N26" i="2"/>
  <c r="I25" i="11"/>
  <c r="G25" i="11" s="1"/>
  <c r="F200" i="12"/>
  <c r="P202" i="2"/>
  <c r="N202" i="2"/>
  <c r="I199" i="11"/>
  <c r="G199" i="11" s="1"/>
  <c r="F32" i="12"/>
  <c r="J31" i="9"/>
  <c r="C136" i="3"/>
  <c r="N32" i="2"/>
  <c r="P32" i="2"/>
  <c r="I31" i="11"/>
  <c r="G31" i="11" s="1"/>
  <c r="F72" i="12"/>
  <c r="J71" i="9"/>
  <c r="C153" i="3"/>
  <c r="P72" i="2"/>
  <c r="N72" i="2"/>
  <c r="I71" i="11"/>
  <c r="G71" i="11" s="1"/>
  <c r="F128" i="12"/>
  <c r="J127" i="9"/>
  <c r="C8" i="3"/>
  <c r="N129" i="2"/>
  <c r="P129" i="2"/>
  <c r="I127" i="11"/>
  <c r="G127" i="11" s="1"/>
  <c r="J155" i="9"/>
  <c r="F156" i="12"/>
  <c r="C68" i="3"/>
  <c r="P157" i="2"/>
  <c r="N157" i="2"/>
  <c r="I155" i="11"/>
  <c r="G155" i="11" s="1"/>
  <c r="F261" i="12"/>
  <c r="J237" i="9"/>
  <c r="P265" i="2"/>
  <c r="C162" i="3"/>
  <c r="N265" i="2"/>
  <c r="I260" i="11"/>
  <c r="G260" i="11" s="1"/>
  <c r="F104" i="12"/>
  <c r="J103" i="9"/>
  <c r="C19" i="3"/>
  <c r="P104" i="2"/>
  <c r="N104" i="2"/>
  <c r="I103" i="11"/>
  <c r="G103" i="11" s="1"/>
  <c r="I147" i="8"/>
  <c r="G149" i="12" s="1"/>
  <c r="I160" i="8"/>
  <c r="G162" i="12" s="1"/>
  <c r="F31" i="12"/>
  <c r="J30" i="9"/>
  <c r="C135" i="3"/>
  <c r="P31" i="2"/>
  <c r="N31" i="2"/>
  <c r="I30" i="11"/>
  <c r="G30" i="11" s="1"/>
  <c r="F202" i="12"/>
  <c r="P204" i="2"/>
  <c r="N204" i="2"/>
  <c r="I201" i="11"/>
  <c r="G201" i="11" s="1"/>
  <c r="F161" i="12"/>
  <c r="J160" i="9"/>
  <c r="C73" i="3"/>
  <c r="P162" i="2"/>
  <c r="N162" i="2"/>
  <c r="I160" i="11"/>
  <c r="G160" i="11" s="1"/>
  <c r="F76" i="12"/>
  <c r="J75" i="9"/>
  <c r="C154" i="3"/>
  <c r="P76" i="2"/>
  <c r="N76" i="2"/>
  <c r="I75" i="11"/>
  <c r="G75" i="11" s="1"/>
  <c r="F29" i="12"/>
  <c r="J28" i="9"/>
  <c r="C123" i="3"/>
  <c r="P29" i="2"/>
  <c r="N29" i="2"/>
  <c r="I28" i="11"/>
  <c r="G28" i="11" s="1"/>
  <c r="I70" i="8"/>
  <c r="G71" i="12" s="1"/>
  <c r="I133" i="8"/>
  <c r="G135" i="12" s="1"/>
  <c r="I74" i="8"/>
  <c r="G75" i="12" s="1"/>
  <c r="I116" i="8"/>
  <c r="G117" i="12" s="1"/>
  <c r="F118" i="12"/>
  <c r="J117" i="9"/>
  <c r="C176" i="3"/>
  <c r="P119" i="2"/>
  <c r="N119" i="2"/>
  <c r="I117" i="11"/>
  <c r="G117" i="11" s="1"/>
  <c r="F88" i="12"/>
  <c r="J87" i="9"/>
  <c r="C97" i="3"/>
  <c r="P88" i="2"/>
  <c r="I87" i="11"/>
  <c r="G87" i="11" s="1"/>
  <c r="N88" i="2"/>
  <c r="F154" i="12"/>
  <c r="J153" i="9"/>
  <c r="C66" i="3"/>
  <c r="P155" i="2"/>
  <c r="N155" i="2"/>
  <c r="I153" i="11"/>
  <c r="G153" i="11" s="1"/>
  <c r="I209" i="8"/>
  <c r="G211" i="12" s="1"/>
  <c r="F275" i="12"/>
  <c r="J251" i="9"/>
  <c r="C35" i="3"/>
  <c r="P279" i="2"/>
  <c r="N279" i="2"/>
  <c r="I274" i="11"/>
  <c r="G274" i="11" s="1"/>
  <c r="F144" i="12"/>
  <c r="J143" i="9"/>
  <c r="C208" i="3"/>
  <c r="P145" i="2"/>
  <c r="N145" i="2"/>
  <c r="I143" i="11"/>
  <c r="G143" i="11" s="1"/>
  <c r="F133" i="12"/>
  <c r="J132" i="9"/>
  <c r="C87" i="3"/>
  <c r="N134" i="2"/>
  <c r="P134" i="2"/>
  <c r="I132" i="11"/>
  <c r="G132" i="11" s="1"/>
  <c r="J146" i="9"/>
  <c r="F147" i="12"/>
  <c r="C60" i="3"/>
  <c r="N148" i="2"/>
  <c r="P148" i="2"/>
  <c r="I146" i="11"/>
  <c r="G146" i="11" s="1"/>
  <c r="J157" i="9"/>
  <c r="F158" i="12"/>
  <c r="C70" i="3"/>
  <c r="P159" i="2"/>
  <c r="N159" i="2"/>
  <c r="I157" i="11"/>
  <c r="G157" i="11" s="1"/>
  <c r="F281" i="12"/>
  <c r="J257" i="9"/>
  <c r="N285" i="2"/>
  <c r="C84" i="3"/>
  <c r="P285" i="2"/>
  <c r="I280" i="11"/>
  <c r="G280" i="11" s="1"/>
  <c r="I259" i="8"/>
  <c r="G261" i="12" s="1"/>
  <c r="F13" i="12"/>
  <c r="J12" i="9"/>
  <c r="C137" i="3"/>
  <c r="P13" i="2"/>
  <c r="N13" i="2"/>
  <c r="I12" i="11"/>
  <c r="G12" i="11" s="1"/>
  <c r="F16" i="12"/>
  <c r="J15" i="9"/>
  <c r="C140" i="3"/>
  <c r="N16" i="2"/>
  <c r="P16" i="2"/>
  <c r="I15" i="11"/>
  <c r="G15" i="11" s="1"/>
  <c r="I50" i="8"/>
  <c r="G51" i="12" s="1"/>
  <c r="F164" i="12"/>
  <c r="J163" i="9"/>
  <c r="C209" i="3"/>
  <c r="N166" i="2"/>
  <c r="P166" i="2"/>
  <c r="I163" i="11"/>
  <c r="G163" i="11" s="1"/>
  <c r="I77" i="8"/>
  <c r="G78" i="12" s="1"/>
  <c r="I262" i="8"/>
  <c r="G264" i="12" s="1"/>
  <c r="F205" i="12"/>
  <c r="P207" i="2"/>
  <c r="N207" i="2"/>
  <c r="I204" i="11"/>
  <c r="G204" i="11" s="1"/>
  <c r="J173" i="9"/>
  <c r="F174" i="12"/>
  <c r="C213" i="3"/>
  <c r="P176" i="2"/>
  <c r="N176" i="2"/>
  <c r="I173" i="11"/>
  <c r="G173" i="11" s="1"/>
  <c r="I121" i="8"/>
  <c r="G122" i="12" s="1"/>
  <c r="I152" i="8"/>
  <c r="G154" i="12" s="1"/>
  <c r="J172" i="9"/>
  <c r="F173" i="12"/>
  <c r="C83" i="3"/>
  <c r="P175" i="2"/>
  <c r="N175" i="2"/>
  <c r="I172" i="11"/>
  <c r="G172" i="11" s="1"/>
  <c r="F97" i="12"/>
  <c r="J96" i="9"/>
  <c r="C24" i="3"/>
  <c r="P97" i="2"/>
  <c r="N97" i="2"/>
  <c r="I96" i="11"/>
  <c r="G96" i="11" s="1"/>
  <c r="I142" i="8"/>
  <c r="G144" i="12" s="1"/>
  <c r="I156" i="8"/>
  <c r="G158" i="12" s="1"/>
  <c r="F101" i="12"/>
  <c r="J100" i="9"/>
  <c r="C191" i="3"/>
  <c r="P101" i="2"/>
  <c r="N101" i="2"/>
  <c r="I100" i="11"/>
  <c r="G100" i="11" s="1"/>
  <c r="F213" i="12"/>
  <c r="P215" i="2"/>
  <c r="N215" i="2"/>
  <c r="I212" i="11"/>
  <c r="G212" i="11" s="1"/>
  <c r="F257" i="12"/>
  <c r="J233" i="9"/>
  <c r="C190" i="3"/>
  <c r="P261" i="2"/>
  <c r="N261" i="2"/>
  <c r="I256" i="11"/>
  <c r="G256" i="11" s="1"/>
  <c r="F214" i="12"/>
  <c r="P216" i="2"/>
  <c r="N216" i="2"/>
  <c r="I213" i="11"/>
  <c r="G213" i="11" s="1"/>
  <c r="F48" i="12"/>
  <c r="J47" i="9"/>
  <c r="C147" i="3"/>
  <c r="P48" i="2"/>
  <c r="N48" i="2"/>
  <c r="I47" i="11"/>
  <c r="G47" i="11" s="1"/>
  <c r="I12" i="8"/>
  <c r="G13" i="12" s="1"/>
  <c r="I113" i="8"/>
  <c r="G114" i="12" s="1"/>
  <c r="I30" i="8"/>
  <c r="G31" i="12" s="1"/>
  <c r="J169" i="9"/>
  <c r="F170" i="12"/>
  <c r="C79" i="3"/>
  <c r="P172" i="2"/>
  <c r="N172" i="2"/>
  <c r="I169" i="11"/>
  <c r="G169" i="11" s="1"/>
  <c r="F151" i="12"/>
  <c r="J150" i="9"/>
  <c r="C63" i="3"/>
  <c r="P152" i="2"/>
  <c r="N152" i="2"/>
  <c r="I150" i="11"/>
  <c r="G150" i="11" s="1"/>
  <c r="F252" i="12"/>
  <c r="J228" i="9"/>
  <c r="N256" i="2"/>
  <c r="C202" i="3"/>
  <c r="P256" i="2"/>
  <c r="I251" i="11"/>
  <c r="G251" i="11" s="1"/>
  <c r="F186" i="12"/>
  <c r="J185" i="9"/>
  <c r="C18" i="3"/>
  <c r="P188" i="2"/>
  <c r="N188" i="2"/>
  <c r="I185" i="11"/>
  <c r="G185" i="11" s="1"/>
  <c r="I169" i="8"/>
  <c r="G171" i="12" s="1"/>
  <c r="I117" i="8"/>
  <c r="G118" i="12" s="1"/>
  <c r="I87" i="8"/>
  <c r="G88" i="12" s="1"/>
  <c r="F74" i="12"/>
  <c r="J73" i="9"/>
  <c r="C169" i="3"/>
  <c r="P74" i="2"/>
  <c r="N74" i="2"/>
  <c r="I73" i="11"/>
  <c r="G73" i="11" s="1"/>
  <c r="F111" i="12"/>
  <c r="J110" i="9"/>
  <c r="C218" i="3"/>
  <c r="P112" i="2"/>
  <c r="N112" i="2"/>
  <c r="I110" i="11"/>
  <c r="G110" i="11" s="1"/>
</calcChain>
</file>

<file path=xl/sharedStrings.xml><?xml version="1.0" encoding="utf-8"?>
<sst xmlns="http://schemas.openxmlformats.org/spreadsheetml/2006/main" count="19007" uniqueCount="2230">
  <si>
    <t>DISCIPLINA</t>
  </si>
  <si>
    <t>Nº DOCUMENTO EMPRESA</t>
  </si>
  <si>
    <t>NÚMERO CLIENTE</t>
  </si>
  <si>
    <t>TÍTULO</t>
  </si>
  <si>
    <t>DATA COMENTÁRIO</t>
  </si>
  <si>
    <t>TIPO COMENTÁRIO</t>
  </si>
  <si>
    <t>SITUAÇÃO</t>
  </si>
  <si>
    <t>SITUAÇÃO CHECK</t>
  </si>
  <si>
    <t>BL1132-0001-AI-DBA-2000</t>
  </si>
  <si>
    <t>BL1132-0001-AI-DBA-2001</t>
  </si>
  <si>
    <t>BL1132-0001-AI-DBA-2002</t>
  </si>
  <si>
    <t>BL1132-0001-AI-DIN-2000</t>
  </si>
  <si>
    <t>BL1132-0001-AI-DIN-2001</t>
  </si>
  <si>
    <t>BL1132-0001-AI-DIN-2002</t>
  </si>
  <si>
    <t>BL1132-0001-AI-DIN-2003</t>
  </si>
  <si>
    <t>BL1132-0001-AI-DPR-2002</t>
  </si>
  <si>
    <t>BL1132-0001-AI-DPR-2003</t>
  </si>
  <si>
    <t>BL1132-0001-AI-DPR-2004</t>
  </si>
  <si>
    <t>BL1132-0001-AI-DPR-2005</t>
  </si>
  <si>
    <t>BL1132-0001-AI-DPR-2006</t>
  </si>
  <si>
    <t>BL1132-0001-AI-DPR-2007</t>
  </si>
  <si>
    <t>BL1132-0001-AI-DPR-2008</t>
  </si>
  <si>
    <t>BL1132-0001-AI-ETE-2001</t>
  </si>
  <si>
    <t>BL1132-0001-AI-ETE-2002</t>
  </si>
  <si>
    <t>BL1132-0001-AI-ETE-2003</t>
  </si>
  <si>
    <t>BL1132-0001-AI-ETE-2004</t>
  </si>
  <si>
    <t>BL1132-0001-AI-FDA-2000</t>
  </si>
  <si>
    <t>BL1132-0001-AI-FDA-2001</t>
  </si>
  <si>
    <t>BL1132-0001-AI-FDA-2002</t>
  </si>
  <si>
    <t>BL1132-0001-AI-FDA-2003</t>
  </si>
  <si>
    <t>BL1132-0001-AI-FDA-2004</t>
  </si>
  <si>
    <t>BL1132-0001-AI-FDA-2005</t>
  </si>
  <si>
    <t>BL1132-0001-AI-FDA-2006</t>
  </si>
  <si>
    <t>BL1132-0001-AI-FDA-2007</t>
  </si>
  <si>
    <t>BL1132-0001-AI-FDA-2008</t>
  </si>
  <si>
    <t>BL1132-0001-AI-FDA-2009</t>
  </si>
  <si>
    <t>BL1132-0001-AI-FDA-2010</t>
  </si>
  <si>
    <t>BL1132-0001-AI-FDA-2011</t>
  </si>
  <si>
    <t>BL1132-0001-AI-FDA-2012</t>
  </si>
  <si>
    <t>BL1132-0001-AI-FDA-2013</t>
  </si>
  <si>
    <t>BL1132-0001-AI-FDA-2014</t>
  </si>
  <si>
    <t>BL1132-0001-AI-FDA-2015</t>
  </si>
  <si>
    <t>BL1132-0001-AI-FDA-2016</t>
  </si>
  <si>
    <t>BL1132-0001-AI-FDA-2017</t>
  </si>
  <si>
    <t>BL1132-0001-AI-FDA-2018</t>
  </si>
  <si>
    <t>BL1132-0001-AI-FDA-2019</t>
  </si>
  <si>
    <t>BL1132-0001-AI-FDA-2020</t>
  </si>
  <si>
    <t>BL1132-0001-AI-FDA-2021</t>
  </si>
  <si>
    <t>BL1132-0001-AI-FDA-2022</t>
  </si>
  <si>
    <t>BL1132-0001-AI-FDA-2023</t>
  </si>
  <si>
    <t>BL1132-0001-AI-FDA-2024</t>
  </si>
  <si>
    <t>BL1132-0001-AI-FDA-2025</t>
  </si>
  <si>
    <t>BL1132-0001-AI-FDA-2026</t>
  </si>
  <si>
    <t>BL1132-0001-AI-FDA-2027</t>
  </si>
  <si>
    <t>BL1132-0001-AI-FDA-2028</t>
  </si>
  <si>
    <t>BL1132-0001-AI-FDA-2029</t>
  </si>
  <si>
    <t>BL1132-0001-AI-FDA-2030</t>
  </si>
  <si>
    <t>BL1132-0001-AI-FDA-2031</t>
  </si>
  <si>
    <t>BL1132-0001-AI-FDA-2032</t>
  </si>
  <si>
    <t>BL1132-0001-AI-FDA-2033</t>
  </si>
  <si>
    <t>BL1132-0001-AI-FDA-2034</t>
  </si>
  <si>
    <t>BL1132-0001-AI-FDA-2035</t>
  </si>
  <si>
    <t>BL1132-0001-AI-FDA-2036</t>
  </si>
  <si>
    <t>BL1132-0001-AI-FDA-2037</t>
  </si>
  <si>
    <t>BL1132-0001-AI-LEI-2000</t>
  </si>
  <si>
    <t>BL1132-0001-AI-LEI-2001</t>
  </si>
  <si>
    <t>BL1132-0001-AI-LEI-2002</t>
  </si>
  <si>
    <t>BL1132-0001-AI-LEI-2004</t>
  </si>
  <si>
    <t>BL1132-0001-AI-LEI-2005</t>
  </si>
  <si>
    <t>BL1132-0001-AI-LEI-2006</t>
  </si>
  <si>
    <t>BL1132-0001-AI-RES-2000</t>
  </si>
  <si>
    <t>BL1132-0001-AI-RES-2001</t>
  </si>
  <si>
    <t>BL1132-0001-AR-CPR-2000</t>
  </si>
  <si>
    <t>BL1132-0001-AR-DBA-2000</t>
  </si>
  <si>
    <t>BL1132-0001-AR-DBA-2001</t>
  </si>
  <si>
    <t>BL1132-0001-AR-DBA-2002</t>
  </si>
  <si>
    <t>BL1132-0001-AR-DBA-2003</t>
  </si>
  <si>
    <t>BL1132-0001-AR-DBA-2004</t>
  </si>
  <si>
    <t>BL1132-0001-AR-DBA-2005</t>
  </si>
  <si>
    <t>BL1132-0001-AR-DBA-2006</t>
  </si>
  <si>
    <t>BL1132-0001-AR-PQU-2000</t>
  </si>
  <si>
    <t>BL1132-0001-AR-PQU-2001</t>
  </si>
  <si>
    <t>BL1132-0001-AR-RTE-2000</t>
  </si>
  <si>
    <t>BL1132-0001-CC-DBA-2000</t>
  </si>
  <si>
    <t>BL1132-0001-CC-DBA-2001</t>
  </si>
  <si>
    <t>BL1132-0001-CC-DBA-2002</t>
  </si>
  <si>
    <t>BL1132-0001-CC-DBA-2003</t>
  </si>
  <si>
    <t>BL1132-0001-CC-DBA-2004</t>
  </si>
  <si>
    <t>BL1132-0001-CC-DBA-2005</t>
  </si>
  <si>
    <t>BL1132-0001-CC-DBA-2006</t>
  </si>
  <si>
    <t>BL1132-0001-CC-DBA-2007</t>
  </si>
  <si>
    <t>BL1132-0001-CC-MCA-2000</t>
  </si>
  <si>
    <t>BL1132-0001-CC-MCA-2001</t>
  </si>
  <si>
    <t>BL1132-0001-CC-MCA-2002</t>
  </si>
  <si>
    <t>BL1132-0001-CC-MCA-2003</t>
  </si>
  <si>
    <t>BL1132-0001-CC-MCA-2004</t>
  </si>
  <si>
    <t>BL1132-0001-CC-MCA-2005</t>
  </si>
  <si>
    <t>BL1132-0001-CC-MCA-2006</t>
  </si>
  <si>
    <t>BL1132-0001-CC-MCA-2009</t>
  </si>
  <si>
    <t>BL1132-0001-CC-MCA-2010</t>
  </si>
  <si>
    <t>BL1132-0001-CC-MCA-2011</t>
  </si>
  <si>
    <t>BL1132-0001-CC-MCA-2012</t>
  </si>
  <si>
    <t>BL1132-0001-CC-MCA-2108</t>
  </si>
  <si>
    <t>BL1132-0001-CC-MCA-2109</t>
  </si>
  <si>
    <t>BL1132-0001-CC-MCA-2110</t>
  </si>
  <si>
    <t>BL1132-0001-CC-MCA-2111</t>
  </si>
  <si>
    <t>BL1132-0001-CC-MCA-2112</t>
  </si>
  <si>
    <t>BL1132-0001-CC-MCA-2113</t>
  </si>
  <si>
    <t>BL1132-0001-CC-MCA-2114</t>
  </si>
  <si>
    <t>BL1132-0001-CC-MCA-2115</t>
  </si>
  <si>
    <t>BL1132-0001-CC-MCA-2116</t>
  </si>
  <si>
    <t>BL1132-0001-CC-MCA-2117</t>
  </si>
  <si>
    <t>BL1132-0001-CC-MCA-2118</t>
  </si>
  <si>
    <t>BL1132-0001-CC-MCA-2119</t>
  </si>
  <si>
    <t>BL1132-0001-CC-MDE-2000</t>
  </si>
  <si>
    <t>BL1132-0001-CC-PQU-2001</t>
  </si>
  <si>
    <t>BL1132-0001-CC-PQU-2002</t>
  </si>
  <si>
    <t>BL1132-0001-CI-DBA-2000</t>
  </si>
  <si>
    <t>BL1132-0001-CI-DBA-2001</t>
  </si>
  <si>
    <t>BL1132-0001-CI-MCA-2000</t>
  </si>
  <si>
    <t>BL1132-0001-CI-MCA-2002</t>
  </si>
  <si>
    <t>BL1132-0001-CI-MCA-2003</t>
  </si>
  <si>
    <t>BL1132-0001-CI-MCA-2004</t>
  </si>
  <si>
    <t>BL1132-0001-CI-MCA-2005</t>
  </si>
  <si>
    <t>BL1132-0001-CI-MCA-2006</t>
  </si>
  <si>
    <t>BL1132-0001-CI-PQU-2000</t>
  </si>
  <si>
    <t>BL1132-0001-CI-PQU-2001</t>
  </si>
  <si>
    <t>BL1132-0001-CI-RTE-2000</t>
  </si>
  <si>
    <t>BL1132-0001-CI-RTE-2001</t>
  </si>
  <si>
    <t>BL1132-0001-DC-LDO-2000</t>
  </si>
  <si>
    <t>BL1132-0001-ED-MOD-2000</t>
  </si>
  <si>
    <t>BL1132-0001-ED-RTE-2000</t>
  </si>
  <si>
    <t>BL1132-0001-ED-RTE-2001</t>
  </si>
  <si>
    <t>BL1132-0001-ED-RTE-2002</t>
  </si>
  <si>
    <t>BL1132-0001-EL-DUN-2000</t>
  </si>
  <si>
    <t>BL1132-0001-EL-DUN-2001</t>
  </si>
  <si>
    <t>BL1132-0001-EL-DUN-2002</t>
  </si>
  <si>
    <t>BL1132-0001-EL-DUN-2003</t>
  </si>
  <si>
    <t>BL1132-0001-EL-DUN-2004</t>
  </si>
  <si>
    <t>BL1132-0001-EL-DUN-2005</t>
  </si>
  <si>
    <t>BL1132-0001-EL-DUN-2006</t>
  </si>
  <si>
    <t>BL1132-0001-EL-DUN-2007</t>
  </si>
  <si>
    <t>BL1132-0001-EL-DUN-2008</t>
  </si>
  <si>
    <t>BL1132-0001-EL-DUN-2009</t>
  </si>
  <si>
    <t>BL1132-0001-EL-DUN-2010</t>
  </si>
  <si>
    <t>BL1132-0001-EL-DUN-2011</t>
  </si>
  <si>
    <t>BL1132-0001-EL-DUN-2012</t>
  </si>
  <si>
    <t>BL1132-0001-EL-EDP-2000</t>
  </si>
  <si>
    <t>BL1132-0001-EL-EDP-2002</t>
  </si>
  <si>
    <t>BL1132-0001-EL-ETE-2000</t>
  </si>
  <si>
    <t>BL1132-0001-EL-ETE-2001</t>
  </si>
  <si>
    <t>BL1132-0001-EL-FDA-2001</t>
  </si>
  <si>
    <t>BL1132-0001-EL-FDA-2002</t>
  </si>
  <si>
    <t>BL1132-0001-EL-FDA-2003</t>
  </si>
  <si>
    <t>BL1132-0001-EL-FDA-2004</t>
  </si>
  <si>
    <t>BL1132-0001-EL-FDA-2005</t>
  </si>
  <si>
    <t>BL1132-0001-EL-FDA-2006</t>
  </si>
  <si>
    <t>BL1132-0001-EL-FDA-2007</t>
  </si>
  <si>
    <t>BL1132-0001-EL-FDA-2008</t>
  </si>
  <si>
    <t>BL1132-0001-EL-FDA-2009</t>
  </si>
  <si>
    <t>BL1132-0001-EL-FDA-2010</t>
  </si>
  <si>
    <t>BL1132-0001-EL-FDA-2011</t>
  </si>
  <si>
    <t>BL1132-0001-EL-FDA-2012</t>
  </si>
  <si>
    <t>BL1132-0001-EL-FDA-2013</t>
  </si>
  <si>
    <t>BL1132-0001-EL-FDA-2014</t>
  </si>
  <si>
    <t>BL1132-0001-EL-FDA-2015</t>
  </si>
  <si>
    <t>BL1132-0001-EL-FDA-2016</t>
  </si>
  <si>
    <t>BL1132-0001-EL-LEI-2001</t>
  </si>
  <si>
    <t>BL1132-0001-EL-LEI-2002</t>
  </si>
  <si>
    <t>BL1132-0001-EL-LLC-2000</t>
  </si>
  <si>
    <t>BL1132-0001-EL-LLC-2002</t>
  </si>
  <si>
    <t>BL1132-0001-EL-MCA-2000</t>
  </si>
  <si>
    <t>BL1132-0001-EL-MCA-2001</t>
  </si>
  <si>
    <t>BL1132-0001-EL-MCA-2002</t>
  </si>
  <si>
    <t>BL1132-0001-EL-MCA-2003</t>
  </si>
  <si>
    <t>BL1132-0001-EL-MDE-2000</t>
  </si>
  <si>
    <t>BL1132-0001-EL-MDE-2002</t>
  </si>
  <si>
    <t>BL1132-0001-EL-PQU-2000</t>
  </si>
  <si>
    <t>BL1132-0001-EL-PQU-2001</t>
  </si>
  <si>
    <t>BL1132-0001-EL-RTE-2000</t>
  </si>
  <si>
    <t>BL1132-0001-EM-MCA-2000</t>
  </si>
  <si>
    <t>BL1132-0001-EM-MCA-2001</t>
  </si>
  <si>
    <t>BL1132-0001-EM-MCA-2002</t>
  </si>
  <si>
    <t>BL1132-0001-EM-MCA-2003</t>
  </si>
  <si>
    <t>BL1132-0001-EM-MCA-2007</t>
  </si>
  <si>
    <t>BL1132-0001-EM-MCA-2008</t>
  </si>
  <si>
    <t>BL1132-0001-EM-MCA-2009</t>
  </si>
  <si>
    <t>BL1132-0001-EM-MCA-2010</t>
  </si>
  <si>
    <t>BL1132-0001-EM-MCA-2011</t>
  </si>
  <si>
    <t>BL1132-0001-EM-MCA-2012</t>
  </si>
  <si>
    <t>BL1132-0001-EM-MCA-2013</t>
  </si>
  <si>
    <t>BL1132-0001-EM-MCA-2014</t>
  </si>
  <si>
    <t>BL1132-0001-EM-MCA-2015</t>
  </si>
  <si>
    <t>BL1132-0001-EM-MCA-2016</t>
  </si>
  <si>
    <t>BL1132-0001-EM-MCA-2017</t>
  </si>
  <si>
    <t>BL1132-0001-EM-MCA-2018</t>
  </si>
  <si>
    <t>BL1132-0001-EM-MCA-3000</t>
  </si>
  <si>
    <t>BL1132-0001-EM-PQU-2000</t>
  </si>
  <si>
    <t>BL1132-0001-EM-PQU-2001</t>
  </si>
  <si>
    <t>BL1132-0001-EM-RTE-2000</t>
  </si>
  <si>
    <t>BL1132-0001-GE-ATA-2000</t>
  </si>
  <si>
    <t>BL1132-0001-GE-ATA-2001</t>
  </si>
  <si>
    <t>BL1132-0001-GE-ATA-2002</t>
  </si>
  <si>
    <t>BL1132-0001-GE-ATA-2003</t>
  </si>
  <si>
    <t>BL1132-0001-GE-ATA-2004</t>
  </si>
  <si>
    <t>BL1132-0001-GE-ATA-2005</t>
  </si>
  <si>
    <t>BL1132-0001-GE-ATA-2006</t>
  </si>
  <si>
    <t>BL1132-0001-GE-ATA-2007</t>
  </si>
  <si>
    <t>BL1132-0001-GE-ATA-2008</t>
  </si>
  <si>
    <t>BL1132-0001-GE-ATA-2009</t>
  </si>
  <si>
    <t>BL1132-0001-GE-ATA-2010</t>
  </si>
  <si>
    <t>BL1132-0001-GE-ATA-2011</t>
  </si>
  <si>
    <t>BL1132-0001-GE-ATA-2012</t>
  </si>
  <si>
    <t>BL1132-0001-GE-ATA-2013</t>
  </si>
  <si>
    <t>BL1132-0001-GE-ATA-2014</t>
  </si>
  <si>
    <t>BL1132-0001-GE-ATA-2015</t>
  </si>
  <si>
    <t>BL1132-0001-GE-ATA-2016</t>
  </si>
  <si>
    <t>BL1132-0001-GE-ATA-2017</t>
  </si>
  <si>
    <t>BL1132-0001-GE-ATA-2018</t>
  </si>
  <si>
    <t>BL1132-0001-GE-ATA-2019</t>
  </si>
  <si>
    <t>BL1132-0001-GP-ATA-2000</t>
  </si>
  <si>
    <t>BL1132-0001-GP-ATA-2001</t>
  </si>
  <si>
    <t>BL1132-0001-GP-ATA-2002</t>
  </si>
  <si>
    <t>BL1132-0001-GP-NCO-2000</t>
  </si>
  <si>
    <t>BL1132-0001-GP-RTE-2000</t>
  </si>
  <si>
    <t>BL1132-0001-ME-ARJ-2000</t>
  </si>
  <si>
    <t>BL1132-0001-ME-ARJ-2001</t>
  </si>
  <si>
    <t>BL1132-0001-ME-ETE-2000</t>
  </si>
  <si>
    <t>BL1132-0001-ME-ETE-2001</t>
  </si>
  <si>
    <t>BL1132-0001-ME-ETE-2005</t>
  </si>
  <si>
    <t>BL1132-0001-ME-ETE-2006</t>
  </si>
  <si>
    <t>BL1132-0001-ME-ETE-2007</t>
  </si>
  <si>
    <t>BL1132-0001-ME-FDA-2000</t>
  </si>
  <si>
    <t>BL1132-0001-ME-FDA-2001</t>
  </si>
  <si>
    <t>BL1132-0001-ME-FDA-2002</t>
  </si>
  <si>
    <t>BL1132-0001-ME-FDA-2003</t>
  </si>
  <si>
    <t>BL1132-0001-ME-FDA-2004</t>
  </si>
  <si>
    <t>BL1132-0001-ME-FDA-2005</t>
  </si>
  <si>
    <t>BL1132-0001-ME-LEI-2000</t>
  </si>
  <si>
    <t>BL1132-0001-ME-MCA-2000</t>
  </si>
  <si>
    <t>BL1132-0001-ME-MCA-2002</t>
  </si>
  <si>
    <t>BL1132-0001-ME-MCA-2003</t>
  </si>
  <si>
    <t>BL1132-0001-ME-MCA-2005</t>
  </si>
  <si>
    <t>BL1132-0001-ME-MCA-2007</t>
  </si>
  <si>
    <t>BL1132-0001-ME-PBC-2000</t>
  </si>
  <si>
    <t>BL1132-0001-ME-PBC-2001</t>
  </si>
  <si>
    <t>BL1132-0001-ME-PBC-2002</t>
  </si>
  <si>
    <t>BL1132-0001-ME-PBC-2003</t>
  </si>
  <si>
    <t>BL1132-0001-ME-PBC-2004</t>
  </si>
  <si>
    <t>BL1132-0001-ME-PBC-2005</t>
  </si>
  <si>
    <t>BL1132-0001-ME-PBC-2006</t>
  </si>
  <si>
    <t>BL1132-0001-ME-PBC-2007</t>
  </si>
  <si>
    <t>BL1132-0001-ME-PBC-2008</t>
  </si>
  <si>
    <t>BL1132-0001-ME-PBC-2009</t>
  </si>
  <si>
    <t>BL1132-0001-ME-PQU-2000</t>
  </si>
  <si>
    <t>BL1132-0001-ME-PQU-2001</t>
  </si>
  <si>
    <t>BL1132-0001-ME-PQU-2002</t>
  </si>
  <si>
    <t>BL1132-0001-PC-CRO-2000</t>
  </si>
  <si>
    <t>BL1132-0001-TU-ETE-2000</t>
  </si>
  <si>
    <t>BL1132-0001-TU-LMA-2000</t>
  </si>
  <si>
    <t>BL1132-0001-TU-MCA-2000</t>
  </si>
  <si>
    <t>BL1132-0001-TU-PQU-2000</t>
  </si>
  <si>
    <t>BL1132-0001-UT-ETE-2000</t>
  </si>
  <si>
    <t>BL1132-0001-UT-ETE-2001</t>
  </si>
  <si>
    <t>BL1132-0001-UT-FDA-2000</t>
  </si>
  <si>
    <t>BL1132-0001-UT-FEN-2000</t>
  </si>
  <si>
    <t>BL1132-0001-UT-FEN-2001</t>
  </si>
  <si>
    <t>BL1132-0001-UT-FEN-2002</t>
  </si>
  <si>
    <t>BL1132-0001-UT-FEN-2003</t>
  </si>
  <si>
    <t>BL1132-0001-UT-FEN-2004</t>
  </si>
  <si>
    <t>BL1132-0001-UT-FEN-2005</t>
  </si>
  <si>
    <t>BL1132-0001-UT-FEN-2006</t>
  </si>
  <si>
    <t>BL1132-0001-UT-FEN-2007</t>
  </si>
  <si>
    <t>BL1132-0001-UT-FEN-2008</t>
  </si>
  <si>
    <t>BL1132-0001-UT-FEN-2009</t>
  </si>
  <si>
    <t>BL1132-0001-UT-FEN-2010</t>
  </si>
  <si>
    <t>BL1132-0001-UT-FEN-2011</t>
  </si>
  <si>
    <t>BL1132-0001-UT-FEN-2012</t>
  </si>
  <si>
    <t>BL1132-0001-UT-FEN-2013</t>
  </si>
  <si>
    <t>BL1132-0001-UT-LLC-2000</t>
  </si>
  <si>
    <t>BL1132-0001-UT-MCA-2000</t>
  </si>
  <si>
    <t>BL1132-0001-UT-MCA-2001</t>
  </si>
  <si>
    <t>BL1132-0001-UT-MCA-2002</t>
  </si>
  <si>
    <t>BL1132-0001-UT-MCA-2003</t>
  </si>
  <si>
    <t>BL1132-0001-UT-MCA-2004</t>
  </si>
  <si>
    <t>BL1132-0001-UT-MCA-2005</t>
  </si>
  <si>
    <t>BL1132-0001-UT-RTE-2000</t>
  </si>
  <si>
    <t>(Atualização de Carga)                                                     LISTA DE DOCUMENTOS</t>
  </si>
  <si>
    <t>ITEM</t>
  </si>
  <si>
    <t>OSE</t>
  </si>
  <si>
    <t>TIPO DOCUMENTO</t>
  </si>
  <si>
    <t>REVDOC_ID</t>
  </si>
  <si>
    <t>REV.: EMPRESA</t>
  </si>
  <si>
    <t>Nº DOCUMENTO CLIENTE</t>
  </si>
  <si>
    <t>REV.: CLIENTE</t>
  </si>
  <si>
    <t>FORMATO</t>
  </si>
  <si>
    <t>A1EQ</t>
  </si>
  <si>
    <t>FOLHAS</t>
  </si>
  <si>
    <t>AVANÇO FÍSICO</t>
  </si>
  <si>
    <t>FINALIDADE</t>
  </si>
  <si>
    <t>TITULO 1</t>
  </si>
  <si>
    <t>TITULO 2</t>
  </si>
  <si>
    <t>TITULO 3</t>
  </si>
  <si>
    <t>TITULO 4</t>
  </si>
  <si>
    <t>TITULO 5</t>
  </si>
  <si>
    <t>Nº GRD EMISSÃO</t>
  </si>
  <si>
    <t>DATA GRD EMISSÃO</t>
  </si>
  <si>
    <t>FINALIDADE RETORNO</t>
  </si>
  <si>
    <t>DATA COMENTARIO CLIENTE</t>
  </si>
  <si>
    <t>STATUS DO DOCUMENTO (Incluído, Conforme Aprovado ou Cancelado)</t>
  </si>
  <si>
    <t>ITEM ESPEC. COD.</t>
  </si>
  <si>
    <t>ID CRONOGRAMA</t>
  </si>
  <si>
    <t>INICIO BL</t>
  </si>
  <si>
    <t>EM. INICIAL BL</t>
  </si>
  <si>
    <t>INÍCIO TENDÊNCIA</t>
  </si>
  <si>
    <t>EMISSÃO INICIAL TENDÊNCIA</t>
  </si>
  <si>
    <t>RETORNO CLIENTE</t>
  </si>
  <si>
    <t>EMISSÃO FINAL TENDÊNCIA</t>
  </si>
  <si>
    <t>INICIO REAL</t>
  </si>
  <si>
    <t>REV SE</t>
  </si>
  <si>
    <t>FORMATO BL</t>
  </si>
  <si>
    <t>Nº FOLHAS BL</t>
  </si>
  <si>
    <t>A1EQ BL</t>
  </si>
  <si>
    <t>DATA PERÍODO DE MEDIÇÃO</t>
  </si>
  <si>
    <t>DATA AUXILIAR 1</t>
  </si>
  <si>
    <t>DATA AUXILIAR 2</t>
  </si>
  <si>
    <t>LOCAL</t>
  </si>
  <si>
    <t>ITEM MEDIÇÃO</t>
  </si>
  <si>
    <t>AVANÇO FINANCEIRO</t>
  </si>
  <si>
    <t>AVANÇO FINANCEIRO ACUMULADO</t>
  </si>
  <si>
    <t>HORAS BL</t>
  </si>
  <si>
    <t>HORAS EXECUTADAS</t>
  </si>
  <si>
    <t>R$ BL</t>
  </si>
  <si>
    <t>R$ REAL</t>
  </si>
  <si>
    <t>OBSERVAÇÃO</t>
  </si>
  <si>
    <t>PROVEDOR EXTERNO</t>
  </si>
  <si>
    <t>STATUS PENDÊNCIA</t>
  </si>
  <si>
    <t>PENDÊNCIA</t>
  </si>
  <si>
    <t>ORIGEM DOC</t>
  </si>
  <si>
    <t>STATUS EXECUÇÂO</t>
  </si>
  <si>
    <t>DATA PREVISTA EMISSÃO</t>
  </si>
  <si>
    <t>AI - Automacao E Instrumentacao</t>
  </si>
  <si>
    <t>DPR - Diagrama De Projeto</t>
  </si>
  <si>
    <t>93b23800-e180-492f-b873-8073e0dc14dd</t>
  </si>
  <si>
    <t>DE-A1-2000-J-PB-0002</t>
  </si>
  <si>
    <t>carol</t>
  </si>
  <si>
    <t>58f7e9fc-748a-4e5b-aee0-21bd92766a9a</t>
  </si>
  <si>
    <t>DE-A1-2000-J-PB-0003</t>
  </si>
  <si>
    <t>A1</t>
  </si>
  <si>
    <t>PROJETO BÁSICO</t>
  </si>
  <si>
    <t>SISTEMA AUTOMAÇÃO/COMUM</t>
  </si>
  <si>
    <t>DIAGRAMA DE CONFIGURAÇÃO SAS/SGE</t>
  </si>
  <si>
    <t>Conforme Proposto</t>
  </si>
  <si>
    <t>731</t>
  </si>
  <si>
    <t>Belo Horizonte</t>
  </si>
  <si>
    <t>N.A</t>
  </si>
  <si>
    <t>8:00</t>
  </si>
  <si>
    <t>N/A - NÃO SE APLICA</t>
  </si>
  <si>
    <t>2D</t>
  </si>
  <si>
    <t>A</t>
  </si>
  <si>
    <t>a8dbe6d4-e801-4fb6-b2a3-5150eecfb749</t>
  </si>
  <si>
    <t>DE-A1-2000-J-PB-0004</t>
  </si>
  <si>
    <t>OUTROS SISTEMAS</t>
  </si>
  <si>
    <t xml:space="preserve">DIAGRAMA DE CONFIGURAÇÃO DE TELECOM </t>
  </si>
  <si>
    <t>SDACI</t>
  </si>
  <si>
    <t>849</t>
  </si>
  <si>
    <t>c31b4d58-bf1b-436a-ae07-75cfb2d0c3fb</t>
  </si>
  <si>
    <t>DE-A1-2000-J-PB-0005</t>
  </si>
  <si>
    <t>REDE DE DADOS E TELEFONIA</t>
  </si>
  <si>
    <t>900</t>
  </si>
  <si>
    <t>6f79b2a4-dfeb-4c1a-9ca8-1cd80491b052</t>
  </si>
  <si>
    <t>DE-A1-2000-J-PB-0006</t>
  </si>
  <si>
    <t>DIAGRAMA DE CONFIGURAÇÃO DE TELECOM</t>
  </si>
  <si>
    <t>SEGURANÇA PATRIMONIAL</t>
  </si>
  <si>
    <t>Inserido</t>
  </si>
  <si>
    <t>882</t>
  </si>
  <si>
    <t>08771502-7214-4041-ab84-fdcee2a18e3e</t>
  </si>
  <si>
    <t>DE-A1-2000-J-PB-0007</t>
  </si>
  <si>
    <t>CFTV PROCESSO</t>
  </si>
  <si>
    <t>867</t>
  </si>
  <si>
    <t>4641aae2-a3f0-4e7e-a3c8-4cadbd3dfe80</t>
  </si>
  <si>
    <t>DE-A1-2006-J-PB-0001</t>
  </si>
  <si>
    <t>BACKBONE TI</t>
  </si>
  <si>
    <t>910</t>
  </si>
  <si>
    <t>ETE - Especificação Técnica</t>
  </si>
  <si>
    <t>6f4a2f84-aa94-4289-94d8-d52485445ebd</t>
  </si>
  <si>
    <t>ET-A1-2000-J-PB-0002</t>
  </si>
  <si>
    <t>A4</t>
  </si>
  <si>
    <t>SISTEMA DE AUTOMAÇÃO/OUTROS SISTEMAS</t>
  </si>
  <si>
    <t>ESPECIFICAÇÃO TÉCNICA</t>
  </si>
  <si>
    <t>SISTEMA DE CONTROLE E AUTOMAÇÃO</t>
  </si>
  <si>
    <t>756</t>
  </si>
  <si>
    <t>f3aa54ea-2f58-4ae8-a85a-1466608c1d05</t>
  </si>
  <si>
    <t>ET-A1-2006-J-PB-0002</t>
  </si>
  <si>
    <t>859</t>
  </si>
  <si>
    <t>13d81575-8b3b-4ab2-9195-7d00258274e4</t>
  </si>
  <si>
    <t>ET-A1-2006-J-PB-0004</t>
  </si>
  <si>
    <t>892</t>
  </si>
  <si>
    <t>413ef93f-e0a7-499a-8866-1d31806ce52e</t>
  </si>
  <si>
    <t>ET-A1-2007-J-PB-0001</t>
  </si>
  <si>
    <t>MONITORAMENTO DE PROCESSO - CFTV</t>
  </si>
  <si>
    <t>CFTV DE PROCESSO</t>
  </si>
  <si>
    <t>877</t>
  </si>
  <si>
    <t>FDA - Folha De Dados</t>
  </si>
  <si>
    <t>d100465d-5452-46bf-8060-843afa91e71a</t>
  </si>
  <si>
    <t>FD-A1-2000-J-PB-0001</t>
  </si>
  <si>
    <t>FOLHA DE DADOS</t>
  </si>
  <si>
    <t>BALANÇA RODOVIÁRIA</t>
  </si>
  <si>
    <t>766</t>
  </si>
  <si>
    <t>12cf9b7a-309b-41b9-8e38-8b7c8f1f1aac</t>
  </si>
  <si>
    <t>FD-A1-2000-J-PB-0002</t>
  </si>
  <si>
    <t>SISTEMA SUPERVISÃO DE CONTROLE DE PROCESSOS</t>
  </si>
  <si>
    <t>741</t>
  </si>
  <si>
    <t>bde1966a-d5ee-42e0-bf81-a6d8ab001854</t>
  </si>
  <si>
    <t>FD-A1-2000-J-PB-0003</t>
  </si>
  <si>
    <t>2</t>
  </si>
  <si>
    <t>PARA COTAÇÃO</t>
  </si>
  <si>
    <t>MEDIDOR DE NÍVEL TIPO RADAR</t>
  </si>
  <si>
    <t>0021</t>
  </si>
  <si>
    <t>APR - APROVADO</t>
  </si>
  <si>
    <t>691</t>
  </si>
  <si>
    <t>9:00</t>
  </si>
  <si>
    <t>fa3902b2-8040-442c-bc93-74778ab47b8f</t>
  </si>
  <si>
    <t>FD-A1-2000-J-PB-0004</t>
  </si>
  <si>
    <t>MEDIDOR DE VAZÃO MAGNÉTICO</t>
  </si>
  <si>
    <t>806</t>
  </si>
  <si>
    <t>f9cd5c0f-066e-4cbb-a664-54bbd9b158a6</t>
  </si>
  <si>
    <t>FD-A1-2000-J-PB-0005</t>
  </si>
  <si>
    <t>MEDIDOR DE TEMPERATURA</t>
  </si>
  <si>
    <t>811</t>
  </si>
  <si>
    <t>d9564a92-2ad7-45ff-a03a-bd12ec83597f</t>
  </si>
  <si>
    <t>FD-A1-2000-J-PB-0006</t>
  </si>
  <si>
    <t>MEDIDOR DE PRESSÃO</t>
  </si>
  <si>
    <t>816</t>
  </si>
  <si>
    <t>2418ad00-e84f-4341-aa91-e15a5d55465d</t>
  </si>
  <si>
    <t>FD-A1-2000-J-PB-0007</t>
  </si>
  <si>
    <t>VÁLVULA AUTO-OPERADA</t>
  </si>
  <si>
    <t>781</t>
  </si>
  <si>
    <t>53d77677-a0fa-422e-b85f-970c183db5db</t>
  </si>
  <si>
    <t>FD-A1-2000-J-PB-0008</t>
  </si>
  <si>
    <t>VÁLVULA ON-OFF</t>
  </si>
  <si>
    <t>776</t>
  </si>
  <si>
    <t>e7444e53-3ead-4e66-984e-e3b4bece776a</t>
  </si>
  <si>
    <t>FD-A1-2000-J-PB-0009</t>
  </si>
  <si>
    <t>BALANÇA INTEGRADORA</t>
  </si>
  <si>
    <t>831</t>
  </si>
  <si>
    <t>73df8b89-ff29-4b64-8931-2e641d10fca8</t>
  </si>
  <si>
    <t>FD-A1-2000-J-PB-0010</t>
  </si>
  <si>
    <t>ANALISADOR DE CONDUTIVIDADE</t>
  </si>
  <si>
    <t>836</t>
  </si>
  <si>
    <t>709744f9-8305-4d80-bb42-567b796ed6b3</t>
  </si>
  <si>
    <t>FD-A1-2000-J-PB-0011</t>
  </si>
  <si>
    <t>ANALISADOR DE pH</t>
  </si>
  <si>
    <t>841</t>
  </si>
  <si>
    <t>1b1dfe55-42eb-4d37-a8d5-accd11dd0f6e</t>
  </si>
  <si>
    <t>FD-A1-2000-J-PB-0012</t>
  </si>
  <si>
    <t>1</t>
  </si>
  <si>
    <t>CANCELADO</t>
  </si>
  <si>
    <t>CHAVE DE NÍVEL PORTINHOLA</t>
  </si>
  <si>
    <t>0007</t>
  </si>
  <si>
    <t>696</t>
  </si>
  <si>
    <t>3:45</t>
  </si>
  <si>
    <t>c74e302c-cc1e-449e-8474-6bc5aa09110d</t>
  </si>
  <si>
    <t>FD-A1-2000-J-PB-0013</t>
  </si>
  <si>
    <t>MANÔMETRO</t>
  </si>
  <si>
    <t>826</t>
  </si>
  <si>
    <t>3:00</t>
  </si>
  <si>
    <t>3ebcff8f-94ff-45a2-b3d0-148876939917</t>
  </si>
  <si>
    <t>FD-A1-2000-J-PB-0014</t>
  </si>
  <si>
    <t>PARA APROVAÇÃO</t>
  </si>
  <si>
    <t>PAINEL PNEUMÁTICO</t>
  </si>
  <si>
    <t>APC-L  - APC-L  - Aprovado com Comentários (Retornar Aprovado)</t>
  </si>
  <si>
    <t>716</t>
  </si>
  <si>
    <t>11:15</t>
  </si>
  <si>
    <t>d257d034-3eb6-4f21-a21e-94a7f937f2d0</t>
  </si>
  <si>
    <t>FD-A1-2000-J-PB-0015</t>
  </si>
  <si>
    <t>SENSOR DE POSIÇÃO</t>
  </si>
  <si>
    <t>CLD - CANCELADO</t>
  </si>
  <si>
    <t>701</t>
  </si>
  <si>
    <t>6:00</t>
  </si>
  <si>
    <t>19839216-f05b-48e6-b1f9-6149c042bf7a</t>
  </si>
  <si>
    <t>FD-A1-2000-J-PB-0016</t>
  </si>
  <si>
    <t>SINALIZADOR LUMINOSO</t>
  </si>
  <si>
    <t>0033</t>
  </si>
  <si>
    <t>706</t>
  </si>
  <si>
    <t>5:00</t>
  </si>
  <si>
    <t>87c357dd-e204-4c4e-8fa4-31aeda8d06c8</t>
  </si>
  <si>
    <t>FD-A1-2000-J-PB-0017</t>
  </si>
  <si>
    <t>VÁLVULA DE ALÍVIO DE PRESSÃO</t>
  </si>
  <si>
    <t>786</t>
  </si>
  <si>
    <t>353a3859-66b1-4af6-9ff4-dad49e08fb4c</t>
  </si>
  <si>
    <t>FD-A1-2000-J-PB-0018</t>
  </si>
  <si>
    <t>VÁLVULA DE CONTROLE - ESFERA</t>
  </si>
  <si>
    <t>771</t>
  </si>
  <si>
    <t>9f6dca80-0bd8-4984-8778-ea9281243dbb</t>
  </si>
  <si>
    <t>FD-A1-2000-J-PB-0019</t>
  </si>
  <si>
    <t>VÁLVULA DILÚVIO</t>
  </si>
  <si>
    <t>791</t>
  </si>
  <si>
    <t>cd12ff6e-2f17-4650-988b-36e35f1975c1</t>
  </si>
  <si>
    <t>FD-A1-2000-J-PB-0020</t>
  </si>
  <si>
    <t>VÁLVULA GOVERNO E ALARME</t>
  </si>
  <si>
    <t>796</t>
  </si>
  <si>
    <t>57459f95-0d15-4ae0-a551-5b236654d61a</t>
  </si>
  <si>
    <t>FD-A1-2000-J-PB-0021</t>
  </si>
  <si>
    <t>MEDIDOR DE VAZÃO VORTEX</t>
  </si>
  <si>
    <t>821</t>
  </si>
  <si>
    <t>2e42e950-1b07-42f8-8442-da1626c10c30</t>
  </si>
  <si>
    <t>FD-A1-2000-J-PB-0022</t>
  </si>
  <si>
    <t>ANALISADOR CNA</t>
  </si>
  <si>
    <t>711</t>
  </si>
  <si>
    <t>47ca7eb2-5fc4-4202-b471-b2f0f8da9c36</t>
  </si>
  <si>
    <t>FD-A1-2000-J-PB-0023</t>
  </si>
  <si>
    <t>VÁLVULA SOLENOIDE</t>
  </si>
  <si>
    <t>801</t>
  </si>
  <si>
    <t>8a45a312-9775-454b-b191-694c288d92c2</t>
  </si>
  <si>
    <t>FD-A1-2004-J-PB-0001</t>
  </si>
  <si>
    <t>SISTEMA DE AUTOMAÇÃO / SISTEMA DE CONTROLE DE EMERGENCIA</t>
  </si>
  <si>
    <t>QDTI AUTOMAÇÃO</t>
  </si>
  <si>
    <t>751</t>
  </si>
  <si>
    <t>44ad82cf-3d85-4c2a-98bb-c7bfece87905</t>
  </si>
  <si>
    <t>FD-A1-2006-J-PB-0002</t>
  </si>
  <si>
    <t>SISTEMA AUTOMAÇÃO / OUTROS SISTEMAS</t>
  </si>
  <si>
    <t>854</t>
  </si>
  <si>
    <t>64290157-6b96-496f-accb-c1cef7bb3c5a</t>
  </si>
  <si>
    <t>FD-A1-2006-J-PB-0004</t>
  </si>
  <si>
    <t>AUTOMAÇÃO DE SUBESTAÇÕES</t>
  </si>
  <si>
    <t>746</t>
  </si>
  <si>
    <t>7f4ba86a-68bd-44f4-8d3a-bbd5944ff4df</t>
  </si>
  <si>
    <t>FD-A1-2006-J-PB-0005</t>
  </si>
  <si>
    <t>905</t>
  </si>
  <si>
    <t>52ab722c-cdaa-4e89-8ee8-9de468d2ab0c</t>
  </si>
  <si>
    <t>FD-A1-2006-J-PB-0006</t>
  </si>
  <si>
    <t>887</t>
  </si>
  <si>
    <t>6941e479-99ca-4eca-a6db-64a5d120ad44</t>
  </si>
  <si>
    <t>FD-A1-2007-J-PB-0001</t>
  </si>
  <si>
    <t>SISTEMA AUTOMAÇÃO / MONITORAMENTO DE PROCESSO - CFTV</t>
  </si>
  <si>
    <t>872</t>
  </si>
  <si>
    <t>f2be6095-86b5-4dda-b768-37c9b46a4d27</t>
  </si>
  <si>
    <t>FD-A1-2008-J-PB-0001</t>
  </si>
  <si>
    <t>BACKBONE ÓPTICO</t>
  </si>
  <si>
    <t>INFRAESTRUTURA E BACKBONE</t>
  </si>
  <si>
    <t>915</t>
  </si>
  <si>
    <t>6eb45464-2e0e-4aea-a889-2e4dbad07e93</t>
  </si>
  <si>
    <t>FD-A1-2000-J-PB-4000</t>
  </si>
  <si>
    <t>CHAVE DE NÍVEL CAPACITIVA</t>
  </si>
  <si>
    <t>Usuário selecionou: Não há Provedor Externo</t>
  </si>
  <si>
    <t>LEI - Lista De Equipamentos E Instrumentos</t>
  </si>
  <si>
    <t>6e9a3c0c-449c-4f58-9c90-9a20a710f95c</t>
  </si>
  <si>
    <t>LE-A1-2000-J-PB-0001</t>
  </si>
  <si>
    <t>SISTEMA AUTOMAÇÃO / COMUM</t>
  </si>
  <si>
    <t>LISTA DE EQUIPAMENTOS DE AUTOMAÇÃO</t>
  </si>
  <si>
    <t>761</t>
  </si>
  <si>
    <t>4:00</t>
  </si>
  <si>
    <t>d3d3c8f4-6881-4807-a617-12e5d275dd5d</t>
  </si>
  <si>
    <t>LE-A1-2006-J-PB-0001</t>
  </si>
  <si>
    <t>LISTA DE EQUIPAMENTOS DE TELECOM</t>
  </si>
  <si>
    <t>920</t>
  </si>
  <si>
    <t>0fdb9bbc-cb61-4bc2-93d7-4599a44e393b</t>
  </si>
  <si>
    <t>LI-A1-2000-J-PB-0001</t>
  </si>
  <si>
    <t>LISTA DE INSTRUMENTOS</t>
  </si>
  <si>
    <t>0005</t>
  </si>
  <si>
    <t>686</t>
  </si>
  <si>
    <t>73:00</t>
  </si>
  <si>
    <t>RES - Relação De Entradas E Saídas</t>
  </si>
  <si>
    <t>82af170d-4e2e-4d98-bf00-8fb5952b6580</t>
  </si>
  <si>
    <t>RE-A1-2000-J-PB-0001</t>
  </si>
  <si>
    <t>LISTA PRELIMINAR DE ENTRADAS E SAÍDAS</t>
  </si>
  <si>
    <t>736</t>
  </si>
  <si>
    <t>AR - Arquitetura</t>
  </si>
  <si>
    <t>CPR - Critério De Projeto</t>
  </si>
  <si>
    <t>ceb788c2-0a09-411a-8d75-988bf8076210</t>
  </si>
  <si>
    <t>CP-A1-1000-A-PB-0001</t>
  </si>
  <si>
    <t>5</t>
  </si>
  <si>
    <t>PARA CONHECIMENTO</t>
  </si>
  <si>
    <t>GERAL / COMUM</t>
  </si>
  <si>
    <t>CRITÉRIOS DE PROJETO</t>
  </si>
  <si>
    <t>ARQUITETURA</t>
  </si>
  <si>
    <t>0032</t>
  </si>
  <si>
    <t>935</t>
  </si>
  <si>
    <t>9:30</t>
  </si>
  <si>
    <t>DBA - Desenho Básico</t>
  </si>
  <si>
    <t>0ab29970-f171-4d30-8661-6cd43bc51072</t>
  </si>
  <si>
    <t>DE-A1-1911-A-PB-4000</t>
  </si>
  <si>
    <t>SISTEMA ELÉTRICO / SUBESTAÇÃO SECUNDÁRIA 1</t>
  </si>
  <si>
    <t>PLANTA E CORTES</t>
  </si>
  <si>
    <t>581</t>
  </si>
  <si>
    <t>35fd2a7b-7438-49ed-9280-0ed72dda3be3</t>
  </si>
  <si>
    <t>DE-A1-1912-A-PB-4000</t>
  </si>
  <si>
    <t>SISTEMA ELÉTRICO / SUBESTAÇÃO SECUNDÁRIA 2</t>
  </si>
  <si>
    <t>622</t>
  </si>
  <si>
    <t>f639094b-334d-4377-8103-12559d966186</t>
  </si>
  <si>
    <t>DE-A1-1913-A-PB-4000</t>
  </si>
  <si>
    <t>SISTEMA ELÉTRICO / SUBESTAÇÃO SECUNDÁRIA 3</t>
  </si>
  <si>
    <t>663</t>
  </si>
  <si>
    <t>a7fc3d86-9371-4464-bc8c-1de83a0239eb</t>
  </si>
  <si>
    <t>DE-A1-2201-A-PB-4000</t>
  </si>
  <si>
    <t>INSTALAÇÕES DE APOIO (ADMINISTRATIVAS) / ESCRITÓRIO CENTRAL / SALA DE CONTROLE / LABORATÓRIO</t>
  </si>
  <si>
    <t>945</t>
  </si>
  <si>
    <t>29658dd1-ba5d-4bb1-8c53-82a61fcac538</t>
  </si>
  <si>
    <t>DE-A1-2202-A-PB-4000</t>
  </si>
  <si>
    <t>INSTALAÇÕES DE APOIO (ADMINISTRATIVAS) / VESTIÁRIO</t>
  </si>
  <si>
    <t>1000</t>
  </si>
  <si>
    <t>cb9be81c-9ef2-4b76-9b27-dace7461b7ed</t>
  </si>
  <si>
    <t>DE-A1-2203-A-PB-4000</t>
  </si>
  <si>
    <t>INSTALAÇÕES DE APOIO (ADMINISTRATIVAS) / REFEITÓRIO</t>
  </si>
  <si>
    <t>1012</t>
  </si>
  <si>
    <t>d8bd6ca7-997c-4229-8d48-10ea240ed7c7</t>
  </si>
  <si>
    <t>DE-A1-2204-A-PB-4000</t>
  </si>
  <si>
    <t>INSTALAÇÕES DE APOIO (ADMINISTRATIVAS) / POSTO MÉDICO E BRIGADA DE INCÊNDIO</t>
  </si>
  <si>
    <t>1024</t>
  </si>
  <si>
    <t>3D</t>
  </si>
  <si>
    <t>PQU - Planilha De Quantitativos</t>
  </si>
  <si>
    <t>547f85ba-68b9-495e-9b01-aa0e1e977dd1</t>
  </si>
  <si>
    <t>PQ-A1-1000-C-PB-0800</t>
  </si>
  <si>
    <t>PLANILHA DE QUANTIDADES -PACOTE DE OBRAS CIVIS-ESCRITÓRIO CENTRAL / SALA DE CONTROLE E LABORATÓRIO</t>
  </si>
  <si>
    <t>950</t>
  </si>
  <si>
    <t>d7e01fb7-d06d-4f17-ba2d-4dac35715ace</t>
  </si>
  <si>
    <t>PQ-A1-1000-C-PB-0801</t>
  </si>
  <si>
    <t>PLANILHA DE QUANTIDADES -PACOTE DE OBRAS CIVIS-VEST. / PAR. ÔNIBUS / REFEIT. / P. MÉDICO E B. INCÊNDIO</t>
  </si>
  <si>
    <t>955</t>
  </si>
  <si>
    <t>RTE - Relatório Técnico</t>
  </si>
  <si>
    <t>e104c9d5-a8d5-4026-bdbe-8e81efbc1865</t>
  </si>
  <si>
    <t>RL-A1-1000-G-PB-0016</t>
  </si>
  <si>
    <t xml:space="preserve">RELATÓRIO DO SISTEMA DE PROTEÇÃO E COMBATE A INCÊNDIO </t>
  </si>
  <si>
    <t>CLASSIFICAÇÃO RISCO</t>
  </si>
  <si>
    <t>940</t>
  </si>
  <si>
    <t>CC - Concreto</t>
  </si>
  <si>
    <t>91fd9d56-8800-46a3-8292-1d30d561ad94</t>
  </si>
  <si>
    <t>DE-A1-2303-C-PB-4000</t>
  </si>
  <si>
    <t>INFRAESTRUTURA / ACESSOS RODOVIÁRIOS</t>
  </si>
  <si>
    <t>LOCAÇÃO E FORMA</t>
  </si>
  <si>
    <t>VIADUTO - SUPERESTRUTURA / TABULEIRO 1/4</t>
  </si>
  <si>
    <t>1151</t>
  </si>
  <si>
    <t>fd331f60-ab4e-47ec-98c4-ebc2d9fd762b</t>
  </si>
  <si>
    <t>DE-A1-2303-C-PB-4001</t>
  </si>
  <si>
    <t>VIADUTO - SUPERESTRUTURA / TABULEIRO 2/4</t>
  </si>
  <si>
    <t>1156</t>
  </si>
  <si>
    <t>3834e313-0a89-4d92-a92f-7b34a0b60dd6</t>
  </si>
  <si>
    <t>DE-A1-2303-C-PB-4002</t>
  </si>
  <si>
    <t>VIADUTO - SUPERESTRUTURA / TABULEIRO 3/4</t>
  </si>
  <si>
    <t>1161</t>
  </si>
  <si>
    <t>f1629311-1ce7-46cb-9ae7-cff763c11b26</t>
  </si>
  <si>
    <t>DE-A1-2303-C-PB-4003</t>
  </si>
  <si>
    <t>VIADUTO - SUPERESTRUTURA / TABULEIRO 4/4</t>
  </si>
  <si>
    <t>1166</t>
  </si>
  <si>
    <t>344624b2-28c8-4bab-9006-4deab879c9f3</t>
  </si>
  <si>
    <t>DE-A1-2303-C-PB-4004</t>
  </si>
  <si>
    <t>VIADUTO - FUNDAÇÕES 1/2</t>
  </si>
  <si>
    <t>1171</t>
  </si>
  <si>
    <t>7:00</t>
  </si>
  <si>
    <t>898299c3-3a85-4940-b125-9574b71fa4c2</t>
  </si>
  <si>
    <t>DE-A1-2303-C-PB-4005</t>
  </si>
  <si>
    <t>VIADUTO - FUNDAÇÕES 2/2</t>
  </si>
  <si>
    <t>1176</t>
  </si>
  <si>
    <t>ece36090-87b4-4ab9-8935-66174a1d60f6</t>
  </si>
  <si>
    <t>DE-A1-2303-C-PB-0001</t>
  </si>
  <si>
    <t>ACESSOS RODOVIÁRIOS</t>
  </si>
  <si>
    <t>VIADUTO SOBRE ESTRADA DE FERRO CARAJÁS - ALTERNATIVA 1</t>
  </si>
  <si>
    <t>PLANTA DE LOCAÇÃO E PERFIL - FORMA - PLANTA E CORTE - NIVEL BÁSICO</t>
  </si>
  <si>
    <t>1181</t>
  </si>
  <si>
    <t>98214ebf-81b9-47b1-84ea-5169d141c873</t>
  </si>
  <si>
    <t>DE-A1-1000-C-PB-4000</t>
  </si>
  <si>
    <t>ESTRUTURAS DE CONCRETO - DRENAGEM FORÇADA</t>
  </si>
  <si>
    <t>225</t>
  </si>
  <si>
    <t>MCA - Memória De Cálculo</t>
  </si>
  <si>
    <t>d7213aba-a3e4-4d48-b8b7-0aad275f9bcf</t>
  </si>
  <si>
    <t>MC-A1-1911-C-PB-4000</t>
  </si>
  <si>
    <t>MEMÓRIA DE CÁLCULO</t>
  </si>
  <si>
    <t>ESTRUTURAS DE CONCRETO / FUNDAÇÕES</t>
  </si>
  <si>
    <t>587</t>
  </si>
  <si>
    <t>c767fc65-4758-4d4e-bbe0-c405b06a8104</t>
  </si>
  <si>
    <t>MC-A1-1912-C-PB-4000</t>
  </si>
  <si>
    <t>628</t>
  </si>
  <si>
    <t>6898cb78-536c-47e3-9477-839cdb20144e</t>
  </si>
  <si>
    <t>MC-A1-1913-C-PB-4000</t>
  </si>
  <si>
    <t>669</t>
  </si>
  <si>
    <t>5:30</t>
  </si>
  <si>
    <t>34c41e5d-ef9e-436d-93a9-f6c03cc4c006</t>
  </si>
  <si>
    <t>MC-A1-1315-C-PB-4000</t>
  </si>
  <si>
    <t>ATIVAÇÃO / DOSAGEM E TRANSPORTE DE COMBUSTÍVEL MOIDO</t>
  </si>
  <si>
    <t>ESTRUTURAS ABASTECIMENTO VAGÕES - FUNDAÇÕES</t>
  </si>
  <si>
    <t>261</t>
  </si>
  <si>
    <t>1d140deb-db38-4dbb-a570-f646d5e3aafb</t>
  </si>
  <si>
    <t>MC-A1-1500-C-PB-4000</t>
  </si>
  <si>
    <t>MANUSEIO DE PRODUTO / COMUM</t>
  </si>
  <si>
    <t>FUNDAÇÕES - GALPÃO DE ENSACAMENTO / EXPEDIÇÃO / SILO / CARREGAMENTOS</t>
  </si>
  <si>
    <t>133</t>
  </si>
  <si>
    <t>b61d1168-685d-4b24-b5c2-cce11773d270</t>
  </si>
  <si>
    <t>MC-A1-1000-C-PB-4000</t>
  </si>
  <si>
    <t>215</t>
  </si>
  <si>
    <t>cefe04da-3056-44b2-8711-1618fc33c5e9</t>
  </si>
  <si>
    <t>MC-A1-2303-C-PB-0001</t>
  </si>
  <si>
    <t>VIADUTO SOBRE ESTRADA DE FERRO CARAJÁS</t>
  </si>
  <si>
    <t>1186</t>
  </si>
  <si>
    <t>4f9fb0c1-cf56-4562-b849-aa012564fc82</t>
  </si>
  <si>
    <t>MC-A1-1200-C-PB-0001</t>
  </si>
  <si>
    <t>BRITAGEM E HOMOGENEIZAÇÃO / COMUM</t>
  </si>
  <si>
    <t>TRANSPORTADOR E CASA DE TRANSFERÊNCIA</t>
  </si>
  <si>
    <t>178</t>
  </si>
  <si>
    <t>26e0b807-b65a-4139-825b-5e2323c82751</t>
  </si>
  <si>
    <t>MC-A1-1201-C-PB-0001</t>
  </si>
  <si>
    <t>BRITAGEM E HOMOGENEIZAÇÃO / BRITAGEM</t>
  </si>
  <si>
    <t xml:space="preserve"> MEMÓRIA DE CÁLCULO</t>
  </si>
  <si>
    <t>BRITAGEM PRIMÁRIA</t>
  </si>
  <si>
    <t>183</t>
  </si>
  <si>
    <t>206123a3-606b-4913-8c4f-b4368a68a186</t>
  </si>
  <si>
    <t>MC-A1-1800-C-PB-0001</t>
  </si>
  <si>
    <t>SISTEMA DE CAPTAÇÃO ESTOCAGEM E DISTRIBUIÇÃO DE ÁGUA BRUTA</t>
  </si>
  <si>
    <t>COMBATE INCENDIO E CX DE ÁGUA - TANQUE</t>
  </si>
  <si>
    <t>388</t>
  </si>
  <si>
    <t>dc39c857-801a-4099-8b69-d82d6ce33e44</t>
  </si>
  <si>
    <t>MC-A1-2304-C-PB-0001</t>
  </si>
  <si>
    <t>PIPE/CABLE RACK</t>
  </si>
  <si>
    <t>PIPE RACK / CABLE RACK</t>
  </si>
  <si>
    <t>1133</t>
  </si>
  <si>
    <t>098f9ecb-69ac-4ed0-9c59-71eb903fe945</t>
  </si>
  <si>
    <t>MC-A1-1000-C-PB-0003</t>
  </si>
  <si>
    <t>DISPOSITIVOS DE DRENAGEM</t>
  </si>
  <si>
    <t>1213</t>
  </si>
  <si>
    <t>dcfc9809-7383-4fb1-b244-794a8110e83f</t>
  </si>
  <si>
    <t>MC-A1-1000-C-PB-0002</t>
  </si>
  <si>
    <t>TRANSPORTADORES</t>
  </si>
  <si>
    <t>002387d9-b993-4271-8cbe-5f9bc95ac852</t>
  </si>
  <si>
    <t>MC-A1-1601-C-PB-0001</t>
  </si>
  <si>
    <t>RECEBIMENTO DE INSUMOS</t>
  </si>
  <si>
    <t>MOEGA, CASA DE TRANSFERENCIA E TRANSPORTADORES</t>
  </si>
  <si>
    <t>220</t>
  </si>
  <si>
    <t>9b76fc33-2e14-47f4-a9b3-c4847d063e3f</t>
  </si>
  <si>
    <t>MC-A1-1411-C-PB-4000</t>
  </si>
  <si>
    <t>PÓS PROCESSAMENTO / CLASSIFICAÇÃO</t>
  </si>
  <si>
    <t>FUNDAÇÕES - GALPÃO PARA ENSACAMENTO - RENWA META</t>
  </si>
  <si>
    <t>128</t>
  </si>
  <si>
    <t>be4701eb-8513-44c1-b93e-94ff5df32352</t>
  </si>
  <si>
    <t>MC-A1-1001-C-PB-4000</t>
  </si>
  <si>
    <t>GERAL / INSTALAÇÕES PROVISÓRIAS</t>
  </si>
  <si>
    <t>BALANÇA - FUNDAÇÕES - MEMÓRIA DE CÁLCULO - 11</t>
  </si>
  <si>
    <t>1349</t>
  </si>
  <si>
    <t>fd748103-a123-425c-9273-8d51c5233cb1</t>
  </si>
  <si>
    <t>MC-A1-2201-C-PB-4000</t>
  </si>
  <si>
    <t>INSTALAÇÕES DE APOIO (ADMINISTRATIVAS) / ESCRITÓRIO CENTRAL / SALA DE CONTROLE</t>
  </si>
  <si>
    <t xml:space="preserve">ESTRUTURAS DE CONCRETO / FUNDAÇÕES – 2201-ED-001 </t>
  </si>
  <si>
    <t>0027</t>
  </si>
  <si>
    <t>APC-R  - APC-R - Aprovado com Comentários (Retornar para uma nova Aprovação)</t>
  </si>
  <si>
    <t>33:00</t>
  </si>
  <si>
    <t>714efacc-5685-4d63-a1cc-7613699a8184</t>
  </si>
  <si>
    <t>MC-A1-2202-C-PB-4000</t>
  </si>
  <si>
    <t>ESTRUTURAS DE CONCRETO / FUNDAÇÕES - 2202-ED-001</t>
  </si>
  <si>
    <t>0022</t>
  </si>
  <si>
    <t>6996a144-b089-4c36-9eb3-06cbbd95d44a</t>
  </si>
  <si>
    <t>MC-A1-2203-C-PB-4000</t>
  </si>
  <si>
    <t>ESTRUTURAS DE CONCRETO / FUNDAÇÕES - 2203-ED-001</t>
  </si>
  <si>
    <t>8:30</t>
  </si>
  <si>
    <t>ae90c527-27d8-40b2-aad4-e71621be7847</t>
  </si>
  <si>
    <t>MC-A1-2204-C-PB-4000</t>
  </si>
  <si>
    <t>ESTRUTURAS DE CONCRETO / FUNDAÇÕES - 2204-ED-001</t>
  </si>
  <si>
    <t>36:00</t>
  </si>
  <si>
    <t>bd23adea-d7bc-4bc0-9e0b-b3da32e46f17</t>
  </si>
  <si>
    <t>BL1132-0001-CC-MCA-2120</t>
  </si>
  <si>
    <t>MC-A1-2205-C-PB-4000</t>
  </si>
  <si>
    <t>INSTALAÇÕES DE APOIO (ADMINISTRATIVAS) / PONTO DE ÔNIBUS</t>
  </si>
  <si>
    <t>FUNDAÇÕES – 2205-ED-001</t>
  </si>
  <si>
    <t>MDE - Memorial Descritivo</t>
  </si>
  <si>
    <t>11427550-3b4e-41e4-923b-bc64243826d6</t>
  </si>
  <si>
    <t>MC-A1-1000-C-PB-4001</t>
  </si>
  <si>
    <t>MEMORIAL DESCRITIVO</t>
  </si>
  <si>
    <t>ESTRUTURAS DE CONCRETO E FUNDAÇÕES</t>
  </si>
  <si>
    <t>1354</t>
  </si>
  <si>
    <t>175a24eb-76dd-4d94-a83d-314e2bd56c5c</t>
  </si>
  <si>
    <t>PQ-A1-1000-C-PB-4000</t>
  </si>
  <si>
    <t>PLANILHA DE QUANTIDADES</t>
  </si>
  <si>
    <t>1359</t>
  </si>
  <si>
    <t>d83782aa-db88-417a-8615-a3137a9677ff</t>
  </si>
  <si>
    <t>PQ-A1-1000-C-PB-0001</t>
  </si>
  <si>
    <t>PACOTE DE OBRAS CIVIS</t>
  </si>
  <si>
    <t>1364</t>
  </si>
  <si>
    <t>CI - Infraestrutura</t>
  </si>
  <si>
    <t>bc846b5e-1f5a-4147-8d73-f549edcaea58</t>
  </si>
  <si>
    <t>DE-A1-1102-B-PC-4000</t>
  </si>
  <si>
    <t>ESTOCAGEM DE MATÉRIA PRIMA / PÁTIO DE ESTOCAGEM - MATERIA PRIMA</t>
  </si>
  <si>
    <t>PROJETO DE TERRAPLENAGEM</t>
  </si>
  <si>
    <t>1288</t>
  </si>
  <si>
    <t>248921eb-f16b-4676-9601-3bba003b76b0</t>
  </si>
  <si>
    <t>DE-A1-1102-B-PC-4001</t>
  </si>
  <si>
    <t>PROJETO GEOMÉTRICO - ACESSO</t>
  </si>
  <si>
    <t>PLANTA E PERFIL</t>
  </si>
  <si>
    <t>1293</t>
  </si>
  <si>
    <t>a9c61371-21b9-4e0a-9aea-fb0c4f2ccb14</t>
  </si>
  <si>
    <t>MC-A1-1102-B-PB-4000</t>
  </si>
  <si>
    <t>MEMÓRIA DE CÁLCULO DE TERRAPLENAGEM</t>
  </si>
  <si>
    <t>INFRAESTRUTURA</t>
  </si>
  <si>
    <t>1338</t>
  </si>
  <si>
    <t>060dbe5a-06fd-4184-bc37-ad87fd515b7c</t>
  </si>
  <si>
    <t>MC-A1-1102-B-PB-4001</t>
  </si>
  <si>
    <t>MEMÓRIA DE CÁLCULO DE DRENAGEM</t>
  </si>
  <si>
    <t>1343</t>
  </si>
  <si>
    <t>52ddf65e-2f4d-4cc1-abea-273e22d93409</t>
  </si>
  <si>
    <t>MC-A1-1000-B-PB-0002</t>
  </si>
  <si>
    <t>1116</t>
  </si>
  <si>
    <t>85e63d26-0818-40ab-b196-fd2dea180d30</t>
  </si>
  <si>
    <t>MC-A1-1000-B-PB-0001</t>
  </si>
  <si>
    <t>1106</t>
  </si>
  <si>
    <t>23be048a-d37b-47fc-ae48-e24568a3c4fb</t>
  </si>
  <si>
    <t>MC-A1-1000-B-PB-0003</t>
  </si>
  <si>
    <t>MEMÓRIA DE CÁLCULO DE PAVIMENTAÇÃO</t>
  </si>
  <si>
    <t>1081</t>
  </si>
  <si>
    <t>27d30cd3-4437-4fa3-b498-6bce5af1acb8</t>
  </si>
  <si>
    <t>MC-A1-1600-B-PB-4000</t>
  </si>
  <si>
    <t>RECEBIMENTO DE INSUMOS / COMUM</t>
  </si>
  <si>
    <t xml:space="preserve"> MEMÓRIA DE CÁLCULO - GEOTECNIA - ANÁLISE DE ESTABILIDADE</t>
  </si>
  <si>
    <t>CONTENÇÕES EM TERRA ARMADA</t>
  </si>
  <si>
    <t>200</t>
  </si>
  <si>
    <t>ab3c94bb-fd3b-4449-9b2d-15edb3609449</t>
  </si>
  <si>
    <t>PQ-A1-1000-G-PB-0002</t>
  </si>
  <si>
    <t>TERRAPLENAGEM</t>
  </si>
  <si>
    <t>1086</t>
  </si>
  <si>
    <t>9b21c444-e855-48c0-9271-959f7e450575</t>
  </si>
  <si>
    <t>RL-A1-1000-B-PB-0001</t>
  </si>
  <si>
    <t>RELATÓRIO TÉCNICO - DISPOSITIVOS AMORTECIMENTO DE CHEIAS</t>
  </si>
  <si>
    <t>ESTUDO CONCEITUAL</t>
  </si>
  <si>
    <t>1091</t>
  </si>
  <si>
    <t>DC - Controle De Documentos</t>
  </si>
  <si>
    <t>LDO - Lista De Documentos</t>
  </si>
  <si>
    <t>d413b25e-c9e9-4c29-a956-27052f24fb72</t>
  </si>
  <si>
    <t>LD-A1-1000-G-PB-4000</t>
  </si>
  <si>
    <t>0</t>
  </si>
  <si>
    <t>LISTA DE DOCUMENTOS</t>
  </si>
  <si>
    <t>0013</t>
  </si>
  <si>
    <t>22</t>
  </si>
  <si>
    <t>ED - Engenharia Digital</t>
  </si>
  <si>
    <t>MOD - Modelagem 3D</t>
  </si>
  <si>
    <t>d37afce1-a7fb-4adb-8d32-b74ea0d234a8</t>
  </si>
  <si>
    <t>ML-A1-1000-G-PB-4000</t>
  </si>
  <si>
    <t>MODELO 3D</t>
  </si>
  <si>
    <t>f4aa1cd6-8fa8-4760-82b5-967c2f138238</t>
  </si>
  <si>
    <t>RL-A1-1000-G-PB-4000</t>
  </si>
  <si>
    <t>PRELIMINAR</t>
  </si>
  <si>
    <t>BEP</t>
  </si>
  <si>
    <t>0001</t>
  </si>
  <si>
    <t>47</t>
  </si>
  <si>
    <t>12:30</t>
  </si>
  <si>
    <t>9818b861-0488-410f-b31c-8f2d1e712308</t>
  </si>
  <si>
    <t>RL-A1-1000-G-PB-4001</t>
  </si>
  <si>
    <t>B</t>
  </si>
  <si>
    <t>RELATÓRIO DE INTERFERÊNCIAS</t>
  </si>
  <si>
    <t>52</t>
  </si>
  <si>
    <t>36423447-3f85-4022-89a9-394684c2a89c</t>
  </si>
  <si>
    <t>RL-A1-1000-G-PB-4004</t>
  </si>
  <si>
    <t>FICHA DE SETUP - 3D</t>
  </si>
  <si>
    <t>0030</t>
  </si>
  <si>
    <t>EL - Eletrica</t>
  </si>
  <si>
    <t>DUN - Diagrama Unifilar</t>
  </si>
  <si>
    <t>3e9f8829-6c91-418d-999d-8f003ed4db37</t>
  </si>
  <si>
    <t>DE-A1-1900-E-PB-4000</t>
  </si>
  <si>
    <t>A0</t>
  </si>
  <si>
    <t>SISTEMA ELÉTRICO / COMUM</t>
  </si>
  <si>
    <t>DIAGRAMA UNIFILAR  GERAL SIMPLIFICADO</t>
  </si>
  <si>
    <t>0006</t>
  </si>
  <si>
    <t>410</t>
  </si>
  <si>
    <t>28:20</t>
  </si>
  <si>
    <t>dd6d7685-d371-44f8-9db2-ed5e958ce5af</t>
  </si>
  <si>
    <t>DE-A1-1901-E-PB-4000</t>
  </si>
  <si>
    <t>SISTEMA ELÉTRICO / SUBESTAÇÃO PRINCIPAL</t>
  </si>
  <si>
    <t>DIAGRAMA UNIFILAR SUBESTAÇÃO 1901-SE-001</t>
  </si>
  <si>
    <t>0018</t>
  </si>
  <si>
    <t>547</t>
  </si>
  <si>
    <t>51660f9c-bcf4-4042-af27-e6667ec56a83</t>
  </si>
  <si>
    <t>DE-A1-1901-E-PB-4001</t>
  </si>
  <si>
    <t>SERVIÇOS AUXILIARES</t>
  </si>
  <si>
    <t>0029</t>
  </si>
  <si>
    <t>552</t>
  </si>
  <si>
    <t>ed5c30fe-1ff8-4936-8851-e76372765db4</t>
  </si>
  <si>
    <t>DE-A1-1911-E-PB-4000</t>
  </si>
  <si>
    <t>DIAGRAMA UNIFILAR SUBESTAÇÃO 1911-SE-001</t>
  </si>
  <si>
    <t>565</t>
  </si>
  <si>
    <t>6:30</t>
  </si>
  <si>
    <t>b4d61b4c-8df3-4636-b1f4-9546bea8bbfa</t>
  </si>
  <si>
    <t>DE-A1-1911-E-PB-4001</t>
  </si>
  <si>
    <t>570</t>
  </si>
  <si>
    <t>1:00</t>
  </si>
  <si>
    <t>ed9b07ce-6af2-4ac3-8482-c5cf4e95a9b2</t>
  </si>
  <si>
    <t>DE-A1-1911-E-PB-4002</t>
  </si>
  <si>
    <t>575</t>
  </si>
  <si>
    <t>440678d6-23a3-4867-afb1-9bc0ad82a41e</t>
  </si>
  <si>
    <t>DE-A1-1912-E-PB-4000</t>
  </si>
  <si>
    <t>DIAGRAMA UNIFILAR SUBESTAÇÃO 1912-SE-001</t>
  </si>
  <si>
    <t>606</t>
  </si>
  <si>
    <t>f146b4b5-279b-4f40-8a22-cd3276d100fc</t>
  </si>
  <si>
    <t>DE-A1-1912-E-PB-4001</t>
  </si>
  <si>
    <t>611</t>
  </si>
  <si>
    <t>2c552fe1-a9c7-4690-9c8e-53daeb7ae9e4</t>
  </si>
  <si>
    <t>DE-A1-1912-E-PB-4002</t>
  </si>
  <si>
    <t>616</t>
  </si>
  <si>
    <t>58624ae0-6b42-4512-a0f6-5844dd2061f1</t>
  </si>
  <si>
    <t>DE-A1-1913-E-PB-4000</t>
  </si>
  <si>
    <t>DIAGRAMA UNIFILAR SUBESTAÇÃO 1913-SE-001</t>
  </si>
  <si>
    <t>647</t>
  </si>
  <si>
    <t>012c0cb5-76a9-4c01-9831-1433e0a33608</t>
  </si>
  <si>
    <t>DE-A1-1913-E-PB-4001</t>
  </si>
  <si>
    <t>652</t>
  </si>
  <si>
    <t>97f221bf-5856-4edf-af5e-f16e32305c7e</t>
  </si>
  <si>
    <t>DE-A1-1913-E-PB-4002</t>
  </si>
  <si>
    <t>657</t>
  </si>
  <si>
    <t>EDP - Estudos E Planos</t>
  </si>
  <si>
    <t>f8c25ff4-071c-47f4-9763-68fe538f4aff</t>
  </si>
  <si>
    <t>RL-A1-1900-E-PB-4000</t>
  </si>
  <si>
    <t>ESTUDO DE CARGAS E DEMANDA
RELATÓRIO TÉCNICO</t>
  </si>
  <si>
    <t>0003</t>
  </si>
  <si>
    <t>405</t>
  </si>
  <si>
    <t>50:30</t>
  </si>
  <si>
    <t>97798d84-9736-417f-98be-48e9ef29af21</t>
  </si>
  <si>
    <t>RL-A1-1100-E-PB-4000</t>
  </si>
  <si>
    <t>ESTOCAGEM DE MATÉRIA PRIMA / COMUM</t>
  </si>
  <si>
    <t>1307</t>
  </si>
  <si>
    <t>128f9cff-75cb-4748-94b0-55226fffae87</t>
  </si>
  <si>
    <t>ET-A1-1900-E-PB-0001</t>
  </si>
  <si>
    <t>SISTEMA ELÉTRICO/SUBESTAÇÃO PRINCIPAL</t>
  </si>
  <si>
    <t>ESPECIFICAÇÃO TÉCNICA
FORNECIMENTO TURN KEY DA SUBESTAÇÃO PRINCIPAL 
1901-SE-01</t>
  </si>
  <si>
    <t>515</t>
  </si>
  <si>
    <t>7c6323c6-f6a1-4a31-a6e2-4a3ee2a5b273</t>
  </si>
  <si>
    <t>ET-A1-1903-E-PB-0001</t>
  </si>
  <si>
    <t>SISTEMA ELÉTRICO / LINHA DE DISTRIBUIÇÃO 13,8 kV</t>
  </si>
  <si>
    <t>ESPECIFICAÇÃO TÉCNICA
FORNECIMENTO TURN KEY DE LINHAS DE DISTRIBUIÇÃO PROTEGIDAS DE 13,8 kV</t>
  </si>
  <si>
    <t>520</t>
  </si>
  <si>
    <t>bf58d247-a657-4b19-8908-b6489522ec7d</t>
  </si>
  <si>
    <t>FD-A1-1911-E-PB-0006</t>
  </si>
  <si>
    <t>SUBESTAÇÃO SECUNDÁRIA 1</t>
  </si>
  <si>
    <t>INVERSORES DE MÉDIA TENSÃO</t>
  </si>
  <si>
    <t>420</t>
  </si>
  <si>
    <t>1795b598-52aa-4294-9297-a1ac50c4380d</t>
  </si>
  <si>
    <t>FD-A1-1911-E-PB-0005</t>
  </si>
  <si>
    <t>INVERSORES DE BAIXA TENSÃO</t>
  </si>
  <si>
    <t>425</t>
  </si>
  <si>
    <t>1:30</t>
  </si>
  <si>
    <t>fef09214-30fd-440e-b2fe-91c8bd969114</t>
  </si>
  <si>
    <t>FD-A1-1900-E-PB-0007</t>
  </si>
  <si>
    <t>TRANSFORMADORES DE ILUMINAÇÃO</t>
  </si>
  <si>
    <t>430</t>
  </si>
  <si>
    <t>91fdcaf2-043e-4ec5-9956-7d4ff823bdcb</t>
  </si>
  <si>
    <t>FD-A1-1900-E-PB-0001</t>
  </si>
  <si>
    <t>TRANSFORMADORES DE FORÇA</t>
  </si>
  <si>
    <t>435</t>
  </si>
  <si>
    <t>db0e7bed-a5ca-4eaf-9e24-858969ea8f41</t>
  </si>
  <si>
    <t>FD-A1-1911-E-PB-0004</t>
  </si>
  <si>
    <t>SISTEMA ELÉTRICO/COMUM</t>
  </si>
  <si>
    <t>RETIFICADOR E BATERIAS</t>
  </si>
  <si>
    <t>440</t>
  </si>
  <si>
    <t>915fa385-7eb8-482e-983a-dd24b385f9b9</t>
  </si>
  <si>
    <t>FD-A1-1900-E-PB-0008</t>
  </si>
  <si>
    <t>QUADROS DE ILUMINAÇÃO</t>
  </si>
  <si>
    <t>445</t>
  </si>
  <si>
    <t>2fba8935-8002-4cba-97e9-1166de65a0e2</t>
  </si>
  <si>
    <t>FD-A1-1911-E-PB-0002</t>
  </si>
  <si>
    <t>QUADRO DE TRANSFERÊNCIA AUTOMÁTICA</t>
  </si>
  <si>
    <t>450</t>
  </si>
  <si>
    <t>ba31e9b7-37dc-459b-a7ff-bc4a93e86630</t>
  </si>
  <si>
    <t>FD-A1-1900-E-PB-0005</t>
  </si>
  <si>
    <t>QUADRO DE DISTRIBUIÇÃO AUXILIAR</t>
  </si>
  <si>
    <t>455</t>
  </si>
  <si>
    <t>d0162f9e-ea20-42ec-a428-25c19d363889</t>
  </si>
  <si>
    <t>FD-A1-1903-E-PB-0001</t>
  </si>
  <si>
    <t>QUADRO DE DISTRIBUIÇÃO 13,8kV</t>
  </si>
  <si>
    <t>460</t>
  </si>
  <si>
    <t>c610202f-bfa8-43cb-8c73-dfe9163945ca</t>
  </si>
  <si>
    <t>FD-A1-1900-E-PB-0009</t>
  </si>
  <si>
    <t>PAINEL ILUMINAÇÃO</t>
  </si>
  <si>
    <t>465</t>
  </si>
  <si>
    <t>8ed316bb-4d9b-4778-988c-5df414a4f09a</t>
  </si>
  <si>
    <t>FD-A1-1900-E-PB-0004</t>
  </si>
  <si>
    <t>NO-BREAKS</t>
  </si>
  <si>
    <t>470</t>
  </si>
  <si>
    <t>c957fbc4-162b-4b5d-9a6b-41724b2f07d0</t>
  </si>
  <si>
    <t>FD-A1-1900-E-PB-0006</t>
  </si>
  <si>
    <t>RESISTORES DE ATERRAMENTO</t>
  </si>
  <si>
    <t>475</t>
  </si>
  <si>
    <t>66cb5a51-2f8d-4aae-a447-212cc1c8ca1b</t>
  </si>
  <si>
    <t>FD-A1-1911-E-PB-0003</t>
  </si>
  <si>
    <t>CONJUNTO DE MANOBRA DE BT</t>
  </si>
  <si>
    <t>480</t>
  </si>
  <si>
    <t>f57bc317-6096-42ae-8b71-d080e034cbb5</t>
  </si>
  <si>
    <t>FD-A1-1900-E-PB-0002</t>
  </si>
  <si>
    <t>CENTRO DE CONTROLE DE MOTORES MT</t>
  </si>
  <si>
    <t>485</t>
  </si>
  <si>
    <t>c2662e14-dd72-4da2-9e32-2f705078ba2a</t>
  </si>
  <si>
    <t>FD-A1-1900-E-PB-0003</t>
  </si>
  <si>
    <t>CENTRO DE CONTROLE DE MOTORES BT</t>
  </si>
  <si>
    <t>490</t>
  </si>
  <si>
    <t>472ef404-aee0-4d95-a07b-a37089a361f5</t>
  </si>
  <si>
    <t>FD-A1-1911-E-PB-0001</t>
  </si>
  <si>
    <t>GERADOR</t>
  </si>
  <si>
    <t>495</t>
  </si>
  <si>
    <t>15fbd5c3-ab74-44cb-b1d7-72f6caf249fb</t>
  </si>
  <si>
    <t>BL1132-0001-EL-FDA-2017</t>
  </si>
  <si>
    <t>FD-A1-1900-E-PB-4000</t>
  </si>
  <si>
    <t>bac84f66-a31f-4bff-ac78-c7a3705abf39</t>
  </si>
  <si>
    <t>LE-A1-1900-E-PB-4000</t>
  </si>
  <si>
    <t>LISTA DE EQUIPAMENTOS ELÉTRICOS</t>
  </si>
  <si>
    <t>415</t>
  </si>
  <si>
    <t>3ec9bf2b-36bd-43d5-be97-5731d0f2e460</t>
  </si>
  <si>
    <t>LE-A1-1100-E-PB-4000</t>
  </si>
  <si>
    <t>1312</t>
  </si>
  <si>
    <t>LLC - Lista De Linhas E Cabos</t>
  </si>
  <si>
    <t>b05b9797-20ee-4629-81b2-412ad81487a5</t>
  </si>
  <si>
    <t>LB-A1-1900-E-PB-4000</t>
  </si>
  <si>
    <t>LISTAS DE CABOS ELÉTRICOS</t>
  </si>
  <si>
    <t>ccf6aabc-3d4f-47ae-96c9-2a0f76c37f2d</t>
  </si>
  <si>
    <t>LB-A1-1100-E-PB-4000</t>
  </si>
  <si>
    <t>1322</t>
  </si>
  <si>
    <t>b43fd69d-6a1b-4a0c-aa5b-deffa5c80bc5</t>
  </si>
  <si>
    <t>MC-A1-1900-E-PB-4000</t>
  </si>
  <si>
    <t>MEMÓRIA DE CÁLCULO DE CABOS</t>
  </si>
  <si>
    <t>500</t>
  </si>
  <si>
    <t>0e3960c2-5df2-45b1-a18d-3ef3f1b51944</t>
  </si>
  <si>
    <t>MC-A1-1900-E-PB-4001</t>
  </si>
  <si>
    <t>MEMÓRIA DE CÁLCULO DE EQUIPAMENTOS ELÉTRICOS</t>
  </si>
  <si>
    <t>505</t>
  </si>
  <si>
    <t>fa56b5b3-7638-4f8a-b0c4-dbe9a3ea8852</t>
  </si>
  <si>
    <t>MC-A1-1100-E-PB-4000</t>
  </si>
  <si>
    <t>MEMÓRA DE CÁLCULO DE CABOS</t>
  </si>
  <si>
    <t>1317</t>
  </si>
  <si>
    <t>89144acb-8def-4d63-a644-f2c90c3a1ab9</t>
  </si>
  <si>
    <t>MC-A1-2000-J-PB-0001</t>
  </si>
  <si>
    <t>MEMÓRIA DE CÁLCULO DE CABOS DE CONTROLE</t>
  </si>
  <si>
    <t>510</t>
  </si>
  <si>
    <t>0f094097-6573-4d5c-911f-35bcdefa325a</t>
  </si>
  <si>
    <t>MD-A1-1900-E-PB-4000</t>
  </si>
  <si>
    <t>MEMORIAL DESCRITIVO DO PROJETO BÁSICO DO SISTEMA ELÉTRICO</t>
  </si>
  <si>
    <t>525</t>
  </si>
  <si>
    <t>001faa6c-1758-47bb-b12c-d98d214f1821</t>
  </si>
  <si>
    <t>MD-A1-1100-E-PB-4000</t>
  </si>
  <si>
    <t>1327</t>
  </si>
  <si>
    <t>2b6c2ceb-afba-4c46-badb-61e4b5facbe1</t>
  </si>
  <si>
    <t>PQ-A1-1900-E-PB-4000</t>
  </si>
  <si>
    <t xml:space="preserve">PLANILHA DE QUANTIDADES </t>
  </si>
  <si>
    <t>530</t>
  </si>
  <si>
    <t>2d850335-48e0-484e-bf0a-240d8b35c795</t>
  </si>
  <si>
    <t>PQ-A1-1100-E-PB-4000</t>
  </si>
  <si>
    <t>1332</t>
  </si>
  <si>
    <t>EM - Estrutura Metalica</t>
  </si>
  <si>
    <t>d824824a-7090-40c9-bca6-95eb69d3361f</t>
  </si>
  <si>
    <t>MC-A1-1911-S-PB-4000</t>
  </si>
  <si>
    <t>COBERTURA METÁLICA</t>
  </si>
  <si>
    <t>593</t>
  </si>
  <si>
    <t>2:00</t>
  </si>
  <si>
    <t>22bf4307-ea63-4902-b2f5-879ad689c448</t>
  </si>
  <si>
    <t>MC-A1-1912-S-PB-4000</t>
  </si>
  <si>
    <t>634</t>
  </si>
  <si>
    <t>48b59893-4e51-40a2-8560-1c29cfae1689</t>
  </si>
  <si>
    <t>MC-A1-1913-S-PB-4000</t>
  </si>
  <si>
    <t>675</t>
  </si>
  <si>
    <t>29b8d790-462e-4ef8-961d-143888e4e38d</t>
  </si>
  <si>
    <t>MC-A1-1201-S-PB-0001</t>
  </si>
  <si>
    <t>BRITAGEM PRIMÁRIA - 1201-ED-001</t>
  </si>
  <si>
    <t>189</t>
  </si>
  <si>
    <t>7ea8cdf8-9dbf-4694-93fb-c231832dd76e</t>
  </si>
  <si>
    <t>MC-A1-1200-S-PB-0001</t>
  </si>
  <si>
    <t xml:space="preserve">BRITAGEM E HOMOGENEIZAÇÃO / BRITAGEM </t>
  </si>
  <si>
    <t>CASAS DE TRANSFERÊNCIA -1201-CT-001</t>
  </si>
  <si>
    <t>194</t>
  </si>
  <si>
    <t>0f197bd5-1c0e-4222-8221-c8e441502065</t>
  </si>
  <si>
    <t>MC-A1-1502-S-PB-0001</t>
  </si>
  <si>
    <t>MANUSEIO DE PRODUTO / CARREGAMENTO FERROVIÁRIO</t>
  </si>
  <si>
    <t>(ESCADA DE ACESSO (1502-ED-001), TORRE DE ESCADA (1502-ED-002),PLATAFORMA 01 (1502-ED-003), PLATAFORMA 02 (1502-ED-004)</t>
  </si>
  <si>
    <t>1052</t>
  </si>
  <si>
    <t>50af05f7-b189-4fa7-bb2e-d1416089f787</t>
  </si>
  <si>
    <t>MC-A1-2304-S-PB-0001</t>
  </si>
  <si>
    <t>INFRAESTRUTURA / PIPE/CABLE RACK</t>
  </si>
  <si>
    <t>PIPECABLE RACK</t>
  </si>
  <si>
    <t>1139</t>
  </si>
  <si>
    <t>99def43d-a38c-4172-a622-a742618e8dab</t>
  </si>
  <si>
    <t>MC-A1-1411-S-PB-4000</t>
  </si>
  <si>
    <t>PÓS - PROCESSAMENTO / CLASSIFICAÇÃO</t>
  </si>
  <si>
    <t>GALPÃO PARA ENSACAMENTO - RENWA META</t>
  </si>
  <si>
    <t>122</t>
  </si>
  <si>
    <t>34:30</t>
  </si>
  <si>
    <t>81cf7b0f-ad31-43db-8f5e-8abeef9487d5</t>
  </si>
  <si>
    <t>MC-A1-2201-S-PB-4000</t>
  </si>
  <si>
    <t xml:space="preserve">PROJETO BÁSICO </t>
  </si>
  <si>
    <t>INSTALAÇÕES DE APOIO (ADMINISTRATIVAS) / ADMINISTRATIVO</t>
  </si>
  <si>
    <t xml:space="preserve">MEMÓRIA DE CÁLCULO </t>
  </si>
  <si>
    <t>COBERTURAS METÁLICAS – 2201-ED-001</t>
  </si>
  <si>
    <t>0008</t>
  </si>
  <si>
    <t>8:15</t>
  </si>
  <si>
    <t>0221ae50-2154-4473-af10-aa221e9fefba</t>
  </si>
  <si>
    <t>MC-A1-2202-S-PB-4000</t>
  </si>
  <si>
    <t>COBERTURAS METÁLICAS – 2202-ED-001</t>
  </si>
  <si>
    <t>0010</t>
  </si>
  <si>
    <t>75290320-1fe4-4a3d-82c4-38c0802e0465</t>
  </si>
  <si>
    <t>MC-A1-2203-S-PB-4000</t>
  </si>
  <si>
    <t>COBERTURAS METÁLICAS – 2203-ED-001</t>
  </si>
  <si>
    <t>13d293d4-75fe-4191-9fd9-2a16885b5470</t>
  </si>
  <si>
    <t>MC-A1-2204-S-PB-4000</t>
  </si>
  <si>
    <t>INSTALAÇÕES DE APOIO (ADMINISTRATIVAS) / POSTO MÉDICO - BRIGADA DE INCÊNDIO</t>
  </si>
  <si>
    <t xml:space="preserve">COBERTURAS METÁLICAS – 2204-ED-001 </t>
  </si>
  <si>
    <t>0015</t>
  </si>
  <si>
    <t>5cacf9f6-71a8-4162-a21e-7757c8a017b6</t>
  </si>
  <si>
    <t>MC-A1-2205-S-PB-4000</t>
  </si>
  <si>
    <t>INSTALAÇÕES DE APOIO (ADMINISTRATIVAS) / PONTO DE ÕNIBUS</t>
  </si>
  <si>
    <t>COBERTURAS METÁLICAS – 2205-ED-001</t>
  </si>
  <si>
    <t>0016</t>
  </si>
  <si>
    <t>ae3ca98c-886e-4ecb-bcbe-ebac996ebe04</t>
  </si>
  <si>
    <t>PQ-A1-1411-S-PB-4000</t>
  </si>
  <si>
    <t>FORNECIMENTO DE ESTRUTURA METÁLICA</t>
  </si>
  <si>
    <t>94</t>
  </si>
  <si>
    <t>a445ed1d-cb95-4dbc-be0b-c6af8ce285f3</t>
  </si>
  <si>
    <t>PQ-A1-1000-S-PB-0001</t>
  </si>
  <si>
    <t>GERAL/COMUM</t>
  </si>
  <si>
    <t>1219</t>
  </si>
  <si>
    <t>GE - Gestao De Engenharia</t>
  </si>
  <si>
    <t>ATA - Ata E Notas De Reunião</t>
  </si>
  <si>
    <t>47ad0d44-165f-4969-b1aa-9634e6ff4106</t>
  </si>
  <si>
    <t>AR-A1-1000-G-PB-4000</t>
  </si>
  <si>
    <t>ATA - APRESENTAÇÃO PROJETO</t>
  </si>
  <si>
    <t>PLATÔ ADMINISTRATIVO</t>
  </si>
  <si>
    <t>3317101a-a89d-4a3c-ad42-7f272545787d</t>
  </si>
  <si>
    <t>AR-A1-1000-G-PB-4001</t>
  </si>
  <si>
    <t>BRITAGEM, RENWA META – GALPÃO DE BAGS E EMPILHADOR DE COMBUSTÍVEL SÓLIDO - MECÂNICA</t>
  </si>
  <si>
    <t>0011</t>
  </si>
  <si>
    <t>97d04d19-f000-4a6f-ac8e-768ad28b9c4b</t>
  </si>
  <si>
    <t>AR-A1-1000-G-PB-4002</t>
  </si>
  <si>
    <t>ESTOCAGEM DE MATÉRIA PRIMA - PÁTIO DE ESTOCAGEM</t>
  </si>
  <si>
    <t>0012</t>
  </si>
  <si>
    <t>539bb23a-1ab5-49ed-a323-6fbb0dbb0423</t>
  </si>
  <si>
    <t>AR-A1-1000-G-PB-4003</t>
  </si>
  <si>
    <t>SUBESTAÇÕES E DISTRIBUIÇÃO</t>
  </si>
  <si>
    <t>ELÉTRICA</t>
  </si>
  <si>
    <t>0023</t>
  </si>
  <si>
    <t>10b4502b-8dda-4aae-a792-b99897076da5</t>
  </si>
  <si>
    <t>AR-A1-1000-G-PB-4004</t>
  </si>
  <si>
    <t>-</t>
  </si>
  <si>
    <t>f3b61e75-49dc-4db4-8cde-0acf053d4997</t>
  </si>
  <si>
    <t>AR-A1-1000-G-PB-4005</t>
  </si>
  <si>
    <t>63326d7d-31ae-42c8-a6f5-7375e3825e92</t>
  </si>
  <si>
    <t>AR-A1-1000-G-PB-4006</t>
  </si>
  <si>
    <t>8e315707-1fa7-410e-a396-39958dc261a9</t>
  </si>
  <si>
    <t>AR-A1-1000-G-PB-4007</t>
  </si>
  <si>
    <t>99b57829-bd15-4fd5-b7a0-02c5975a8dea</t>
  </si>
  <si>
    <t>AR-A1-1000-G-PB-4008</t>
  </si>
  <si>
    <t>d394dd87-e189-46fd-a0c2-cb56d480765a</t>
  </si>
  <si>
    <t>AR-A1-1000-G-PB-4009</t>
  </si>
  <si>
    <t>809091f9-6264-4a03-a5e3-1e0e617b5a8d</t>
  </si>
  <si>
    <t>AR-A1-1000-G-PB-4010</t>
  </si>
  <si>
    <t>ac265fe1-83f6-41d1-ab89-3d81303a5667</t>
  </si>
  <si>
    <t>AR-A1-1000-G-PB-4011</t>
  </si>
  <si>
    <t>d9002133-cd01-4b17-a52b-88c90161ad74</t>
  </si>
  <si>
    <t>AR-A1-1000-G-PB-4012</t>
  </si>
  <si>
    <t>6b2947ac-453a-4a2d-b6fa-cf127c516d97</t>
  </si>
  <si>
    <t>AR-A1-1000-G-PB-4013</t>
  </si>
  <si>
    <t>4b205335-6f57-4cb7-aff3-595f63bbdd23</t>
  </si>
  <si>
    <t>AR-A1-1000-G-PB-4014</t>
  </si>
  <si>
    <t>fa28f24f-1050-4791-86b7-6154843890cc</t>
  </si>
  <si>
    <t>AR-A1-1000-G-PB-4015</t>
  </si>
  <si>
    <t>77aa44f7-e086-4a4f-aeda-140a806ee465</t>
  </si>
  <si>
    <t>AR-A1-1000-G-PB-4016</t>
  </si>
  <si>
    <t>4f3f8d2b-456a-4cfd-a507-bf861e430aa8</t>
  </si>
  <si>
    <t>AR-A1-1000-G-PB-4017</t>
  </si>
  <si>
    <t>2f6da588-984d-4b5e-9249-b51e238681da</t>
  </si>
  <si>
    <t>AR-A1-1000-G-PB-4018</t>
  </si>
  <si>
    <t>1b3c8b3d-4515-4406-b6e2-580b125abbae</t>
  </si>
  <si>
    <t>AR-A1-1000-G-PB-4019</t>
  </si>
  <si>
    <t>GP - Gestao De Projetos</t>
  </si>
  <si>
    <t>NCO - Norma De Coordenação</t>
  </si>
  <si>
    <t>25fb5ce0-75b2-4076-8a59-25df86737b24</t>
  </si>
  <si>
    <t>RL-A1-1000-G-PB-4002</t>
  </si>
  <si>
    <t>NORMA DE COORDENAÇÃO</t>
  </si>
  <si>
    <t>0035</t>
  </si>
  <si>
    <t>32</t>
  </si>
  <si>
    <t>4c3682ba-37a4-4df9-8fe2-c4558a3d3d89</t>
  </si>
  <si>
    <t>RL-A1-1000-G-PB-4003</t>
  </si>
  <si>
    <t>RELATÓRIO DE ACOMPANHAMENTO PARA PRÓXIMAS FASES</t>
  </si>
  <si>
    <t>37</t>
  </si>
  <si>
    <t>ME - Mecanica</t>
  </si>
  <si>
    <t>ARJ - Arranjo, Layout, Plano Diretor</t>
  </si>
  <si>
    <t>10bd3017-62b4-4f02-8282-c2d3a9817476</t>
  </si>
  <si>
    <t>DE-A1-1802-M-PB-0001</t>
  </si>
  <si>
    <t>PLANTA DE LOCAÇÃO</t>
  </si>
  <si>
    <t>POÇOS TUBULARES PROFUNDOS</t>
  </si>
  <si>
    <t>0028</t>
  </si>
  <si>
    <t>1245</t>
  </si>
  <si>
    <t>6:25</t>
  </si>
  <si>
    <t>8ffec046-10e0-42f1-919f-d7dd3baedccc</t>
  </si>
  <si>
    <t>DE-A1-1000-M-PB-0001</t>
  </si>
  <si>
    <t>PROJETO CONCEITUAL</t>
  </si>
  <si>
    <t>ÁREA GERAL</t>
  </si>
  <si>
    <t>PLANO DIRETOR</t>
  </si>
  <si>
    <t>1275</t>
  </si>
  <si>
    <t>eda19c24-91cc-407e-adfc-0927fcbf5de7</t>
  </si>
  <si>
    <t>ET-A1-1201-M-PB-4000</t>
  </si>
  <si>
    <t>BRITADOR 500t/h</t>
  </si>
  <si>
    <t>157</t>
  </si>
  <si>
    <t>bf46dad8-c305-4bb3-8486-21847e6bb70d</t>
  </si>
  <si>
    <t>ET-A1-1602-M-PB-4000</t>
  </si>
  <si>
    <t>RECEBIMENTO DE INSUMOS / MANUSEIO E ESTOCAGEM DE COMBUSTÍVEL SÓLIDO</t>
  </si>
  <si>
    <t>1602-ST-01 - EMPILHADOR MÓVEL</t>
  </si>
  <si>
    <t>250</t>
  </si>
  <si>
    <t>08d20f4e-b3ba-4a37-8e08-adc5cbd648f9</t>
  </si>
  <si>
    <t>ET-A1-1000-G-PB-0004</t>
  </si>
  <si>
    <t>ESPECIFICAÇÃO DE SERVIÇO</t>
  </si>
  <si>
    <t>CONTRATAÇÃO DA MONTAGEM ELETROMECÂNICA</t>
  </si>
  <si>
    <t>1270</t>
  </si>
  <si>
    <t>cb7bba63-bbe5-4f83-892c-2c03de89fc78</t>
  </si>
  <si>
    <t>ET-A1-1411-M-PB-4000</t>
  </si>
  <si>
    <t>RENWA META - UNIDADES DE ENSACAMENTO E SISTEMA DE PESAGEM</t>
  </si>
  <si>
    <t>83</t>
  </si>
  <si>
    <t>bbeadf56-34b2-4eb9-9ce3-f050729a8104</t>
  </si>
  <si>
    <t>FD-A1-1000-M-PB-0004</t>
  </si>
  <si>
    <t>TRANSPORTADORES DE CORREIAS (EQ-MEC-06)</t>
  </si>
  <si>
    <t>0036</t>
  </si>
  <si>
    <t>1250</t>
  </si>
  <si>
    <t>6099f1d8-a99f-4964-b78a-138c2f6c7ef6</t>
  </si>
  <si>
    <t>FD-A1-1411-M-PB-4000</t>
  </si>
  <si>
    <t>88</t>
  </si>
  <si>
    <t>7d979c7d-66fd-4376-aaa0-1d42ee54847a</t>
  </si>
  <si>
    <t>FD-A1-1411-M-PB-4001</t>
  </si>
  <si>
    <t>RENWA META - SILO DE ESTOCAGEM 2000t</t>
  </si>
  <si>
    <t>106</t>
  </si>
  <si>
    <t>521f8b8b-00e9-4200-91a4-ef85353363ec</t>
  </si>
  <si>
    <t>FD-A1-1201-M-PB-4000</t>
  </si>
  <si>
    <t>162</t>
  </si>
  <si>
    <t>5172dc2f-350b-40c7-afbc-a3728be5e8cc</t>
  </si>
  <si>
    <t>FD-A1-1602-M-PB-4000</t>
  </si>
  <si>
    <t>255</t>
  </si>
  <si>
    <t>b8299650-e5bf-44d3-a070-0ab373137177</t>
  </si>
  <si>
    <t>BL1132-0001-ME-FDA-2006</t>
  </si>
  <si>
    <t>FD-A1-1000-M-PB-0001</t>
  </si>
  <si>
    <t>PONTE ROLANTE</t>
  </si>
  <si>
    <t>0031</t>
  </si>
  <si>
    <t>0114fa77-e2bb-4fe7-9353-da24784b1df0</t>
  </si>
  <si>
    <t>LE-A1-1000-M-PB-0001</t>
  </si>
  <si>
    <t>LISTA DE EQUIPAMENTOS MECÂNICOS</t>
  </si>
  <si>
    <t>1225</t>
  </si>
  <si>
    <t>10a9890f-32b3-451c-a674-13eaf61fc2ca</t>
  </si>
  <si>
    <t>MC-A1-1000-M-PB-0001</t>
  </si>
  <si>
    <t>CALDEIRARIA E PEQUENAS ESTRUTURAS</t>
  </si>
  <si>
    <t>1230</t>
  </si>
  <si>
    <t>31b1aa2f-7fed-4b25-843b-55e11d2af7fa</t>
  </si>
  <si>
    <t>MC-A1-1000-M-PB-0002</t>
  </si>
  <si>
    <t>MEMÓRIAL DE CÁLCULO</t>
  </si>
  <si>
    <t>EQUIPAMENTOS DE MANUSEIO</t>
  </si>
  <si>
    <t>1235</t>
  </si>
  <si>
    <t>63d3e3d6-8ebe-46be-8a00-fe8eb67cf1a7</t>
  </si>
  <si>
    <t>MC-A1-1411-M-PB-4000</t>
  </si>
  <si>
    <t>1411-ST-001 - SILO DE ALIMENTAÇÃO - GALPÃO DE ESTOCAGEM BIG-BAGS</t>
  </si>
  <si>
    <t>111</t>
  </si>
  <si>
    <t>PBC - Plano De Bases E Cargas</t>
  </si>
  <si>
    <t>5bf02122-0a4b-409b-8511-7431ad9276d7</t>
  </si>
  <si>
    <t>MC-A1-1411-M-PB-4001</t>
  </si>
  <si>
    <t>PLANO DE CARGAS - RENWA META - SILO DE ALIMENTAÇÃO E GALPÃO DE ESTOCAGEM BIG-BAGS</t>
  </si>
  <si>
    <t>0019</t>
  </si>
  <si>
    <t>116</t>
  </si>
  <si>
    <t>26:30</t>
  </si>
  <si>
    <t>1cf454c4-b8f5-4f8d-b33c-4e44d07294b7</t>
  </si>
  <si>
    <t>MC-A1-1411-M-PB-4002</t>
  </si>
  <si>
    <t>PLANO DE CARGAS - RENWA META – COMPLEMENTO FLASH CALCINER</t>
  </si>
  <si>
    <t>78</t>
  </si>
  <si>
    <t>c4bd2f21-09f4-4f4f-a78a-d100c1ec42e0</t>
  </si>
  <si>
    <t>MC-A1-1001-M-PB-4000</t>
  </si>
  <si>
    <t>PLANO DE CARGAS - BALANÇA - PÁTIO PROVISÓRIO</t>
  </si>
  <si>
    <t>1370</t>
  </si>
  <si>
    <t>11:45</t>
  </si>
  <si>
    <t>d4edc7cc-cd91-42ea-b3b2-58fd7f1e688d</t>
  </si>
  <si>
    <t>MC-A1-1803-M-PB-0001</t>
  </si>
  <si>
    <t>SISTEMA DE BOMBEAMENTO E DISTRIBUIÇÃO DE ÁGUA PARA COMBATE A INCÊNDIO</t>
  </si>
  <si>
    <t>PLANO DE CARGAS - TANQUE DE SPCI</t>
  </si>
  <si>
    <t>382</t>
  </si>
  <si>
    <t>03e3e187-f7c3-46b3-b5a5-da350b16e25d</t>
  </si>
  <si>
    <t>MC-A1-1000-M-PB-0003</t>
  </si>
  <si>
    <t>PLANO DE CARGAS – SISTEMA DE MANUSEIO</t>
  </si>
  <si>
    <t>1240</t>
  </si>
  <si>
    <t>4a6aaab9-db02-4666-ad81-9f287fbc388b</t>
  </si>
  <si>
    <t>MC-A1-1316-M-PB-4000</t>
  </si>
  <si>
    <t>ATIVAÇÃO / MANUSEIO E ESTOCAGEM DE ARGILA CALCINADA</t>
  </si>
  <si>
    <t>PLANO DE CARGAS - SISTEMA DE CARREGAMENTO DE VAGÕES - EXTRAÇÃO DO SILO 1316-SI-001</t>
  </si>
  <si>
    <t>1068</t>
  </si>
  <si>
    <t>fc4f176c-dc03-47fb-bd21-4a1c503dd5d4</t>
  </si>
  <si>
    <t>MC-A1-1201-M-PB-0001</t>
  </si>
  <si>
    <t xml:space="preserve">BRITAGEM PRIMÁRIA </t>
  </si>
  <si>
    <t>PLANO DE CARGAS – PRÉDIO DA BRITAGEM</t>
  </si>
  <si>
    <t>0024</t>
  </si>
  <si>
    <t>43f1cee7-7df6-4fea-b950-fd523fc737ea</t>
  </si>
  <si>
    <t>PQ-A1-1000-M-PB-0001</t>
  </si>
  <si>
    <t>FORNECIMENTO DE CALDEIRARIA</t>
  </si>
  <si>
    <t>1255</t>
  </si>
  <si>
    <t>47119a78-1b49-4ddc-a8f5-fe698c1ee3ef</t>
  </si>
  <si>
    <t>PQ-A1-1000-M-PB-0002</t>
  </si>
  <si>
    <t>FORNECIMENTO DE EQUIPAMENTOS MECÂNICOS</t>
  </si>
  <si>
    <t>1260</t>
  </si>
  <si>
    <t>8243ca97-87af-42c4-b3a1-54be97631f50</t>
  </si>
  <si>
    <t>PQ-A1-1000-G-PB-0005</t>
  </si>
  <si>
    <t>PLANILHA QUANTIDADES</t>
  </si>
  <si>
    <t>MONTAGEM ELETROMECÂNICA</t>
  </si>
  <si>
    <t>1265</t>
  </si>
  <si>
    <t>PC - Planejamento E Controle</t>
  </si>
  <si>
    <t>CRO - Cronograma</t>
  </si>
  <si>
    <t>d5846c7a-2cfc-4a3d-b856-f22e64be2758</t>
  </si>
  <si>
    <t>CR-A1-1000-F-PB-4000</t>
  </si>
  <si>
    <t>CRONOGRAMA DETALHADO</t>
  </si>
  <si>
    <t>0037</t>
  </si>
  <si>
    <t>27</t>
  </si>
  <si>
    <t>TU - Tubulacao</t>
  </si>
  <si>
    <t>a7d04d46-515d-4cec-a13b-3a09638f7056</t>
  </si>
  <si>
    <t>EG-A1-1000-T-PB-0001</t>
  </si>
  <si>
    <t>GERAL - COMUM</t>
  </si>
  <si>
    <t>ESPECIFICAÇÃO GERAL</t>
  </si>
  <si>
    <t>MATERIAIS DE TUBULAÇÃO</t>
  </si>
  <si>
    <t>1202</t>
  </si>
  <si>
    <t>4027cf01-6632-4d85-aecc-6da4c4e1c1ff</t>
  </si>
  <si>
    <t>MC-A1-1000-T-PB-0001</t>
  </si>
  <si>
    <t>ESTIMATIVA DE MATERIAIS DE TUBULAÇÃO</t>
  </si>
  <si>
    <t>1197</t>
  </si>
  <si>
    <t>f8ebe956-7f77-4493-b103-b730380ab5f0</t>
  </si>
  <si>
    <t>PQ-A1-1000-T-PB-0001</t>
  </si>
  <si>
    <t>FORNECIMENTO DE TUBULAÇÕES</t>
  </si>
  <si>
    <t>1207</t>
  </si>
  <si>
    <t>UT - Sistema De Utilidades</t>
  </si>
  <si>
    <t>9e82eb2d-01f6-4a7b-9f51-a89cb01cae3c</t>
  </si>
  <si>
    <t>ET-A1-1803-M-PB-0001</t>
  </si>
  <si>
    <t>SIST. DE BOMB. E DIST. DE ÁGUA PARA COMBATE A INCÊNDIO</t>
  </si>
  <si>
    <t>SKID DE BOMBAS PARA COMBATE A INCÊNDIO</t>
  </si>
  <si>
    <t>371</t>
  </si>
  <si>
    <t>c61966a1-9061-4054-b52f-9f6e68baed6c</t>
  </si>
  <si>
    <t>ET-A1-1805-M-PB-0001</t>
  </si>
  <si>
    <t>SIST. DE TRAT. ESTOCAGEM E DIST. DE ÁGUA POTÁVEL (ETA)</t>
  </si>
  <si>
    <t>ESTAÇÃO DE TRATAMENTO DE ÁGUA - ETA</t>
  </si>
  <si>
    <t>343</t>
  </si>
  <si>
    <t>ef6de5ec-f984-4f3e-bcfc-2b1b7aa47bde</t>
  </si>
  <si>
    <t>FD-A1-1803-M-PB-0001</t>
  </si>
  <si>
    <t>SKID DE COMBATE A INCÊNDIO</t>
  </si>
  <si>
    <t>376</t>
  </si>
  <si>
    <t>FEN - Fluxograma De Engenharia</t>
  </si>
  <si>
    <t>b36c508a-3079-4e41-b3cd-514388fb4e6e</t>
  </si>
  <si>
    <t>DE-A1-1000-U-PB-0013</t>
  </si>
  <si>
    <t>FLUXOGRAMA DE ENGENHARIA - P&amp;ID</t>
  </si>
  <si>
    <t>AR COMPRIMIDO PARA LABORATÓRIO, RECOLHA DE ÓLEO USADO DA OFICINA DE EQUIPAMENTOS MÓVEIS</t>
  </si>
  <si>
    <t>982</t>
  </si>
  <si>
    <t>e5f27767-38d0-4c01-b1d5-ebd6f6c041de</t>
  </si>
  <si>
    <t>DE-A1-1802-U-PB-0001</t>
  </si>
  <si>
    <t>CAPTAÇÃO, ARMAZENAMENTO E DISTRIBUIÇÃO DE ÁGUA</t>
  </si>
  <si>
    <t>323</t>
  </si>
  <si>
    <t>e4093194-7c71-4eec-b241-fead3655a1e2</t>
  </si>
  <si>
    <t>DE-A1-1803-U-PB-0001</t>
  </si>
  <si>
    <t>ÁGUA PARA COMBATE A INCÊNDIO - 1/3</t>
  </si>
  <si>
    <t>356</t>
  </si>
  <si>
    <t>355b8f0b-2388-4ddb-b784-f428c9c01dbb</t>
  </si>
  <si>
    <t>DE-A1-1803-U-PB-0002</t>
  </si>
  <si>
    <t>ÁGUA PARA COMBATE A INCÊNDIO - 2/3</t>
  </si>
  <si>
    <t>361</t>
  </si>
  <si>
    <t>5c184a5f-809b-41af-b561-69149a73cb85</t>
  </si>
  <si>
    <t>DE-A1-1803-U-PB-0003</t>
  </si>
  <si>
    <t>ÁGUA PARA COMBATE A INCÊNDIO - 3/3</t>
  </si>
  <si>
    <t>366</t>
  </si>
  <si>
    <t>64c155ae-d468-4518-bfa1-103625152b08</t>
  </si>
  <si>
    <t>DE-A1-1802-U-PB-0002</t>
  </si>
  <si>
    <t>ÁGUA DE SERVIÇO</t>
  </si>
  <si>
    <t>328</t>
  </si>
  <si>
    <t>dd67172c-1c2d-47fd-8e15-d9decf0e4a24</t>
  </si>
  <si>
    <t>DE-A1-1805-U-PB-0001</t>
  </si>
  <si>
    <t>SISTEMA DE TRATAM. ESTOCAGEM E DISTRIBUIÇÃO DE ÁGUA POTÁVEL (ETA)</t>
  </si>
  <si>
    <t>ÁGUA POTÁVEL</t>
  </si>
  <si>
    <t>333</t>
  </si>
  <si>
    <t>87a6a8f1-1ae8-4757-9245-782a7b77e53f</t>
  </si>
  <si>
    <t>DE-A1-1805-U-PB-0003</t>
  </si>
  <si>
    <t>338</t>
  </si>
  <si>
    <t>4b671238-54ac-4cb7-af17-dab80e93fc95</t>
  </si>
  <si>
    <t>DE-A1-1805-U-PB-0002</t>
  </si>
  <si>
    <t>UFD</t>
  </si>
  <si>
    <t>BALANÇO DE ÁGUA POTÁVEL 1 MTPA</t>
  </si>
  <si>
    <t>313</t>
  </si>
  <si>
    <t>86b41e47-e688-4571-8a15-816742789bed</t>
  </si>
  <si>
    <t>DE-A1-1801-U-PB-0003</t>
  </si>
  <si>
    <t>SISTEMA DE AR COMPRIMIDO</t>
  </si>
  <si>
    <t>BALANÇO DE AR COMPRIMIDO 1 MTPA</t>
  </si>
  <si>
    <t>285</t>
  </si>
  <si>
    <t>44f15e2b-0cee-4ebc-ad71-729972325987</t>
  </si>
  <si>
    <t>DE-A1-1800-U-PB-0001</t>
  </si>
  <si>
    <t>SISTEMA DE UTILIDADES / COMUM</t>
  </si>
  <si>
    <t>BALANÇO DE ÁGUA 1 MTPA</t>
  </si>
  <si>
    <t>318</t>
  </si>
  <si>
    <t>edc55a65-5106-4c9b-adb0-290b57db31dd</t>
  </si>
  <si>
    <t>DE-A1-1801-U-PB-0002</t>
  </si>
  <si>
    <t>AR COMPRIMIDO DE INSTRUMENTOS - 2/3</t>
  </si>
  <si>
    <t>290</t>
  </si>
  <si>
    <t>2b65f5ea-2ff6-47fd-8199-1cbd0b00b99e</t>
  </si>
  <si>
    <t>DE-A1-1801-U-PB-0004</t>
  </si>
  <si>
    <t>AR DE SERVIÇO - 3/3</t>
  </si>
  <si>
    <t>295</t>
  </si>
  <si>
    <t>9f3466cc-8238-495f-ac6c-28a2393e6750</t>
  </si>
  <si>
    <t>LL-A1-1000-U-PB-0001</t>
  </si>
  <si>
    <t>LISTA DE LINHAS</t>
  </si>
  <si>
    <t>272</t>
  </si>
  <si>
    <t>4d378931-3ace-4aa3-9266-df200de4a78d</t>
  </si>
  <si>
    <t>MC-A1-1803-U-PB-0001</t>
  </si>
  <si>
    <t>SISTEMA DE COMBATE A INCÊNDIO</t>
  </si>
  <si>
    <t>351</t>
  </si>
  <si>
    <t>2:30</t>
  </si>
  <si>
    <t>9c781b6d-47e7-4482-a8d1-a5abecc2460f</t>
  </si>
  <si>
    <t>MC-A1-1805-U-PB-0001</t>
  </si>
  <si>
    <t xml:space="preserve">SISTEMA DE TRATAM. ESTOCAGEM E DISTRIBUIÇÃO DE ÁGUA </t>
  </si>
  <si>
    <t>0025</t>
  </si>
  <si>
    <t>303</t>
  </si>
  <si>
    <t>35:45</t>
  </si>
  <si>
    <t>cb7fae55-bd5a-4699-9631-954e9b3f2774</t>
  </si>
  <si>
    <t>MC-A1-1800-U-PB-0001</t>
  </si>
  <si>
    <t>SISTEMAS DE UTILIDADES / COMUM</t>
  </si>
  <si>
    <t>SISTEMAS DE ÁGUA</t>
  </si>
  <si>
    <t>308</t>
  </si>
  <si>
    <t>2fb99f4c-c47e-4391-9ed9-c14d39962ce4</t>
  </si>
  <si>
    <t>MC-A1-1801-U-PB-0001</t>
  </si>
  <si>
    <t>AR COMPRIMIDO</t>
  </si>
  <si>
    <t>280</t>
  </si>
  <si>
    <t>ebaa35af-fbd2-47a3-b73f-690408461951</t>
  </si>
  <si>
    <t>MC-A1-1900-U-PB-0001</t>
  </si>
  <si>
    <t>CLIMATIZAÇÃO DE SALAS ELÉTRICAS - HVAC</t>
  </si>
  <si>
    <t>536</t>
  </si>
  <si>
    <t>1d8764c1-557c-419b-acd4-399cc1fa6711</t>
  </si>
  <si>
    <t>RL-A1-2100-U-PB-4000</t>
  </si>
  <si>
    <t>INSTALAÇÕES DE APOIO OPERACIONAIS/COMUM</t>
  </si>
  <si>
    <t>RELATÓRIO TÉCNICO</t>
  </si>
  <si>
    <t>CLIMATIZAÇÃO PARA CONFORTO TÉRMICO</t>
  </si>
  <si>
    <t>0020</t>
  </si>
  <si>
    <t>4:30</t>
  </si>
  <si>
    <t>Corte</t>
  </si>
  <si>
    <t>imput</t>
  </si>
  <si>
    <t>fórmula</t>
  </si>
  <si>
    <t>TIPO DE DOCUMENTO</t>
  </si>
  <si>
    <t>FASE</t>
  </si>
  <si>
    <t>REV. BLOSSOM</t>
  </si>
  <si>
    <t>REV. CLIENTE</t>
  </si>
  <si>
    <t>GRD</t>
  </si>
  <si>
    <t>FINALIDADE ATUAL</t>
  </si>
  <si>
    <t>DATA EMISSÃO INICIAL</t>
  </si>
  <si>
    <t>DATA RETORNO</t>
  </si>
  <si>
    <t>DATA FINALIZAÇÃO</t>
  </si>
  <si>
    <t>STATUS DOCUMENTO</t>
  </si>
  <si>
    <t>SITUAÇÃO DOCUMENTO</t>
  </si>
  <si>
    <t>COM QUEM ESTÁ?</t>
  </si>
  <si>
    <t>DATA EMISSÃO CR</t>
  </si>
  <si>
    <t>SITUAÇÃO EMISSÃO INICIAL</t>
  </si>
  <si>
    <t>DATA EMISSÃO BL</t>
  </si>
  <si>
    <t>SITUAÇÃO BL</t>
  </si>
  <si>
    <t>EMISSÃO FUTURA</t>
  </si>
  <si>
    <t xml:space="preserve">RELATÓRIO SEMANA </t>
  </si>
  <si>
    <t>BL1132-0001-ME-FDA-2007</t>
  </si>
  <si>
    <t>Nº Documento Blossom</t>
  </si>
  <si>
    <t>s</t>
  </si>
  <si>
    <t>g</t>
  </si>
  <si>
    <t>Id</t>
  </si>
  <si>
    <t>Nº Documento Cliente</t>
  </si>
  <si>
    <t>Nome da Tarefa</t>
  </si>
  <si>
    <t>Duração</t>
  </si>
  <si>
    <t>Duração Dias Corridos</t>
  </si>
  <si>
    <t>% Previsto Circlua</t>
  </si>
  <si>
    <t>% Real Circlua</t>
  </si>
  <si>
    <t>Início da Linha de Base1</t>
  </si>
  <si>
    <t>Término da Linha de Base1</t>
  </si>
  <si>
    <t>Início</t>
  </si>
  <si>
    <t>Término</t>
  </si>
  <si>
    <t>BL1132 - Engenharia Básica da Planta Industrial e pátio de recebimento de Argila</t>
  </si>
  <si>
    <t>124 dias</t>
  </si>
  <si>
    <t xml:space="preserve">   GERAL</t>
  </si>
  <si>
    <t>85 dias</t>
  </si>
  <si>
    <t xml:space="preserve">      GERAL</t>
  </si>
  <si>
    <t xml:space="preserve">   DESENVOLVIMENTO DA ENGENHARIA</t>
  </si>
  <si>
    <t xml:space="preserve">      PRIORIDADE 1 - RENWA META &amp; BRITAGEM PRIMÁRIA</t>
  </si>
  <si>
    <t>79 dias</t>
  </si>
  <si>
    <t xml:space="preserve">      PRIORIDADE 2 - DRENAGEM E ARRANJO E GALPÃO DA HOMOGENEIZAÇÃO</t>
  </si>
  <si>
    <t>32 dias</t>
  </si>
  <si>
    <t xml:space="preserve">      PRIORIDADE 3 - APROVAÇÃO DO ARRANJO DO ARMAZENAMENTO DE COMBUSTÍVEL SÓLIDO</t>
  </si>
  <si>
    <t>29 dias</t>
  </si>
  <si>
    <t xml:space="preserve">      4 - SISTEMA DE UTILIDADES</t>
  </si>
  <si>
    <t>45 dias</t>
  </si>
  <si>
    <t xml:space="preserve">      5 - SISTEMA ELÉTRICO</t>
  </si>
  <si>
    <t>69 dias</t>
  </si>
  <si>
    <t xml:space="preserve">      6 - SISTEMA DE AUTOMAÇÃO / TELECOMUNICAÇÃO</t>
  </si>
  <si>
    <t>75 dias</t>
  </si>
  <si>
    <t xml:space="preserve">      7 - EDIFICAÇÕES ADMINISTRATIVAS</t>
  </si>
  <si>
    <t>60 dias</t>
  </si>
  <si>
    <t xml:space="preserve">      8 - ESTOCAGEM E EXTRAÇÃO DE ARGILA CALCINADA</t>
  </si>
  <si>
    <t>74 dias</t>
  </si>
  <si>
    <t xml:space="preserve">      9 - INFRAESTRUTURA</t>
  </si>
  <si>
    <t>31 dias</t>
  </si>
  <si>
    <t xml:space="preserve">      10 - GERAL</t>
  </si>
  <si>
    <t xml:space="preserve">      ENGENHARIA CONCEITUAL E BÁSICA DO PÁTIO DE RECEBIMENTO PROVISÓRIO DE ARGILA</t>
  </si>
  <si>
    <t>64 dias</t>
  </si>
  <si>
    <t xml:space="preserve">               3 - Atendimento de Comentários</t>
  </si>
  <si>
    <t>APLICÁVEIS</t>
  </si>
  <si>
    <t>PESQUISA</t>
  </si>
  <si>
    <t>DATA REAL</t>
  </si>
  <si>
    <t>DATA BL</t>
  </si>
  <si>
    <t>TENDÊNCIA</t>
  </si>
  <si>
    <t xml:space="preserve">         GERAL</t>
  </si>
  <si>
    <t xml:space="preserve">            GERAL</t>
  </si>
  <si>
    <t xml:space="preserve">               GERAL</t>
  </si>
  <si>
    <t xml:space="preserve">                  GERAL</t>
  </si>
  <si>
    <t xml:space="preserve">                     FORMALIZAÇÕES</t>
  </si>
  <si>
    <t>0 dias</t>
  </si>
  <si>
    <t xml:space="preserve">                        Reunião de KOM</t>
  </si>
  <si>
    <t xml:space="preserve">                     DOCUMENTAÇÃO DE REFERÊNCIA</t>
  </si>
  <si>
    <t>66 dias</t>
  </si>
  <si>
    <t xml:space="preserve">                        Fornecimento da engenharia conceitual do Pátio de Expedição de Argila, incluindo modelos nativos</t>
  </si>
  <si>
    <t xml:space="preserve">                        Fornecimento da documentação da engenharia da Planta Industrial, incluindo modelos nativos</t>
  </si>
  <si>
    <t xml:space="preserve">                        Fornecimento da documentação do Renwa Meta, incluindo modelos nativos</t>
  </si>
  <si>
    <t xml:space="preserve">                        Disponibilização das CWAs e CWPs desenvolvidas</t>
  </si>
  <si>
    <t xml:space="preserve">                        Disponibilização do Relatório das otimizações</t>
  </si>
  <si>
    <t xml:space="preserve">                        Envio da Solução de Drenagem - Pátio Homegeneização</t>
  </si>
  <si>
    <t xml:space="preserve">                        Disponibilização da Carga do Britador</t>
  </si>
  <si>
    <t xml:space="preserve">                        Disponibilização Memória de Cálculo - Silos de Produtos</t>
  </si>
  <si>
    <t>ND</t>
  </si>
  <si>
    <t xml:space="preserve">                        Disponibilização Memória de Cálculo - Flash Calciner</t>
  </si>
  <si>
    <t xml:space="preserve">                     MOBILIZAÇÃO DA EQUIPE</t>
  </si>
  <si>
    <t>10 dias</t>
  </si>
  <si>
    <t xml:space="preserve">                         Equipe inicial</t>
  </si>
  <si>
    <t xml:space="preserve">                         Equipe complementar</t>
  </si>
  <si>
    <t xml:space="preserve">                     PC - PLANEJAMENTO E CONTROLE</t>
  </si>
  <si>
    <t xml:space="preserve">                        LISTA DE DOCUMENTOS</t>
  </si>
  <si>
    <t>19 dias</t>
  </si>
  <si>
    <t xml:space="preserve">                           1 - Emissão Inicial</t>
  </si>
  <si>
    <t>8 dias</t>
  </si>
  <si>
    <t xml:space="preserve">                           2 - Comentários Circlua</t>
  </si>
  <si>
    <t xml:space="preserve">                           3 - Atendimento de Comentários</t>
  </si>
  <si>
    <t>3 dias</t>
  </si>
  <si>
    <t xml:space="preserve">                           4 - Aprovação Final</t>
  </si>
  <si>
    <t xml:space="preserve">                        CRONOGRAMA DETALHADO</t>
  </si>
  <si>
    <t>23 dias</t>
  </si>
  <si>
    <t>7 dias</t>
  </si>
  <si>
    <t xml:space="preserve">                        NORMA DE COORDENAÇÃO</t>
  </si>
  <si>
    <t>4 dias</t>
  </si>
  <si>
    <t xml:space="preserve">                        RELATÓRIO DE ACOMPANHAMENTO PARA PRÓXIMAS FASES</t>
  </si>
  <si>
    <t>14 dias</t>
  </si>
  <si>
    <t>5 dias</t>
  </si>
  <si>
    <t xml:space="preserve">                     ED - ENGENHARIA DIGITAL</t>
  </si>
  <si>
    <t xml:space="preserve">                        GERAL</t>
  </si>
  <si>
    <t xml:space="preserve">                           Elaboração do ambiente BIM/3D</t>
  </si>
  <si>
    <t xml:space="preserve">                           Permissionamentos</t>
  </si>
  <si>
    <t xml:space="preserve">                           Treinamento Forma</t>
  </si>
  <si>
    <t xml:space="preserve">                        BEP</t>
  </si>
  <si>
    <t>13 dias</t>
  </si>
  <si>
    <t xml:space="preserve">                        RELATÓRIO DE INTERFERÊNCIAS</t>
  </si>
  <si>
    <t xml:space="preserve">                        GERAL / COMUM - FICHA DE SETUP - 3D</t>
  </si>
  <si>
    <t>18 dias</t>
  </si>
  <si>
    <t xml:space="preserve">                        GERAL / COMUM - MODELO 3D</t>
  </si>
  <si>
    <t>40 dias</t>
  </si>
  <si>
    <t xml:space="preserve">                     MARCOS</t>
  </si>
  <si>
    <t xml:space="preserve">                        APRESENTAÇÕES</t>
  </si>
  <si>
    <t>28 dias</t>
  </si>
  <si>
    <t xml:space="preserve">                           Apresentação Layout da Arquitetura - Prédio Administrativo</t>
  </si>
  <si>
    <t xml:space="preserve">                           Apresentação Galpão de Ensacamento</t>
  </si>
  <si>
    <t xml:space="preserve">                           Apresentação do arranjo da Britagem</t>
  </si>
  <si>
    <t xml:space="preserve">                           Apresentação da solução de infraestrutura - Pátio Provisório</t>
  </si>
  <si>
    <t xml:space="preserve">                           Apresentação do Galpão da Homogeneização</t>
  </si>
  <si>
    <t xml:space="preserve">                           Apresentação do arranjo do Galpão de Combustível Sólido</t>
  </si>
  <si>
    <t xml:space="preserve">                           Início</t>
  </si>
  <si>
    <t xml:space="preserve">                           Término</t>
  </si>
  <si>
    <t xml:space="preserve">         ENGENHARIA BÁSICA DO RENWA META - PT 04.00</t>
  </si>
  <si>
    <t xml:space="preserve">            14 - PÓS-PROCESSAMENTO</t>
  </si>
  <si>
    <t xml:space="preserve">               1411 - CLASSIFICAÇÃO</t>
  </si>
  <si>
    <t xml:space="preserve">                  MODELAGEM 3D</t>
  </si>
  <si>
    <t>61 dias</t>
  </si>
  <si>
    <t xml:space="preserve">                     EM - ESTRUTURA METÁLICA</t>
  </si>
  <si>
    <t xml:space="preserve">                     ME - MECÂNICA</t>
  </si>
  <si>
    <t>12 dias</t>
  </si>
  <si>
    <t xml:space="preserve">                  DOCUMENTAÇÃO DE ENGENHARIA</t>
  </si>
  <si>
    <t>63 dias</t>
  </si>
  <si>
    <t>30,2 dias</t>
  </si>
  <si>
    <t xml:space="preserve">                        MEMÓRIA DE CÁLCULO - PLANO DE CARGAS - 1411-ST-001 - RENWA META</t>
  </si>
  <si>
    <t>22 dias</t>
  </si>
  <si>
    <t xml:space="preserve">                        ESPECIFICAÇÃO TÉCNICA - 1411-ST-001 - RENWA META</t>
  </si>
  <si>
    <t>19,2 dias</t>
  </si>
  <si>
    <t xml:space="preserve">                        FOLHA DE DADOS - 1411-ST-001 - RENWA META</t>
  </si>
  <si>
    <t xml:space="preserve">                        PLANILHA DE QUANTIDADES - FORNECIMENTO DE ESTRUTURA METÁLICA</t>
  </si>
  <si>
    <t xml:space="preserve">               1412 - PÓS PROCESSAMENTO - MANUSEIO E ESTOCAGEM</t>
  </si>
  <si>
    <t>44,94 dias</t>
  </si>
  <si>
    <t>43,94 dias</t>
  </si>
  <si>
    <t xml:space="preserve">                     CC - CONCRETO</t>
  </si>
  <si>
    <t>32,5 dias</t>
  </si>
  <si>
    <t xml:space="preserve">                        FOLHA DE DADOS - 1411-ST-001 - PONTE ROLANTE - GALPÃO DE ESTOCAGEM BIG-BAGS</t>
  </si>
  <si>
    <t xml:space="preserve">                        MEMÓRIA DE CÁLCULO - 1411-ST-001 - SILO DE ALIMENTAÇÃO - GALPÃO DE ESTOCAGEM BIG-BAGS</t>
  </si>
  <si>
    <t>28,5 dias</t>
  </si>
  <si>
    <t xml:space="preserve">                        MEMÓRIA DE CÁLCULO - PLANO DE CARGAS - 1411-ST-001 - SILO DE ALIMENTAÇÃO - GALPÃO DE ESTOCAGEM BIG-BAGS</t>
  </si>
  <si>
    <t>16 dias</t>
  </si>
  <si>
    <t>28,94 dias</t>
  </si>
  <si>
    <t xml:space="preserve">                        MEMÓRIA DE CÁLCULO - GALPÃO PARA ENSACAMENTO - RENWA META</t>
  </si>
  <si>
    <t xml:space="preserve">                        MEMÓRIA DE CÁLCULO - FUNDAÇÕES - GALPÃO PARA ENSACAMENTO - RENWA META</t>
  </si>
  <si>
    <t xml:space="preserve">                        MEMÓRIA DE CÁLCULO - FUNDAÇÕES - GALPÃO DE ENSACAMENTO / EXPEDIÇÃO / SILO / CARREGAMENTOS</t>
  </si>
  <si>
    <t xml:space="preserve">            15 - MANUSEIO DE PRODUTO</t>
  </si>
  <si>
    <t xml:space="preserve">         REVISÃO DA ENGENHARIA BÁSICA DA PLANTA INDUSTRIAL - PT 03.01</t>
  </si>
  <si>
    <t>56 dias</t>
  </si>
  <si>
    <t xml:space="preserve">            12 - BRITAGEM E HOMEGENEIZAÇÃO</t>
  </si>
  <si>
    <t xml:space="preserve">               1201 - BRITAGEM</t>
  </si>
  <si>
    <t>15 dias</t>
  </si>
  <si>
    <t xml:space="preserve">                     CI - INFRAESTRUTURA</t>
  </si>
  <si>
    <t>39 dias</t>
  </si>
  <si>
    <t>24 dias</t>
  </si>
  <si>
    <t xml:space="preserve">                        PLANO DE CARGAS - 1201-ST-003 - BRITAGEM</t>
  </si>
  <si>
    <t xml:space="preserve">                        ESPECIFICAÇÃO TÉCNICA - 1201-ST-003 - BRITAGEM</t>
  </si>
  <si>
    <t>9 dias</t>
  </si>
  <si>
    <t xml:space="preserve">                        FOLHA DE DADOS- 1201-ST-003 - BRITAGEM</t>
  </si>
  <si>
    <t>21 dias</t>
  </si>
  <si>
    <t xml:space="preserve">                        MEMÓRIA DE CÁLCULO - TRANSPORTADOR E CASA DE TRANSFERÊNCIA</t>
  </si>
  <si>
    <t>17 dias</t>
  </si>
  <si>
    <t xml:space="preserve">                        MEMÓRIA DE CÁLCULO - BRITAGEM PRIMÁRIA</t>
  </si>
  <si>
    <t>20,8 dias</t>
  </si>
  <si>
    <t xml:space="preserve">                        BRITAGEM PRIMÁRIA - 1201-ED-001</t>
  </si>
  <si>
    <t xml:space="preserve">                        CASAS DE TRANSFERÊNCIA -1201-CT-001</t>
  </si>
  <si>
    <t>15,8 dias</t>
  </si>
  <si>
    <t xml:space="preserve">                        MEMÓRIA DE CÁLCULO - GEOTECNIA - ANÁLISE DE ESTABILIDADE - CONTENÇÕES EM TERRA ARMADA</t>
  </si>
  <si>
    <t>6 dias</t>
  </si>
  <si>
    <t xml:space="preserve">         GALPÃO DE HOMEGENEIZAÇÃO - PT 03.02</t>
  </si>
  <si>
    <t xml:space="preserve">            16 - RECEBIMENTO DE INSUMOS</t>
  </si>
  <si>
    <t xml:space="preserve">               1602 - MASUSEIO E ESTOCAGEM DE COMBUSTÍVEL SÓLIDO</t>
  </si>
  <si>
    <t xml:space="preserve">                        MEMÓRIA DE CÁLCULO - ESTRUTURAS DE CONCRETO - DRENAGEM FORÇADA</t>
  </si>
  <si>
    <t xml:space="preserve">                        MEMÓRIA DE CÁLCULO - MOEGA, CASA DE TRANSFERENCIA E TRANSPORTADORES</t>
  </si>
  <si>
    <t xml:space="preserve">                        LOCAÇÃO E FORMA - ESTRUTURAS DE CONCRETO - DRENAGEM FORÇADA</t>
  </si>
  <si>
    <t xml:space="preserve">                        FOLHA DE DADOS - DRENAGEM FORÇADA</t>
  </si>
  <si>
    <t xml:space="preserve">                        ESPECIFICAÇÃO TÉCNICA - DRENAGEM FORÇADA</t>
  </si>
  <si>
    <t xml:space="preserve">         ARMAZENAGEM DE COMBUSTÍVEL SÓLIDO - PT 03.05</t>
  </si>
  <si>
    <t xml:space="preserve">            17 - MOAGEM DE COMBUSTÍVEL SÓLIDO</t>
  </si>
  <si>
    <t xml:space="preserve">               1713 - ESTOCAGEM DE COMBUSTÍVEL MOÍDO</t>
  </si>
  <si>
    <t xml:space="preserve">                  DOCUMENTAÇAO DE ENGENHARIA</t>
  </si>
  <si>
    <t xml:space="preserve">                        ESPECIFICAÇÃO TÉCNICA - 1602-ST-01 - EMPILHADOR MÓVEL</t>
  </si>
  <si>
    <t xml:space="preserve">                        FOLHA DE DADOS - 1602-ST-01 - EMPILHADOR MÓVEL</t>
  </si>
  <si>
    <t xml:space="preserve">                        MEMÓRIA DE CÁLCULO - ESTRUTURAS ABASTECIMENTO VAGÕES - FUNDAÇÕES</t>
  </si>
  <si>
    <t xml:space="preserve">         SISTEMA DE UTILIDADES - PT 03.06</t>
  </si>
  <si>
    <t xml:space="preserve">            18 - SISTEMA DE UTILIDADES</t>
  </si>
  <si>
    <t xml:space="preserve">               1800 - GERAL</t>
  </si>
  <si>
    <t xml:space="preserve">                     UT - UTILIDADES</t>
  </si>
  <si>
    <t xml:space="preserve">                        LISTA DE LINHAS - LISTA DE LINHAS</t>
  </si>
  <si>
    <t xml:space="preserve">               1801 - SISTEMA DE AR COMPRIMIDO</t>
  </si>
  <si>
    <t xml:space="preserve">                        MEMÓRIA DE CÁLCULO - AR COMPRIMIDO</t>
  </si>
  <si>
    <t xml:space="preserve">                        UFD - BALANÇO DE AR COMPRIMIDO 1 MTPA</t>
  </si>
  <si>
    <t xml:space="preserve">                        FLUXOGRAMA DE ENGENHARIA - P&amp;ID - AR COMPRIMIDO DE INSTRUMENTOS - 2/3</t>
  </si>
  <si>
    <t xml:space="preserve">                        FLUXOGRAMA DE ENGENHARIA - P&amp;ID - AR DE SERVIÇO - 3/3</t>
  </si>
  <si>
    <t xml:space="preserve">               1802 - SISTEMA DE CAPTAÇÃO ESTOCAGEM E DISTRIBUIÇÃO DE ÁGUA BRUTA</t>
  </si>
  <si>
    <t>34 dias</t>
  </si>
  <si>
    <t xml:space="preserve">                        MEMÓRIA DE CÁLCULO - ÁGUA POTÁVEL</t>
  </si>
  <si>
    <t xml:space="preserve">                        MEMÓRIA DE CÁLCULO - SISTEMAS DE ÁGUA</t>
  </si>
  <si>
    <t xml:space="preserve">                        UFD - BALANÇO DE ÁGUA POTÁVEL 1 MTPA</t>
  </si>
  <si>
    <t xml:space="preserve">                        UFD - BALANÇO DE ÁGUA 1 MTPA</t>
  </si>
  <si>
    <t xml:space="preserve">                        FLUXOGRAMA DE ENGENHARIA - P&amp;ID - CAPTAÇÃO, ARMAZENAMENTO E DISTRIBUIÇÃO DE ÁGUA</t>
  </si>
  <si>
    <t xml:space="preserve">                        FLUXOGRAMA DE ENGENHARIA - P&amp;ID - ÁGUA DE SERVIÇO</t>
  </si>
  <si>
    <t xml:space="preserve">                        FLUXOGRAMA DE ENGENHARIA - P&amp;ID - ÁGUA POTÁVEL</t>
  </si>
  <si>
    <t xml:space="preserve">                        ESPECIFICAÇÃO TÉCNICA - ESTAÇÃO DE TRATAMENTO DE ÁGUA - ETA</t>
  </si>
  <si>
    <t>11 dias</t>
  </si>
  <si>
    <t>2 dias</t>
  </si>
  <si>
    <t xml:space="preserve">               1803 - SISTEMA DE BOMBEAMENTO E DISTRIBUIÇÃO DE ÁGUA PARA COMBATE A INCÊNDIO</t>
  </si>
  <si>
    <t>38 dias</t>
  </si>
  <si>
    <t>30 dias</t>
  </si>
  <si>
    <t xml:space="preserve">                        MEMÓRIA DE CÁLCULO - SISTEMA DE COMBATE A INCÊNDIO</t>
  </si>
  <si>
    <t xml:space="preserve">                        FLUXOGRAMA DE ENGENHARIA - P&amp;ID - ÁGUA PARA COMBATE A INCÊNDIO - 1/3</t>
  </si>
  <si>
    <t xml:space="preserve">                        FLUXOGRAMA DE ENGENHARIA - P&amp;ID - ÁGUA PARA COMBATE A INCÊNDIO - 2/3</t>
  </si>
  <si>
    <t xml:space="preserve">                        FLUXOGRAMA DE ENGENHARIA - P&amp;ID - ÁGUA PARA COMBATE A INCÊNDIO - 3/3</t>
  </si>
  <si>
    <t xml:space="preserve">                        ESPECIFICAÇÃO TÉCNICA - SKID DE BOMBAS PARA COMBATE A INCÊNDIO</t>
  </si>
  <si>
    <t xml:space="preserve">                        FOLHA DE DADOS - SKID DE COMBATE A INCÊNDIO</t>
  </si>
  <si>
    <t xml:space="preserve">                        MEMÓRIA DE CÁLCULO - PLANO DE CARGAS - TANQUE DE SPCI</t>
  </si>
  <si>
    <t xml:space="preserve">                        MEMÓRIA DE CÁLCULO - COMBATE INCENDIO E CX DE ÁGUA - TANQUE</t>
  </si>
  <si>
    <t xml:space="preserve">         SISTEMA ELÉTRICO - PT 03.07</t>
  </si>
  <si>
    <t xml:space="preserve">            19 - SISTEMA ELÉTRICO</t>
  </si>
  <si>
    <t xml:space="preserve">               1900 - COMUM</t>
  </si>
  <si>
    <t xml:space="preserve">                     EL ELÉTRICA</t>
  </si>
  <si>
    <t xml:space="preserve">                        ESTUDO DE CARGAS E DEMANDA RELATÓRIO TÉCNICO</t>
  </si>
  <si>
    <t xml:space="preserve">                        DIAGRAMA UNIFILAR GERAL SIMPLIFICADO</t>
  </si>
  <si>
    <t xml:space="preserve">                        LISTA DE EQUIPAMENTOS ELÉTRICOS</t>
  </si>
  <si>
    <t xml:space="preserve">                        FOLHA DE DADOS - INVERSORES DE MÉDIA TENSÃO</t>
  </si>
  <si>
    <t xml:space="preserve">                        FOLHA DE DADOS - TRANSFORMADORES DE ILUMINAÇÃO</t>
  </si>
  <si>
    <t xml:space="preserve">                        FOLHA DE DADOS - TRANSFORMADORES DE FORÇA</t>
  </si>
  <si>
    <t xml:space="preserve">                        FOLHA DE DADOS - RETIFICADOR E BATERIAS</t>
  </si>
  <si>
    <t xml:space="preserve">                        FOLHA DE DADOS - QUADROS DE ILUMINAÇÃO</t>
  </si>
  <si>
    <t xml:space="preserve">                        FOLHA DE DADOS - QUADRO DE TRANSFERÊNCIA AUTOMÁTICA</t>
  </si>
  <si>
    <t xml:space="preserve">                        FOLHA DE DADOS - QUADRO DE DISTRIBUIÇÃO AUXILIAR</t>
  </si>
  <si>
    <t xml:space="preserve">                        FOLHA DE DADOS - QUADRO DE DISTRIBUIÇÃO 13,8kV</t>
  </si>
  <si>
    <t xml:space="preserve">                        FOLHA DE DADOS - PAINEL ILUMINAÇÃO</t>
  </si>
  <si>
    <t xml:space="preserve">                        FOLHA DE DADOS - NO-BREAKS</t>
  </si>
  <si>
    <t xml:space="preserve">                        FOLHA DE DADOS - RESISTORES DE ATERRAMENTO</t>
  </si>
  <si>
    <t xml:space="preserve">                        FOLHA DE DADOS - CONJUNTO DE MANOBRA DE BT</t>
  </si>
  <si>
    <t xml:space="preserve">                        FOLHA DE DADOS - CENTRO DE CONTROLE DE MOTORES MT</t>
  </si>
  <si>
    <t xml:space="preserve">                        FOLHA DE DADOS - CENTRO DE CONTROLE DE MOTORES BT</t>
  </si>
  <si>
    <t xml:space="preserve">                        FOLHA DE DADOS - GERADOR</t>
  </si>
  <si>
    <t xml:space="preserve">                        FOLHA DE DADOS - INVERSORES DE BAIXA TENSÃO</t>
  </si>
  <si>
    <t xml:space="preserve">                        MEMÓRIA DE CÁLCULO DE CABOS</t>
  </si>
  <si>
    <t xml:space="preserve">                        SISTEMA ELÉTRICO / COMUM - LISTAS DE CABOS ELÉTRICOS</t>
  </si>
  <si>
    <t xml:space="preserve">                        MEMÓRIA DE CÁLCULO DE EQUIPAMENTOS ELÉTRICOS</t>
  </si>
  <si>
    <t xml:space="preserve">                        MEMÓRIA DE CÁLCULO DE CABOS DE CONTROLE</t>
  </si>
  <si>
    <t xml:space="preserve">                        ESPECIFICAÇÃO TÉCNICA FORNECIMENTO TURN KEY DA SUBESTAÇÃO PRINCIPAL 1901-SE-01</t>
  </si>
  <si>
    <t xml:space="preserve">                        ESPECIFICAÇÃO TÉCNICA FORNECIMENTO TURN KEY DE LINHAS DE DISTRIBUIÇÃO PROTEGIDAS DE 13,8 kV</t>
  </si>
  <si>
    <t xml:space="preserve">                        MEMORIAL DESCRITIVO DO PROJETO BÁSICO DO SISTEMA ELÉTRICO</t>
  </si>
  <si>
    <t xml:space="preserve">                        PLANILHA DE QUANTIDADES</t>
  </si>
  <si>
    <t xml:space="preserve">                        MEMÓRIA DE CÁLCULO - CLIMATIZAÇÃO DE SALAS ELÉTRICAS - HVAC</t>
  </si>
  <si>
    <t xml:space="preserve">               1901 - SUBESTAÇÃO PRINCIPAL</t>
  </si>
  <si>
    <t>20 dias</t>
  </si>
  <si>
    <t xml:space="preserve">                     EL - ELÉTRICA</t>
  </si>
  <si>
    <t xml:space="preserve">                     AR - ARQUITETURA</t>
  </si>
  <si>
    <t xml:space="preserve">                        DIAGRAMA UNIFILAR SUBESTAÇÃO 1901-SE-001</t>
  </si>
  <si>
    <t xml:space="preserve">                        DIAGRAMA UNIFILAR SUBESTAÇÃO 1901-SE-001 - SERVIÇOS AUXILIARES</t>
  </si>
  <si>
    <t>1 dia</t>
  </si>
  <si>
    <t xml:space="preserve">               1911 - SUBESTAÇÃO SECUNDÁRIA 1</t>
  </si>
  <si>
    <t xml:space="preserve">                        DIAGRAMA UNIFILAR SUBESTAÇÃO 1911-SE-001</t>
  </si>
  <si>
    <t xml:space="preserve">                        PLANTA E CORTES</t>
  </si>
  <si>
    <t xml:space="preserve">                        MEMÓRIA DE CÁLCULO - ESTRUTURAS DE CONCRETO / FUNDAÇÕES</t>
  </si>
  <si>
    <t xml:space="preserve">                        MEMÓRIA DE CÁLCULO - COBERTURA METÁLICA</t>
  </si>
  <si>
    <t xml:space="preserve">               1911 - SUBESTAÇÃO SECUNDÁRIA 2</t>
  </si>
  <si>
    <t>37 dias</t>
  </si>
  <si>
    <t xml:space="preserve">                        DIAGRAMA UNIFILAR SUBESTAÇÃO 1911-SE-002</t>
  </si>
  <si>
    <t xml:space="preserve">               1911 - SUBESTAÇÃO SECUNDÁRIA 3</t>
  </si>
  <si>
    <t>41 dias</t>
  </si>
  <si>
    <t xml:space="preserve">                        DIAGRAMA UNIFILAR SUBESTAÇÃO 1911-SE-003</t>
  </si>
  <si>
    <t xml:space="preserve">         SISTEMA DE AUTOMAÇÃO - PT 03.11</t>
  </si>
  <si>
    <t xml:space="preserve">            20 - SISTEMA DE AUTOMAÇÃO</t>
  </si>
  <si>
    <t xml:space="preserve">               2000 - COMUM</t>
  </si>
  <si>
    <t xml:space="preserve">                     AI - AUTOMAÇÃO</t>
  </si>
  <si>
    <t xml:space="preserve">                        LISTA DE INSTRUMENTOS</t>
  </si>
  <si>
    <t>27 dias</t>
  </si>
  <si>
    <t xml:space="preserve">                        FOLHA DE DADOS - MEDIDOR DE NÍVEL TIPO RADAR</t>
  </si>
  <si>
    <t xml:space="preserve">                        FOLHA DE DADOS - CHAVE DE NÍVEL PORTINHOLA</t>
  </si>
  <si>
    <t xml:space="preserve">                        FOLHA DE DADOS - SENSOR DE POSIÇÃO</t>
  </si>
  <si>
    <t xml:space="preserve">                        FOLHA DE DADOS - SINALIZADOR LUMINOSO</t>
  </si>
  <si>
    <t xml:space="preserve">                        FOLHA DE DADOS - ANALISADOR CNA</t>
  </si>
  <si>
    <t xml:space="preserve">                        FOLHA DE DADOS - PAINEL PNEUMÁTICO</t>
  </si>
  <si>
    <t xml:space="preserve">                        FOLHA DE DADOS - CHAVE DE NÍVEL TIPO RADAR</t>
  </si>
  <si>
    <t xml:space="preserve">                        DIAGRAMA DE CONFIGURAÇÃO DO SISTEMA DE CONTROLE</t>
  </si>
  <si>
    <t xml:space="preserve">                        DIAGRAMA DE CONFIGURAÇÃO SAS/SGE</t>
  </si>
  <si>
    <t xml:space="preserve">                        LISTA PRELIMINAR DE ENTRADAS E SAÍDAS</t>
  </si>
  <si>
    <t xml:space="preserve">                        FOLHA DE DADOS - SISTEMA SUPERVISÃO DE CONTROLE DE PROCESSOS</t>
  </si>
  <si>
    <t xml:space="preserve">                        FOLHA DE DADOS - AUTOMAÇÃO DE SUBESTAÇÕES</t>
  </si>
  <si>
    <t xml:space="preserve">                        FOLHA DE DADOS - QDTI AUTOMAÇÃO</t>
  </si>
  <si>
    <t xml:space="preserve">                        ESPECIFICAÇÃO TÉCNICA - SISTEMA DE CONTROLE E AUTOMAÇÃO</t>
  </si>
  <si>
    <t xml:space="preserve">                        LISTA DE EQUIPAMENTOS DE AUTOMAÇÃO</t>
  </si>
  <si>
    <t xml:space="preserve">                        FOLHA DE DADOS - BALANÇA RODOVIÁRIA</t>
  </si>
  <si>
    <t xml:space="preserve">                        FOLHA DE DADOS - VÁLVULA DE CONTROLE - ESFERA</t>
  </si>
  <si>
    <t xml:space="preserve">                        FOLHA DE DADOS - VÁLVULA ON-OFF</t>
  </si>
  <si>
    <t xml:space="preserve">                        FOLHA DE DADOS - VÁLVULA AUTO-OPERADA</t>
  </si>
  <si>
    <t xml:space="preserve">                        FOLHA DE DADOS - VÁLVULA DE ALÍVIO DE PRESSÃO</t>
  </si>
  <si>
    <t xml:space="preserve">                        FOLHA DE DADOS - VÁLVULA DILÚVIO</t>
  </si>
  <si>
    <t xml:space="preserve">                        FOLHA DE DADOS - VÁLVULA GOVERNO E ALARME</t>
  </si>
  <si>
    <t xml:space="preserve">                        FOLHA DE DADOS - VÁLVULA SOLENOIDE</t>
  </si>
  <si>
    <t xml:space="preserve">                        FOLHA DE DADOS - MEDIDOR DE VAZÃO MAGNÉTICO</t>
  </si>
  <si>
    <t xml:space="preserve">                        FOLHA DE DADOS - MEDIDOR DE TEMPERATURA</t>
  </si>
  <si>
    <t xml:space="preserve">                        FOLHA DE DADOS - MEDIDOR DE PRESSÃO</t>
  </si>
  <si>
    <t xml:space="preserve">                        FOLHA DE DADOS - MEDIDOR DE VAZÃO VORTEX</t>
  </si>
  <si>
    <t xml:space="preserve">                        FOLHA DE DADOS - MANÔMETRO</t>
  </si>
  <si>
    <t xml:space="preserve">                        FOLHA DE DADOS - BALANÇA INTEGRADORA</t>
  </si>
  <si>
    <t xml:space="preserve">                        FOLHA DE DADOS - ANALISADOR DE CONDUTIVIDADE</t>
  </si>
  <si>
    <t xml:space="preserve">                        FOLHA DE DADOS - ANALISADOR DE pH</t>
  </si>
  <si>
    <t xml:space="preserve">               2004 - SISTEMA DE CONTROLE DE EMERGÊNCIA</t>
  </si>
  <si>
    <t xml:space="preserve">                        DIAGRAMA DE CONFIGURAÇÃO DE TELECOM - SDACI</t>
  </si>
  <si>
    <t xml:space="preserve">                        FOLHA DE DADOS - SDACI</t>
  </si>
  <si>
    <t xml:space="preserve">                        ESPECIFICAÇÃO TÉCNICA - SDACI</t>
  </si>
  <si>
    <t xml:space="preserve">               2007 - MONITORAMENTO DE PROCESSO - CFTV</t>
  </si>
  <si>
    <t xml:space="preserve">                        DIAGRAMA DE CONFIGURAÇÃO DE TELECOM - CFTV PROCESSO</t>
  </si>
  <si>
    <t xml:space="preserve">                        FOLHA DE DADOS - CFTV DE PROCESSO</t>
  </si>
  <si>
    <t xml:space="preserve">                        ESPECIFICAÇÃO TÉCNICA - CFTV DE PROCESSO</t>
  </si>
  <si>
    <t xml:space="preserve">                        DIAGRAMA DE CONFIGURAÇÃO DE TELECOM - SEGURANÇA PATRIMONIAL</t>
  </si>
  <si>
    <t xml:space="preserve">                        FOLHA DE DADOS - SEGURANÇA PATRIMONIAL</t>
  </si>
  <si>
    <t xml:space="preserve">                        ESPECIFICAÇÃO TÉCNICA - SEGURANÇA PATRIMONIAL</t>
  </si>
  <si>
    <t xml:space="preserve">               2008 - BACKBONE ÓPTICO</t>
  </si>
  <si>
    <t xml:space="preserve">                        DIAGRAMA DE CONFIGURAÇÃO DE TELECOM - REDE DE DADOS E TELEFONIA</t>
  </si>
  <si>
    <t xml:space="preserve">                        FOLHA DE DADOS - REDE DE DADOS E TELEFONIA</t>
  </si>
  <si>
    <t xml:space="preserve">                        DIAGRAMA DE CONFIGURAÇÃO DE TELECOM - BACKBONE TI</t>
  </si>
  <si>
    <t xml:space="preserve">                        FOLHA DE DADOS - INFRAESTRUTURA E BACKBONE</t>
  </si>
  <si>
    <t xml:space="preserve">                        LISTA DE EQUIPAMENTOS DE TELECOM</t>
  </si>
  <si>
    <t xml:space="preserve">         EDIFICAÇÕES ADMINISTRATIVAS - PT 03.09</t>
  </si>
  <si>
    <t xml:space="preserve">            22 - INSTALAÇÕES DE APOIO (ADMINISTRATIVAS)</t>
  </si>
  <si>
    <t xml:space="preserve">               2201 - ESCRITÓRIO CENTRAL / SALA DE CONTROLE</t>
  </si>
  <si>
    <t>6,89 dias</t>
  </si>
  <si>
    <t>47 dias</t>
  </si>
  <si>
    <t xml:space="preserve">                     AR ARQUITETURA</t>
  </si>
  <si>
    <t>42 dias</t>
  </si>
  <si>
    <t xml:space="preserve">                        CRITÉRIOS DE PROJETO - ARQUITETURA</t>
  </si>
  <si>
    <t xml:space="preserve">                        RELATÓRIO DO SISTEMA DE PROTEÇÃO E COMBATE A INCÊNDIO - CLASSIFICAÇÃO RISCO</t>
  </si>
  <si>
    <t xml:space="preserve">                        INSTALAÇÕES DE APOIO (ADMINISTRATIVAS) / ESCRITÓRIO CENTRAL / SALA DE CONTROLE / LABORATÓRIO</t>
  </si>
  <si>
    <t xml:space="preserve">                        PLANILHA DE QUANTIDADES -PACOTE DE OBRAS CIVIS-ESCRITÓRIO CENTRAL / SALA DE CONTROLE E LABORATÓRIO</t>
  </si>
  <si>
    <t xml:space="preserve">                        PLANILHA DE QUANTIDADES -PACOTE DE OBRAS CIVIS-VEST. / PAR. ÔNIBUS / REFEIT. / P. MÉDICO E B. INCÊNDIO</t>
  </si>
  <si>
    <t>26 dias</t>
  </si>
  <si>
    <t xml:space="preserve">                        INSTALAÇÕES DE APOIO (ADMINISTRATIVAS) / ESCRITÓRIO CENTRAL / SALA DE CONTROLE - MEMÓRIA DE CÁLCULO - ESTRUTURAS DE CONCRETO / FUNDAÇÕES</t>
  </si>
  <si>
    <t xml:space="preserve">                        INSTALAÇÕES DE APOIO (ADMINISTRATIVAS) / PONTO DE ÔNIBUS - MEMÓRIA DE CÁLCULO - FUNDAÇÕES – 2205-ED-001</t>
  </si>
  <si>
    <t xml:space="preserve">                        MEMÓRIA DE CÁLCULO - CLIMATIZAÇÃO PARA CONFORTO TÉRMICO</t>
  </si>
  <si>
    <t xml:space="preserve">                        FLUXOGRAMA DE ENGENHARIA - P&amp;ID - AR COMPRIMIDO PARA LABORATÓRIO, RECOLHA DE ÓLEO USADO DA OFICINA DE EQUIPAMENTOS MÓVEIS</t>
  </si>
  <si>
    <t xml:space="preserve">                        INSTALAÇÕES DE APOIO (ADMINISTRATIVAS) / ADMINISTRATIVO - MEMÓRIA DE CÁLCULO - COBERTURAS METÁLICAS – 2201-ED-001</t>
  </si>
  <si>
    <t xml:space="preserve">               2202 - VESTIÁRIO</t>
  </si>
  <si>
    <t>41,2 dias</t>
  </si>
  <si>
    <t>12,2 dias</t>
  </si>
  <si>
    <t xml:space="preserve">                        INSTALAÇÕES DE APOIO (ADMINISTRATIVAS) / VESTIÁRIO</t>
  </si>
  <si>
    <t xml:space="preserve">               2203 - REFEITÓRIO</t>
  </si>
  <si>
    <t>44 dias</t>
  </si>
  <si>
    <t xml:space="preserve">                        INSTALAÇÕES DE APOIO (ADMINISTRATIVAS) / REFEITÓRIO</t>
  </si>
  <si>
    <t xml:space="preserve">               2204 - POSTO MÉDICO E BRIGADA DE INCÊNDIO</t>
  </si>
  <si>
    <t xml:space="preserve">                        INSTALAÇÕES DE APOIO (ADMINISTRATIVAS) / POSTO MÉDICO E BRIGADA DE INCÊNDIO</t>
  </si>
  <si>
    <t xml:space="preserve">         ESTRUTURA DO FLASH CALCINER - PT 03.08</t>
  </si>
  <si>
    <t xml:space="preserve">            13 - ATIVAÇÃO</t>
  </si>
  <si>
    <t xml:space="preserve">               1312 - CALCINAÇÃO DE ARGILA</t>
  </si>
  <si>
    <t xml:space="preserve">         ESTOCAGEM E EXTRAÇÃO DE ARGILA CALCINADA - PT 03.03</t>
  </si>
  <si>
    <t>35,94 dias</t>
  </si>
  <si>
    <t xml:space="preserve">               1316 - MANUSEIO E ESTOCAGEM DE ARGILA CALCINADA</t>
  </si>
  <si>
    <t>20,94 dias</t>
  </si>
  <si>
    <t>33 dias</t>
  </si>
  <si>
    <t xml:space="preserve">                        (ESCADA DE ACESSO (1502-ED-001), TORRE DE ESCADA (1502-ED-002),PLATAFORMA 01 (1502-ED-003), PLATAFORMA 02 (1502-ED-004)</t>
  </si>
  <si>
    <t xml:space="preserve">                        MEMÓRIA DE CÁLCULO - PLANO DE CARGAS - 1316-ST-002 - SISTEMA DE CARREGAMENTO DE VAGÕES - SISTEMA DE EXTRAÇÃO DO SILO 1316-SI-001</t>
  </si>
  <si>
    <t xml:space="preserve">         INFRAESTRUTURA - PT 03.12</t>
  </si>
  <si>
    <t xml:space="preserve">            23 - INFRAESTRUTURA</t>
  </si>
  <si>
    <t xml:space="preserve">               2300 - COMUM</t>
  </si>
  <si>
    <t xml:space="preserve">                     CI - INFRAESTRUTURA </t>
  </si>
  <si>
    <t xml:space="preserve">                        MEMÓRIA DE CÁLCULO DE PAVIMENTAÇÃO - INFRAESTRUTURA</t>
  </si>
  <si>
    <t xml:space="preserve">                        PLANILHA DE QUANTIDADES - TERRAPLENAGEM</t>
  </si>
  <si>
    <t xml:space="preserve">                        RELATÓRIO TÉCNICO - DISPOSITIVOS AMORTECIMENTO DE CHEIAS - ESTUDO CONCEITUAL</t>
  </si>
  <si>
    <t xml:space="preserve">               2301 - TERRAPLANAGEM</t>
  </si>
  <si>
    <t xml:space="preserve">                        MEMÓRIA DE CÁLCULO DE TERRAPLENAGEM - INFRAESTRUTURA</t>
  </si>
  <si>
    <t xml:space="preserve">               2302 - DRENAGEM</t>
  </si>
  <si>
    <t xml:space="preserve">                        MEMÓRIA DE CÁLCULO DE DRENAGEM - INFRAESTRUTURA</t>
  </si>
  <si>
    <t xml:space="preserve">               2304 - PIPE / CABLE RACK</t>
  </si>
  <si>
    <t xml:space="preserve">                        MEMÓRIA DE CÁLCULO - PIPE RACK / CABLE RACK</t>
  </si>
  <si>
    <t xml:space="preserve">         ACESSOS EXTERNOS E VIADUTOS - PT 03.10</t>
  </si>
  <si>
    <t xml:space="preserve">               2303 - ACESSOS RODOVIÁRIOS</t>
  </si>
  <si>
    <t xml:space="preserve">                        LOCAÇÃO E FORMA - VIADUTO - SUPERESTRUTURA / TABULEIRO 1/4</t>
  </si>
  <si>
    <t xml:space="preserve">                        LOCAÇÃO E FORMA - VIADUTO - SUPERESTRUTURA / TABULEIRO 2/4</t>
  </si>
  <si>
    <t xml:space="preserve">                        LOCAÇÃO E FORMA - VIADUTO - SUPERESTRUTURA / TABULEIRO 3/4</t>
  </si>
  <si>
    <t xml:space="preserve">                        LOCAÇÃO E FORMA - VIADUTO - SUPERESTRUTURA / TABULEIRO 4/4</t>
  </si>
  <si>
    <t xml:space="preserve">                        LOCAÇÃO E FORMA - VIADUTO - FUNDAÇÕES 1/2</t>
  </si>
  <si>
    <t xml:space="preserve">                        LOCAÇÃO E FORMA - VIADUTO - FUNDAÇÕES 2/2</t>
  </si>
  <si>
    <t xml:space="preserve">                        VIADUTO SOBRE ESTRADA DE FERRO CARAJÁS - ALTERNATIVA 1 - PLANTA DE LOCAÇÃO E PERFIL - FORMA - PLANTA E CORTE - NIVEL BÁSICO</t>
  </si>
  <si>
    <t xml:space="preserve">                        MEMÓRIA DE CÁLCULO - VIADUTO SOBRE ESTRADA DE FERRO CARAJÁS</t>
  </si>
  <si>
    <t xml:space="preserve">         GERAL - PT 03.13</t>
  </si>
  <si>
    <t xml:space="preserve">            10 - COMUM</t>
  </si>
  <si>
    <t xml:space="preserve">               1000 - COMUM</t>
  </si>
  <si>
    <t xml:space="preserve">                     TU - TUBULAÇÃO</t>
  </si>
  <si>
    <t xml:space="preserve">                        MEMÓRIA DE CÁLCULO - ESTIMATIVA DE MATERIAIS DE TUBULAÇÃO</t>
  </si>
  <si>
    <t xml:space="preserve">                        ESPECIFICAÇÃO GERAL - MATERIAIS DE TUBULAÇÃO</t>
  </si>
  <si>
    <t xml:space="preserve">                        PLANILHA DE QUANTIDADES - FORNECIMENTO DE TUBULAÇÕES</t>
  </si>
  <si>
    <t xml:space="preserve">                        MEMÓRIA DE CÁLCULO - DISPOSITIVOS DE DRENAGEM</t>
  </si>
  <si>
    <t xml:space="preserve">                        GERAL / COMUM - MEMÓRIA DE CÁLCULO - TRANSPORTADORES</t>
  </si>
  <si>
    <t xml:space="preserve">                        LISTA DE EQUIPAMENTOS MECÂNICOS</t>
  </si>
  <si>
    <t xml:space="preserve">                        MEMÓRIA DE CÁLCULO - CALDEIRARIA E PEQUENAS ESTRUTURAS</t>
  </si>
  <si>
    <t xml:space="preserve">                        MEMÓRIAL DE CÁLCULO - EQUIPAMENTOS DE MANUSEIO</t>
  </si>
  <si>
    <t xml:space="preserve">                        MEMÓRIA DE CÁLCULO - PLANO DE CARGAS – SISTEMA DE MANUSEIO</t>
  </si>
  <si>
    <t xml:space="preserve">                        PLANTA DE LOCAÇÃO - POÇOS TUBULARES PROFUNDOS</t>
  </si>
  <si>
    <t xml:space="preserve">                        FOLHA DE DADOS - TRANSPORTADORES DE CORREIAS (EQ-MEC-06)</t>
  </si>
  <si>
    <t xml:space="preserve">                        PLANILHA DE QUANTIDADES - FORNECIMENTO DE CALDEIRARIA</t>
  </si>
  <si>
    <t xml:space="preserve">                        PLANILHA DE QUANTIDADES - FORNECIMENTO DE EQUIPAMENTOS MECÂNICOS</t>
  </si>
  <si>
    <t xml:space="preserve">                        PLANILHA QUANTIDADES - MONTAGEM ELETROMECÂNICA</t>
  </si>
  <si>
    <t xml:space="preserve">                        ESPECIFICAÇÃO DE SERVIÇO - CONTRATAÇÃO DA MONTAGEM ELETROMECÂNICA</t>
  </si>
  <si>
    <t xml:space="preserve">                        PLANO DIRETOR</t>
  </si>
  <si>
    <t xml:space="preserve">                        GERAL/COMUM - FOLHA DE DADOS - PONTE ROLANTE</t>
  </si>
  <si>
    <t xml:space="preserve">         PÁTIO DE RECEBIMENTO PROVISÓRIO DE ARGILA - PT 05.00</t>
  </si>
  <si>
    <t xml:space="preserve">            10 - GERAL</t>
  </si>
  <si>
    <t xml:space="preserve">               1000 - GERAL</t>
  </si>
  <si>
    <t xml:space="preserve">                        PROJETO DE TERRAPLENAGEM - PLANTA E CORTES</t>
  </si>
  <si>
    <t xml:space="preserve">                        PROJETO GEOMÉTRICO - ACESSO - PLANTA E PERFIL</t>
  </si>
  <si>
    <t xml:space="preserve">               1001 - INSTALAÇÕES PROVISÓRIAS</t>
  </si>
  <si>
    <t>53 dias</t>
  </si>
  <si>
    <t xml:space="preserve">                        MEMÓRA DE CÁLCULO DE CABOS</t>
  </si>
  <si>
    <t xml:space="preserve">                        LISTAS DE CABOS ELÉTRICOS</t>
  </si>
  <si>
    <t xml:space="preserve">                        BALANÇA - FUNDAÇÕES - MEMÓRIA DE CÁLCULO - 11</t>
  </si>
  <si>
    <t xml:space="preserve">                        MEMORIAL DESCRITIVO - ESTRUTURAS DE CONCRETO E FUNDAÇÕES</t>
  </si>
  <si>
    <t xml:space="preserve">                        PLANILHA DE QUANTIDADES - ESTRUTURAS DE CONCRETO E FUNDAÇÕES</t>
  </si>
  <si>
    <t xml:space="preserve">                        PLANILHA DE QUANTIDADES - PACOTE DE OBRAS CIVIS</t>
  </si>
  <si>
    <t xml:space="preserve">                        MEMÓRIA DE CÁLCULO - PLANO DE CARGAS - BALANÇA - PÁTIO PROVISÓRIO</t>
  </si>
  <si>
    <t>FD-A1-1001-M-PB-4000</t>
  </si>
  <si>
    <t xml:space="preserve">                        FOLHA DE DADOS - BALANÇA - PÁTIO PROVISÓRIO</t>
  </si>
  <si>
    <t>Predecessoras</t>
  </si>
  <si>
    <t>Sucessoras</t>
  </si>
  <si>
    <t>20;45;46;47</t>
  </si>
  <si>
    <t>57 dias</t>
  </si>
  <si>
    <t>75TI+1 dia</t>
  </si>
  <si>
    <t>75TI+6 dias</t>
  </si>
  <si>
    <t>24;29</t>
  </si>
  <si>
    <t>75TI+8 dias</t>
  </si>
  <si>
    <t>75TI+38 dias</t>
  </si>
  <si>
    <t>220;241</t>
  </si>
  <si>
    <t>75TI+13 dias</t>
  </si>
  <si>
    <t>75TI+33 dias</t>
  </si>
  <si>
    <t>75TI+58 dias</t>
  </si>
  <si>
    <t>21II;33;24;29;34;706</t>
  </si>
  <si>
    <t>20II</t>
  </si>
  <si>
    <t>20;13</t>
  </si>
  <si>
    <t>27TT</t>
  </si>
  <si>
    <t>26TT</t>
  </si>
  <si>
    <t>82;109;149;561;577TI-9 dias;618TI-9 dias;659TI-9 dias;948TI-9 dias;1063TI-9 dias;1075TI-9 dias;1087TI-9 dias;1102TI-9 dias;1115TI-9 dias;1146TI-9 dias;1171TI-9 dias;1181TI-9 dias;1196TI-9 dias</t>
  </si>
  <si>
    <t>48;949;158;150</t>
  </si>
  <si>
    <t>49;59TT</t>
  </si>
  <si>
    <t>50;59TT</t>
  </si>
  <si>
    <t>47TT;49TT</t>
  </si>
  <si>
    <t>60;64TI+26 dias</t>
  </si>
  <si>
    <t>62TT</t>
  </si>
  <si>
    <t>61TT</t>
  </si>
  <si>
    <t>59TI+26 dias</t>
  </si>
  <si>
    <t>8;10TI+1 dia;11TI+1 dia;12TI+1 dia;13TI+6 dias;14TI+8 dias;15TI+38 dias;16TI+13 dias;17TI+33 dias;18TI+58 dias</t>
  </si>
  <si>
    <t>141;191;196;207;233;303;308;570;575;588;593;598;604;610;616;629;634;639;645;651;657;670;675;680;686;692;698;877;882;895;900;905;910;915;928;933;938;943;973;978;984;989;994;1073;1085;1097;1111;1125;1154;1159;1169;1189;1194;1395;1405;1410;1421;1426;1432;1...</t>
  </si>
  <si>
    <t>48 dias</t>
  </si>
  <si>
    <t>54;39</t>
  </si>
  <si>
    <t>132;17</t>
  </si>
  <si>
    <t>69;116;126</t>
  </si>
  <si>
    <t>126TT</t>
  </si>
  <si>
    <t>89;93</t>
  </si>
  <si>
    <t>94;98</t>
  </si>
  <si>
    <t>111;83</t>
  </si>
  <si>
    <t>138;143</t>
  </si>
  <si>
    <t>84;126</t>
  </si>
  <si>
    <t>117;121TT+4 dias</t>
  </si>
  <si>
    <t>116TT+4 dias</t>
  </si>
  <si>
    <t>127;88TT;116;132;138TI-1 dia;1315</t>
  </si>
  <si>
    <t>133;83;111;138</t>
  </si>
  <si>
    <t>132;126TI-1 dia</t>
  </si>
  <si>
    <t>139;110;143</t>
  </si>
  <si>
    <t>144;1103II+2 dias;1116II+2 dias;110</t>
  </si>
  <si>
    <t>156II+2 dias</t>
  </si>
  <si>
    <t>155II+2 dias</t>
  </si>
  <si>
    <t>158II+3 dias</t>
  </si>
  <si>
    <t>72;112;199;70;162</t>
  </si>
  <si>
    <t>157II+3 dias;1364TI+1 dia</t>
  </si>
  <si>
    <t>163;167TI-1 dia;199TI-1 dia</t>
  </si>
  <si>
    <t>162TI-1 dia</t>
  </si>
  <si>
    <t>168;172TT</t>
  </si>
  <si>
    <t>167TT</t>
  </si>
  <si>
    <t>173;177</t>
  </si>
  <si>
    <t>189;193</t>
  </si>
  <si>
    <t>157;16;162TI-1 dia</t>
  </si>
  <si>
    <t>204;156;188;200</t>
  </si>
  <si>
    <t>230II</t>
  </si>
  <si>
    <t>1147;1217;73;210;271</t>
  </si>
  <si>
    <t>241;246</t>
  </si>
  <si>
    <t>1118TI-2 dias</t>
  </si>
  <si>
    <t>226;230</t>
  </si>
  <si>
    <t>231;219II</t>
  </si>
  <si>
    <t>242;246TT;221</t>
  </si>
  <si>
    <t>241TT</t>
  </si>
  <si>
    <t>247;225;221</t>
  </si>
  <si>
    <t>261;265TT</t>
  </si>
  <si>
    <t>260TT</t>
  </si>
  <si>
    <t>266;256</t>
  </si>
  <si>
    <t>272;255</t>
  </si>
  <si>
    <t>291;295</t>
  </si>
  <si>
    <t>296;300;282</t>
  </si>
  <si>
    <t>301;305</t>
  </si>
  <si>
    <t>314;318;361TI-5 dias</t>
  </si>
  <si>
    <t>319;323</t>
  </si>
  <si>
    <t>324;328</t>
  </si>
  <si>
    <t>329;333;290</t>
  </si>
  <si>
    <t>334;338TT</t>
  </si>
  <si>
    <t>333TT</t>
  </si>
  <si>
    <t>339;343TT</t>
  </si>
  <si>
    <t>338TT</t>
  </si>
  <si>
    <t>344;348TT</t>
  </si>
  <si>
    <t>343TT</t>
  </si>
  <si>
    <t>349;353</t>
  </si>
  <si>
    <t>313TI-5 dias</t>
  </si>
  <si>
    <t>362;366;392</t>
  </si>
  <si>
    <t>367;371</t>
  </si>
  <si>
    <t>372;376</t>
  </si>
  <si>
    <t>377;381</t>
  </si>
  <si>
    <t>382;386;960TT</t>
  </si>
  <si>
    <t>393;404;1305</t>
  </si>
  <si>
    <t>399;1283</t>
  </si>
  <si>
    <t>70 dias</t>
  </si>
  <si>
    <t>1300TI-3 dias</t>
  </si>
  <si>
    <t>416;420</t>
  </si>
  <si>
    <t>421;567;562TT</t>
  </si>
  <si>
    <t>431;435TT</t>
  </si>
  <si>
    <t>441;445</t>
  </si>
  <si>
    <t>446;450</t>
  </si>
  <si>
    <t>451;455TT</t>
  </si>
  <si>
    <t>450TT</t>
  </si>
  <si>
    <t>456;460</t>
  </si>
  <si>
    <t>461;465TT</t>
  </si>
  <si>
    <t>460TT</t>
  </si>
  <si>
    <t>466;470</t>
  </si>
  <si>
    <t>471;475TT</t>
  </si>
  <si>
    <t>470TT</t>
  </si>
  <si>
    <t>476;480</t>
  </si>
  <si>
    <t>481;485TT</t>
  </si>
  <si>
    <t>480TT</t>
  </si>
  <si>
    <t>486;490</t>
  </si>
  <si>
    <t>491;495TT</t>
  </si>
  <si>
    <t>490TT</t>
  </si>
  <si>
    <t>496;500TT</t>
  </si>
  <si>
    <t>495TT</t>
  </si>
  <si>
    <t>501;505TT</t>
  </si>
  <si>
    <t>500TT</t>
  </si>
  <si>
    <t>506;515;510TT</t>
  </si>
  <si>
    <t>505TT</t>
  </si>
  <si>
    <t>516;525;520TT</t>
  </si>
  <si>
    <t>515TT</t>
  </si>
  <si>
    <t>526;530</t>
  </si>
  <si>
    <t>531;535</t>
  </si>
  <si>
    <t>536;540</t>
  </si>
  <si>
    <t>541;545</t>
  </si>
  <si>
    <t>546;550</t>
  </si>
  <si>
    <t>563;579;620;661</t>
  </si>
  <si>
    <t>567TT;420TT</t>
  </si>
  <si>
    <t>563II+2 dias</t>
  </si>
  <si>
    <t>562II+2 dias</t>
  </si>
  <si>
    <t>568;562TT;572TI-1 dia</t>
  </si>
  <si>
    <t>567TI-1 dia</t>
  </si>
  <si>
    <t>573;430;585</t>
  </si>
  <si>
    <t>54TI-9 dias;39TI-9 dias</t>
  </si>
  <si>
    <t>585TT;590TT;595TT</t>
  </si>
  <si>
    <t>579TT+3 dias;613</t>
  </si>
  <si>
    <t>578TT+3 dias</t>
  </si>
  <si>
    <t>613;601;556;620TT</t>
  </si>
  <si>
    <t>607II+2 dias</t>
  </si>
  <si>
    <t>613II+2 dias</t>
  </si>
  <si>
    <t>586;590TT;578TT;626</t>
  </si>
  <si>
    <t>585TT</t>
  </si>
  <si>
    <t>591;595TT;578TT;626</t>
  </si>
  <si>
    <t>590TT</t>
  </si>
  <si>
    <t>596;578TT;626</t>
  </si>
  <si>
    <t>608;580II+2 dias</t>
  </si>
  <si>
    <t>579;578</t>
  </si>
  <si>
    <t>614;607;581II+2 dias</t>
  </si>
  <si>
    <t>626TT;631TT;636TT</t>
  </si>
  <si>
    <t>579TT</t>
  </si>
  <si>
    <t>654;642;622II+2 dias;556;661TT</t>
  </si>
  <si>
    <t>648II+2 dias</t>
  </si>
  <si>
    <t>620II+2 dias</t>
  </si>
  <si>
    <t>585;590;595</t>
  </si>
  <si>
    <t>627;619TT;631TT;667</t>
  </si>
  <si>
    <t>626TT</t>
  </si>
  <si>
    <t>632;619TT;636TT;667</t>
  </si>
  <si>
    <t>631TT</t>
  </si>
  <si>
    <t>637;619TT;667</t>
  </si>
  <si>
    <t>649;621II+2 dias</t>
  </si>
  <si>
    <t>655;648</t>
  </si>
  <si>
    <t>667TT;672TT;677TT</t>
  </si>
  <si>
    <t>620TT</t>
  </si>
  <si>
    <t>695;683;556</t>
  </si>
  <si>
    <t>689II+2 dias</t>
  </si>
  <si>
    <t>695II+2 dias</t>
  </si>
  <si>
    <t>626;631;636</t>
  </si>
  <si>
    <t>668;672TT;660TT</t>
  </si>
  <si>
    <t>667TT</t>
  </si>
  <si>
    <t>673;677TT;660TT</t>
  </si>
  <si>
    <t>672TT</t>
  </si>
  <si>
    <t>678;660TT;425</t>
  </si>
  <si>
    <t>690;662II+2 dias</t>
  </si>
  <si>
    <t>696;689;663II+2 dias</t>
  </si>
  <si>
    <t>707;711TT+1 dia</t>
  </si>
  <si>
    <t>706TT+1 dia</t>
  </si>
  <si>
    <t>712;716TT</t>
  </si>
  <si>
    <t>713TT</t>
  </si>
  <si>
    <t>712TT</t>
  </si>
  <si>
    <t>714TT</t>
  </si>
  <si>
    <t>711TT</t>
  </si>
  <si>
    <t>717TT;721TI-1 dia</t>
  </si>
  <si>
    <t>716TT</t>
  </si>
  <si>
    <t>718TT</t>
  </si>
  <si>
    <t>717TT</t>
  </si>
  <si>
    <t>719TT</t>
  </si>
  <si>
    <t>716TI-1 dia</t>
  </si>
  <si>
    <t>722;726</t>
  </si>
  <si>
    <t>723TT</t>
  </si>
  <si>
    <t>722TT</t>
  </si>
  <si>
    <t>724TT</t>
  </si>
  <si>
    <t>727;731TT</t>
  </si>
  <si>
    <t>726TT</t>
  </si>
  <si>
    <t>732;736TT</t>
  </si>
  <si>
    <t>731TT</t>
  </si>
  <si>
    <t>737;741</t>
  </si>
  <si>
    <t>742;746TT</t>
  </si>
  <si>
    <t>741TT</t>
  </si>
  <si>
    <t>747;751</t>
  </si>
  <si>
    <t>752;756</t>
  </si>
  <si>
    <t>757;761TT</t>
  </si>
  <si>
    <t>756TT</t>
  </si>
  <si>
    <t>762;766TT</t>
  </si>
  <si>
    <t>761TT</t>
  </si>
  <si>
    <t>767;771</t>
  </si>
  <si>
    <t>772;776</t>
  </si>
  <si>
    <t>777;781</t>
  </si>
  <si>
    <t>782;887</t>
  </si>
  <si>
    <t>787;791TT</t>
  </si>
  <si>
    <t>786TT</t>
  </si>
  <si>
    <t>792;796</t>
  </si>
  <si>
    <t>797;801TT</t>
  </si>
  <si>
    <t>796TT</t>
  </si>
  <si>
    <t>802;806</t>
  </si>
  <si>
    <t>807;811TT</t>
  </si>
  <si>
    <t>806TT</t>
  </si>
  <si>
    <t>812;816TT</t>
  </si>
  <si>
    <t>811TT</t>
  </si>
  <si>
    <t>817;821TT</t>
  </si>
  <si>
    <t>816TT</t>
  </si>
  <si>
    <t>822;826</t>
  </si>
  <si>
    <t>827;831TT</t>
  </si>
  <si>
    <t>826TT</t>
  </si>
  <si>
    <t>832;836</t>
  </si>
  <si>
    <t>837;841TT</t>
  </si>
  <si>
    <t>836TT</t>
  </si>
  <si>
    <t>842;846</t>
  </si>
  <si>
    <t>847;851TT</t>
  </si>
  <si>
    <t>846TT</t>
  </si>
  <si>
    <t>852;856TT</t>
  </si>
  <si>
    <t>851TT</t>
  </si>
  <si>
    <t>857;861TT</t>
  </si>
  <si>
    <t>856TT</t>
  </si>
  <si>
    <t>870;874TT</t>
  </si>
  <si>
    <t>869TT</t>
  </si>
  <si>
    <t>875;879TT</t>
  </si>
  <si>
    <t>874TT</t>
  </si>
  <si>
    <t>880;940</t>
  </si>
  <si>
    <t>888;892</t>
  </si>
  <si>
    <t>893;897TT</t>
  </si>
  <si>
    <t>892TT</t>
  </si>
  <si>
    <t>898;902</t>
  </si>
  <si>
    <t>903;907</t>
  </si>
  <si>
    <t>908;912TT</t>
  </si>
  <si>
    <t>907TT</t>
  </si>
  <si>
    <t>913;920</t>
  </si>
  <si>
    <t>921;925TT</t>
  </si>
  <si>
    <t>920TT</t>
  </si>
  <si>
    <t>926;930</t>
  </si>
  <si>
    <t>931;935TT</t>
  </si>
  <si>
    <t>930TT</t>
  </si>
  <si>
    <t>936;869</t>
  </si>
  <si>
    <t>941;786</t>
  </si>
  <si>
    <t>52 dias</t>
  </si>
  <si>
    <t>1064TT;1076TT;1088TT;970;1033;955;1022;68;1038</t>
  </si>
  <si>
    <t>981II+2 dias</t>
  </si>
  <si>
    <t>1065TT;1077TT;1089TT;970</t>
  </si>
  <si>
    <t>1033II+2 dias</t>
  </si>
  <si>
    <t>1066TT-1 dia;1078TT-1 dia;1090TT-1 dia;970</t>
  </si>
  <si>
    <t>956TI-1 dia;965TI+3 dias</t>
  </si>
  <si>
    <t>955TI-1 dia</t>
  </si>
  <si>
    <t>381TT</t>
  </si>
  <si>
    <t>955TI+3 dias</t>
  </si>
  <si>
    <t>966;1070</t>
  </si>
  <si>
    <t>949;950;951;1064;1065;1066;1076;1077;1078;1088;1089;1090</t>
  </si>
  <si>
    <t>971;975TT</t>
  </si>
  <si>
    <t>970TT</t>
  </si>
  <si>
    <t>997;1001TT;1006TT;1011TT</t>
  </si>
  <si>
    <t>996TT</t>
  </si>
  <si>
    <t>1012;1016</t>
  </si>
  <si>
    <t>25 dias</t>
  </si>
  <si>
    <t>949;1064;1076;1088</t>
  </si>
  <si>
    <t>1023;1027;313</t>
  </si>
  <si>
    <t>1039;1043TT+1 dia;1048TT+1 dia;1053TT+1 dia;1058TT+1 dia</t>
  </si>
  <si>
    <t>1038TT+1 dia</t>
  </si>
  <si>
    <t>949TT</t>
  </si>
  <si>
    <t>970;1022</t>
  </si>
  <si>
    <t>950TT</t>
  </si>
  <si>
    <t>951TT-1 dia</t>
  </si>
  <si>
    <t>1071;1082</t>
  </si>
  <si>
    <t>1083;1094</t>
  </si>
  <si>
    <t>65 dias</t>
  </si>
  <si>
    <t>143II+2 dias</t>
  </si>
  <si>
    <t>1122II+2 dias;1138II+2 dias;18</t>
  </si>
  <si>
    <t>221TI-2 dias</t>
  </si>
  <si>
    <t>1123;1117;1104II+2 dias</t>
  </si>
  <si>
    <t>1139;1104II+2 dias</t>
  </si>
  <si>
    <t>1172;1176</t>
  </si>
  <si>
    <t>1152;1156</t>
  </si>
  <si>
    <t>1157;1166;1161</t>
  </si>
  <si>
    <t>1177;1151</t>
  </si>
  <si>
    <t>1197;1186;1209</t>
  </si>
  <si>
    <t>1187;1191</t>
  </si>
  <si>
    <t>1204;1199</t>
  </si>
  <si>
    <t>1210;1203</t>
  </si>
  <si>
    <t>1256;1246;1241;1226;1231;1236;1221;1251</t>
  </si>
  <si>
    <t>59 dias</t>
  </si>
  <si>
    <t>1268;1272</t>
  </si>
  <si>
    <t>1273;1277</t>
  </si>
  <si>
    <t>1284;1288</t>
  </si>
  <si>
    <t>1301;415TI-3 dias</t>
  </si>
  <si>
    <t>1306;1310;1267</t>
  </si>
  <si>
    <t>1311;1325</t>
  </si>
  <si>
    <t>1316;1320TT</t>
  </si>
  <si>
    <t>1315TT</t>
  </si>
  <si>
    <t>1321;1355</t>
  </si>
  <si>
    <t>1326;1330TT</t>
  </si>
  <si>
    <t>1325TT</t>
  </si>
  <si>
    <t>1331;1335TT</t>
  </si>
  <si>
    <t>1330TT</t>
  </si>
  <si>
    <t>1336;1340TT</t>
  </si>
  <si>
    <t>1335TT</t>
  </si>
  <si>
    <t>1341;1345</t>
  </si>
  <si>
    <t>1346;1350</t>
  </si>
  <si>
    <t>158TI+1 dia</t>
  </si>
  <si>
    <t>1368TI+3 dias;71</t>
  </si>
  <si>
    <t>1364TI+3 dias</t>
  </si>
  <si>
    <t>1369;1373TT;1381</t>
  </si>
  <si>
    <t>1368TT</t>
  </si>
  <si>
    <t>1374;1381</t>
  </si>
  <si>
    <t>1380;1383</t>
  </si>
  <si>
    <t>1379;1450;1383;1455;1460</t>
  </si>
  <si>
    <t>1368;1373</t>
  </si>
  <si>
    <t>1380;1429;1418;1383</t>
  </si>
  <si>
    <t>1439;1434</t>
  </si>
  <si>
    <t>1380;1381</t>
  </si>
  <si>
    <t>1388;1392</t>
  </si>
  <si>
    <t>1393;1397</t>
  </si>
  <si>
    <t>1398;1402</t>
  </si>
  <si>
    <t>1403;1407</t>
  </si>
  <si>
    <t>1408;1412</t>
  </si>
  <si>
    <t>1419;1423</t>
  </si>
  <si>
    <t>1424;1429</t>
  </si>
  <si>
    <t>1381;1423;1450</t>
  </si>
  <si>
    <t>1430;1434;1382</t>
  </si>
  <si>
    <t>1450;1429;1455;1460;1382</t>
  </si>
  <si>
    <t>1440;1444</t>
  </si>
  <si>
    <t>1451;1434;1429</t>
  </si>
  <si>
    <t>1456;1434</t>
  </si>
  <si>
    <t>GERAL</t>
  </si>
  <si>
    <t>(Tudo)</t>
  </si>
  <si>
    <t>Rótulos de Coluna</t>
  </si>
  <si>
    <t>Blossom - Documento a emitir</t>
  </si>
  <si>
    <t>Cliente - Atendimento de Comentário</t>
  </si>
  <si>
    <t>Documento Concluído</t>
  </si>
  <si>
    <t>Blossom - Atendimento de Comentário</t>
  </si>
  <si>
    <t>Total Geral</t>
  </si>
  <si>
    <t>Contagem de Nº DOCUMENTO EMPRESA</t>
  </si>
  <si>
    <t>Rótulos de Linha</t>
  </si>
  <si>
    <t>Blossom</t>
  </si>
  <si>
    <t>Circlua</t>
  </si>
  <si>
    <t>No prazo</t>
  </si>
  <si>
    <t>Atrasado</t>
  </si>
  <si>
    <t>Semana 1</t>
  </si>
  <si>
    <t>Semana 2</t>
  </si>
  <si>
    <t>Semana 3</t>
  </si>
  <si>
    <t>Emissão Semana</t>
  </si>
  <si>
    <t>Atendimento de Comentário</t>
  </si>
  <si>
    <t xml:space="preserve">DISCIPLINA </t>
  </si>
  <si>
    <t>REV</t>
  </si>
  <si>
    <t>DATA PREVISTA</t>
  </si>
  <si>
    <t>STATUS</t>
  </si>
  <si>
    <t>NÚMERO GERDAU</t>
  </si>
  <si>
    <t>Dias de Atraso</t>
  </si>
  <si>
    <t>José Neto</t>
  </si>
  <si>
    <t>Adriano Santos</t>
  </si>
  <si>
    <t>CH - Hidrossanitario</t>
  </si>
  <si>
    <t>Francielle Santos</t>
  </si>
  <si>
    <t>EC - Engenharia Economica</t>
  </si>
  <si>
    <t>Akauã Guedes</t>
  </si>
  <si>
    <t>Camilo Gomes</t>
  </si>
  <si>
    <t xml:space="preserve">Diego Santos </t>
  </si>
  <si>
    <t>JUSTIFICATIVA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</si>
</sst>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Arial"/>
      <family val="2"/>
    </font>
    <font>
      <b/>
      <sz val="9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9"/>
      <name val="Times New Roman"/>
      <family val="1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6"/>
      <name val="Calibri"/>
      <family val="2"/>
      <scheme val="minor"/>
    </font>
    <font>
      <sz val="9"/>
      <color rgb="FF363636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b/>
      <i/>
      <sz val="10"/>
      <name val="Arial"/>
      <family val="2"/>
    </font>
    <font>
      <b/>
      <sz val="15"/>
      <color rgb="FFC05A4D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DFE3E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E6B8B7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3" fontId="3" fillId="0" borderId="0"/>
  </cellStyleXfs>
  <cellXfs count="124">
    <xf numFmtId="0" fontId="0" fillId="0" borderId="0" xfId="0"/>
    <xf numFmtId="0" fontId="0" fillId="0" borderId="0" xfId="0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49" fontId="4" fillId="4" borderId="4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/>
    </xf>
    <xf numFmtId="0" fontId="4" fillId="11" borderId="8" xfId="0" applyFont="1" applyFill="1" applyBorder="1" applyAlignment="1">
      <alignment horizontal="center" vertical="center"/>
    </xf>
    <xf numFmtId="49" fontId="5" fillId="12" borderId="9" xfId="0" applyNumberFormat="1" applyFont="1" applyFill="1" applyBorder="1" applyAlignment="1">
      <alignment horizontal="center" vertical="center" wrapText="1"/>
    </xf>
    <xf numFmtId="49" fontId="5" fillId="13" borderId="9" xfId="0" applyNumberFormat="1" applyFont="1" applyFill="1" applyBorder="1" applyAlignment="1">
      <alignment horizontal="center" vertical="center" wrapText="1"/>
    </xf>
    <xf numFmtId="49" fontId="6" fillId="12" borderId="9" xfId="0" applyNumberFormat="1" applyFont="1" applyFill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164" fontId="6" fillId="2" borderId="9" xfId="0" applyNumberFormat="1" applyFont="1" applyFill="1" applyBorder="1" applyAlignment="1">
      <alignment horizontal="center" vertical="center" wrapText="1"/>
    </xf>
    <xf numFmtId="2" fontId="6" fillId="0" borderId="9" xfId="0" applyNumberFormat="1" applyFont="1" applyBorder="1" applyAlignment="1">
      <alignment horizontal="center" vertical="center" wrapText="1"/>
    </xf>
    <xf numFmtId="10" fontId="7" fillId="2" borderId="9" xfId="0" applyNumberFormat="1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14" fontId="6" fillId="2" borderId="9" xfId="0" applyNumberFormat="1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center" vertical="center" wrapText="1"/>
    </xf>
    <xf numFmtId="14" fontId="6" fillId="14" borderId="9" xfId="0" applyNumberFormat="1" applyFont="1" applyFill="1" applyBorder="1" applyAlignment="1">
      <alignment horizontal="center" vertical="center" wrapText="1"/>
    </xf>
    <xf numFmtId="14" fontId="6" fillId="0" borderId="9" xfId="0" applyNumberFormat="1" applyFont="1" applyBorder="1" applyAlignment="1">
      <alignment horizontal="center" vertical="center" wrapText="1"/>
    </xf>
    <xf numFmtId="1" fontId="6" fillId="0" borderId="9" xfId="0" applyNumberFormat="1" applyFont="1" applyBorder="1" applyAlignment="1">
      <alignment horizontal="center" vertical="center" wrapText="1"/>
    </xf>
    <xf numFmtId="2" fontId="6" fillId="2" borderId="9" xfId="0" applyNumberFormat="1" applyFont="1" applyFill="1" applyBorder="1" applyAlignment="1">
      <alignment horizontal="center" vertical="center" wrapText="1"/>
    </xf>
    <xf numFmtId="9" fontId="6" fillId="0" borderId="9" xfId="0" applyNumberFormat="1" applyFont="1" applyBorder="1" applyAlignment="1">
      <alignment horizontal="center" vertical="center" wrapText="1"/>
    </xf>
    <xf numFmtId="2" fontId="6" fillId="14" borderId="9" xfId="0" applyNumberFormat="1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 wrapText="1"/>
    </xf>
    <xf numFmtId="49" fontId="5" fillId="15" borderId="2" xfId="0" applyNumberFormat="1" applyFont="1" applyFill="1" applyBorder="1" applyAlignment="1">
      <alignment vertical="center" wrapText="1"/>
    </xf>
    <xf numFmtId="49" fontId="5" fillId="15" borderId="1" xfId="0" applyNumberFormat="1" applyFont="1" applyFill="1" applyBorder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14" fontId="9" fillId="0" borderId="3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14" fontId="9" fillId="18" borderId="3" xfId="0" applyNumberFormat="1" applyFont="1" applyFill="1" applyBorder="1" applyAlignment="1">
      <alignment horizontal="center" vertical="center" wrapText="1"/>
    </xf>
    <xf numFmtId="14" fontId="2" fillId="19" borderId="3" xfId="0" applyNumberFormat="1" applyFont="1" applyFill="1" applyBorder="1" applyAlignment="1">
      <alignment horizontal="center" vertical="center"/>
    </xf>
    <xf numFmtId="14" fontId="2" fillId="19" borderId="3" xfId="0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4" fontId="2" fillId="3" borderId="3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3" xfId="0" applyBorder="1" applyAlignment="1">
      <alignment horizontal="center" vertical="center"/>
    </xf>
    <xf numFmtId="14" fontId="0" fillId="0" borderId="0" xfId="0" applyNumberFormat="1"/>
    <xf numFmtId="0" fontId="12" fillId="20" borderId="13" xfId="0" applyFont="1" applyFill="1" applyBorder="1" applyAlignment="1">
      <alignment vertical="center" wrapText="1"/>
    </xf>
    <xf numFmtId="14" fontId="0" fillId="0" borderId="3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14" fontId="2" fillId="0" borderId="0" xfId="0" applyNumberFormat="1" applyFont="1"/>
    <xf numFmtId="14" fontId="9" fillId="0" borderId="0" xfId="0" applyNumberFormat="1" applyFont="1" applyAlignment="1">
      <alignment wrapText="1"/>
    </xf>
    <xf numFmtId="0" fontId="11" fillId="0" borderId="0" xfId="0" applyFont="1" applyAlignment="1">
      <alignment horizontal="center" vertical="center"/>
    </xf>
    <xf numFmtId="0" fontId="2" fillId="19" borderId="3" xfId="0" applyFont="1" applyFill="1" applyBorder="1" applyAlignment="1">
      <alignment horizontal="center" vertical="center"/>
    </xf>
    <xf numFmtId="0" fontId="9" fillId="18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4" fillId="21" borderId="13" xfId="0" applyFont="1" applyFill="1" applyBorder="1" applyAlignment="1">
      <alignment horizontal="center" vertical="center" wrapText="1"/>
    </xf>
    <xf numFmtId="0" fontId="13" fillId="21" borderId="13" xfId="0" applyFont="1" applyFill="1" applyBorder="1" applyAlignment="1">
      <alignment vertical="center" wrapText="1"/>
    </xf>
    <xf numFmtId="0" fontId="14" fillId="21" borderId="13" xfId="0" applyFont="1" applyFill="1" applyBorder="1" applyAlignment="1">
      <alignment vertical="center" wrapText="1"/>
    </xf>
    <xf numFmtId="10" fontId="14" fillId="21" borderId="13" xfId="0" applyNumberFormat="1" applyFont="1" applyFill="1" applyBorder="1" applyAlignment="1">
      <alignment vertical="center" wrapText="1"/>
    </xf>
    <xf numFmtId="14" fontId="14" fillId="21" borderId="13" xfId="0" applyNumberFormat="1" applyFont="1" applyFill="1" applyBorder="1" applyAlignment="1">
      <alignment vertical="center" wrapText="1"/>
    </xf>
    <xf numFmtId="0" fontId="14" fillId="22" borderId="13" xfId="0" applyFont="1" applyFill="1" applyBorder="1" applyAlignment="1">
      <alignment horizontal="center" vertical="center" wrapText="1"/>
    </xf>
    <xf numFmtId="0" fontId="13" fillId="22" borderId="13" xfId="0" applyFont="1" applyFill="1" applyBorder="1" applyAlignment="1">
      <alignment vertical="center" wrapText="1"/>
    </xf>
    <xf numFmtId="0" fontId="14" fillId="22" borderId="13" xfId="0" applyFont="1" applyFill="1" applyBorder="1" applyAlignment="1">
      <alignment vertical="center" wrapText="1"/>
    </xf>
    <xf numFmtId="10" fontId="14" fillId="22" borderId="13" xfId="0" applyNumberFormat="1" applyFont="1" applyFill="1" applyBorder="1" applyAlignment="1">
      <alignment vertical="center" wrapText="1"/>
    </xf>
    <xf numFmtId="14" fontId="14" fillId="22" borderId="13" xfId="0" applyNumberFormat="1" applyFont="1" applyFill="1" applyBorder="1" applyAlignment="1">
      <alignment vertical="center" wrapText="1"/>
    </xf>
    <xf numFmtId="0" fontId="0" fillId="23" borderId="0" xfId="0" applyFill="1" applyAlignment="1">
      <alignment horizontal="center" vertical="center"/>
    </xf>
    <xf numFmtId="16" fontId="15" fillId="0" borderId="0" xfId="0" applyNumberFormat="1" applyFont="1" applyAlignment="1">
      <alignment horizontal="center" vertical="center"/>
    </xf>
    <xf numFmtId="14" fontId="0" fillId="17" borderId="0" xfId="0" applyNumberFormat="1" applyFill="1" applyAlignment="1">
      <alignment horizontal="center" vertical="center"/>
    </xf>
    <xf numFmtId="49" fontId="5" fillId="12" borderId="22" xfId="0" applyNumberFormat="1" applyFont="1" applyFill="1" applyBorder="1" applyAlignment="1">
      <alignment horizontal="center" vertical="center" wrapText="1"/>
    </xf>
    <xf numFmtId="49" fontId="5" fillId="13" borderId="22" xfId="0" applyNumberFormat="1" applyFont="1" applyFill="1" applyBorder="1" applyAlignment="1">
      <alignment horizontal="center" vertical="center" wrapText="1"/>
    </xf>
    <xf numFmtId="49" fontId="6" fillId="12" borderId="22" xfId="0" applyNumberFormat="1" applyFont="1" applyFill="1" applyBorder="1" applyAlignment="1">
      <alignment horizontal="center" vertical="center" wrapText="1"/>
    </xf>
    <xf numFmtId="49" fontId="6" fillId="0" borderId="22" xfId="0" applyNumberFormat="1" applyFont="1" applyBorder="1" applyAlignment="1">
      <alignment horizontal="center" vertical="center" wrapText="1"/>
    </xf>
    <xf numFmtId="164" fontId="6" fillId="2" borderId="22" xfId="0" applyNumberFormat="1" applyFont="1" applyFill="1" applyBorder="1" applyAlignment="1">
      <alignment horizontal="center" vertical="center" wrapText="1"/>
    </xf>
    <xf numFmtId="2" fontId="6" fillId="0" borderId="22" xfId="0" applyNumberFormat="1" applyFont="1" applyBorder="1" applyAlignment="1">
      <alignment horizontal="center" vertical="center" wrapText="1"/>
    </xf>
    <xf numFmtId="10" fontId="7" fillId="2" borderId="22" xfId="0" applyNumberFormat="1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14" fontId="6" fillId="2" borderId="22" xfId="0" applyNumberFormat="1" applyFont="1" applyFill="1" applyBorder="1" applyAlignment="1">
      <alignment horizontal="center" vertical="center" wrapText="1"/>
    </xf>
    <xf numFmtId="49" fontId="6" fillId="2" borderId="22" xfId="0" applyNumberFormat="1" applyFont="1" applyFill="1" applyBorder="1" applyAlignment="1">
      <alignment horizontal="center" vertical="center" wrapText="1"/>
    </xf>
    <xf numFmtId="14" fontId="6" fillId="14" borderId="22" xfId="0" applyNumberFormat="1" applyFont="1" applyFill="1" applyBorder="1" applyAlignment="1">
      <alignment horizontal="center" vertical="center" wrapText="1"/>
    </xf>
    <xf numFmtId="14" fontId="6" fillId="0" borderId="22" xfId="0" applyNumberFormat="1" applyFont="1" applyBorder="1" applyAlignment="1">
      <alignment horizontal="center" vertical="center" wrapText="1"/>
    </xf>
    <xf numFmtId="1" fontId="6" fillId="0" borderId="22" xfId="0" applyNumberFormat="1" applyFont="1" applyBorder="1" applyAlignment="1">
      <alignment horizontal="center" vertical="center" wrapText="1"/>
    </xf>
    <xf numFmtId="2" fontId="6" fillId="2" borderId="22" xfId="0" applyNumberFormat="1" applyFont="1" applyFill="1" applyBorder="1" applyAlignment="1">
      <alignment horizontal="center" vertical="center" wrapText="1"/>
    </xf>
    <xf numFmtId="9" fontId="6" fillId="0" borderId="22" xfId="0" applyNumberFormat="1" applyFont="1" applyBorder="1" applyAlignment="1">
      <alignment horizontal="center" vertical="center" wrapText="1"/>
    </xf>
    <xf numFmtId="2" fontId="6" fillId="14" borderId="22" xfId="0" applyNumberFormat="1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center" vertical="center" wrapText="1"/>
    </xf>
    <xf numFmtId="0" fontId="0" fillId="14" borderId="0" xfId="0" applyFill="1" applyAlignment="1">
      <alignment horizontal="center" vertical="center"/>
    </xf>
    <xf numFmtId="0" fontId="1" fillId="24" borderId="16" xfId="0" applyFont="1" applyFill="1" applyBorder="1" applyAlignment="1">
      <alignment wrapText="1"/>
    </xf>
    <xf numFmtId="0" fontId="1" fillId="24" borderId="16" xfId="0" applyFont="1" applyFill="1" applyBorder="1"/>
    <xf numFmtId="0" fontId="1" fillId="24" borderId="17" xfId="0" applyFont="1" applyFill="1" applyBorder="1"/>
    <xf numFmtId="0" fontId="1" fillId="24" borderId="21" xfId="0" applyFont="1" applyFill="1" applyBorder="1" applyAlignment="1">
      <alignment wrapText="1"/>
    </xf>
    <xf numFmtId="0" fontId="1" fillId="24" borderId="21" xfId="0" applyFont="1" applyFill="1" applyBorder="1"/>
    <xf numFmtId="0" fontId="1" fillId="24" borderId="12" xfId="0" applyFont="1" applyFill="1" applyBorder="1"/>
    <xf numFmtId="0" fontId="1" fillId="16" borderId="1" xfId="0" applyFont="1" applyFill="1" applyBorder="1" applyAlignment="1">
      <alignment wrapText="1"/>
    </xf>
    <xf numFmtId="0" fontId="1" fillId="16" borderId="1" xfId="0" applyFont="1" applyFill="1" applyBorder="1"/>
    <xf numFmtId="0" fontId="1" fillId="16" borderId="12" xfId="0" applyFont="1" applyFill="1" applyBorder="1"/>
    <xf numFmtId="14" fontId="1" fillId="0" borderId="11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49" fontId="17" fillId="24" borderId="25" xfId="0" applyNumberFormat="1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8" fillId="24" borderId="26" xfId="0" applyFont="1" applyFill="1" applyBorder="1" applyAlignment="1">
      <alignment horizontal="left" vertical="center" wrapText="1"/>
    </xf>
    <xf numFmtId="0" fontId="16" fillId="17" borderId="0" xfId="0" applyFont="1" applyFill="1" applyAlignment="1">
      <alignment horizontal="center" vertical="center"/>
    </xf>
    <xf numFmtId="0" fontId="0" fillId="0" borderId="0" xfId="0"/>
    <xf numFmtId="0" fontId="0" fillId="0" borderId="0" xfId="0" applyNumberFormat="1"/>
  </cellXfs>
  <cellStyles count="3">
    <cellStyle name="Normal" xfId="0" builtinId="0"/>
    <cellStyle name="Normal 18 5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pivotSource>
    <c:name>[Lista de Documento - DashBoardC.xlsx]Gráficos!Tabela dinâmica3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Situação</a:t>
            </a:r>
            <a:r>
              <a:rPr lang="pt-BR" baseline="0"/>
              <a:t> dos Documentos</a:t>
            </a:r>
            <a:endParaRPr lang="pt-BR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3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4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6672806527386913E-2"/>
          <c:y val="6.9100545961460105E-2"/>
          <c:w val="0.5696087845501292"/>
          <c:h val="0.8097453812710129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Gráficos!$D$13:$D$14</c:f>
              <c:strCache>
                <c:ptCount val="1"/>
                <c:pt idx="0">
                  <c:v>Blossom - Documento a emitir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Gráficos!$C$15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Gráficos!$D$15</c:f>
              <c:numCache>
                <c:formatCode>General</c:formatCode>
                <c:ptCount val="1"/>
                <c:pt idx="0">
                  <c:v>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D2-4D14-A4FC-CE8325BF7DE3}"/>
            </c:ext>
          </c:extLst>
        </c:ser>
        <c:ser>
          <c:idx val="1"/>
          <c:order val="1"/>
          <c:tx>
            <c:strRef>
              <c:f>Gráficos!$E$13:$E$14</c:f>
              <c:strCache>
                <c:ptCount val="1"/>
                <c:pt idx="0">
                  <c:v>Cliente - Atendimento de Comentário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Gráficos!$C$15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Gráficos!$E$15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D2-4D14-A4FC-CE8325BF7DE3}"/>
            </c:ext>
          </c:extLst>
        </c:ser>
        <c:ser>
          <c:idx val="2"/>
          <c:order val="2"/>
          <c:tx>
            <c:strRef>
              <c:f>Gráficos!$F$13:$F$14</c:f>
              <c:strCache>
                <c:ptCount val="1"/>
                <c:pt idx="0">
                  <c:v>Documento Concluído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Gráficos!$C$15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Gráficos!$F$15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D2-4D14-A4FC-CE8325BF7DE3}"/>
            </c:ext>
          </c:extLst>
        </c:ser>
        <c:ser>
          <c:idx val="3"/>
          <c:order val="3"/>
          <c:tx>
            <c:strRef>
              <c:f>Gráficos!$G$13:$G$14</c:f>
              <c:strCache>
                <c:ptCount val="1"/>
                <c:pt idx="0">
                  <c:v>Blossom - Atendimento de Comentário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Gráficos!$C$15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Gráficos!$G$15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D2-4D14-A4FC-CE8325BF7D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412912352"/>
        <c:axId val="1412908992"/>
      </c:barChart>
      <c:catAx>
        <c:axId val="1412912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908992"/>
        <c:crosses val="autoZero"/>
        <c:auto val="1"/>
        <c:lblAlgn val="ctr"/>
        <c:lblOffset val="100"/>
        <c:noMultiLvlLbl val="0"/>
      </c:catAx>
      <c:valAx>
        <c:axId val="141290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912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4822105345978562"/>
          <c:y val="0.30537351551805458"/>
          <c:w val="0.22541534291617599"/>
          <c:h val="0.30535700572327668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pivotSource>
    <c:name>[Lista de Documento - DashBoardC.xlsx]Gráficos!Tabela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Pendências por Responsável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Gráficos!$D$24:$D$25</c:f>
              <c:strCache>
                <c:ptCount val="1"/>
                <c:pt idx="0">
                  <c:v>Blossom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Gráficos!$C$26:$C$28</c:f>
              <c:strCache>
                <c:ptCount val="2"/>
                <c:pt idx="0">
                  <c:v>No prazo</c:v>
                </c:pt>
                <c:pt idx="1">
                  <c:v>Atrasado</c:v>
                </c:pt>
              </c:strCache>
            </c:strRef>
          </c:cat>
          <c:val>
            <c:numRef>
              <c:f>Gráficos!$D$26:$D$28</c:f>
              <c:numCache>
                <c:formatCode>General</c:formatCode>
                <c:ptCount val="2"/>
                <c:pt idx="0">
                  <c:v>15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77-424C-AC0E-25715C92B1BB}"/>
            </c:ext>
          </c:extLst>
        </c:ser>
        <c:ser>
          <c:idx val="1"/>
          <c:order val="1"/>
          <c:tx>
            <c:strRef>
              <c:f>Gráficos!$E$24:$E$25</c:f>
              <c:strCache>
                <c:ptCount val="1"/>
                <c:pt idx="0">
                  <c:v>Circlua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Gráficos!$C$26:$C$28</c:f>
              <c:strCache>
                <c:ptCount val="2"/>
                <c:pt idx="0">
                  <c:v>No prazo</c:v>
                </c:pt>
                <c:pt idx="1">
                  <c:v>Atrasado</c:v>
                </c:pt>
              </c:strCache>
            </c:strRef>
          </c:cat>
          <c:val>
            <c:numRef>
              <c:f>Gráficos!$E$26:$E$28</c:f>
              <c:numCache>
                <c:formatCode>General</c:formatCode>
                <c:ptCount val="2"/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77-424C-AC0E-25715C92B1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2450848"/>
        <c:axId val="372453728"/>
      </c:barChart>
      <c:catAx>
        <c:axId val="37245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2453728"/>
        <c:crosses val="autoZero"/>
        <c:auto val="1"/>
        <c:lblAlgn val="ctr"/>
        <c:lblOffset val="100"/>
        <c:noMultiLvlLbl val="0"/>
      </c:catAx>
      <c:valAx>
        <c:axId val="37245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2450848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pivotSource>
    <c:name>[Lista de Documento - DashBoardC.xlsx]Gráficos!Tabela dinâmica5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Atividades Futuras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3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8169843682806517E-2"/>
          <c:y val="0.19028839750942461"/>
          <c:w val="0.80536031374905825"/>
          <c:h val="0.625855072588143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Gráficos!$D$38:$D$39</c:f>
              <c:strCache>
                <c:ptCount val="1"/>
                <c:pt idx="0">
                  <c:v>Semana 1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Gráficos!$C$40:$C$48</c:f>
              <c:strCache>
                <c:ptCount val="8"/>
                <c:pt idx="0">
                  <c:v>AI - Automacao E Instrumentacao</c:v>
                </c:pt>
                <c:pt idx="1">
                  <c:v>CC - Concreto</c:v>
                </c:pt>
                <c:pt idx="2">
                  <c:v>EL - Eletrica</c:v>
                </c:pt>
                <c:pt idx="3">
                  <c:v>EM - Estrutura Metalica</c:v>
                </c:pt>
                <c:pt idx="4">
                  <c:v>ME - Mecanica</c:v>
                </c:pt>
                <c:pt idx="5">
                  <c:v>AR - Arquitetura</c:v>
                </c:pt>
                <c:pt idx="6">
                  <c:v>CI - Infraestrutura</c:v>
                </c:pt>
                <c:pt idx="7">
                  <c:v>UT - Sistema De Utilidades</c:v>
                </c:pt>
              </c:strCache>
            </c:strRef>
          </c:cat>
          <c:val>
            <c:numRef>
              <c:f>Gráficos!$D$40:$D$48</c:f>
              <c:numCache>
                <c:formatCode>General</c:formatCode>
                <c:ptCount val="8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66-4C75-99AD-37BF9B13C654}"/>
            </c:ext>
          </c:extLst>
        </c:ser>
        <c:ser>
          <c:idx val="1"/>
          <c:order val="1"/>
          <c:tx>
            <c:strRef>
              <c:f>Gráficos!$E$38:$E$39</c:f>
              <c:strCache>
                <c:ptCount val="1"/>
                <c:pt idx="0">
                  <c:v>Semana 2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Gráficos!$C$40:$C$48</c:f>
              <c:strCache>
                <c:ptCount val="8"/>
                <c:pt idx="0">
                  <c:v>AI - Automacao E Instrumentacao</c:v>
                </c:pt>
                <c:pt idx="1">
                  <c:v>CC - Concreto</c:v>
                </c:pt>
                <c:pt idx="2">
                  <c:v>EL - Eletrica</c:v>
                </c:pt>
                <c:pt idx="3">
                  <c:v>EM - Estrutura Metalica</c:v>
                </c:pt>
                <c:pt idx="4">
                  <c:v>ME - Mecanica</c:v>
                </c:pt>
                <c:pt idx="5">
                  <c:v>AR - Arquitetura</c:v>
                </c:pt>
                <c:pt idx="6">
                  <c:v>CI - Infraestrutura</c:v>
                </c:pt>
                <c:pt idx="7">
                  <c:v>UT - Sistema De Utilidades</c:v>
                </c:pt>
              </c:strCache>
            </c:strRef>
          </c:cat>
          <c:val>
            <c:numRef>
              <c:f>Gráficos!$E$40:$E$48</c:f>
              <c:numCache>
                <c:formatCode>General</c:formatCode>
                <c:ptCount val="8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6</c:v>
                </c:pt>
                <c:pt idx="5">
                  <c:v>4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66-4C75-99AD-37BF9B13C654}"/>
            </c:ext>
          </c:extLst>
        </c:ser>
        <c:ser>
          <c:idx val="2"/>
          <c:order val="2"/>
          <c:tx>
            <c:strRef>
              <c:f>Gráficos!$F$38:$F$39</c:f>
              <c:strCache>
                <c:ptCount val="1"/>
                <c:pt idx="0">
                  <c:v>Semana 3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Gráficos!$C$40:$C$48</c:f>
              <c:strCache>
                <c:ptCount val="8"/>
                <c:pt idx="0">
                  <c:v>AI - Automacao E Instrumentacao</c:v>
                </c:pt>
                <c:pt idx="1">
                  <c:v>CC - Concreto</c:v>
                </c:pt>
                <c:pt idx="2">
                  <c:v>EL - Eletrica</c:v>
                </c:pt>
                <c:pt idx="3">
                  <c:v>EM - Estrutura Metalica</c:v>
                </c:pt>
                <c:pt idx="4">
                  <c:v>ME - Mecanica</c:v>
                </c:pt>
                <c:pt idx="5">
                  <c:v>AR - Arquitetura</c:v>
                </c:pt>
                <c:pt idx="6">
                  <c:v>CI - Infraestrutura</c:v>
                </c:pt>
                <c:pt idx="7">
                  <c:v>UT - Sistema De Utilidades</c:v>
                </c:pt>
              </c:strCache>
            </c:strRef>
          </c:cat>
          <c:val>
            <c:numRef>
              <c:f>Gráficos!$F$40:$F$48</c:f>
              <c:numCache>
                <c:formatCode>General</c:formatCode>
                <c:ptCount val="8"/>
                <c:pt idx="0">
                  <c:v>3</c:v>
                </c:pt>
                <c:pt idx="1">
                  <c:v>3</c:v>
                </c:pt>
                <c:pt idx="2">
                  <c:v>7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66-4C75-99AD-37BF9B13C6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8210447"/>
        <c:axId val="948209007"/>
      </c:barChart>
      <c:catAx>
        <c:axId val="94821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8209007"/>
        <c:crosses val="autoZero"/>
        <c:auto val="1"/>
        <c:lblAlgn val="ctr"/>
        <c:lblOffset val="100"/>
        <c:noMultiLvlLbl val="0"/>
      </c:catAx>
      <c:valAx>
        <c:axId val="94820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8210447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pivotSource>
    <c:name>[Lista de Documento - DashBoardC.xlsx]Gráficos!Tabela dinâmica6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Relatório</a:t>
            </a:r>
            <a:r>
              <a:rPr lang="pt-BR" baseline="0"/>
              <a:t> da Semana</a:t>
            </a:r>
            <a:endParaRPr lang="pt-BR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Gráficos!$D$59:$D$60</c:f>
              <c:strCache>
                <c:ptCount val="1"/>
                <c:pt idx="0">
                  <c:v>Emissão Semana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Gráficos!$C$61:$C$71</c:f>
              <c:strCache>
                <c:ptCount val="10"/>
                <c:pt idx="0">
                  <c:v>AI - Automacao E Instrumentacao</c:v>
                </c:pt>
                <c:pt idx="1">
                  <c:v>CC - Concreto</c:v>
                </c:pt>
                <c:pt idx="2">
                  <c:v>EL - Eletrica</c:v>
                </c:pt>
                <c:pt idx="3">
                  <c:v>GE - Gestao De Engenharia</c:v>
                </c:pt>
                <c:pt idx="4">
                  <c:v>GP - Gestao De Projetos</c:v>
                </c:pt>
                <c:pt idx="5">
                  <c:v>ME - Mecanica</c:v>
                </c:pt>
                <c:pt idx="6">
                  <c:v>PC - Planejamento E Controle</c:v>
                </c:pt>
                <c:pt idx="7">
                  <c:v>ED - Engenharia Digital</c:v>
                </c:pt>
                <c:pt idx="8">
                  <c:v>AR - Arquitetura</c:v>
                </c:pt>
                <c:pt idx="9">
                  <c:v>UT - Sistema De Utilidades</c:v>
                </c:pt>
              </c:strCache>
            </c:strRef>
          </c:cat>
          <c:val>
            <c:numRef>
              <c:f>Gráficos!$D$61:$D$71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  <c:pt idx="5">
                  <c:v>10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9C-4B7B-A56D-392D2A196E6F}"/>
            </c:ext>
          </c:extLst>
        </c:ser>
        <c:ser>
          <c:idx val="1"/>
          <c:order val="1"/>
          <c:tx>
            <c:strRef>
              <c:f>Gráficos!$E$59:$E$60</c:f>
              <c:strCache>
                <c:ptCount val="1"/>
                <c:pt idx="0">
                  <c:v>Atendimento de Comentário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Gráficos!$C$61:$C$71</c:f>
              <c:strCache>
                <c:ptCount val="10"/>
                <c:pt idx="0">
                  <c:v>AI - Automacao E Instrumentacao</c:v>
                </c:pt>
                <c:pt idx="1">
                  <c:v>CC - Concreto</c:v>
                </c:pt>
                <c:pt idx="2">
                  <c:v>EL - Eletrica</c:v>
                </c:pt>
                <c:pt idx="3">
                  <c:v>GE - Gestao De Engenharia</c:v>
                </c:pt>
                <c:pt idx="4">
                  <c:v>GP - Gestao De Projetos</c:v>
                </c:pt>
                <c:pt idx="5">
                  <c:v>ME - Mecanica</c:v>
                </c:pt>
                <c:pt idx="6">
                  <c:v>PC - Planejamento E Controle</c:v>
                </c:pt>
                <c:pt idx="7">
                  <c:v>ED - Engenharia Digital</c:v>
                </c:pt>
                <c:pt idx="8">
                  <c:v>AR - Arquitetura</c:v>
                </c:pt>
                <c:pt idx="9">
                  <c:v>UT - Sistema De Utilidades</c:v>
                </c:pt>
              </c:strCache>
            </c:strRef>
          </c:cat>
          <c:val>
            <c:numRef>
              <c:f>Gráficos!$E$61:$E$71</c:f>
              <c:numCache>
                <c:formatCode>General</c:formatCode>
                <c:ptCount val="10"/>
                <c:pt idx="0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9C-4B7B-A56D-392D2A196E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41647055"/>
        <c:axId val="1341648495"/>
      </c:barChart>
      <c:catAx>
        <c:axId val="134164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1648495"/>
        <c:crosses val="autoZero"/>
        <c:auto val="1"/>
        <c:lblAlgn val="ctr"/>
        <c:lblOffset val="100"/>
        <c:noMultiLvlLbl val="0"/>
      </c:catAx>
      <c:valAx>
        <c:axId val="134164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1647055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107164</xdr:colOff>
      <xdr:row>5</xdr:row>
      <xdr:rowOff>51956</xdr:rowOff>
    </xdr:from>
    <xdr:to>
      <xdr:col>15</xdr:col>
      <xdr:colOff>1229591</xdr:colOff>
      <xdr:row>23</xdr:row>
      <xdr:rowOff>34638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627386</xdr:colOff>
      <xdr:row>28</xdr:row>
      <xdr:rowOff>3565</xdr:rowOff>
    </xdr:from>
    <xdr:to>
      <xdr:col>11</xdr:col>
      <xdr:colOff>508414</xdr:colOff>
      <xdr:row>57</xdr:row>
      <xdr:rowOff>51954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1000125</xdr:colOff>
      <xdr:row>28</xdr:row>
      <xdr:rowOff>89621</xdr:rowOff>
    </xdr:from>
    <xdr:to>
      <xdr:col>16</xdr:col>
      <xdr:colOff>945139</xdr:colOff>
      <xdr:row>58</xdr:row>
      <xdr:rowOff>179675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190500</xdr:colOff>
      <xdr:row>61</xdr:row>
      <xdr:rowOff>48490</xdr:rowOff>
    </xdr:from>
    <xdr:to>
      <xdr:col>11</xdr:col>
      <xdr:colOff>502227</xdr:colOff>
      <xdr:row>80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Almeida Martins" refreshedDate="46217.530123032404" createdVersion="8" refreshedVersion="8" minRefreshableVersion="3" recordCount="279" xr:uid="{00000000-000A-0000-FFFF-FFFF1C000000}">
  <cacheSource type="worksheet">
    <worksheetSource ref="A3:W282" sheet="Data Base"/>
  </cacheSource>
  <cacheFields count="23">
    <cacheField name="ITEM" numFmtId="0">
      <sharedItems containsSemiMixedTypes="0" containsString="0" containsNumber="1" containsInteger="1" minValue="1" maxValue="279"/>
    </cacheField>
    <cacheField name="DISCIPLINA" numFmtId="0">
      <sharedItems count="15">
        <e v="#N/A"/>
        <s v="AI - Automacao E Instrumentacao"/>
        <s v="AR - Arquitetura"/>
        <s v="CC - Concreto"/>
        <s v="CI - Infraestrutura"/>
        <s v="DC - Controle De Documentos"/>
        <s v="ED - Engenharia Digital"/>
        <s v="EL - Eletrica"/>
        <s v="EM - Estrutura Metalica"/>
        <s v="GE - Gestao De Engenharia"/>
        <s v="GP - Gestao De Projetos"/>
        <s v="ME - Mecanica"/>
        <s v="PC - Planejamento E Controle"/>
        <s v="TU - Tubulacao"/>
        <s v="UT - Sistema De Utilidades"/>
      </sharedItems>
    </cacheField>
    <cacheField name="TIPO DE DOCUMENTO" numFmtId="0">
      <sharedItems/>
    </cacheField>
    <cacheField name="Nº DOCUMENTO EMPRESA" numFmtId="0">
      <sharedItems/>
    </cacheField>
    <cacheField name="TÍTULO" numFmtId="0">
      <sharedItems/>
    </cacheField>
    <cacheField name="FASE" numFmtId="0">
      <sharedItems/>
    </cacheField>
    <cacheField name="REV. BLOSSOM" numFmtId="0">
      <sharedItems containsMixedTypes="1" containsNumber="1" containsInteger="1" minValue="0" maxValue="2"/>
    </cacheField>
    <cacheField name="REV. CLIENTE" numFmtId="0">
      <sharedItems containsMixedTypes="1" containsNumber="1" containsInteger="1" minValue="0" maxValue="0"/>
    </cacheField>
    <cacheField name="GRD" numFmtId="0">
      <sharedItems/>
    </cacheField>
    <cacheField name="FINALIDADE ATUAL" numFmtId="0">
      <sharedItems/>
    </cacheField>
    <cacheField name="DATA EMISSÃO INICIAL" numFmtId="14">
      <sharedItems containsDate="1" containsMixedTypes="1" minDate="2026-06-20T12:30:23" maxDate="2026-07-10T16:48:46"/>
    </cacheField>
    <cacheField name="DATA RETORNO" numFmtId="14">
      <sharedItems containsDate="1" containsMixedTypes="1" minDate="2026-07-01T11:27:04" maxDate="2026-07-13T13:22:40"/>
    </cacheField>
    <cacheField name="DATA FINALIZAÇÃO" numFmtId="14">
      <sharedItems containsDate="1" containsMixedTypes="1" minDate="2026-06-29T12:54:34" maxDate="2026-07-10T16:48:46"/>
    </cacheField>
    <cacheField name="STATUS DOCUMENTO" numFmtId="0">
      <sharedItems count="6">
        <s v="Documento Removido"/>
        <s v="ERRO"/>
        <s v="Documento a Emitir"/>
        <s v="Documento Concluído"/>
        <s v="No prazo"/>
        <s v="Atrasado"/>
      </sharedItems>
    </cacheField>
    <cacheField name="SITUAÇÃO DOCUMENTO" numFmtId="0">
      <sharedItems count="6">
        <s v="Documento Removido"/>
        <s v="ERRO"/>
        <s v="Blossom - Documento a emitir"/>
        <s v="Documento Concluído"/>
        <s v="Blossom - Atendimento de Comentário"/>
        <s v="Cliente - Atendimento de Comentário"/>
      </sharedItems>
    </cacheField>
    <cacheField name="COM QUEM ESTÁ?" numFmtId="0">
      <sharedItems count="2">
        <s v="Blossom"/>
        <s v="Circlua"/>
      </sharedItems>
    </cacheField>
    <cacheField name="FINALIDADE RETORNO" numFmtId="0">
      <sharedItems/>
    </cacheField>
    <cacheField name="DATA EMISSÃO CR" numFmtId="14">
      <sharedItems containsDate="1" containsMixedTypes="1" minDate="2026-07-10T00:00:00" maxDate="2026-09-11T00:00:00"/>
    </cacheField>
    <cacheField name="SITUAÇÃO EMISSÃO INICIAL" numFmtId="14">
      <sharedItems/>
    </cacheField>
    <cacheField name="DATA EMISSÃO BL" numFmtId="14">
      <sharedItems containsDate="1" containsMixedTypes="1" minDate="2026-06-30T00:00:00" maxDate="2026-09-11T00:00:00"/>
    </cacheField>
    <cacheField name="SITUAÇÃO BL" numFmtId="0">
      <sharedItems/>
    </cacheField>
    <cacheField name="EMISSÃO FUTURA" numFmtId="0">
      <sharedItems count="6">
        <s v="Documento Removido"/>
        <s v="Documento Emitido"/>
        <s v="Semana 1"/>
        <s v=""/>
        <s v="Semana 3"/>
        <s v="Semana 2"/>
      </sharedItems>
    </cacheField>
    <cacheField name="RELATÓRIO SEMANA " numFmtId="0">
      <sharedItems count="4">
        <e v="#N/A"/>
        <s v=""/>
        <s v="Atendimento de Comentário"/>
        <s v="Emissão Seman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9">
  <r>
    <n v="1"/>
    <x v="0"/>
    <e v="#N/A"/>
    <s v="BL1132-0001-AI-DBA-2000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2"/>
    <x v="0"/>
    <e v="#N/A"/>
    <s v="BL1132-0001-AI-DBA-2001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3"/>
    <x v="0"/>
    <e v="#N/A"/>
    <s v="BL1132-0001-AI-DBA-2002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4"/>
    <x v="0"/>
    <e v="#N/A"/>
    <s v="BL1132-0001-AI-DIN-2000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5"/>
    <x v="0"/>
    <e v="#N/A"/>
    <s v="BL1132-0001-AI-DIN-2001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6"/>
    <x v="0"/>
    <e v="#N/A"/>
    <s v="BL1132-0001-AI-DIN-2002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7"/>
    <x v="0"/>
    <e v="#N/A"/>
    <s v="BL1132-0001-AI-DIN-2003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8"/>
    <x v="1"/>
    <s v="DPR - Diagrama De Projeto"/>
    <s v="BL1132-0001-AI-DPR-2002"/>
    <s v="carol - carol"/>
    <s v="Básico"/>
    <n v="0"/>
    <s v="carol"/>
    <s v="carol"/>
    <s v="carol"/>
    <s v="carol"/>
    <s v="carol"/>
    <s v=""/>
    <x v="1"/>
    <x v="1"/>
    <x v="0"/>
    <s v="carol"/>
    <s v="Documento Emitido"/>
    <s v="Documento Emitido"/>
    <s v="Documento Emitido"/>
    <s v="Documento Emitido"/>
    <x v="1"/>
    <x v="1"/>
  </r>
  <r>
    <n v="9"/>
    <x v="1"/>
    <s v="DPR - Diagrama De Projeto"/>
    <s v="BL1132-0001-AI-DPR-2003"/>
    <s v="DIAGRAMA DE CONFIGURAÇÃO SAS/SGE"/>
    <s v="Básico"/>
    <n v="0"/>
    <n v="0"/>
    <s v=""/>
    <s v=""/>
    <s v="Documento a emitir"/>
    <s v="Documento a emitir"/>
    <s v=""/>
    <x v="2"/>
    <x v="2"/>
    <x v="0"/>
    <s v=""/>
    <d v="2026-07-14T00:00:00"/>
    <s v="No prazo"/>
    <d v="2026-07-14T00:00:00"/>
    <s v="No prazo"/>
    <x v="2"/>
    <x v="1"/>
  </r>
  <r>
    <n v="10"/>
    <x v="1"/>
    <s v="DPR - Diagrama De Projeto"/>
    <s v="BL1132-0001-AI-DPR-2004"/>
    <s v="DIAGRAMA DE CONFIGURAÇÃO DE TELECOM  - SDACI"/>
    <s v="Básico"/>
    <n v="0"/>
    <n v="0"/>
    <s v=""/>
    <s v=""/>
    <s v="Documento a emitir"/>
    <s v="Documento a emitir"/>
    <s v=""/>
    <x v="2"/>
    <x v="2"/>
    <x v="0"/>
    <s v=""/>
    <d v="2026-08-18T00:00:00"/>
    <s v="No prazo"/>
    <d v="2026-08-18T00:00:00"/>
    <s v="No prazo"/>
    <x v="3"/>
    <x v="1"/>
  </r>
  <r>
    <n v="11"/>
    <x v="1"/>
    <s v="DPR - Diagrama De Projeto"/>
    <s v="BL1132-0001-AI-DPR-2005"/>
    <s v="DIAGRAMA DE CONFIGURAÇÃO DE TELECOM  - REDE DE DADOS E TELEFONIA"/>
    <s v="Básico"/>
    <n v="0"/>
    <n v="0"/>
    <s v=""/>
    <s v=""/>
    <s v="Documento a emitir"/>
    <s v="Documento a emitir"/>
    <s v=""/>
    <x v="2"/>
    <x v="2"/>
    <x v="0"/>
    <s v=""/>
    <d v="2026-08-10T00:00:00"/>
    <s v="No prazo"/>
    <d v="2026-08-10T00:00:00"/>
    <s v="No prazo"/>
    <x v="3"/>
    <x v="1"/>
  </r>
  <r>
    <n v="12"/>
    <x v="1"/>
    <s v="DPR - Diagrama De Projeto"/>
    <s v="BL1132-0001-AI-DPR-2006"/>
    <s v="DIAGRAMA DE CONFIGURAÇÃO DE TELECOM - SEGURANÇA PATRIMONIAL"/>
    <s v="Básico"/>
    <n v="0"/>
    <n v="0"/>
    <s v=""/>
    <s v=""/>
    <s v="Documento a emitir"/>
    <s v="Documento a emitir"/>
    <s v=""/>
    <x v="2"/>
    <x v="2"/>
    <x v="0"/>
    <s v=""/>
    <d v="2026-08-03T00:00:00"/>
    <s v="No prazo"/>
    <d v="2026-08-03T00:00:00"/>
    <s v="No prazo"/>
    <x v="3"/>
    <x v="1"/>
  </r>
  <r>
    <n v="13"/>
    <x v="1"/>
    <s v="DPR - Diagrama De Projeto"/>
    <s v="BL1132-0001-AI-DPR-2007"/>
    <s v="DIAGRAMA DE CONFIGURAÇÃO DE TELECOM - CFTV PROCESSO"/>
    <s v="Básico"/>
    <n v="0"/>
    <n v="0"/>
    <s v=""/>
    <s v=""/>
    <s v="Documento a emitir"/>
    <s v="Documento a emitir"/>
    <s v=""/>
    <x v="2"/>
    <x v="2"/>
    <x v="0"/>
    <s v=""/>
    <d v="2026-07-28T00:00:00"/>
    <s v="No prazo"/>
    <d v="2026-07-28T00:00:00"/>
    <s v="No prazo"/>
    <x v="4"/>
    <x v="1"/>
  </r>
  <r>
    <n v="14"/>
    <x v="1"/>
    <s v="DPR - Diagrama De Projeto"/>
    <s v="BL1132-0001-AI-DPR-2008"/>
    <s v="DIAGRAMA DE CONFIGURAÇÃO DE TELECOM - BACKBONE TI"/>
    <s v="Básico"/>
    <n v="0"/>
    <n v="0"/>
    <s v=""/>
    <s v=""/>
    <s v="Documento a emitir"/>
    <s v="Documento a emitir"/>
    <s v=""/>
    <x v="2"/>
    <x v="2"/>
    <x v="0"/>
    <s v=""/>
    <d v="2026-08-13T00:00:00"/>
    <s v="No prazo"/>
    <d v="2026-08-13T00:00:00"/>
    <s v="No prazo"/>
    <x v="3"/>
    <x v="1"/>
  </r>
  <r>
    <n v="15"/>
    <x v="1"/>
    <s v="ETE - Especificação Técnica"/>
    <s v="BL1132-0001-AI-ETE-2001"/>
    <s v="ESPECIFICAÇÃO TÉCNICA - SISTEMA DE CONTROLE E AUTOMAÇÃO"/>
    <s v="Básico"/>
    <n v="0"/>
    <n v="0"/>
    <s v=""/>
    <s v=""/>
    <s v="Documento a emitir"/>
    <s v="Documento a emitir"/>
    <s v=""/>
    <x v="2"/>
    <x v="2"/>
    <x v="0"/>
    <s v=""/>
    <d v="2026-07-23T00:00:00"/>
    <s v="No prazo"/>
    <d v="2026-07-23T00:00:00"/>
    <s v="No prazo"/>
    <x v="5"/>
    <x v="1"/>
  </r>
  <r>
    <n v="16"/>
    <x v="1"/>
    <s v="ETE - Especificação Técnica"/>
    <s v="BL1132-0001-AI-ETE-2002"/>
    <s v="ESPECIFICAÇÃO TÉCNICA - SDACI"/>
    <s v="Básico"/>
    <n v="0"/>
    <n v="0"/>
    <s v=""/>
    <s v=""/>
    <s v="Documento a emitir"/>
    <s v="Documento a emitir"/>
    <s v=""/>
    <x v="2"/>
    <x v="2"/>
    <x v="0"/>
    <s v=""/>
    <d v="2026-08-18T00:00:00"/>
    <s v="No prazo"/>
    <d v="2026-08-18T00:00:00"/>
    <s v="No prazo"/>
    <x v="3"/>
    <x v="1"/>
  </r>
  <r>
    <n v="17"/>
    <x v="1"/>
    <s v="ETE - Especificação Técnica"/>
    <s v="BL1132-0001-AI-ETE-2003"/>
    <s v="ESPECIFICAÇÃO TÉCNICA - SEGURANÇA PATRIMONIAL"/>
    <s v="Básico"/>
    <n v="0"/>
    <n v="0"/>
    <s v=""/>
    <s v=""/>
    <s v="Documento a emitir"/>
    <s v="Documento a emitir"/>
    <s v=""/>
    <x v="2"/>
    <x v="2"/>
    <x v="0"/>
    <s v=""/>
    <d v="2026-08-05T00:00:00"/>
    <s v="No prazo"/>
    <d v="2026-08-05T00:00:00"/>
    <s v="No prazo"/>
    <x v="3"/>
    <x v="1"/>
  </r>
  <r>
    <n v="18"/>
    <x v="1"/>
    <s v="ETE - Especificação Técnica"/>
    <s v="BL1132-0001-AI-ETE-2004"/>
    <s v="ESPECIFICAÇÃO TÉCNICA - CFTV DE PROCESSO"/>
    <s v="Básico"/>
    <n v="0"/>
    <n v="0"/>
    <s v=""/>
    <s v=""/>
    <s v="Documento a emitir"/>
    <s v="Documento a emitir"/>
    <s v=""/>
    <x v="2"/>
    <x v="2"/>
    <x v="0"/>
    <s v=""/>
    <d v="2026-07-30T00:00:00"/>
    <s v="No prazo"/>
    <d v="2026-07-30T00:00:00"/>
    <s v="No prazo"/>
    <x v="4"/>
    <x v="1"/>
  </r>
  <r>
    <n v="19"/>
    <x v="1"/>
    <s v="FDA - Folha De Dados"/>
    <s v="BL1132-0001-AI-FDA-2000"/>
    <s v="FOLHA DE DADOS - BALANÇA RODOVIÁRIA"/>
    <s v="Básico"/>
    <n v="0"/>
    <n v="0"/>
    <s v=""/>
    <s v=""/>
    <s v="Documento a emitir"/>
    <s v="Documento a emitir"/>
    <s v=""/>
    <x v="2"/>
    <x v="2"/>
    <x v="0"/>
    <s v=""/>
    <d v="2026-08-21T00:00:00"/>
    <s v="No prazo"/>
    <d v="2026-08-21T00:00:00"/>
    <s v="No prazo"/>
    <x v="3"/>
    <x v="1"/>
  </r>
  <r>
    <n v="20"/>
    <x v="1"/>
    <s v="FDA - Folha De Dados"/>
    <s v="BL1132-0001-AI-FDA-2001"/>
    <s v="FOLHA DE DADOS - SISTEMA SUPERVISÃO DE CONTROLE DE PROCESSOS"/>
    <s v="Básico"/>
    <n v="0"/>
    <n v="0"/>
    <s v=""/>
    <s v=""/>
    <s v="Documento a emitir"/>
    <s v="Documento a emitir"/>
    <s v=""/>
    <x v="2"/>
    <x v="2"/>
    <x v="0"/>
    <s v=""/>
    <d v="2026-07-17T00:00:00"/>
    <s v="No prazo"/>
    <d v="2026-07-17T00:00:00"/>
    <s v="No prazo"/>
    <x v="2"/>
    <x v="1"/>
  </r>
  <r>
    <n v="21"/>
    <x v="1"/>
    <s v="FDA - Folha De Dados"/>
    <s v="BL1132-0001-AI-FDA-2002"/>
    <s v="FOLHA DE DADOS - MEDIDOR DE NÍVEL TIPO RADAR"/>
    <s v="Básico"/>
    <n v="1"/>
    <s v="2"/>
    <s v="0021"/>
    <s v="PARA COTAÇÃO"/>
    <d v="2026-07-07T16:17:23"/>
    <d v="2026-07-09T16:04:59"/>
    <d v="2026-07-07T16:17:23"/>
    <x v="3"/>
    <x v="3"/>
    <x v="0"/>
    <s v="APR - APROVADO"/>
    <s v="Documento Emitido"/>
    <s v="Documento Emitido"/>
    <s v="Documento Emitido"/>
    <s v="Documento Emitido"/>
    <x v="1"/>
    <x v="2"/>
  </r>
  <r>
    <n v="22"/>
    <x v="1"/>
    <s v="FDA - Folha De Dados"/>
    <s v="BL1132-0001-AI-FDA-2003"/>
    <s v="FOLHA DE DADOS - MEDIDOR DE VAZÃO MAGNÉTICO"/>
    <s v="Básico"/>
    <n v="0"/>
    <n v="0"/>
    <s v=""/>
    <s v=""/>
    <s v="Documento a emitir"/>
    <s v="Documento a emitir"/>
    <s v=""/>
    <x v="2"/>
    <x v="2"/>
    <x v="0"/>
    <s v=""/>
    <d v="2026-08-31T00:00:00"/>
    <s v="No prazo"/>
    <d v="2026-08-31T00:00:00"/>
    <s v="No prazo"/>
    <x v="3"/>
    <x v="1"/>
  </r>
  <r>
    <n v="23"/>
    <x v="1"/>
    <s v="FDA - Folha De Dados"/>
    <s v="BL1132-0001-AI-FDA-2004"/>
    <s v="FOLHA DE DADOS - MEDIDOR DE TEMPERATURA"/>
    <s v="Básico"/>
    <n v="0"/>
    <n v="0"/>
    <s v=""/>
    <s v=""/>
    <s v="Documento a emitir"/>
    <s v="Documento a emitir"/>
    <s v=""/>
    <x v="2"/>
    <x v="2"/>
    <x v="0"/>
    <s v=""/>
    <d v="2026-08-31T00:00:00"/>
    <s v="No prazo"/>
    <d v="2026-08-31T00:00:00"/>
    <s v="No prazo"/>
    <x v="3"/>
    <x v="1"/>
  </r>
  <r>
    <n v="24"/>
    <x v="1"/>
    <s v="FDA - Folha De Dados"/>
    <s v="BL1132-0001-AI-FDA-2005"/>
    <s v="FOLHA DE DADOS - MEDIDOR DE PRESSÃO"/>
    <s v="Básico"/>
    <n v="0"/>
    <n v="0"/>
    <s v=""/>
    <s v=""/>
    <s v="Documento a emitir"/>
    <s v="Documento a emitir"/>
    <s v=""/>
    <x v="2"/>
    <x v="2"/>
    <x v="0"/>
    <s v=""/>
    <d v="2026-09-04T00:00:00"/>
    <s v="No prazo"/>
    <d v="2026-09-04T00:00:00"/>
    <s v="No prazo"/>
    <x v="3"/>
    <x v="1"/>
  </r>
  <r>
    <n v="25"/>
    <x v="1"/>
    <s v="FDA - Folha De Dados"/>
    <s v="BL1132-0001-AI-FDA-2006"/>
    <s v="FOLHA DE DADOS - VÁLVULA AUTO-OPERADA"/>
    <s v="Básico"/>
    <n v="0"/>
    <n v="0"/>
    <s v=""/>
    <s v=""/>
    <s v="Documento a emitir"/>
    <s v="Documento a emitir"/>
    <s v=""/>
    <x v="2"/>
    <x v="2"/>
    <x v="0"/>
    <s v=""/>
    <d v="2026-08-24T00:00:00"/>
    <s v="No prazo"/>
    <d v="2026-08-24T00:00:00"/>
    <s v="No prazo"/>
    <x v="3"/>
    <x v="1"/>
  </r>
  <r>
    <n v="26"/>
    <x v="1"/>
    <s v="FDA - Folha De Dados"/>
    <s v="BL1132-0001-AI-FDA-2007"/>
    <s v="FOLHA DE DADOS - VÁLVULA ON-OFF"/>
    <s v="Básico"/>
    <n v="0"/>
    <n v="0"/>
    <s v=""/>
    <s v=""/>
    <s v="Documento a emitir"/>
    <s v="Documento a emitir"/>
    <s v=""/>
    <x v="2"/>
    <x v="2"/>
    <x v="0"/>
    <s v=""/>
    <d v="2026-08-24T00:00:00"/>
    <s v="No prazo"/>
    <d v="2026-08-24T00:00:00"/>
    <s v="No prazo"/>
    <x v="3"/>
    <x v="1"/>
  </r>
  <r>
    <n v="27"/>
    <x v="1"/>
    <s v="FDA - Folha De Dados"/>
    <s v="BL1132-0001-AI-FDA-2008"/>
    <s v="FOLHA DE DADOS - BALANÇA INTEGRADORA"/>
    <s v="Básico"/>
    <n v="0"/>
    <n v="0"/>
    <s v=""/>
    <s v=""/>
    <s v="Documento a emitir"/>
    <s v="Documento a emitir"/>
    <s v=""/>
    <x v="2"/>
    <x v="2"/>
    <x v="0"/>
    <s v=""/>
    <d v="2026-09-10T00:00:00"/>
    <s v="No prazo"/>
    <d v="2026-09-10T00:00:00"/>
    <s v="No prazo"/>
    <x v="3"/>
    <x v="1"/>
  </r>
  <r>
    <n v="28"/>
    <x v="1"/>
    <s v="FDA - Folha De Dados"/>
    <s v="BL1132-0001-AI-FDA-2009"/>
    <s v="FOLHA DE DADOS - ANALISADOR DE CONDUTIVIDADE"/>
    <s v="Básico"/>
    <n v="0"/>
    <n v="0"/>
    <s v=""/>
    <s v=""/>
    <s v="Documento a emitir"/>
    <s v="Documento a emitir"/>
    <s v=""/>
    <x v="2"/>
    <x v="2"/>
    <x v="0"/>
    <s v=""/>
    <d v="2026-09-10T00:00:00"/>
    <s v="No prazo"/>
    <d v="2026-09-10T00:00:00"/>
    <s v="No prazo"/>
    <x v="3"/>
    <x v="1"/>
  </r>
  <r>
    <n v="29"/>
    <x v="1"/>
    <s v="FDA - Folha De Dados"/>
    <s v="BL1132-0001-AI-FDA-2010"/>
    <s v="FOLHA DE DADOS - ANALISADOR DE pH"/>
    <s v="Básico"/>
    <n v="0"/>
    <n v="0"/>
    <s v=""/>
    <s v=""/>
    <s v="Documento a emitir"/>
    <s v="Documento a emitir"/>
    <s v=""/>
    <x v="2"/>
    <x v="2"/>
    <x v="0"/>
    <s v=""/>
    <d v="2026-09-10T00:00:00"/>
    <s v="No prazo"/>
    <d v="2026-09-10T00:00:00"/>
    <s v="No prazo"/>
    <x v="3"/>
    <x v="1"/>
  </r>
  <r>
    <n v="30"/>
    <x v="1"/>
    <s v="FDA - Folha De Dados"/>
    <s v="BL1132-0001-AI-FDA-2011"/>
    <s v="FOLHA DE DADOS - CHAVE DE NÍVEL PORTINHOLA"/>
    <s v="Básico"/>
    <n v="0"/>
    <s v="1"/>
    <s v="0007"/>
    <s v="CANCELADO"/>
    <d v="2026-06-29T12:54:34"/>
    <d v="2026-07-02T09:01:35"/>
    <d v="2026-06-29T12:54:34"/>
    <x v="3"/>
    <x v="3"/>
    <x v="0"/>
    <s v="APR - APROVADO"/>
    <s v="Documento Emitido"/>
    <s v="Documento Emitido"/>
    <s v="Documento Emitido"/>
    <s v="Documento Emitido"/>
    <x v="1"/>
    <x v="1"/>
  </r>
  <r>
    <n v="31"/>
    <x v="1"/>
    <s v="FDA - Folha De Dados"/>
    <s v="BL1132-0001-AI-FDA-2012"/>
    <s v="FOLHA DE DADOS - MANÔMETRO"/>
    <s v="Básico"/>
    <n v="0"/>
    <n v="0"/>
    <s v=""/>
    <s v=""/>
    <s v="Documento a emitir"/>
    <s v="Documento a emitir"/>
    <s v=""/>
    <x v="2"/>
    <x v="2"/>
    <x v="0"/>
    <s v=""/>
    <d v="2026-09-10T00:00:00"/>
    <s v="No prazo"/>
    <d v="2026-09-10T00:00:00"/>
    <s v="No prazo"/>
    <x v="3"/>
    <x v="1"/>
  </r>
  <r>
    <n v="32"/>
    <x v="1"/>
    <s v="FDA - Folha De Dados"/>
    <s v="BL1132-0001-AI-FDA-2013"/>
    <s v="FOLHA DE DADOS - PAINEL PNEUMÁTICO"/>
    <s v="Básico"/>
    <n v="0"/>
    <s v="1"/>
    <s v="0021"/>
    <s v="PARA APROVAÇÃO"/>
    <d v="2026-07-07T16:17:23"/>
    <d v="2026-07-10T14:27:08"/>
    <s v=""/>
    <x v="4"/>
    <x v="4"/>
    <x v="0"/>
    <s v="APC-L  - APC-L  - Aprovado com Comentários (Retornar Aprovado)"/>
    <s v="Documento Emitido"/>
    <s v="Documento Emitido"/>
    <s v="Documento Emitido"/>
    <s v="Documento Emitido"/>
    <x v="1"/>
    <x v="3"/>
  </r>
  <r>
    <n v="33"/>
    <x v="1"/>
    <s v="FDA - Folha De Dados"/>
    <s v="BL1132-0001-AI-FDA-2014"/>
    <s v="FOLHA DE DADOS - SENSOR DE POSIÇÃO"/>
    <s v="Básico"/>
    <n v="1"/>
    <s v="2"/>
    <s v="0021"/>
    <s v="CANCELADO"/>
    <d v="2026-07-07T16:17:23"/>
    <d v="2026-07-09T16:17:30"/>
    <d v="2026-07-07T16:17:23"/>
    <x v="3"/>
    <x v="3"/>
    <x v="0"/>
    <s v="CLD - CANCELADO"/>
    <s v="Documento Emitido"/>
    <s v="Documento Emitido"/>
    <s v="Documento Emitido"/>
    <s v="Documento Emitido"/>
    <x v="1"/>
    <x v="2"/>
  </r>
  <r>
    <n v="34"/>
    <x v="1"/>
    <s v="FDA - Folha De Dados"/>
    <s v="BL1132-0001-AI-FDA-2015"/>
    <s v="FOLHA DE DADOS - SINALIZADOR LUMINOSO"/>
    <s v="Básico"/>
    <n v="1"/>
    <s v="2"/>
    <s v="0033"/>
    <s v="PARA COTAÇÃO"/>
    <d v="2026-07-10T16:47:54"/>
    <s v=""/>
    <d v="2026-07-10T16:47:54"/>
    <x v="3"/>
    <x v="3"/>
    <x v="0"/>
    <s v=""/>
    <s v="Documento Emitido"/>
    <s v="Documento Emitido"/>
    <s v="Documento Emitido"/>
    <s v="Documento Emitido"/>
    <x v="1"/>
    <x v="2"/>
  </r>
  <r>
    <n v="35"/>
    <x v="1"/>
    <s v="FDA - Folha De Dados"/>
    <s v="BL1132-0001-AI-FDA-2016"/>
    <s v="FOLHA DE DADOS - VÁLVULA DE ALÍVIO DE PRESSÃO"/>
    <s v="Básico"/>
    <n v="0"/>
    <n v="0"/>
    <s v=""/>
    <s v=""/>
    <s v="Documento a emitir"/>
    <s v="Documento a emitir"/>
    <s v=""/>
    <x v="2"/>
    <x v="2"/>
    <x v="0"/>
    <s v=""/>
    <d v="2026-08-25T00:00:00"/>
    <s v="No prazo"/>
    <d v="2026-08-25T00:00:00"/>
    <s v="No prazo"/>
    <x v="3"/>
    <x v="1"/>
  </r>
  <r>
    <n v="36"/>
    <x v="1"/>
    <s v="FDA - Folha De Dados"/>
    <s v="BL1132-0001-AI-FDA-2017"/>
    <s v="FOLHA DE DADOS - VÁLVULA DE CONTROLE - ESFERA"/>
    <s v="Básico"/>
    <n v="0"/>
    <n v="0"/>
    <s v=""/>
    <s v=""/>
    <s v="Documento a emitir"/>
    <s v="Documento a emitir"/>
    <s v=""/>
    <x v="2"/>
    <x v="2"/>
    <x v="0"/>
    <s v=""/>
    <d v="2026-08-21T00:00:00"/>
    <s v="No prazo"/>
    <d v="2026-08-21T00:00:00"/>
    <s v="No prazo"/>
    <x v="3"/>
    <x v="1"/>
  </r>
  <r>
    <n v="37"/>
    <x v="1"/>
    <s v="FDA - Folha De Dados"/>
    <s v="BL1132-0001-AI-FDA-2018"/>
    <s v="FOLHA DE DADOS - VÁLVULA DILÚVIO"/>
    <s v="Básico"/>
    <n v="0"/>
    <n v="0"/>
    <s v=""/>
    <s v=""/>
    <s v="Documento a emitir"/>
    <s v="Documento a emitir"/>
    <s v=""/>
    <x v="2"/>
    <x v="2"/>
    <x v="0"/>
    <s v=""/>
    <d v="2026-08-25T00:00:00"/>
    <s v="No prazo"/>
    <d v="2026-08-25T00:00:00"/>
    <s v="No prazo"/>
    <x v="3"/>
    <x v="1"/>
  </r>
  <r>
    <n v="38"/>
    <x v="1"/>
    <s v="FDA - Folha De Dados"/>
    <s v="BL1132-0001-AI-FDA-2019"/>
    <s v="FOLHA DE DADOS - VÁLVULA GOVERNO E ALARME"/>
    <s v="Básico"/>
    <n v="0"/>
    <n v="0"/>
    <s v=""/>
    <s v=""/>
    <s v="Documento a emitir"/>
    <s v="Documento a emitir"/>
    <s v=""/>
    <x v="2"/>
    <x v="2"/>
    <x v="0"/>
    <s v=""/>
    <d v="2026-08-25T00:00:00"/>
    <s v="No prazo"/>
    <d v="2026-08-25T00:00:00"/>
    <s v="No prazo"/>
    <x v="3"/>
    <x v="1"/>
  </r>
  <r>
    <n v="39"/>
    <x v="1"/>
    <s v="FDA - Folha De Dados"/>
    <s v="BL1132-0001-AI-FDA-2020"/>
    <s v="FOLHA DE DADOS - MEDIDOR DE VAZÃO VORTEX"/>
    <s v="Básico"/>
    <n v="0"/>
    <n v="0"/>
    <s v=""/>
    <s v=""/>
    <s v="Documento a emitir"/>
    <s v="Documento a emitir"/>
    <s v=""/>
    <x v="2"/>
    <x v="2"/>
    <x v="0"/>
    <s v=""/>
    <d v="2026-09-04T00:00:00"/>
    <s v="No prazo"/>
    <d v="2026-09-04T00:00:00"/>
    <s v="No prazo"/>
    <x v="3"/>
    <x v="1"/>
  </r>
  <r>
    <n v="40"/>
    <x v="1"/>
    <s v="FDA - Folha De Dados"/>
    <s v="BL1132-0001-AI-FDA-2021"/>
    <s v="FOLHA DE DADOS - ANALISADOR CNA"/>
    <s v="Básico"/>
    <n v="1"/>
    <s v="2"/>
    <s v="0033"/>
    <s v="PARA COTAÇÃO"/>
    <d v="2026-07-10T16:47:54"/>
    <s v=""/>
    <d v="2026-07-10T16:47:54"/>
    <x v="3"/>
    <x v="3"/>
    <x v="0"/>
    <s v=""/>
    <s v="Documento Emitido"/>
    <s v="Documento Emitido"/>
    <s v="Documento Emitido"/>
    <s v="Documento Emitido"/>
    <x v="1"/>
    <x v="2"/>
  </r>
  <r>
    <n v="41"/>
    <x v="1"/>
    <s v="FDA - Folha De Dados"/>
    <s v="BL1132-0001-AI-FDA-2022"/>
    <s v="FOLHA DE DADOS - VÁLVULA SOLENOIDE"/>
    <s v="Básico"/>
    <n v="0"/>
    <n v="0"/>
    <s v=""/>
    <s v=""/>
    <s v="Documento a emitir"/>
    <s v="Documento a emitir"/>
    <s v=""/>
    <x v="2"/>
    <x v="2"/>
    <x v="0"/>
    <s v=""/>
    <d v="2026-08-25T00:00:00"/>
    <s v="No prazo"/>
    <d v="2026-08-25T00:00:00"/>
    <s v="No prazo"/>
    <x v="3"/>
    <x v="1"/>
  </r>
  <r>
    <n v="42"/>
    <x v="1"/>
    <s v="FDA - Folha De Dados"/>
    <s v="BL1132-0001-AI-FDA-2023"/>
    <s v="FOLHA DE DADOS - QDTI AUTOMAÇÃO"/>
    <s v="Básico"/>
    <n v="0"/>
    <n v="0"/>
    <s v=""/>
    <s v=""/>
    <s v="Documento a emitir"/>
    <s v="Documento a emitir"/>
    <s v=""/>
    <x v="2"/>
    <x v="2"/>
    <x v="0"/>
    <s v=""/>
    <d v="2026-07-22T00:00:00"/>
    <s v="No prazo"/>
    <d v="2026-07-22T00:00:00"/>
    <s v="No prazo"/>
    <x v="5"/>
    <x v="1"/>
  </r>
  <r>
    <n v="43"/>
    <x v="1"/>
    <s v="FDA - Folha De Dados"/>
    <s v="BL1132-0001-AI-FDA-2024"/>
    <s v="FOLHA DE DADOS - SDACI"/>
    <s v="Básico"/>
    <n v="0"/>
    <n v="0"/>
    <s v=""/>
    <s v=""/>
    <s v="Documento a emitir"/>
    <s v="Documento a emitir"/>
    <s v=""/>
    <x v="2"/>
    <x v="2"/>
    <x v="0"/>
    <s v=""/>
    <d v="2026-08-18T00:00:00"/>
    <s v="No prazo"/>
    <d v="2026-08-18T00:00:00"/>
    <s v="No prazo"/>
    <x v="3"/>
    <x v="1"/>
  </r>
  <r>
    <n v="44"/>
    <x v="1"/>
    <s v="FDA - Folha De Dados"/>
    <s v="BL1132-0001-AI-FDA-2025"/>
    <s v="FOLHA DE DADOS - AUTOMAÇÃO DE SUBESTAÇÕES"/>
    <s v="Básico"/>
    <n v="0"/>
    <n v="0"/>
    <s v=""/>
    <s v=""/>
    <s v="Documento a emitir"/>
    <s v="Documento a emitir"/>
    <s v=""/>
    <x v="2"/>
    <x v="2"/>
    <x v="0"/>
    <s v=""/>
    <d v="2026-07-17T00:00:00"/>
    <s v="No prazo"/>
    <d v="2026-07-17T00:00:00"/>
    <s v="No prazo"/>
    <x v="2"/>
    <x v="1"/>
  </r>
  <r>
    <n v="45"/>
    <x v="1"/>
    <s v="FDA - Folha De Dados"/>
    <s v="BL1132-0001-AI-FDA-2026"/>
    <s v="FOLHA DE DADOS - REDE DE DADOS E TELEFONIA"/>
    <s v="Básico"/>
    <n v="0"/>
    <n v="0"/>
    <s v=""/>
    <s v=""/>
    <s v="Documento a emitir"/>
    <s v="Documento a emitir"/>
    <s v=""/>
    <x v="2"/>
    <x v="2"/>
    <x v="0"/>
    <s v=""/>
    <d v="2026-08-10T00:00:00"/>
    <s v="No prazo"/>
    <d v="2026-08-10T00:00:00"/>
    <s v="No prazo"/>
    <x v="3"/>
    <x v="1"/>
  </r>
  <r>
    <n v="46"/>
    <x v="1"/>
    <s v="FDA - Folha De Dados"/>
    <s v="BL1132-0001-AI-FDA-2027"/>
    <s v="FOLHA DE DADOS - SEGURANÇA PATRIMONIAL"/>
    <s v="Básico"/>
    <n v="0"/>
    <n v="0"/>
    <s v=""/>
    <s v=""/>
    <s v="Documento a emitir"/>
    <s v="Documento a emitir"/>
    <s v=""/>
    <x v="2"/>
    <x v="2"/>
    <x v="0"/>
    <s v=""/>
    <d v="2026-08-05T00:00:00"/>
    <s v="No prazo"/>
    <d v="2026-08-05T00:00:00"/>
    <s v="No prazo"/>
    <x v="3"/>
    <x v="1"/>
  </r>
  <r>
    <n v="47"/>
    <x v="1"/>
    <s v="FDA - Folha De Dados"/>
    <s v="BL1132-0001-AI-FDA-2028"/>
    <s v="FOLHA DE DADOS - CFTV DE PROCESSO"/>
    <s v="Básico"/>
    <n v="0"/>
    <n v="0"/>
    <s v=""/>
    <s v=""/>
    <s v="Documento a emitir"/>
    <s v="Documento a emitir"/>
    <s v=""/>
    <x v="2"/>
    <x v="2"/>
    <x v="0"/>
    <s v=""/>
    <d v="2026-07-30T00:00:00"/>
    <s v="No prazo"/>
    <d v="2026-07-30T00:00:00"/>
    <s v="No prazo"/>
    <x v="4"/>
    <x v="1"/>
  </r>
  <r>
    <n v="48"/>
    <x v="1"/>
    <s v="FDA - Folha De Dados"/>
    <s v="BL1132-0001-AI-FDA-2029"/>
    <s v="FOLHA DE DADOS - INFRAESTRUTURA E BACKBONE"/>
    <s v="Básico"/>
    <n v="0"/>
    <n v="0"/>
    <s v=""/>
    <s v=""/>
    <s v="Documento a emitir"/>
    <s v="Documento a emitir"/>
    <s v=""/>
    <x v="2"/>
    <x v="2"/>
    <x v="0"/>
    <s v=""/>
    <d v="2026-08-13T00:00:00"/>
    <s v="No prazo"/>
    <d v="2026-08-13T00:00:00"/>
    <s v="No prazo"/>
    <x v="3"/>
    <x v="1"/>
  </r>
  <r>
    <n v="49"/>
    <x v="0"/>
    <e v="#N/A"/>
    <s v="BL1132-0001-AI-FDA-2030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50"/>
    <x v="0"/>
    <e v="#N/A"/>
    <s v="BL1132-0001-AI-FDA-2031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51"/>
    <x v="0"/>
    <e v="#N/A"/>
    <s v="BL1132-0001-AI-FDA-2032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52"/>
    <x v="0"/>
    <e v="#N/A"/>
    <s v="BL1132-0001-AI-FDA-2033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53"/>
    <x v="0"/>
    <e v="#N/A"/>
    <s v="BL1132-0001-AI-FDA-2034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54"/>
    <x v="0"/>
    <e v="#N/A"/>
    <s v="BL1132-0001-AI-FDA-2035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55"/>
    <x v="0"/>
    <e v="#N/A"/>
    <s v="BL1132-0001-AI-FDA-2036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56"/>
    <x v="1"/>
    <s v="FDA - Folha De Dados"/>
    <s v="BL1132-0001-AI-FDA-2037"/>
    <s v="FOLHA DE DADOS - CHAVE DE NÍVEL CAPACITIVA"/>
    <s v="Básico"/>
    <n v="0"/>
    <s v="A"/>
    <s v="0033"/>
    <s v="PARA APROVAÇÃO"/>
    <d v="2026-07-10T16:47:54"/>
    <s v=""/>
    <s v=""/>
    <x v="5"/>
    <x v="5"/>
    <x v="1"/>
    <s v=""/>
    <s v="Documento Emitido"/>
    <s v="Documento Emitido"/>
    <s v="Documento Emitido"/>
    <s v="Documento Emitido"/>
    <x v="1"/>
    <x v="3"/>
  </r>
  <r>
    <n v="57"/>
    <x v="1"/>
    <s v="LEI - Lista De Equipamentos E Instrumentos"/>
    <s v="BL1132-0001-AI-LEI-2000"/>
    <s v="LISTA DE EQUIPAMENTOS DE AUTOMAÇÃO"/>
    <s v="Básico"/>
    <n v="0"/>
    <n v="0"/>
    <s v=""/>
    <s v=""/>
    <s v="Documento a emitir"/>
    <s v="Documento a emitir"/>
    <s v=""/>
    <x v="2"/>
    <x v="2"/>
    <x v="0"/>
    <s v=""/>
    <d v="2026-07-24T00:00:00"/>
    <s v="No prazo"/>
    <d v="2026-07-24T00:00:00"/>
    <s v="No prazo"/>
    <x v="5"/>
    <x v="1"/>
  </r>
  <r>
    <n v="58"/>
    <x v="1"/>
    <s v="LEI - Lista De Equipamentos E Instrumentos"/>
    <s v="BL1132-0001-AI-LEI-2001"/>
    <s v="LISTA DE EQUIPAMENTOS DE TELECOM"/>
    <s v="Básico"/>
    <n v="0"/>
    <n v="0"/>
    <s v=""/>
    <s v=""/>
    <s v="Documento a emitir"/>
    <s v="Documento a emitir"/>
    <s v=""/>
    <x v="2"/>
    <x v="2"/>
    <x v="0"/>
    <s v=""/>
    <d v="2026-08-20T00:00:00"/>
    <s v="No prazo"/>
    <d v="2026-08-20T00:00:00"/>
    <s v="No prazo"/>
    <x v="3"/>
    <x v="1"/>
  </r>
  <r>
    <n v="59"/>
    <x v="1"/>
    <s v="LEI - Lista De Equipamentos E Instrumentos"/>
    <s v="BL1132-0001-AI-LEI-2002"/>
    <s v="LISTA DE INSTRUMENTOS"/>
    <s v="Básico"/>
    <n v="0"/>
    <s v="1"/>
    <s v="0005"/>
    <s v="PARA APROVAÇÃO"/>
    <d v="2026-06-26T16:47:02"/>
    <d v="2026-07-01T17:06:02"/>
    <s v=""/>
    <x v="5"/>
    <x v="4"/>
    <x v="0"/>
    <s v="APC-L  - APC-L  - Aprovado com Comentários (Retornar Aprovado)"/>
    <s v="Documento Emitido"/>
    <s v="Documento Emitido"/>
    <s v="Documento Emitido"/>
    <s v="Documento Emitido"/>
    <x v="1"/>
    <x v="1"/>
  </r>
  <r>
    <n v="60"/>
    <x v="0"/>
    <e v="#N/A"/>
    <s v="BL1132-0001-AI-LEI-2004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61"/>
    <x v="0"/>
    <e v="#N/A"/>
    <s v="BL1132-0001-AI-LEI-2005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62"/>
    <x v="0"/>
    <e v="#N/A"/>
    <s v="BL1132-0001-AI-LEI-2006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63"/>
    <x v="1"/>
    <s v="RES - Relação De Entradas E Saídas"/>
    <s v="BL1132-0001-AI-RES-2000"/>
    <s v="LISTA PRELIMINAR DE ENTRADAS E SAÍDAS"/>
    <s v="Básico"/>
    <n v="0"/>
    <n v="0"/>
    <s v=""/>
    <s v=""/>
    <s v="Documento a emitir"/>
    <s v="Documento a emitir"/>
    <s v=""/>
    <x v="2"/>
    <x v="2"/>
    <x v="0"/>
    <s v=""/>
    <d v="2026-07-17T00:00:00"/>
    <s v="No prazo"/>
    <d v="2026-07-17T00:00:00"/>
    <s v="No prazo"/>
    <x v="2"/>
    <x v="1"/>
  </r>
  <r>
    <n v="64"/>
    <x v="0"/>
    <e v="#N/A"/>
    <s v="BL1132-0001-AI-RES-2001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65"/>
    <x v="2"/>
    <s v="CPR - Critério De Projeto"/>
    <s v="BL1132-0001-AR-CPR-2000"/>
    <s v="CRITÉRIOS DE PROJETO - ARQUITETURA"/>
    <s v="Básico"/>
    <n v="2"/>
    <s v="5"/>
    <s v="0032"/>
    <s v="PARA CONHECIMENTO"/>
    <d v="2026-07-10T16:47:30"/>
    <s v=""/>
    <d v="2026-07-10T16:47:30"/>
    <x v="3"/>
    <x v="3"/>
    <x v="0"/>
    <s v=""/>
    <s v="Documento Emitido"/>
    <s v="Documento Emitido"/>
    <s v="Documento Emitido"/>
    <s v="Documento Emitido"/>
    <x v="1"/>
    <x v="2"/>
  </r>
  <r>
    <n v="66"/>
    <x v="2"/>
    <s v="DBA - Desenho Básico"/>
    <s v="BL1132-0001-AR-DBA-2000"/>
    <s v="PLANTA E CORTES"/>
    <s v="Básico"/>
    <n v="0"/>
    <n v="0"/>
    <s v=""/>
    <s v=""/>
    <s v="Documento a emitir"/>
    <s v="Documento a emitir"/>
    <s v=""/>
    <x v="2"/>
    <x v="2"/>
    <x v="0"/>
    <s v=""/>
    <d v="2026-07-30T00:00:00"/>
    <s v="No prazo"/>
    <d v="2026-07-29T00:00:00"/>
    <s v="Emissão Atrasada"/>
    <x v="4"/>
    <x v="1"/>
  </r>
  <r>
    <n v="67"/>
    <x v="2"/>
    <s v="DBA - Desenho Básico"/>
    <s v="BL1132-0001-AR-DBA-2001"/>
    <s v="PLANTA E CORTES"/>
    <s v="Básico"/>
    <n v="0"/>
    <n v="0"/>
    <s v=""/>
    <s v=""/>
    <s v="Documento a emitir"/>
    <s v="Documento a emitir"/>
    <s v=""/>
    <x v="2"/>
    <x v="2"/>
    <x v="0"/>
    <s v=""/>
    <d v="2026-07-30T00:00:00"/>
    <s v="No prazo"/>
    <d v="2026-08-10T00:00:00"/>
    <s v="No prazo"/>
    <x v="4"/>
    <x v="1"/>
  </r>
  <r>
    <n v="68"/>
    <x v="2"/>
    <s v="DBA - Desenho Básico"/>
    <s v="BL1132-0001-AR-DBA-2002"/>
    <s v="PLANTA E CORTES"/>
    <s v="Básico"/>
    <n v="0"/>
    <n v="0"/>
    <s v=""/>
    <s v=""/>
    <s v="Documento a emitir"/>
    <s v="Documento a emitir"/>
    <s v=""/>
    <x v="2"/>
    <x v="2"/>
    <x v="0"/>
    <s v=""/>
    <d v="2026-07-30T00:00:00"/>
    <s v="No prazo"/>
    <d v="2026-08-20T00:00:00"/>
    <s v="No prazo"/>
    <x v="4"/>
    <x v="1"/>
  </r>
  <r>
    <n v="69"/>
    <x v="2"/>
    <s v="DBA - Desenho Básico"/>
    <s v="BL1132-0001-AR-DBA-2003"/>
    <s v="PLANTA E CORTES"/>
    <s v="Básico"/>
    <n v="0"/>
    <n v="0"/>
    <s v=""/>
    <s v=""/>
    <s v="Documento a emitir"/>
    <s v="Documento a emitir"/>
    <s v=""/>
    <x v="2"/>
    <x v="2"/>
    <x v="0"/>
    <s v=""/>
    <d v="2026-07-15T00:00:00"/>
    <s v="No prazo"/>
    <d v="2026-07-08T00:00:00"/>
    <s v="Emissão Atrasada"/>
    <x v="2"/>
    <x v="1"/>
  </r>
  <r>
    <n v="70"/>
    <x v="2"/>
    <s v="DBA - Desenho Básico"/>
    <s v="BL1132-0001-AR-DBA-2004"/>
    <s v="PLANTA E CORTES"/>
    <s v="Básico"/>
    <n v="0"/>
    <n v="0"/>
    <s v=""/>
    <s v=""/>
    <s v="Documento a emitir"/>
    <s v="Documento a emitir"/>
    <s v=""/>
    <x v="2"/>
    <x v="2"/>
    <x v="0"/>
    <s v=""/>
    <d v="2026-07-16T00:00:00"/>
    <s v="No prazo"/>
    <d v="2026-07-13T00:00:00"/>
    <s v="Emissão Atrasada"/>
    <x v="2"/>
    <x v="1"/>
  </r>
  <r>
    <n v="71"/>
    <x v="2"/>
    <s v="DBA - Desenho Básico"/>
    <s v="BL1132-0001-AR-DBA-2005"/>
    <s v="PLANTA E CORTES"/>
    <s v="Básico"/>
    <n v="0"/>
    <n v="0"/>
    <s v=""/>
    <s v=""/>
    <s v="Documento a emitir"/>
    <s v="Documento a emitir"/>
    <s v=""/>
    <x v="2"/>
    <x v="2"/>
    <x v="0"/>
    <s v=""/>
    <d v="2026-07-21T00:00:00"/>
    <s v="No prazo"/>
    <d v="2026-07-16T00:00:00"/>
    <s v="Emissão Atrasada"/>
    <x v="5"/>
    <x v="1"/>
  </r>
  <r>
    <n v="72"/>
    <x v="2"/>
    <s v="DBA - Desenho Básico"/>
    <s v="BL1132-0001-AR-DBA-2006"/>
    <s v="PLANTA E CORTES"/>
    <s v="Básico"/>
    <n v="0"/>
    <n v="0"/>
    <s v=""/>
    <s v=""/>
    <s v="Documento a emitir"/>
    <s v="Documento a emitir"/>
    <s v=""/>
    <x v="2"/>
    <x v="2"/>
    <x v="0"/>
    <s v=""/>
    <d v="2026-07-24T00:00:00"/>
    <s v="No prazo"/>
    <d v="2026-07-21T00:00:00"/>
    <s v="Emissão Atrasada"/>
    <x v="5"/>
    <x v="1"/>
  </r>
  <r>
    <n v="73"/>
    <x v="2"/>
    <s v="PQU - Planilha De Quantitativos"/>
    <s v="BL1132-0001-AR-PQU-2000"/>
    <s v="PLANILHA DE QUANTIDADES -PACOTE DE OBRAS CIVIS-ESCRITÓRIO CENTRAL / SALA DE CONTROLE E LABORATÓRIO"/>
    <s v="Básico"/>
    <n v="0"/>
    <n v="0"/>
    <s v=""/>
    <s v=""/>
    <s v="Documento a emitir"/>
    <s v="Documento a emitir"/>
    <s v=""/>
    <x v="2"/>
    <x v="2"/>
    <x v="0"/>
    <s v=""/>
    <d v="2026-07-20T00:00:00"/>
    <s v="No prazo"/>
    <d v="2026-07-28T00:00:00"/>
    <s v="No prazo"/>
    <x v="5"/>
    <x v="1"/>
  </r>
  <r>
    <n v="74"/>
    <x v="2"/>
    <s v="PQU - Planilha De Quantitativos"/>
    <s v="BL1132-0001-AR-PQU-2001"/>
    <s v="PLANILHA DE QUANTIDADES -PACOTE DE OBRAS CIVIS-VEST. / PAR. ÔNIBUS / REFEIT. / P. MÉDICO E B. INCÊNDIO"/>
    <s v="Básico"/>
    <n v="0"/>
    <n v="0"/>
    <s v=""/>
    <s v=""/>
    <s v="Documento a emitir"/>
    <s v="Documento a emitir"/>
    <s v=""/>
    <x v="2"/>
    <x v="2"/>
    <x v="0"/>
    <s v=""/>
    <d v="2026-07-20T00:00:00"/>
    <s v="No prazo"/>
    <d v="2026-07-28T00:00:00"/>
    <s v="No prazo"/>
    <x v="5"/>
    <x v="1"/>
  </r>
  <r>
    <n v="75"/>
    <x v="2"/>
    <s v="RTE - Relatório Técnico"/>
    <s v="BL1132-0001-AR-RTE-2000"/>
    <s v="RELATÓRIO DO SISTEMA DE PROTEÇÃO E COMBATE A INCÊNDIO  - CLASSIFICAÇÃO RISCO"/>
    <s v="Básico"/>
    <n v="0"/>
    <n v="0"/>
    <s v=""/>
    <s v=""/>
    <s v="Documento a emitir"/>
    <s v="Documento a emitir"/>
    <s v=""/>
    <x v="2"/>
    <x v="2"/>
    <x v="0"/>
    <s v=""/>
    <d v="2026-08-05T00:00:00"/>
    <s v="No prazo"/>
    <d v="2026-07-03T00:00:00"/>
    <s v="Emissão Atrasada"/>
    <x v="3"/>
    <x v="1"/>
  </r>
  <r>
    <n v="76"/>
    <x v="3"/>
    <s v="DBA - Desenho Básico"/>
    <s v="BL1132-0001-CC-DBA-2000"/>
    <s v="LOCAÇÃO E FORMA - VIADUTO - SUPERESTRUTURA / TABULEIRO 1/4"/>
    <s v="Básico"/>
    <n v="0"/>
    <n v="0"/>
    <s v=""/>
    <s v=""/>
    <s v="Documento a emitir"/>
    <s v="Documento a emitir"/>
    <s v=""/>
    <x v="2"/>
    <x v="2"/>
    <x v="0"/>
    <s v=""/>
    <d v="2026-08-12T00:00:00"/>
    <s v="No prazo"/>
    <d v="2026-08-12T00:00:00"/>
    <s v="No prazo"/>
    <x v="3"/>
    <x v="1"/>
  </r>
  <r>
    <n v="77"/>
    <x v="3"/>
    <s v="DBA - Desenho Básico"/>
    <s v="BL1132-0001-CC-DBA-2001"/>
    <s v="LOCAÇÃO E FORMA - VIADUTO - SUPERESTRUTURA / TABULEIRO 2/4"/>
    <s v="Básico"/>
    <n v="0"/>
    <n v="0"/>
    <s v=""/>
    <s v=""/>
    <s v="Documento a emitir"/>
    <s v="Documento a emitir"/>
    <s v=""/>
    <x v="2"/>
    <x v="2"/>
    <x v="0"/>
    <s v=""/>
    <d v="2026-08-12T00:00:00"/>
    <s v="No prazo"/>
    <d v="2026-08-12T00:00:00"/>
    <s v="No prazo"/>
    <x v="3"/>
    <x v="1"/>
  </r>
  <r>
    <n v="78"/>
    <x v="3"/>
    <s v="DBA - Desenho Básico"/>
    <s v="BL1132-0001-CC-DBA-2002"/>
    <s v="LOCAÇÃO E FORMA - VIADUTO - SUPERESTRUTURA / TABULEIRO 3/4"/>
    <s v="Básico"/>
    <n v="0"/>
    <n v="0"/>
    <s v=""/>
    <s v=""/>
    <s v="Documento a emitir"/>
    <s v="Documento a emitir"/>
    <s v=""/>
    <x v="2"/>
    <x v="2"/>
    <x v="0"/>
    <s v=""/>
    <d v="2026-08-12T00:00:00"/>
    <s v="No prazo"/>
    <d v="2026-08-12T00:00:00"/>
    <s v="No prazo"/>
    <x v="3"/>
    <x v="1"/>
  </r>
  <r>
    <n v="79"/>
    <x v="3"/>
    <s v="DBA - Desenho Básico"/>
    <s v="BL1132-0001-CC-DBA-2003"/>
    <s v="LOCAÇÃO E FORMA - VIADUTO - SUPERESTRUTURA / TABULEIRO 4/4"/>
    <s v="Básico"/>
    <n v="0"/>
    <n v="0"/>
    <s v=""/>
    <s v=""/>
    <s v="Documento a emitir"/>
    <s v="Documento a emitir"/>
    <s v=""/>
    <x v="2"/>
    <x v="2"/>
    <x v="0"/>
    <s v=""/>
    <d v="2026-08-12T00:00:00"/>
    <s v="No prazo"/>
    <d v="2026-08-12T00:00:00"/>
    <s v="No prazo"/>
    <x v="3"/>
    <x v="1"/>
  </r>
  <r>
    <n v="80"/>
    <x v="3"/>
    <s v="DBA - Desenho Básico"/>
    <s v="BL1132-0001-CC-DBA-2004"/>
    <s v="LOCAÇÃO E FORMA - VIADUTO - FUNDAÇÕES 1/2"/>
    <s v="Básico"/>
    <n v="0"/>
    <n v="0"/>
    <s v=""/>
    <s v=""/>
    <s v="Documento a emitir"/>
    <s v="Documento a emitir"/>
    <s v=""/>
    <x v="2"/>
    <x v="2"/>
    <x v="0"/>
    <s v=""/>
    <d v="2026-08-12T00:00:00"/>
    <s v="No prazo"/>
    <d v="2026-08-12T00:00:00"/>
    <s v="No prazo"/>
    <x v="3"/>
    <x v="1"/>
  </r>
  <r>
    <n v="81"/>
    <x v="3"/>
    <s v="DBA - Desenho Básico"/>
    <s v="BL1132-0001-CC-DBA-2005"/>
    <s v="LOCAÇÃO E FORMA - VIADUTO - FUNDAÇÕES 2/2"/>
    <s v="Básico"/>
    <n v="0"/>
    <n v="0"/>
    <s v=""/>
    <s v=""/>
    <s v="Documento a emitir"/>
    <s v="Documento a emitir"/>
    <s v=""/>
    <x v="2"/>
    <x v="2"/>
    <x v="0"/>
    <s v=""/>
    <d v="2026-08-12T00:00:00"/>
    <s v="No prazo"/>
    <d v="2026-08-12T00:00:00"/>
    <s v="No prazo"/>
    <x v="3"/>
    <x v="1"/>
  </r>
  <r>
    <n v="82"/>
    <x v="3"/>
    <s v="DBA - Desenho Básico"/>
    <s v="BL1132-0001-CC-DBA-2006"/>
    <s v="VIADUTO SOBRE ESTRADA DE FERRO CARAJÁS - ALTERNATIVA 1 - PLANTA DE LOCAÇÃO E PERFIL - FORMA - PLANTA E CORTE - NIVEL BÁSICO"/>
    <s v="Básico"/>
    <n v="0"/>
    <n v="0"/>
    <s v=""/>
    <s v=""/>
    <s v="Documento a emitir"/>
    <s v="Documento a emitir"/>
    <s v=""/>
    <x v="2"/>
    <x v="2"/>
    <x v="0"/>
    <s v=""/>
    <d v="2026-08-12T00:00:00"/>
    <s v="No prazo"/>
    <d v="2026-08-12T00:00:00"/>
    <s v="No prazo"/>
    <x v="3"/>
    <x v="1"/>
  </r>
  <r>
    <n v="83"/>
    <x v="3"/>
    <s v="DBA - Desenho Básico"/>
    <s v="BL1132-0001-CC-DBA-2007"/>
    <s v="LOCAÇÃO E FORMA - ESTRUTURAS DE CONCRETO - DRENAGEM FORÇADA"/>
    <s v="Básico"/>
    <n v="0"/>
    <n v="0"/>
    <s v=""/>
    <s v=""/>
    <s v="Documento a emitir"/>
    <s v="Documento a emitir"/>
    <s v=""/>
    <x v="2"/>
    <x v="2"/>
    <x v="0"/>
    <s v=""/>
    <d v="2026-08-04T00:00:00"/>
    <s v="No prazo"/>
    <d v="2026-08-07T00:00:00"/>
    <s v="No prazo"/>
    <x v="3"/>
    <x v="1"/>
  </r>
  <r>
    <n v="84"/>
    <x v="3"/>
    <s v="MCA - Memória De Cálculo"/>
    <s v="BL1132-0001-CC-MCA-2000"/>
    <s v="MEMÓRIA DE CÁLCULO - ESTRUTURAS DE CONCRETO / FUNDAÇÕES"/>
    <s v="Básico"/>
    <n v="0"/>
    <n v="0"/>
    <s v=""/>
    <s v=""/>
    <s v="Documento a emitir"/>
    <s v="Documento a emitir"/>
    <s v=""/>
    <x v="2"/>
    <x v="2"/>
    <x v="0"/>
    <s v=""/>
    <d v="2026-08-10T00:00:00"/>
    <s v="No prazo"/>
    <d v="2026-08-07T00:00:00"/>
    <s v="Emissão Atrasada"/>
    <x v="3"/>
    <x v="1"/>
  </r>
  <r>
    <n v="85"/>
    <x v="3"/>
    <s v="MCA - Memória De Cálculo"/>
    <s v="BL1132-0001-CC-MCA-2001"/>
    <s v="MEMÓRIA DE CÁLCULO - ESTRUTURAS DE CONCRETO / FUNDAÇÕES"/>
    <s v="Básico"/>
    <n v="0"/>
    <n v="0"/>
    <s v=""/>
    <s v=""/>
    <s v="Documento a emitir"/>
    <s v="Documento a emitir"/>
    <s v=""/>
    <x v="2"/>
    <x v="2"/>
    <x v="0"/>
    <s v=""/>
    <d v="2026-08-06T00:00:00"/>
    <s v="No prazo"/>
    <d v="2026-08-17T00:00:00"/>
    <s v="No prazo"/>
    <x v="3"/>
    <x v="1"/>
  </r>
  <r>
    <n v="86"/>
    <x v="3"/>
    <s v="MCA - Memória De Cálculo"/>
    <s v="BL1132-0001-CC-MCA-2002"/>
    <s v="MEMÓRIA DE CÁLCULO - ESTRUTURAS DE CONCRETO / FUNDAÇÕES"/>
    <s v="Básico"/>
    <n v="0"/>
    <n v="0"/>
    <s v=""/>
    <s v=""/>
    <s v="Documento a emitir"/>
    <s v="Documento a emitir"/>
    <s v=""/>
    <x v="2"/>
    <x v="2"/>
    <x v="0"/>
    <s v=""/>
    <d v="2026-08-04T00:00:00"/>
    <s v="No prazo"/>
    <d v="2026-08-25T00:00:00"/>
    <s v="No prazo"/>
    <x v="3"/>
    <x v="1"/>
  </r>
  <r>
    <n v="87"/>
    <x v="3"/>
    <s v="MCA - Memória De Cálculo"/>
    <s v="BL1132-0001-CC-MCA-2003"/>
    <s v="MEMÓRIA DE CÁLCULO - ESTRUTURAS ABASTECIMENTO VAGÕES - FUNDAÇÕES"/>
    <s v="Básico"/>
    <n v="0"/>
    <n v="0"/>
    <s v=""/>
    <s v=""/>
    <s v="Documento a emitir"/>
    <s v="Documento a emitir"/>
    <s v=""/>
    <x v="2"/>
    <x v="2"/>
    <x v="0"/>
    <s v=""/>
    <d v="2026-08-04T00:00:00"/>
    <s v="No prazo"/>
    <d v="2026-08-04T00:00:00"/>
    <s v="No prazo"/>
    <x v="3"/>
    <x v="1"/>
  </r>
  <r>
    <n v="88"/>
    <x v="0"/>
    <e v="#N/A"/>
    <s v="BL1132-0001-CC-MCA-2004"/>
    <e v="#N/A"/>
    <s v="Básico"/>
    <e v="#N/A"/>
    <e v="#N/A"/>
    <e v="#N/A"/>
    <e v="#N/A"/>
    <e v="#N/A"/>
    <e v="#N/A"/>
    <e v="#N/A"/>
    <x v="1"/>
    <x v="0"/>
    <x v="0"/>
    <e v="#N/A"/>
    <s v="Documento Removido"/>
    <s v="Documento Removido"/>
    <s v="Documento Removido"/>
    <s v="Documento Removido"/>
    <x v="0"/>
    <x v="0"/>
  </r>
  <r>
    <n v="89"/>
    <x v="0"/>
    <e v="#N/A"/>
    <s v="BL1132-0001-CC-MCA-2005"/>
    <e v="#N/A"/>
    <s v="Básico"/>
    <e v="#N/A"/>
    <e v="#N/A"/>
    <e v="#N/A"/>
    <e v="#N/A"/>
    <e v="#N/A"/>
    <e v="#N/A"/>
    <e v="#N/A"/>
    <x v="1"/>
    <x v="0"/>
    <x v="0"/>
    <e v="#N/A"/>
    <s v="Documento Removido"/>
    <s v="Documento Removido"/>
    <s v="Documento Removido"/>
    <s v="Documento Removido"/>
    <x v="0"/>
    <x v="0"/>
  </r>
  <r>
    <n v="90"/>
    <x v="0"/>
    <e v="#N/A"/>
    <s v="BL1132-0001-CC-MCA-2006"/>
    <e v="#N/A"/>
    <s v="Básico"/>
    <e v="#N/A"/>
    <e v="#N/A"/>
    <e v="#N/A"/>
    <e v="#N/A"/>
    <e v="#N/A"/>
    <e v="#N/A"/>
    <e v="#N/A"/>
    <x v="1"/>
    <x v="0"/>
    <x v="0"/>
    <e v="#N/A"/>
    <s v="Documento Removido"/>
    <s v="Documento Removido"/>
    <s v="Documento Removido"/>
    <s v="Documento Removido"/>
    <x v="0"/>
    <x v="0"/>
  </r>
  <r>
    <n v="91"/>
    <x v="3"/>
    <s v="MCA - Memória De Cálculo"/>
    <s v="BL1132-0001-CC-MCA-2009"/>
    <s v="MEMÓRIA DE CÁLCULO - FUNDAÇÕES - GALPÃO DE ENSACAMENTO / EXPEDIÇÃO / SILO / CARREGAMENTOS"/>
    <s v="Básico"/>
    <n v="0"/>
    <n v="0"/>
    <s v=""/>
    <s v=""/>
    <s v="Documento a emitir"/>
    <s v="Documento a emitir"/>
    <s v=""/>
    <x v="2"/>
    <x v="2"/>
    <x v="0"/>
    <s v=""/>
    <d v="2026-08-14T00:00:00"/>
    <s v="No prazo"/>
    <d v="2026-08-19T00:00:00"/>
    <s v="No prazo"/>
    <x v="3"/>
    <x v="1"/>
  </r>
  <r>
    <n v="92"/>
    <x v="3"/>
    <s v="MCA - Memória De Cálculo"/>
    <s v="BL1132-0001-CC-MCA-2010"/>
    <s v="MEMÓRIA DE CÁLCULO - ESTRUTURAS DE CONCRETO - DRENAGEM FORÇADA"/>
    <s v="Básico"/>
    <n v="0"/>
    <n v="0"/>
    <s v=""/>
    <s v=""/>
    <s v="Documento a emitir"/>
    <s v="Documento a emitir"/>
    <s v=""/>
    <x v="2"/>
    <x v="2"/>
    <x v="0"/>
    <s v=""/>
    <d v="2026-07-27T00:00:00"/>
    <s v="No prazo"/>
    <d v="2026-07-27T00:00:00"/>
    <s v="No prazo"/>
    <x v="4"/>
    <x v="1"/>
  </r>
  <r>
    <n v="93"/>
    <x v="3"/>
    <s v="MCA - Memória De Cálculo"/>
    <s v="BL1132-0001-CC-MCA-2011"/>
    <s v="MEMÓRIA DE CÁLCULO - VIADUTO SOBRE ESTRADA DE FERRO CARAJÁS"/>
    <s v="Básico"/>
    <n v="0"/>
    <n v="0"/>
    <s v=""/>
    <s v=""/>
    <s v="Documento a emitir"/>
    <s v="Documento a emitir"/>
    <s v=""/>
    <x v="2"/>
    <x v="2"/>
    <x v="0"/>
    <s v=""/>
    <d v="2026-08-12T00:00:00"/>
    <s v="No prazo"/>
    <d v="2026-08-12T00:00:00"/>
    <s v="No prazo"/>
    <x v="3"/>
    <x v="1"/>
  </r>
  <r>
    <n v="94"/>
    <x v="3"/>
    <s v="MCA - Memória De Cálculo"/>
    <s v="BL1132-0001-CC-MCA-2012"/>
    <s v="MEMÓRIA DE CÁLCULO - TRANSPORTADOR E CASA DE TRANSFERÊNCIA"/>
    <s v="Básico"/>
    <n v="0"/>
    <n v="0"/>
    <s v=""/>
    <s v=""/>
    <s v="Documento a emitir"/>
    <s v="Documento a emitir"/>
    <s v=""/>
    <x v="2"/>
    <x v="2"/>
    <x v="0"/>
    <s v=""/>
    <d v="2026-07-22T00:00:00"/>
    <s v="No prazo"/>
    <d v="2026-07-08T00:00:00"/>
    <s v="Emissão Atrasada"/>
    <x v="5"/>
    <x v="1"/>
  </r>
  <r>
    <n v="95"/>
    <x v="3"/>
    <s v="MCA - Memória De Cálculo"/>
    <s v="BL1132-0001-CC-MCA-2108"/>
    <s v=" MEMÓRIA DE CÁLCULO - BRITAGEM PRIMÁRIA"/>
    <s v="Básico"/>
    <n v="0"/>
    <n v="0"/>
    <s v=""/>
    <s v=""/>
    <s v="Documento a emitir"/>
    <s v="Documento a emitir"/>
    <s v=""/>
    <x v="2"/>
    <x v="2"/>
    <x v="0"/>
    <s v=""/>
    <d v="2026-07-28T00:00:00"/>
    <s v="No prazo"/>
    <d v="2026-07-14T00:00:00"/>
    <s v="Emissão Atrasada"/>
    <x v="4"/>
    <x v="1"/>
  </r>
  <r>
    <n v="96"/>
    <x v="3"/>
    <s v="MCA - Memória De Cálculo"/>
    <s v="BL1132-0001-CC-MCA-2109"/>
    <s v="MEMÓRIA DE CÁLCULO - COMBATE INCENDIO E CX DE ÁGUA - TANQUE"/>
    <s v="Básico"/>
    <n v="0"/>
    <n v="0"/>
    <s v=""/>
    <s v=""/>
    <s v="Documento a emitir"/>
    <s v="Documento a emitir"/>
    <s v=""/>
    <x v="2"/>
    <x v="2"/>
    <x v="0"/>
    <s v=""/>
    <d v="2026-08-20T00:00:00"/>
    <s v="No prazo"/>
    <d v="2026-08-10T00:00:00"/>
    <s v="Emissão Atrasada"/>
    <x v="3"/>
    <x v="1"/>
  </r>
  <r>
    <n v="97"/>
    <x v="3"/>
    <s v="MCA - Memória De Cálculo"/>
    <s v="BL1132-0001-CC-MCA-2110"/>
    <s v="MEMÓRIA DE CÁLCULO - PIPE RACK / CABLE RACK"/>
    <s v="Básico"/>
    <n v="0"/>
    <n v="0"/>
    <s v=""/>
    <s v=""/>
    <s v="Documento a emitir"/>
    <s v="Documento a emitir"/>
    <s v=""/>
    <x v="2"/>
    <x v="2"/>
    <x v="0"/>
    <s v=""/>
    <d v="2026-08-28T00:00:00"/>
    <s v="No prazo"/>
    <d v="2026-09-02T00:00:00"/>
    <s v="No prazo"/>
    <x v="3"/>
    <x v="1"/>
  </r>
  <r>
    <n v="98"/>
    <x v="3"/>
    <s v="MCA - Memória De Cálculo"/>
    <s v="BL1132-0001-CC-MCA-2111"/>
    <s v="MEMÓRIA DE CÁLCULO - DISPOSITIVOS DE DRENAGEM"/>
    <s v="Básico"/>
    <n v="0"/>
    <n v="0"/>
    <s v=""/>
    <s v=""/>
    <s v="Documento a emitir"/>
    <s v="Documento a emitir"/>
    <s v=""/>
    <x v="2"/>
    <x v="2"/>
    <x v="0"/>
    <s v=""/>
    <d v="2026-08-26T00:00:00"/>
    <s v="No prazo"/>
    <d v="2026-08-14T00:00:00"/>
    <s v="Emissão Atrasada"/>
    <x v="3"/>
    <x v="1"/>
  </r>
  <r>
    <n v="99"/>
    <x v="3"/>
    <s v="MCA - Memória De Cálculo"/>
    <s v="BL1132-0001-CC-MCA-2112"/>
    <s v="MEMÓRIA DE CÁLCULO - TRANSPORTADORES"/>
    <s v="Básico"/>
    <n v="0"/>
    <n v="0"/>
    <s v=""/>
    <s v=""/>
    <s v="Documento a emitir"/>
    <s v="Documento a emitir"/>
    <s v=""/>
    <x v="2"/>
    <x v="2"/>
    <x v="0"/>
    <s v=""/>
    <d v="2026-09-02T00:00:00"/>
    <s v="No prazo"/>
    <s v="ND"/>
    <s v="No prazo"/>
    <x v="3"/>
    <x v="1"/>
  </r>
  <r>
    <n v="100"/>
    <x v="3"/>
    <s v="MCA - Memória De Cálculo"/>
    <s v="BL1132-0001-CC-MCA-2113"/>
    <s v="MEMÓRIA DE CÁLCULO - MOEGA, CASA DE TRANSFERENCIA E TRANSPORTADORES"/>
    <s v="Básico"/>
    <n v="0"/>
    <n v="0"/>
    <s v=""/>
    <s v=""/>
    <s v="Documento a emitir"/>
    <s v="Documento a emitir"/>
    <s v=""/>
    <x v="2"/>
    <x v="2"/>
    <x v="0"/>
    <s v=""/>
    <d v="2026-07-30T00:00:00"/>
    <s v="No prazo"/>
    <d v="2026-07-30T00:00:00"/>
    <s v="No prazo"/>
    <x v="4"/>
    <x v="1"/>
  </r>
  <r>
    <n v="101"/>
    <x v="3"/>
    <s v="MCA - Memória De Cálculo"/>
    <s v="BL1132-0001-CC-MCA-2114"/>
    <s v="MEMÓRIA DE CÁLCULO - FUNDAÇÕES - GALPÃO PARA ENSACAMENTO - RENWA META"/>
    <s v="Básico"/>
    <n v="0"/>
    <n v="0"/>
    <s v=""/>
    <s v=""/>
    <s v="Documento a emitir"/>
    <s v="Documento a emitir"/>
    <s v=""/>
    <x v="2"/>
    <x v="2"/>
    <x v="0"/>
    <s v=""/>
    <d v="2026-08-10T00:00:00"/>
    <s v="No prazo"/>
    <d v="2026-07-21T00:00:00"/>
    <s v="Emissão Atrasada"/>
    <x v="3"/>
    <x v="1"/>
  </r>
  <r>
    <n v="102"/>
    <x v="3"/>
    <s v="MCA - Memória De Cálculo"/>
    <s v="BL1132-0001-CC-MCA-2115"/>
    <s v="BALANÇA - FUNDAÇÕES - MEMÓRIA DE CÁLCULO - 11"/>
    <s v="Básico"/>
    <n v="0"/>
    <n v="0"/>
    <s v=""/>
    <s v=""/>
    <s v="Documento a emitir"/>
    <s v="Documento a emitir"/>
    <s v=""/>
    <x v="2"/>
    <x v="2"/>
    <x v="0"/>
    <s v=""/>
    <d v="2026-08-14T00:00:00"/>
    <s v="No prazo"/>
    <d v="2026-07-30T00:00:00"/>
    <s v="Emissão Atrasada"/>
    <x v="3"/>
    <x v="1"/>
  </r>
  <r>
    <n v="103"/>
    <x v="3"/>
    <s v="MCA - Memória De Cálculo"/>
    <s v="BL1132-0001-CC-MCA-2116"/>
    <s v="MEMÓRIA DE CÁLCULO - ESTRUTURAS DE CONCRETO / FUNDAÇÕES – 2201-ED-001 "/>
    <s v="Básico"/>
    <n v="0"/>
    <s v="A"/>
    <s v="0027"/>
    <s v="PARA APROVAÇÃO"/>
    <d v="2026-07-08T16:16:14"/>
    <d v="2026-07-13T12:04:25"/>
    <s v=""/>
    <x v="4"/>
    <x v="4"/>
    <x v="0"/>
    <s v="APC-R  - APC-R - Aprovado com Comentários (Retornar para uma nova Aprovação)"/>
    <s v="Documento Emitido"/>
    <s v="Documento Emitido"/>
    <s v="Documento Emitido"/>
    <s v="Documento Emitido"/>
    <x v="1"/>
    <x v="3"/>
  </r>
  <r>
    <n v="104"/>
    <x v="3"/>
    <s v="MCA - Memória De Cálculo"/>
    <s v="BL1132-0001-CC-MCA-2117"/>
    <s v="MEMÓRIA DE CÁLCULO - ESTRUTURAS DE CONCRETO / FUNDAÇÕES - 2202-ED-001"/>
    <s v="Básico"/>
    <n v="0"/>
    <s v="A"/>
    <s v="0022"/>
    <s v="PARA APROVAÇÃO"/>
    <d v="2026-07-07T16:17:39"/>
    <d v="2026-07-09T11:56:13"/>
    <s v=""/>
    <x v="4"/>
    <x v="4"/>
    <x v="0"/>
    <s v="APC-L  - APC-L  - Aprovado com Comentários (Retornar Aprovado)"/>
    <s v="Documento Emitido"/>
    <s v="Documento Emitido"/>
    <s v="Documento Emitido"/>
    <s v="Documento Emitido"/>
    <x v="1"/>
    <x v="3"/>
  </r>
  <r>
    <n v="105"/>
    <x v="3"/>
    <s v="MCA - Memória De Cálculo"/>
    <s v="BL1132-0001-CC-MCA-2118"/>
    <s v="MEMÓRIA DE CÁLCULO - ESTRUTURAS DE CONCRETO / FUNDAÇÕES - 2203-ED-001"/>
    <s v="Básico"/>
    <n v="0"/>
    <s v="A"/>
    <s v="0022"/>
    <s v="PARA APROVAÇÃO"/>
    <d v="2026-07-07T16:17:39"/>
    <d v="2026-07-09T11:59:55"/>
    <s v=""/>
    <x v="4"/>
    <x v="4"/>
    <x v="0"/>
    <s v="APC-L  - APC-L  - Aprovado com Comentários (Retornar Aprovado)"/>
    <s v="Documento Emitido"/>
    <s v="Documento Emitido"/>
    <s v="Documento Emitido"/>
    <s v="Documento Emitido"/>
    <x v="1"/>
    <x v="3"/>
  </r>
  <r>
    <n v="106"/>
    <x v="3"/>
    <s v="MCA - Memória De Cálculo"/>
    <s v="BL1132-0001-CC-MCA-2119"/>
    <s v="MEMÓRIA DE CÁLCULO - ESTRUTURAS DE CONCRETO / FUNDAÇÕES - 2204-ED-001"/>
    <s v="Básico"/>
    <n v="0"/>
    <s v="A"/>
    <s v="0022"/>
    <s v="PARA APROVAÇÃO"/>
    <d v="2026-07-07T16:17:39"/>
    <d v="2026-07-10T15:04:59"/>
    <s v=""/>
    <x v="4"/>
    <x v="4"/>
    <x v="0"/>
    <s v="APC-R  - APC-R - Aprovado com Comentários (Retornar para uma nova Aprovação)"/>
    <s v="Documento Emitido"/>
    <s v="Documento Emitido"/>
    <s v="Documento Emitido"/>
    <s v="Documento Emitido"/>
    <x v="1"/>
    <x v="3"/>
  </r>
  <r>
    <n v="107"/>
    <x v="3"/>
    <s v="MCA - Memória De Cálculo"/>
    <s v="BL1132-0001-CC-MCA-2120"/>
    <s v="MEMÓRIA DE CÁLCULO - FUNDAÇÕES – 2205-ED-001"/>
    <s v="Básico"/>
    <n v="0"/>
    <s v="A"/>
    <s v=""/>
    <s v=""/>
    <s v="Documento a emitir"/>
    <s v="Documento a emitir"/>
    <s v=""/>
    <x v="2"/>
    <x v="2"/>
    <x v="0"/>
    <s v=""/>
    <d v="2026-07-14T00:00:00"/>
    <s v="No prazo"/>
    <s v="ND"/>
    <s v="No prazo"/>
    <x v="2"/>
    <x v="1"/>
  </r>
  <r>
    <n v="108"/>
    <x v="3"/>
    <s v="MDE - Memorial Descritivo"/>
    <s v="BL1132-0001-CC-MDE-2000"/>
    <s v="MEMORIAL DESCRITIVO - ESTRUTURAS DE CONCRETO E FUNDAÇÕES"/>
    <s v="Básico"/>
    <n v="0"/>
    <n v="0"/>
    <s v=""/>
    <s v=""/>
    <s v="Documento a emitir"/>
    <s v="Documento a emitir"/>
    <s v=""/>
    <x v="2"/>
    <x v="2"/>
    <x v="0"/>
    <s v=""/>
    <d v="2026-09-02T00:00:00"/>
    <s v="No prazo"/>
    <d v="2026-08-18T00:00:00"/>
    <s v="Emissão Atrasada"/>
    <x v="3"/>
    <x v="1"/>
  </r>
  <r>
    <n v="109"/>
    <x v="3"/>
    <s v="PQU - Planilha De Quantitativos"/>
    <s v="BL1132-0001-CC-PQU-2001"/>
    <s v="PLANILHA DE QUANTIDADES - ESTRUTURAS DE CONCRETO E FUNDAÇÕES"/>
    <s v="Básico"/>
    <n v="0"/>
    <n v="0"/>
    <s v=""/>
    <s v=""/>
    <s v="Documento a emitir"/>
    <s v="Documento a emitir"/>
    <s v=""/>
    <x v="2"/>
    <x v="2"/>
    <x v="0"/>
    <s v=""/>
    <d v="2026-08-28T00:00:00"/>
    <s v="No prazo"/>
    <d v="2026-08-13T00:00:00"/>
    <s v="Emissão Atrasada"/>
    <x v="3"/>
    <x v="1"/>
  </r>
  <r>
    <n v="110"/>
    <x v="3"/>
    <s v="PQU - Planilha De Quantitativos"/>
    <s v="BL1132-0001-CC-PQU-2002"/>
    <s v="PLANILHA DE QUANTIDADES - PACOTE DE OBRAS CIVIS"/>
    <s v="Básico"/>
    <n v="0"/>
    <n v="0"/>
    <s v=""/>
    <s v=""/>
    <s v="Documento a emitir"/>
    <s v="Documento a emitir"/>
    <s v=""/>
    <x v="2"/>
    <x v="2"/>
    <x v="0"/>
    <s v=""/>
    <d v="2026-09-01T00:00:00"/>
    <s v="No prazo"/>
    <d v="2026-08-17T00:00:00"/>
    <s v="Emissão Atrasada"/>
    <x v="3"/>
    <x v="1"/>
  </r>
  <r>
    <n v="111"/>
    <x v="4"/>
    <s v="DBA - Desenho Básico"/>
    <s v="BL1132-0001-CI-DBA-2000"/>
    <s v="PROJETO DE TERRAPLENAGEM - PLANTA E CORTES"/>
    <s v="Básico"/>
    <n v="0"/>
    <s v="A"/>
    <s v=""/>
    <s v=""/>
    <s v="Documento a emitir"/>
    <s v="Documento a emitir"/>
    <s v=""/>
    <x v="2"/>
    <x v="2"/>
    <x v="0"/>
    <s v=""/>
    <d v="2026-07-17T00:00:00"/>
    <s v="No prazo"/>
    <d v="2026-06-30T00:00:00"/>
    <s v="Emissão Atrasada"/>
    <x v="2"/>
    <x v="1"/>
  </r>
  <r>
    <n v="112"/>
    <x v="4"/>
    <s v="DBA - Desenho Básico"/>
    <s v="BL1132-0001-CI-DBA-2001"/>
    <s v="PROJETO GEOMÉTRICO - ACESSO - PLANTA E PERFIL"/>
    <s v="Básico"/>
    <n v="0"/>
    <s v="A"/>
    <s v=""/>
    <s v=""/>
    <s v="Documento a emitir"/>
    <s v="Documento a emitir"/>
    <s v=""/>
    <x v="2"/>
    <x v="2"/>
    <x v="0"/>
    <s v=""/>
    <d v="2026-07-17T00:00:00"/>
    <s v="No prazo"/>
    <d v="2026-07-02T00:00:00"/>
    <s v="Emissão Atrasada"/>
    <x v="2"/>
    <x v="1"/>
  </r>
  <r>
    <n v="113"/>
    <x v="4"/>
    <s v="MCA - Memória De Cálculo"/>
    <s v="BL1132-0001-CI-MCA-2000"/>
    <s v="MEMÓRIA DE CÁLCULO DE TERRAPLENAGEM - INFRAESTRUTURA"/>
    <s v="Básico"/>
    <n v="0"/>
    <n v="0"/>
    <s v=""/>
    <s v=""/>
    <s v="Documento a emitir"/>
    <s v="Documento a emitir"/>
    <s v=""/>
    <x v="2"/>
    <x v="2"/>
    <x v="0"/>
    <s v=""/>
    <d v="2026-07-31T00:00:00"/>
    <s v="No prazo"/>
    <d v="2026-07-16T00:00:00"/>
    <s v="Emissão Atrasada"/>
    <x v="4"/>
    <x v="1"/>
  </r>
  <r>
    <n v="114"/>
    <x v="4"/>
    <s v="MCA - Memória De Cálculo"/>
    <s v="BL1132-0001-CI-MCA-2002"/>
    <s v="MEMÓRIA DE CÁLCULO DE DRENAGEM - INFRAESTRUTURA"/>
    <s v="Básico"/>
    <n v="0"/>
    <n v="0"/>
    <s v=""/>
    <s v=""/>
    <s v="Documento a emitir"/>
    <s v="Documento a emitir"/>
    <s v=""/>
    <x v="2"/>
    <x v="2"/>
    <x v="0"/>
    <s v=""/>
    <d v="2026-08-07T00:00:00"/>
    <s v="No prazo"/>
    <d v="2026-07-23T00:00:00"/>
    <s v="Emissão Atrasada"/>
    <x v="3"/>
    <x v="1"/>
  </r>
  <r>
    <n v="115"/>
    <x v="4"/>
    <s v="MCA - Memória De Cálculo"/>
    <s v="BL1132-0001-CI-MCA-2003"/>
    <s v="MEMÓRIA DE CÁLCULO DE DRENAGEM - INFRAESTRUTURA"/>
    <s v="Básico"/>
    <n v="0"/>
    <n v="0"/>
    <s v=""/>
    <s v=""/>
    <s v="Documento a emitir"/>
    <s v="Documento a emitir"/>
    <s v=""/>
    <x v="2"/>
    <x v="2"/>
    <x v="0"/>
    <s v=""/>
    <d v="2026-08-26T00:00:00"/>
    <s v="No prazo"/>
    <d v="2026-08-26T00:00:00"/>
    <s v="No prazo"/>
    <x v="3"/>
    <x v="1"/>
  </r>
  <r>
    <n v="116"/>
    <x v="4"/>
    <s v="MCA - Memória De Cálculo"/>
    <s v="BL1132-0001-CI-MCA-2004"/>
    <s v="MEMÓRIA DE CÁLCULO DE TERRAPLENAGEM - INFRAESTRUTURA"/>
    <s v="Básico"/>
    <n v="0"/>
    <n v="0"/>
    <s v=""/>
    <s v=""/>
    <s v="Documento a emitir"/>
    <s v="Documento a emitir"/>
    <s v=""/>
    <x v="2"/>
    <x v="2"/>
    <x v="0"/>
    <s v=""/>
    <d v="2026-08-12T00:00:00"/>
    <s v="No prazo"/>
    <d v="2026-08-12T00:00:00"/>
    <s v="No prazo"/>
    <x v="3"/>
    <x v="1"/>
  </r>
  <r>
    <n v="117"/>
    <x v="4"/>
    <s v="MCA - Memória De Cálculo"/>
    <s v="BL1132-0001-CI-MCA-2005"/>
    <s v="MEMÓRIA DE CÁLCULO DE PAVIMENTAÇÃO - INFRAESTRUTURA"/>
    <s v="Básico"/>
    <n v="0"/>
    <n v="0"/>
    <s v=""/>
    <s v=""/>
    <s v="Documento a emitir"/>
    <s v="Documento a emitir"/>
    <s v=""/>
    <x v="2"/>
    <x v="2"/>
    <x v="0"/>
    <s v=""/>
    <d v="2026-08-19T00:00:00"/>
    <s v="No prazo"/>
    <d v="2026-08-19T00:00:00"/>
    <s v="No prazo"/>
    <x v="3"/>
    <x v="1"/>
  </r>
  <r>
    <n v="118"/>
    <x v="4"/>
    <s v="MCA - Memória De Cálculo"/>
    <s v="BL1132-0001-CI-MCA-2006"/>
    <s v=" MEMÓRIA DE CÁLCULO - GEOTECNIA - ANÁLISE DE ESTABILIDADE - CONTENÇÕES EM TERRA ARMADA"/>
    <s v="Básico"/>
    <n v="0"/>
    <n v="0"/>
    <s v=""/>
    <s v=""/>
    <s v="Documento a emitir"/>
    <s v="Documento a emitir"/>
    <s v=""/>
    <x v="2"/>
    <x v="2"/>
    <x v="0"/>
    <s v=""/>
    <d v="2026-08-06T00:00:00"/>
    <s v="No prazo"/>
    <d v="2026-08-06T00:00:00"/>
    <s v="No prazo"/>
    <x v="3"/>
    <x v="1"/>
  </r>
  <r>
    <n v="119"/>
    <x v="4"/>
    <s v="PQU - Planilha De Quantitativos"/>
    <s v="BL1132-0001-CI-PQU-2000"/>
    <s v="PLANILHA DE QUANTIDADES - TERRAPLENAGEM"/>
    <s v="Básico"/>
    <n v="0"/>
    <n v="0"/>
    <s v=""/>
    <s v=""/>
    <s v="Documento a emitir"/>
    <s v="Documento a emitir"/>
    <s v=""/>
    <x v="2"/>
    <x v="2"/>
    <x v="0"/>
    <s v=""/>
    <d v="2026-08-24T00:00:00"/>
    <s v="No prazo"/>
    <d v="2026-08-24T00:00:00"/>
    <s v="No prazo"/>
    <x v="3"/>
    <x v="1"/>
  </r>
  <r>
    <n v="120"/>
    <x v="4"/>
    <s v="PQU - Planilha De Quantitativos"/>
    <s v="BL1132-0001-CI-PQU-2001"/>
    <s v="RELATÓRIO TÉCNICO - DISPOSITIVOS AMORTECIMENTO DE CHEIAS - ESTUDO CONCEITUAL"/>
    <s v="Básico"/>
    <n v="0"/>
    <n v="0"/>
    <s v=""/>
    <s v=""/>
    <s v="Documento a emitir"/>
    <s v="Documento a emitir"/>
    <s v=""/>
    <x v="2"/>
    <x v="2"/>
    <x v="0"/>
    <s v=""/>
    <d v="2026-08-27T00:00:00"/>
    <s v="No prazo"/>
    <d v="2026-08-27T00:00:00"/>
    <s v="No prazo"/>
    <x v="3"/>
    <x v="1"/>
  </r>
  <r>
    <n v="121"/>
    <x v="0"/>
    <e v="#N/A"/>
    <s v="BL1132-0001-CI-RTE-2000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122"/>
    <x v="0"/>
    <e v="#N/A"/>
    <s v="BL1132-0001-CI-RTE-2001"/>
    <e v="#N/A"/>
    <s v="Básico"/>
    <e v="#N/A"/>
    <e v="#N/A"/>
    <e v="#N/A"/>
    <e v="#N/A"/>
    <e v="#N/A"/>
    <e v="#N/A"/>
    <e v="#N/A"/>
    <x v="1"/>
    <x v="0"/>
    <x v="0"/>
    <e v="#N/A"/>
    <s v="Documento Removido"/>
    <s v="Documento Removido"/>
    <s v="Documento Removido"/>
    <s v="Documento Removido"/>
    <x v="0"/>
    <x v="0"/>
  </r>
  <r>
    <n v="123"/>
    <x v="5"/>
    <s v="LDO - Lista De Documentos"/>
    <s v="BL1132-0001-DC-LDO-2000"/>
    <s v="LISTA DE DOCUMENTOS"/>
    <s v="Básico"/>
    <n v="1"/>
    <s v="0"/>
    <s v="0013"/>
    <s v="PARA CONHECIMENTO"/>
    <d v="2026-07-01T16:48:33"/>
    <d v="2026-07-02T11:39:41"/>
    <d v="2026-07-01T16:48:33"/>
    <x v="3"/>
    <x v="3"/>
    <x v="0"/>
    <s v="APR - APROVADO"/>
    <s v="Documento Emitido"/>
    <s v="Documento Emitido"/>
    <s v="Documento Emitido"/>
    <s v="Documento Emitido"/>
    <x v="1"/>
    <x v="1"/>
  </r>
  <r>
    <n v="124"/>
    <x v="6"/>
    <s v="MOD - Modelagem 3D"/>
    <s v="BL1132-0001-ED-MOD-2000"/>
    <s v="MODELO 3D"/>
    <s v="Básico"/>
    <n v="0"/>
    <n v="0"/>
    <s v=""/>
    <s v=""/>
    <s v="Documento a emitir"/>
    <s v="Documento a emitir"/>
    <s v=""/>
    <x v="2"/>
    <x v="2"/>
    <x v="0"/>
    <s v=""/>
    <d v="2026-07-10T00:00:00"/>
    <s v="Emissão Atrasada"/>
    <s v="ND"/>
    <s v="No prazo"/>
    <x v="3"/>
    <x v="1"/>
  </r>
  <r>
    <n v="125"/>
    <x v="6"/>
    <s v="RTE - Relatório Técnico"/>
    <s v="BL1132-0001-ED-RTE-2000"/>
    <s v="BEP"/>
    <s v="Básico"/>
    <n v="0"/>
    <s v="A"/>
    <s v="0001"/>
    <s v="PRELIMINAR"/>
    <d v="2026-06-20T12:30:23"/>
    <d v="2026-07-01T11:27:04"/>
    <s v=""/>
    <x v="5"/>
    <x v="4"/>
    <x v="0"/>
    <s v="APC-R  - APC-R - Aprovado com Comentários (Retornar para uma nova Aprovação)"/>
    <s v="Documento Emitido"/>
    <s v="Documento Emitido"/>
    <s v="Documento Emitido"/>
    <s v="Documento Emitido"/>
    <x v="1"/>
    <x v="1"/>
  </r>
  <r>
    <n v="126"/>
    <x v="6"/>
    <s v="RTE - Relatório Técnico"/>
    <s v="BL1132-0001-ED-RTE-2001"/>
    <s v="RELATÓRIO DE INTERFERÊNCIAS"/>
    <s v="Básico"/>
    <n v="0"/>
    <s v="B"/>
    <s v=""/>
    <s v=""/>
    <s v="Documento a emitir"/>
    <s v="Documento a emitir"/>
    <s v=""/>
    <x v="2"/>
    <x v="2"/>
    <x v="0"/>
    <s v=""/>
    <d v="2026-09-10T00:00:00"/>
    <s v="No prazo"/>
    <d v="2026-09-10T00:00:00"/>
    <s v="No prazo"/>
    <x v="3"/>
    <x v="1"/>
  </r>
  <r>
    <n v="127"/>
    <x v="6"/>
    <s v="RTE - Relatório Técnico"/>
    <s v="BL1132-0001-ED-RTE-2002"/>
    <s v="FICHA DE SETUP - 3D"/>
    <s v="Básico"/>
    <n v="1"/>
    <s v="0"/>
    <s v="0030"/>
    <s v="PARA CONHECIMENTO"/>
    <d v="2026-07-09T16:13:58"/>
    <d v="2026-07-10T16:46:45"/>
    <d v="2026-07-09T16:13:58"/>
    <x v="3"/>
    <x v="3"/>
    <x v="0"/>
    <s v="APR - APROVADO"/>
    <s v="Documento Emitido"/>
    <s v="Documento Emitido"/>
    <s v="Documento Emitido"/>
    <s v="Documento Emitido"/>
    <x v="1"/>
    <x v="2"/>
  </r>
  <r>
    <n v="128"/>
    <x v="7"/>
    <s v="DUN - Diagrama Unifilar"/>
    <s v="BL1132-0001-EL-DUN-2000"/>
    <s v="DIAGRAMA UNIFILAR  GERAL SIMPLIFICADO"/>
    <s v="Básico"/>
    <n v="0"/>
    <s v="A"/>
    <s v="0006"/>
    <s v="PARA APROVAÇÃO"/>
    <d v="2026-06-26T16:47:15"/>
    <d v="2026-07-01T15:30:48"/>
    <s v=""/>
    <x v="5"/>
    <x v="4"/>
    <x v="0"/>
    <s v="APC-R  - APC-R - Aprovado com Comentários (Retornar para uma nova Aprovação)"/>
    <s v="Documento Emitido"/>
    <s v="Documento Emitido"/>
    <s v="Documento Emitido"/>
    <s v="Documento Emitido"/>
    <x v="1"/>
    <x v="1"/>
  </r>
  <r>
    <n v="129"/>
    <x v="7"/>
    <s v="DUN - Diagrama Unifilar"/>
    <s v="BL1132-0001-EL-DUN-2001"/>
    <s v="DIAGRAMA UNIFILAR SUBESTAÇÃO 1901-SE-001"/>
    <s v="Básico"/>
    <n v="0"/>
    <s v="A"/>
    <s v="0018"/>
    <s v="PARA APROVAÇÃO"/>
    <d v="2026-07-06T16:57:28"/>
    <s v=""/>
    <s v=""/>
    <x v="5"/>
    <x v="5"/>
    <x v="1"/>
    <s v=""/>
    <s v="Documento Emitido"/>
    <s v="Documento Emitido"/>
    <s v="Documento Emitido"/>
    <s v="Documento Emitido"/>
    <x v="1"/>
    <x v="3"/>
  </r>
  <r>
    <n v="130"/>
    <x v="7"/>
    <s v="DUN - Diagrama Unifilar"/>
    <s v="BL1132-0001-EL-DUN-2002"/>
    <s v="DIAGRAMA UNIFILAR SUBESTAÇÃO 1901-SE-001 - SERVIÇOS AUXILIARES"/>
    <s v="Básico"/>
    <n v="0"/>
    <s v="A"/>
    <s v="0029"/>
    <s v="PARA APROVAÇÃO"/>
    <d v="2026-07-09T16:13:41"/>
    <d v="2026-07-10T15:41:45"/>
    <s v=""/>
    <x v="4"/>
    <x v="4"/>
    <x v="0"/>
    <s v="APC-R  - APC-R - Aprovado com Comentários (Retornar para uma nova Aprovação)"/>
    <s v="Documento Emitido"/>
    <s v="Documento Emitido"/>
    <s v="Documento Emitido"/>
    <s v="Documento Emitido"/>
    <x v="1"/>
    <x v="3"/>
  </r>
  <r>
    <n v="131"/>
    <x v="7"/>
    <s v="DUN - Diagrama Unifilar"/>
    <s v="BL1132-0001-EL-DUN-2003"/>
    <s v="DIAGRAMA UNIFILAR SUBESTAÇÃO 1911-SE-001"/>
    <s v="Básico"/>
    <n v="0"/>
    <n v="0"/>
    <s v=""/>
    <s v=""/>
    <s v="Documento a emitir"/>
    <s v="Documento a emitir"/>
    <s v=""/>
    <x v="2"/>
    <x v="2"/>
    <x v="0"/>
    <s v=""/>
    <d v="2026-07-21T00:00:00"/>
    <s v="No prazo"/>
    <d v="2026-07-22T00:00:00"/>
    <s v="No prazo"/>
    <x v="5"/>
    <x v="1"/>
  </r>
  <r>
    <n v="132"/>
    <x v="7"/>
    <s v="DUN - Diagrama Unifilar"/>
    <s v="BL1132-0001-EL-DUN-2004"/>
    <s v="DIAGRAMA UNIFILAR SUBESTAÇÃO 1911-SE-001"/>
    <s v="Básico"/>
    <n v="0"/>
    <n v="0"/>
    <s v=""/>
    <s v=""/>
    <s v="Documento a emitir"/>
    <s v="Documento a emitir"/>
    <s v=""/>
    <x v="2"/>
    <x v="2"/>
    <x v="0"/>
    <s v=""/>
    <d v="2026-07-21T00:00:00"/>
    <s v="No prazo"/>
    <d v="2026-07-22T00:00:00"/>
    <s v="No prazo"/>
    <x v="5"/>
    <x v="1"/>
  </r>
  <r>
    <n v="133"/>
    <x v="7"/>
    <s v="DUN - Diagrama Unifilar"/>
    <s v="BL1132-0001-EL-DUN-2005"/>
    <s v="DIAGRAMA UNIFILAR SUBESTAÇÃO 1911-SE-001"/>
    <s v="Básico"/>
    <n v="0"/>
    <n v="0"/>
    <s v=""/>
    <s v=""/>
    <s v="Documento a emitir"/>
    <s v="Documento a emitir"/>
    <s v=""/>
    <x v="2"/>
    <x v="2"/>
    <x v="0"/>
    <s v=""/>
    <d v="2026-07-21T00:00:00"/>
    <s v="No prazo"/>
    <d v="2026-07-22T00:00:00"/>
    <s v="No prazo"/>
    <x v="5"/>
    <x v="1"/>
  </r>
  <r>
    <n v="134"/>
    <x v="7"/>
    <s v="DUN - Diagrama Unifilar"/>
    <s v="BL1132-0001-EL-DUN-2006"/>
    <s v="DIAGRAMA UNIFILAR SUBESTAÇÃO 1912-SE-001"/>
    <s v="Básico"/>
    <n v="0"/>
    <n v="0"/>
    <s v=""/>
    <s v=""/>
    <s v="Documento a emitir"/>
    <s v="Documento a emitir"/>
    <s v=""/>
    <x v="2"/>
    <x v="2"/>
    <x v="0"/>
    <s v=""/>
    <d v="2026-07-31T00:00:00"/>
    <s v="No prazo"/>
    <d v="2026-08-03T00:00:00"/>
    <s v="No prazo"/>
    <x v="4"/>
    <x v="1"/>
  </r>
  <r>
    <n v="135"/>
    <x v="7"/>
    <s v="DUN - Diagrama Unifilar"/>
    <s v="BL1132-0001-EL-DUN-2007"/>
    <s v="DIAGRAMA UNIFILAR SUBESTAÇÃO 1912-SE-001"/>
    <s v="Básico"/>
    <n v="0"/>
    <n v="0"/>
    <s v=""/>
    <s v=""/>
    <s v="Documento a emitir"/>
    <s v="Documento a emitir"/>
    <s v=""/>
    <x v="2"/>
    <x v="2"/>
    <x v="0"/>
    <s v=""/>
    <d v="2026-07-31T00:00:00"/>
    <s v="No prazo"/>
    <d v="2026-08-03T00:00:00"/>
    <s v="No prazo"/>
    <x v="4"/>
    <x v="1"/>
  </r>
  <r>
    <n v="136"/>
    <x v="7"/>
    <s v="DUN - Diagrama Unifilar"/>
    <s v="BL1132-0001-EL-DUN-2008"/>
    <s v="DIAGRAMA UNIFILAR SUBESTAÇÃO 1912-SE-001"/>
    <s v="Básico"/>
    <n v="0"/>
    <n v="0"/>
    <s v=""/>
    <s v=""/>
    <s v="Documento a emitir"/>
    <s v="Documento a emitir"/>
    <s v=""/>
    <x v="2"/>
    <x v="2"/>
    <x v="0"/>
    <s v=""/>
    <d v="2026-07-31T00:00:00"/>
    <s v="No prazo"/>
    <d v="2026-08-03T00:00:00"/>
    <s v="No prazo"/>
    <x v="4"/>
    <x v="1"/>
  </r>
  <r>
    <n v="137"/>
    <x v="7"/>
    <s v="DUN - Diagrama Unifilar"/>
    <s v="BL1132-0001-EL-DUN-2009"/>
    <s v="DIAGRAMA UNIFILAR SUBESTAÇÃO 1913-SE-001"/>
    <s v="Básico"/>
    <n v="0"/>
    <n v="0"/>
    <s v=""/>
    <s v=""/>
    <s v="Documento a emitir"/>
    <s v="Documento a emitir"/>
    <s v=""/>
    <x v="2"/>
    <x v="2"/>
    <x v="0"/>
    <s v=""/>
    <d v="2026-08-12T00:00:00"/>
    <s v="No prazo"/>
    <d v="2026-08-13T00:00:00"/>
    <s v="No prazo"/>
    <x v="3"/>
    <x v="1"/>
  </r>
  <r>
    <n v="138"/>
    <x v="7"/>
    <s v="DUN - Diagrama Unifilar"/>
    <s v="BL1132-0001-EL-DUN-2010"/>
    <s v="DIAGRAMA UNIFILAR SUBESTAÇÃO 1913-SE-001"/>
    <s v="Básico"/>
    <n v="0"/>
    <n v="0"/>
    <s v=""/>
    <s v=""/>
    <s v="Documento a emitir"/>
    <s v="Documento a emitir"/>
    <s v=""/>
    <x v="2"/>
    <x v="2"/>
    <x v="0"/>
    <s v=""/>
    <d v="2026-08-12T00:00:00"/>
    <s v="No prazo"/>
    <d v="2026-08-13T00:00:00"/>
    <s v="No prazo"/>
    <x v="3"/>
    <x v="1"/>
  </r>
  <r>
    <n v="139"/>
    <x v="7"/>
    <s v="DUN - Diagrama Unifilar"/>
    <s v="BL1132-0001-EL-DUN-2011"/>
    <s v="DIAGRAMA UNIFILAR SUBESTAÇÃO 1913-SE-001"/>
    <s v="Básico"/>
    <n v="0"/>
    <n v="0"/>
    <s v=""/>
    <s v=""/>
    <s v="Documento a emitir"/>
    <s v="Documento a emitir"/>
    <s v=""/>
    <x v="2"/>
    <x v="2"/>
    <x v="0"/>
    <s v=""/>
    <d v="2026-08-12T00:00:00"/>
    <s v="No prazo"/>
    <d v="2026-08-13T00:00:00"/>
    <s v="No prazo"/>
    <x v="3"/>
    <x v="1"/>
  </r>
  <r>
    <n v="140"/>
    <x v="0"/>
    <e v="#N/A"/>
    <s v="BL1132-0001-EL-DUN-2012"/>
    <e v="#N/A"/>
    <s v="Básico"/>
    <e v="#N/A"/>
    <e v="#N/A"/>
    <e v="#N/A"/>
    <e v="#N/A"/>
    <e v="#N/A"/>
    <e v="#N/A"/>
    <e v="#N/A"/>
    <x v="1"/>
    <x v="0"/>
    <x v="0"/>
    <e v="#N/A"/>
    <s v="Documento Removido"/>
    <s v="Documento Removido"/>
    <s v="Documento Removido"/>
    <s v="Documento Removido"/>
    <x v="0"/>
    <x v="0"/>
  </r>
  <r>
    <n v="141"/>
    <x v="7"/>
    <s v="EDP - Estudos E Planos"/>
    <s v="BL1132-0001-EL-EDP-2000"/>
    <s v="ESTUDO DE CARGAS E DEMANDA_x000a_RELATÓRIO TÉCNICO"/>
    <s v="Básico"/>
    <n v="0"/>
    <s v="A"/>
    <s v="0003"/>
    <s v="PARA APROVAÇÃO"/>
    <d v="2026-06-20T12:30:54"/>
    <d v="2026-07-01T11:54:13"/>
    <s v=""/>
    <x v="5"/>
    <x v="4"/>
    <x v="0"/>
    <s v="APC-R  - APC-R - Aprovado com Comentários (Retornar para uma nova Aprovação)"/>
    <s v="Documento Emitido"/>
    <s v="Documento Emitido"/>
    <s v="Documento Emitido"/>
    <s v="Documento Emitido"/>
    <x v="1"/>
    <x v="1"/>
  </r>
  <r>
    <n v="142"/>
    <x v="7"/>
    <s v="EDP - Estudos E Planos"/>
    <s v="BL1132-0001-EL-EDP-2002"/>
    <s v="ESTUDO DE CARGAS E DEMANDA_x000a_RELATÓRIO TÉCNICO"/>
    <s v="Básico"/>
    <n v="0"/>
    <n v="0"/>
    <s v=""/>
    <s v=""/>
    <s v="Documento a emitir"/>
    <s v="Documento a emitir"/>
    <s v=""/>
    <x v="2"/>
    <x v="2"/>
    <x v="0"/>
    <s v=""/>
    <d v="2026-08-12T00:00:00"/>
    <s v="No prazo"/>
    <d v="2026-08-10T00:00:00"/>
    <s v="Emissão Atrasada"/>
    <x v="3"/>
    <x v="1"/>
  </r>
  <r>
    <n v="143"/>
    <x v="7"/>
    <s v="ETE - Especificação Técnica"/>
    <s v="BL1132-0001-EL-ETE-2000"/>
    <s v="ESPECIFICAÇÃO TÉCNICA_x000a_FORNECIMENTO TURN KEY DA SUBESTAÇÃO PRINCIPAL _x000a_1901-SE-01"/>
    <s v="Básico"/>
    <n v="0"/>
    <n v="0"/>
    <s v=""/>
    <s v=""/>
    <s v="Documento a emitir"/>
    <s v="Documento a emitir"/>
    <s v=""/>
    <x v="2"/>
    <x v="2"/>
    <x v="0"/>
    <s v=""/>
    <d v="2026-08-27T00:00:00"/>
    <s v="No prazo"/>
    <d v="2026-08-28T00:00:00"/>
    <s v="No prazo"/>
    <x v="3"/>
    <x v="1"/>
  </r>
  <r>
    <n v="144"/>
    <x v="7"/>
    <s v="ETE - Especificação Técnica"/>
    <s v="BL1132-0001-EL-ETE-2001"/>
    <s v="ESPECIFICAÇÃO TÉCNICA_x000a_FORNECIMENTO TURN KEY DE LINHAS DE DISTRIBUIÇÃO PROTEGIDAS DE 13,8 kV"/>
    <s v="Básico"/>
    <n v="0"/>
    <n v="0"/>
    <s v=""/>
    <s v=""/>
    <s v="Documento a emitir"/>
    <s v="Documento a emitir"/>
    <s v=""/>
    <x v="2"/>
    <x v="2"/>
    <x v="0"/>
    <s v=""/>
    <d v="2026-09-02T00:00:00"/>
    <s v="No prazo"/>
    <d v="2026-09-03T00:00:00"/>
    <s v="No prazo"/>
    <x v="3"/>
    <x v="1"/>
  </r>
  <r>
    <n v="145"/>
    <x v="7"/>
    <s v="FDA - Folha De Dados"/>
    <s v="BL1132-0001-EL-FDA-2001"/>
    <s v="FOLHA DE DADOS - INVERSORES DE MÉDIA TENSÃO"/>
    <s v="Básico"/>
    <n v="0"/>
    <n v="0"/>
    <s v=""/>
    <s v=""/>
    <s v="Documento a emitir"/>
    <s v="Documento a emitir"/>
    <s v=""/>
    <x v="2"/>
    <x v="2"/>
    <x v="0"/>
    <s v=""/>
    <d v="2026-07-14T00:00:00"/>
    <s v="No prazo"/>
    <d v="2026-07-15T00:00:00"/>
    <s v="No prazo"/>
    <x v="2"/>
    <x v="1"/>
  </r>
  <r>
    <n v="146"/>
    <x v="7"/>
    <s v="FDA - Folha De Dados"/>
    <s v="BL1132-0001-EL-FDA-2002"/>
    <s v="FOLHA DE DADOS - INVERSORES DE BAIXA TENSÃO"/>
    <s v="Básico"/>
    <n v="0"/>
    <s v="1"/>
    <s v="0029"/>
    <s v="CANCELADO"/>
    <d v="2026-07-09T16:13:41"/>
    <d v="2026-07-10T15:50:30"/>
    <d v="2026-07-09T16:13:41"/>
    <x v="3"/>
    <x v="3"/>
    <x v="0"/>
    <s v="CLD - CANCELADO"/>
    <s v="Documento Emitido"/>
    <s v="Documento Emitido"/>
    <s v="Documento Emitido"/>
    <s v="Documento Emitido"/>
    <x v="1"/>
    <x v="3"/>
  </r>
  <r>
    <n v="147"/>
    <x v="7"/>
    <s v="FDA - Folha De Dados"/>
    <s v="BL1132-0001-EL-FDA-2003"/>
    <s v="FOLHA DE DADOS - TRANSFORMADORES DE ILUMINAÇÃO"/>
    <s v="Básico"/>
    <n v="0"/>
    <n v="0"/>
    <s v=""/>
    <s v=""/>
    <s v="Documento a emitir"/>
    <s v="Documento a emitir"/>
    <s v=""/>
    <x v="2"/>
    <x v="2"/>
    <x v="0"/>
    <s v=""/>
    <d v="2026-07-17T00:00:00"/>
    <s v="No prazo"/>
    <d v="2026-07-15T00:00:00"/>
    <s v="Emissão Atrasada"/>
    <x v="2"/>
    <x v="1"/>
  </r>
  <r>
    <n v="148"/>
    <x v="7"/>
    <s v="FDA - Folha De Dados"/>
    <s v="BL1132-0001-EL-FDA-2004"/>
    <s v="FOLHA DE DADOS - TRANSFORMADORES DE FORÇA"/>
    <s v="Básico"/>
    <n v="0"/>
    <n v="0"/>
    <s v=""/>
    <s v=""/>
    <s v="Documento a emitir"/>
    <s v="Documento a emitir"/>
    <s v=""/>
    <x v="2"/>
    <x v="2"/>
    <x v="0"/>
    <s v=""/>
    <d v="2026-07-22T00:00:00"/>
    <s v="No prazo"/>
    <d v="2026-07-20T00:00:00"/>
    <s v="Emissão Atrasada"/>
    <x v="5"/>
    <x v="1"/>
  </r>
  <r>
    <n v="149"/>
    <x v="7"/>
    <s v="FDA - Folha De Dados"/>
    <s v="BL1132-0001-EL-FDA-2005"/>
    <s v="FOLHA DE DADOS - RETIFICADOR E BATERIAS"/>
    <s v="Básico"/>
    <n v="0"/>
    <n v="0"/>
    <s v=""/>
    <s v=""/>
    <s v="Documento a emitir"/>
    <s v="Documento a emitir"/>
    <s v=""/>
    <x v="2"/>
    <x v="2"/>
    <x v="0"/>
    <s v=""/>
    <d v="2026-07-27T00:00:00"/>
    <s v="No prazo"/>
    <d v="2026-07-23T00:00:00"/>
    <s v="Emissão Atrasada"/>
    <x v="4"/>
    <x v="1"/>
  </r>
  <r>
    <n v="150"/>
    <x v="7"/>
    <s v="FDA - Folha De Dados"/>
    <s v="BL1132-0001-EL-FDA-2006"/>
    <s v="FOLHA DE DADOS - QUADROS DE ILUMINAÇÃO"/>
    <s v="Básico"/>
    <n v="0"/>
    <n v="0"/>
    <s v=""/>
    <s v=""/>
    <s v="Documento a emitir"/>
    <s v="Documento a emitir"/>
    <s v=""/>
    <x v="2"/>
    <x v="2"/>
    <x v="0"/>
    <s v=""/>
    <d v="2026-07-27T00:00:00"/>
    <s v="No prazo"/>
    <d v="2026-07-23T00:00:00"/>
    <s v="Emissão Atrasada"/>
    <x v="4"/>
    <x v="1"/>
  </r>
  <r>
    <n v="151"/>
    <x v="7"/>
    <s v="FDA - Folha De Dados"/>
    <s v="BL1132-0001-EL-FDA-2007"/>
    <s v="FOLHA DE DADOS - QUADRO DE TRANSFERÊNCIA AUTOMÁTICA"/>
    <s v="Básico"/>
    <n v="0"/>
    <n v="0"/>
    <s v=""/>
    <s v=""/>
    <s v="Documento a emitir"/>
    <s v="Documento a emitir"/>
    <s v=""/>
    <x v="2"/>
    <x v="2"/>
    <x v="0"/>
    <s v=""/>
    <d v="2026-07-29T00:00:00"/>
    <s v="No prazo"/>
    <d v="2026-07-27T00:00:00"/>
    <s v="Emissão Atrasada"/>
    <x v="4"/>
    <x v="1"/>
  </r>
  <r>
    <n v="152"/>
    <x v="7"/>
    <s v="FDA - Folha De Dados"/>
    <s v="BL1132-0001-EL-FDA-2008"/>
    <s v="FOLHA DE DADOS - QUADRO DE DISTRIBUIÇÃO AUXILIAR"/>
    <s v="Básico"/>
    <n v="0"/>
    <n v="0"/>
    <s v=""/>
    <s v=""/>
    <s v="Documento a emitir"/>
    <s v="Documento a emitir"/>
    <s v=""/>
    <x v="2"/>
    <x v="2"/>
    <x v="0"/>
    <s v=""/>
    <d v="2026-07-29T00:00:00"/>
    <s v="No prazo"/>
    <d v="2026-07-27T00:00:00"/>
    <s v="Emissão Atrasada"/>
    <x v="4"/>
    <x v="1"/>
  </r>
  <r>
    <n v="153"/>
    <x v="7"/>
    <s v="FDA - Folha De Dados"/>
    <s v="BL1132-0001-EL-FDA-2009"/>
    <s v="FOLHA DE DADOS - QUADRO DE DISTRIBUIÇÃO 13,8kV"/>
    <s v="Básico"/>
    <n v="0"/>
    <n v="0"/>
    <s v=""/>
    <s v=""/>
    <s v="Documento a emitir"/>
    <s v="Documento a emitir"/>
    <s v=""/>
    <x v="2"/>
    <x v="2"/>
    <x v="0"/>
    <s v=""/>
    <d v="2026-08-03T00:00:00"/>
    <s v="No prazo"/>
    <d v="2026-07-30T00:00:00"/>
    <s v="Emissão Atrasada"/>
    <x v="3"/>
    <x v="1"/>
  </r>
  <r>
    <n v="154"/>
    <x v="7"/>
    <s v="FDA - Folha De Dados"/>
    <s v="BL1132-0001-EL-FDA-2010"/>
    <s v="FOLHA DE DADOS - PAINEL ILUMINAÇÃO"/>
    <s v="Básico"/>
    <n v="0"/>
    <n v="0"/>
    <s v=""/>
    <s v=""/>
    <s v="Documento a emitir"/>
    <s v="Documento a emitir"/>
    <s v=""/>
    <x v="2"/>
    <x v="2"/>
    <x v="0"/>
    <s v=""/>
    <d v="2026-08-03T00:00:00"/>
    <s v="No prazo"/>
    <d v="2026-07-30T00:00:00"/>
    <s v="Emissão Atrasada"/>
    <x v="3"/>
    <x v="1"/>
  </r>
  <r>
    <n v="155"/>
    <x v="7"/>
    <s v="FDA - Folha De Dados"/>
    <s v="BL1132-0001-EL-FDA-2011"/>
    <s v="FOLHA DE DADOS - NO-BREAKS"/>
    <s v="Básico"/>
    <n v="0"/>
    <n v="0"/>
    <s v=""/>
    <s v=""/>
    <s v="Documento a emitir"/>
    <s v="Documento a emitir"/>
    <s v=""/>
    <x v="2"/>
    <x v="2"/>
    <x v="0"/>
    <s v=""/>
    <d v="2026-08-06T00:00:00"/>
    <s v="No prazo"/>
    <d v="2026-08-04T00:00:00"/>
    <s v="Emissão Atrasada"/>
    <x v="3"/>
    <x v="1"/>
  </r>
  <r>
    <n v="156"/>
    <x v="7"/>
    <s v="FDA - Folha De Dados"/>
    <s v="BL1132-0001-EL-FDA-2012"/>
    <s v="FOLHA DE DADOS - RESISTORES DE ATERRAMENTO"/>
    <s v="Básico"/>
    <n v="0"/>
    <n v="0"/>
    <s v=""/>
    <s v=""/>
    <s v="Documento a emitir"/>
    <s v="Documento a emitir"/>
    <s v=""/>
    <x v="2"/>
    <x v="2"/>
    <x v="0"/>
    <s v=""/>
    <d v="2026-08-06T00:00:00"/>
    <s v="No prazo"/>
    <d v="2026-08-04T00:00:00"/>
    <s v="Emissão Atrasada"/>
    <x v="3"/>
    <x v="1"/>
  </r>
  <r>
    <n v="157"/>
    <x v="7"/>
    <s v="FDA - Folha De Dados"/>
    <s v="BL1132-0001-EL-FDA-2013"/>
    <s v="FOLHA DE DADOS - CONJUNTO DE MANOBRA DE BT"/>
    <s v="Básico"/>
    <n v="0"/>
    <n v="0"/>
    <s v=""/>
    <s v=""/>
    <s v="Documento a emitir"/>
    <s v="Documento a emitir"/>
    <s v=""/>
    <x v="2"/>
    <x v="2"/>
    <x v="0"/>
    <s v=""/>
    <d v="2026-08-11T00:00:00"/>
    <s v="No prazo"/>
    <d v="2026-08-07T00:00:00"/>
    <s v="Emissão Atrasada"/>
    <x v="3"/>
    <x v="1"/>
  </r>
  <r>
    <n v="158"/>
    <x v="7"/>
    <s v="FDA - Folha De Dados"/>
    <s v="BL1132-0001-EL-FDA-2014"/>
    <s v="FOLHA DE DADOS - CENTRO DE CONTROLE DE MOTORES MT"/>
    <s v="Básico"/>
    <n v="0"/>
    <n v="0"/>
    <s v=""/>
    <s v=""/>
    <s v="Documento a emitir"/>
    <s v="Documento a emitir"/>
    <s v=""/>
    <x v="2"/>
    <x v="2"/>
    <x v="0"/>
    <s v=""/>
    <d v="2026-08-11T00:00:00"/>
    <s v="No prazo"/>
    <d v="2026-08-07T00:00:00"/>
    <s v="Emissão Atrasada"/>
    <x v="3"/>
    <x v="1"/>
  </r>
  <r>
    <n v="159"/>
    <x v="7"/>
    <s v="FDA - Folha De Dados"/>
    <s v="BL1132-0001-EL-FDA-2015"/>
    <s v="FOLHA DE DADOS - CENTRO DE CONTROLE DE MOTORES BT"/>
    <s v="Básico"/>
    <n v="0"/>
    <n v="0"/>
    <s v=""/>
    <s v=""/>
    <s v="Documento a emitir"/>
    <s v="Documento a emitir"/>
    <s v=""/>
    <x v="2"/>
    <x v="2"/>
    <x v="0"/>
    <s v=""/>
    <d v="2026-08-11T00:00:00"/>
    <s v="No prazo"/>
    <d v="2026-08-12T00:00:00"/>
    <s v="No prazo"/>
    <x v="3"/>
    <x v="1"/>
  </r>
  <r>
    <n v="160"/>
    <x v="7"/>
    <s v="FDA - Folha De Dados"/>
    <s v="BL1132-0001-EL-FDA-2016"/>
    <s v="FOLHA DE DADOS - GERADOR"/>
    <s v="Básico"/>
    <n v="0"/>
    <n v="0"/>
    <s v=""/>
    <s v=""/>
    <s v="Documento a emitir"/>
    <s v="Documento a emitir"/>
    <s v=""/>
    <x v="2"/>
    <x v="2"/>
    <x v="0"/>
    <s v=""/>
    <d v="2026-08-11T00:00:00"/>
    <s v="No prazo"/>
    <d v="2026-08-12T00:00:00"/>
    <s v="No prazo"/>
    <x v="3"/>
    <x v="1"/>
  </r>
  <r>
    <n v="161"/>
    <x v="7"/>
    <s v="FDA - Folha De Dados"/>
    <s v="BL1132-0001-EL-FDA-2017"/>
    <s v="FOLHA DE DADOS - INVERSORES DE BAIXA TENSÃO"/>
    <s v="Básico"/>
    <n v="0"/>
    <n v="0"/>
    <s v=""/>
    <s v=""/>
    <s v="Documento a emitir"/>
    <s v="Documento a emitir"/>
    <s v=""/>
    <x v="2"/>
    <x v="2"/>
    <x v="0"/>
    <s v=""/>
    <d v="2026-08-11T00:00:00"/>
    <s v="No prazo"/>
    <s v="ND"/>
    <s v="No prazo"/>
    <x v="3"/>
    <x v="1"/>
  </r>
  <r>
    <n v="162"/>
    <x v="7"/>
    <s v="LEI - Lista De Equipamentos E Instrumentos"/>
    <s v="BL1132-0001-EL-LEI-2001"/>
    <s v="LISTA DE EQUIPAMENTOS ELÉTRICOS"/>
    <s v="Básico"/>
    <n v="0"/>
    <n v="0"/>
    <s v=""/>
    <s v=""/>
    <s v="Documento a emitir"/>
    <s v="Documento a emitir"/>
    <s v=""/>
    <x v="2"/>
    <x v="2"/>
    <x v="0"/>
    <s v=""/>
    <d v="2026-08-17T00:00:00"/>
    <s v="No prazo"/>
    <d v="2026-08-18T00:00:00"/>
    <s v="No prazo"/>
    <x v="3"/>
    <x v="1"/>
  </r>
  <r>
    <n v="163"/>
    <x v="7"/>
    <s v="LEI - Lista De Equipamentos E Instrumentos"/>
    <s v="BL1132-0001-EL-LEI-2002"/>
    <s v="LISTA DE EQUIPAMENTOS ELÉTRICOS"/>
    <s v="Básico"/>
    <n v="0"/>
    <n v="0"/>
    <s v=""/>
    <s v=""/>
    <s v="Documento a emitir"/>
    <s v="Documento a emitir"/>
    <s v=""/>
    <x v="2"/>
    <x v="2"/>
    <x v="0"/>
    <s v=""/>
    <d v="2026-08-18T00:00:00"/>
    <s v="No prazo"/>
    <d v="2026-08-14T00:00:00"/>
    <s v="Emissão Atrasada"/>
    <x v="3"/>
    <x v="1"/>
  </r>
  <r>
    <n v="164"/>
    <x v="7"/>
    <s v="LLC - Lista De Linhas E Cabos"/>
    <s v="BL1132-0001-EL-LLC-2000"/>
    <s v="LISTAS DE CABOS ELÉTRICOS"/>
    <s v="Básico"/>
    <n v="0"/>
    <n v="0"/>
    <s v=""/>
    <s v=""/>
    <s v="Documento a emitir"/>
    <s v="Documento a emitir"/>
    <s v=""/>
    <x v="2"/>
    <x v="2"/>
    <x v="0"/>
    <s v=""/>
    <d v="2026-08-14T00:00:00"/>
    <s v="No prazo"/>
    <s v="ND"/>
    <s v="No prazo"/>
    <x v="3"/>
    <x v="1"/>
  </r>
  <r>
    <n v="165"/>
    <x v="7"/>
    <s v="LLC - Lista De Linhas E Cabos"/>
    <s v="BL1132-0001-EL-LLC-2002"/>
    <s v="LISTAS DE CABOS ELÉTRICOS"/>
    <s v="Básico"/>
    <n v="0"/>
    <n v="0"/>
    <s v=""/>
    <s v=""/>
    <s v="Documento a emitir"/>
    <s v="Documento a emitir"/>
    <s v=""/>
    <x v="2"/>
    <x v="2"/>
    <x v="0"/>
    <s v=""/>
    <d v="2026-08-27T00:00:00"/>
    <s v="No prazo"/>
    <d v="2026-08-25T00:00:00"/>
    <s v="Emissão Atrasada"/>
    <x v="3"/>
    <x v="1"/>
  </r>
  <r>
    <n v="166"/>
    <x v="7"/>
    <s v="MCA - Memória De Cálculo"/>
    <s v="BL1132-0001-EL-MCA-2000"/>
    <s v="MEMÓRIA DE CÁLCULO DE CABOS"/>
    <s v="Básico"/>
    <n v="0"/>
    <n v="0"/>
    <s v=""/>
    <s v=""/>
    <s v="Documento a emitir"/>
    <s v="Documento a emitir"/>
    <s v=""/>
    <x v="2"/>
    <x v="2"/>
    <x v="0"/>
    <s v=""/>
    <d v="2026-08-14T00:00:00"/>
    <s v="No prazo"/>
    <d v="2026-08-17T00:00:00"/>
    <s v="No prazo"/>
    <x v="3"/>
    <x v="1"/>
  </r>
  <r>
    <n v="167"/>
    <x v="7"/>
    <s v="MCA - Memória De Cálculo"/>
    <s v="BL1132-0001-EL-MCA-2001"/>
    <s v="MEMÓRIA DE CÁLCULO DE EQUIPAMENTOS ELÉTRICOS"/>
    <s v="Básico"/>
    <n v="0"/>
    <n v="0"/>
    <s v=""/>
    <s v=""/>
    <s v="Documento a emitir"/>
    <s v="Documento a emitir"/>
    <s v=""/>
    <x v="2"/>
    <x v="2"/>
    <x v="0"/>
    <s v=""/>
    <d v="2026-08-19T00:00:00"/>
    <s v="No prazo"/>
    <d v="2026-08-20T00:00:00"/>
    <s v="No prazo"/>
    <x v="3"/>
    <x v="1"/>
  </r>
  <r>
    <n v="168"/>
    <x v="7"/>
    <s v="MCA - Memória De Cálculo"/>
    <s v="BL1132-0001-EL-MCA-2002"/>
    <s v="MEMÓRA DE CÁLCULO DE CABOS"/>
    <s v="Básico"/>
    <n v="0"/>
    <n v="0"/>
    <s v=""/>
    <s v=""/>
    <s v="Documento a emitir"/>
    <s v="Documento a emitir"/>
    <s v=""/>
    <x v="2"/>
    <x v="2"/>
    <x v="0"/>
    <s v=""/>
    <d v="2026-08-24T00:00:00"/>
    <s v="No prazo"/>
    <d v="2026-08-20T00:00:00"/>
    <s v="Emissão Atrasada"/>
    <x v="3"/>
    <x v="1"/>
  </r>
  <r>
    <n v="169"/>
    <x v="7"/>
    <s v="MCA - Memória De Cálculo"/>
    <s v="BL1132-0001-EL-MCA-2003"/>
    <s v="MEMÓRIA DE CÁLCULO DE CABOS DE CONTROLE"/>
    <s v="Básico"/>
    <n v="0"/>
    <n v="0"/>
    <s v=""/>
    <s v=""/>
    <s v="Documento a emitir"/>
    <s v="Documento a emitir"/>
    <s v=""/>
    <x v="2"/>
    <x v="2"/>
    <x v="0"/>
    <s v=""/>
    <d v="2026-08-24T00:00:00"/>
    <s v="No prazo"/>
    <d v="2026-08-25T00:00:00"/>
    <s v="No prazo"/>
    <x v="3"/>
    <x v="1"/>
  </r>
  <r>
    <n v="170"/>
    <x v="7"/>
    <s v="MDE - Memorial Descritivo"/>
    <s v="BL1132-0001-EL-MDE-2000"/>
    <s v="MEMORIAL DESCRITIVO DO PROJETO BÁSICO DO SISTEMA ELÉTRICO"/>
    <s v="Básico"/>
    <n v="0"/>
    <n v="0"/>
    <s v=""/>
    <s v=""/>
    <s v="Documento a emitir"/>
    <s v="Documento a emitir"/>
    <s v=""/>
    <x v="2"/>
    <x v="2"/>
    <x v="0"/>
    <s v=""/>
    <d v="2026-09-04T00:00:00"/>
    <s v="No prazo"/>
    <d v="2026-09-08T00:00:00"/>
    <s v="No prazo"/>
    <x v="3"/>
    <x v="1"/>
  </r>
  <r>
    <n v="171"/>
    <x v="7"/>
    <s v="MDE - Memorial Descritivo"/>
    <s v="BL1132-0001-EL-MDE-2002"/>
    <s v="MEMORIAL DESCRITIVO DO PROJETO BÁSICO DO SISTEMA ELÉTRICO"/>
    <s v="Básico"/>
    <n v="0"/>
    <n v="0"/>
    <s v=""/>
    <s v=""/>
    <s v="Documento a emitir"/>
    <s v="Documento a emitir"/>
    <s v=""/>
    <x v="2"/>
    <x v="2"/>
    <x v="0"/>
    <s v=""/>
    <d v="2026-09-01T00:00:00"/>
    <s v="No prazo"/>
    <d v="2026-08-31T00:00:00"/>
    <s v="Emissão Atrasada"/>
    <x v="3"/>
    <x v="1"/>
  </r>
  <r>
    <n v="172"/>
    <x v="7"/>
    <s v="PQU - Planilha De Quantitativos"/>
    <s v="BL1132-0001-EL-PQU-2000"/>
    <s v="PLANILHA DE QUANTIDADES "/>
    <s v="Básico"/>
    <n v="0"/>
    <n v="0"/>
    <s v=""/>
    <s v=""/>
    <s v="Documento a emitir"/>
    <s v="Documento a emitir"/>
    <s v=""/>
    <x v="2"/>
    <x v="2"/>
    <x v="0"/>
    <s v=""/>
    <d v="2026-09-09T00:00:00"/>
    <s v="No prazo"/>
    <d v="2026-09-10T00:00:00"/>
    <s v="No prazo"/>
    <x v="3"/>
    <x v="1"/>
  </r>
  <r>
    <n v="173"/>
    <x v="7"/>
    <s v="PQU - Planilha De Quantitativos"/>
    <s v="BL1132-0001-EL-PQU-2001"/>
    <s v="PLANILHA DE QUANTIDADES "/>
    <s v="Básico"/>
    <n v="0"/>
    <n v="0"/>
    <s v=""/>
    <s v=""/>
    <s v="Documento a emitir"/>
    <s v="Documento a emitir"/>
    <s v=""/>
    <x v="2"/>
    <x v="2"/>
    <x v="0"/>
    <s v=""/>
    <d v="2026-09-01T00:00:00"/>
    <s v="No prazo"/>
    <d v="2026-09-03T00:00:00"/>
    <s v="No prazo"/>
    <x v="3"/>
    <x v="1"/>
  </r>
  <r>
    <n v="174"/>
    <x v="0"/>
    <e v="#N/A"/>
    <s v="BL1132-0001-EL-RTE-2000"/>
    <e v="#N/A"/>
    <s v="Básico"/>
    <e v="#N/A"/>
    <e v="#N/A"/>
    <e v="#N/A"/>
    <e v="#N/A"/>
    <e v="#N/A"/>
    <e v="#N/A"/>
    <e v="#N/A"/>
    <x v="1"/>
    <x v="0"/>
    <x v="0"/>
    <e v="#N/A"/>
    <s v="Documento Removido"/>
    <s v="Documento Removido"/>
    <s v="Documento Removido"/>
    <s v="Documento Removido"/>
    <x v="0"/>
    <x v="0"/>
  </r>
  <r>
    <n v="175"/>
    <x v="8"/>
    <s v="MCA - Memória De Cálculo"/>
    <s v="BL1132-0001-EM-MCA-2000"/>
    <s v="MEMÓRIA DE CÁLCULO - COBERTURA METÁLICA"/>
    <s v="Básico"/>
    <n v="0"/>
    <n v="0"/>
    <s v=""/>
    <s v=""/>
    <s v="Documento a emitir"/>
    <s v="Documento a emitir"/>
    <s v=""/>
    <x v="2"/>
    <x v="2"/>
    <x v="0"/>
    <s v=""/>
    <d v="2026-08-03T00:00:00"/>
    <s v="No prazo"/>
    <d v="2026-07-31T00:00:00"/>
    <s v="Emissão Atrasada"/>
    <x v="3"/>
    <x v="1"/>
  </r>
  <r>
    <n v="176"/>
    <x v="8"/>
    <s v="MCA - Memória De Cálculo"/>
    <s v="BL1132-0001-EM-MCA-2001"/>
    <s v="MEMÓRIA DE CÁLCULO - COBERTURA METÁLICA"/>
    <s v="Básico"/>
    <n v="0"/>
    <n v="0"/>
    <s v=""/>
    <s v=""/>
    <s v="Documento a emitir"/>
    <s v="Documento a emitir"/>
    <s v=""/>
    <x v="2"/>
    <x v="2"/>
    <x v="0"/>
    <s v=""/>
    <d v="2026-07-31T00:00:00"/>
    <s v="No prazo"/>
    <d v="2026-08-11T00:00:00"/>
    <s v="No prazo"/>
    <x v="4"/>
    <x v="1"/>
  </r>
  <r>
    <n v="177"/>
    <x v="8"/>
    <s v="MCA - Memória De Cálculo"/>
    <s v="BL1132-0001-EM-MCA-2002"/>
    <s v="MEMÓRIA DE CÁLCULO - COBERTURA METÁLICA"/>
    <s v="Básico"/>
    <n v="0"/>
    <n v="0"/>
    <s v=""/>
    <s v=""/>
    <s v="Documento a emitir"/>
    <s v="Documento a emitir"/>
    <s v=""/>
    <x v="2"/>
    <x v="2"/>
    <x v="0"/>
    <s v=""/>
    <d v="2026-07-30T00:00:00"/>
    <s v="No prazo"/>
    <d v="2026-08-20T00:00:00"/>
    <s v="No prazo"/>
    <x v="4"/>
    <x v="1"/>
  </r>
  <r>
    <n v="178"/>
    <x v="0"/>
    <e v="#N/A"/>
    <s v="BL1132-0001-EM-MCA-2003"/>
    <e v="#N/A"/>
    <s v="Básico"/>
    <e v="#N/A"/>
    <e v="#N/A"/>
    <e v="#N/A"/>
    <e v="#N/A"/>
    <e v="#N/A"/>
    <e v="#N/A"/>
    <e v="#N/A"/>
    <x v="1"/>
    <x v="0"/>
    <x v="0"/>
    <e v="#N/A"/>
    <s v="Documento Removido"/>
    <s v="Documento Removido"/>
    <s v="Documento Removido"/>
    <s v="Documento Removido"/>
    <x v="0"/>
    <x v="0"/>
  </r>
  <r>
    <n v="179"/>
    <x v="8"/>
    <s v="MCA - Memória De Cálculo"/>
    <s v="BL1132-0001-EM-MCA-2007"/>
    <s v="BRITAGEM PRIMÁRIA - 1201-ED-001"/>
    <s v="Básico"/>
    <n v="0"/>
    <s v="A"/>
    <s v=""/>
    <s v=""/>
    <s v="Documento a emitir"/>
    <s v="Documento a emitir"/>
    <s v=""/>
    <x v="2"/>
    <x v="2"/>
    <x v="0"/>
    <s v=""/>
    <d v="2026-07-17T00:00:00"/>
    <s v="No prazo"/>
    <d v="2026-07-02T00:00:00"/>
    <s v="Emissão Atrasada"/>
    <x v="2"/>
    <x v="1"/>
  </r>
  <r>
    <n v="180"/>
    <x v="8"/>
    <s v="MCA - Memória De Cálculo"/>
    <s v="BL1132-0001-EM-MCA-2008"/>
    <s v="CASAS DE TRANSFERÊNCIA -1201-CT-001"/>
    <s v="Básico"/>
    <n v="0"/>
    <n v="0"/>
    <s v=""/>
    <s v=""/>
    <s v="Documento a emitir"/>
    <s v="Documento a emitir"/>
    <s v=""/>
    <x v="2"/>
    <x v="2"/>
    <x v="0"/>
    <s v=""/>
    <d v="2026-07-21T00:00:00"/>
    <s v="No prazo"/>
    <d v="2026-07-07T00:00:00"/>
    <s v="Emissão Atrasada"/>
    <x v="5"/>
    <x v="1"/>
  </r>
  <r>
    <n v="181"/>
    <x v="8"/>
    <s v="MCA - Memória De Cálculo"/>
    <s v="BL1132-0001-EM-MCA-2009"/>
    <s v="(ESCADA DE ACESSO (1502-ED-001), TORRE DE ESCADA (1502-ED-002),PLATAFORMA 01 (1502-ED-003), PLATAFORMA 02 (1502-ED-004)"/>
    <s v="Básico"/>
    <n v="0"/>
    <n v="0"/>
    <s v=""/>
    <s v=""/>
    <s v="Documento a emitir"/>
    <s v="Documento a emitir"/>
    <s v=""/>
    <x v="2"/>
    <x v="2"/>
    <x v="0"/>
    <s v=""/>
    <d v="2026-08-07T00:00:00"/>
    <s v="No prazo"/>
    <d v="2026-08-13T00:00:00"/>
    <s v="No prazo"/>
    <x v="3"/>
    <x v="1"/>
  </r>
  <r>
    <n v="182"/>
    <x v="0"/>
    <e v="#N/A"/>
    <s v="BL1132-0001-EM-MCA-2010"/>
    <e v="#N/A"/>
    <s v="Básico"/>
    <e v="#N/A"/>
    <e v="#N/A"/>
    <e v="#N/A"/>
    <e v="#N/A"/>
    <e v="#N/A"/>
    <e v="#N/A"/>
    <e v="#N/A"/>
    <x v="1"/>
    <x v="0"/>
    <x v="0"/>
    <e v="#N/A"/>
    <s v="Documento Removido"/>
    <s v="Documento Removido"/>
    <s v="Documento Removido"/>
    <s v="Documento Removido"/>
    <x v="0"/>
    <x v="0"/>
  </r>
  <r>
    <n v="183"/>
    <x v="0"/>
    <e v="#N/A"/>
    <s v="BL1132-0001-EM-MCA-2011"/>
    <e v="#N/A"/>
    <s v="Básico"/>
    <e v="#N/A"/>
    <e v="#N/A"/>
    <e v="#N/A"/>
    <e v="#N/A"/>
    <e v="#N/A"/>
    <e v="#N/A"/>
    <e v="#N/A"/>
    <x v="1"/>
    <x v="0"/>
    <x v="0"/>
    <e v="#N/A"/>
    <s v="Documento Removido"/>
    <s v="Documento Removido"/>
    <s v="Documento Removido"/>
    <s v="Documento Removido"/>
    <x v="0"/>
    <x v="0"/>
  </r>
  <r>
    <n v="184"/>
    <x v="8"/>
    <s v="MCA - Memória De Cálculo"/>
    <s v="BL1132-0001-EM-MCA-2012"/>
    <s v="PIPECABLE RACK"/>
    <s v="Básico"/>
    <n v="0"/>
    <n v="0"/>
    <s v=""/>
    <s v=""/>
    <s v="Documento a emitir"/>
    <s v="Documento a emitir"/>
    <s v=""/>
    <x v="2"/>
    <x v="2"/>
    <x v="0"/>
    <s v=""/>
    <d v="2026-08-26T00:00:00"/>
    <s v="No prazo"/>
    <d v="2026-08-26T00:00:00"/>
    <s v="No prazo"/>
    <x v="3"/>
    <x v="1"/>
  </r>
  <r>
    <n v="185"/>
    <x v="8"/>
    <s v="MCA - Memória De Cálculo"/>
    <s v="BL1132-0001-EM-MCA-2013"/>
    <s v="MEMÓRIA DE CÁLCULO - GALPÃO PARA ENSACAMENTO - RENWA META"/>
    <s v="Básico"/>
    <n v="0"/>
    <n v="0"/>
    <s v=""/>
    <s v=""/>
    <s v="Documento a emitir"/>
    <s v="Documento a emitir"/>
    <s v=""/>
    <x v="2"/>
    <x v="2"/>
    <x v="0"/>
    <s v=""/>
    <d v="2026-08-03T00:00:00"/>
    <s v="No prazo"/>
    <d v="2026-07-09T00:00:00"/>
    <s v="Emissão Atrasada"/>
    <x v="3"/>
    <x v="1"/>
  </r>
  <r>
    <n v="186"/>
    <x v="8"/>
    <s v="MCA - Memória De Cálculo"/>
    <s v="BL1132-0001-EM-MCA-2014"/>
    <s v="MEMÓRIA DE CÁLCULO  - COBERTURAS METÁLICAS – 2201-ED-001"/>
    <s v="Básico"/>
    <n v="0"/>
    <s v="A"/>
    <s v="0008"/>
    <s v="PARA APROVAÇÃO"/>
    <d v="2026-06-29T12:54:48"/>
    <d v="2026-07-02T09:36:03"/>
    <s v=""/>
    <x v="5"/>
    <x v="4"/>
    <x v="0"/>
    <s v="APC-R  - APC-R - Aprovado com Comentários (Retornar para uma nova Aprovação)"/>
    <s v="Documento Emitido"/>
    <s v="Documento Emitido"/>
    <s v="Documento Emitido"/>
    <s v="Documento Emitido"/>
    <x v="1"/>
    <x v="1"/>
  </r>
  <r>
    <n v="187"/>
    <x v="8"/>
    <s v="MCA - Memória De Cálculo"/>
    <s v="BL1132-0001-EM-MCA-2015"/>
    <s v="MEMÓRIA DE CÁLCULO  - COBERTURAS METÁLICAS – 2202-ED-001"/>
    <s v="Básico"/>
    <n v="0"/>
    <s v="A"/>
    <s v="0010"/>
    <s v="PARA APROVAÇÃO"/>
    <d v="2026-07-01T12:27:39"/>
    <d v="2026-07-02T10:47:41"/>
    <s v=""/>
    <x v="5"/>
    <x v="4"/>
    <x v="0"/>
    <s v="APC-L  - APC-L  - Aprovado com Comentários (Retornar Aprovado)"/>
    <s v="Documento Emitido"/>
    <s v="Documento Emitido"/>
    <s v="Documento Emitido"/>
    <s v="Documento Emitido"/>
    <x v="1"/>
    <x v="1"/>
  </r>
  <r>
    <n v="188"/>
    <x v="8"/>
    <s v="MCA - Memória De Cálculo"/>
    <s v="BL1132-0001-EM-MCA-2016"/>
    <s v="MEMÓRIA DE CÁLCULO  - COBERTURAS METÁLICAS – 2203-ED-001"/>
    <s v="Básico"/>
    <n v="0"/>
    <s v="A"/>
    <s v="0010"/>
    <s v="PARA APROVAÇÃO"/>
    <d v="2026-07-01T12:27:39"/>
    <d v="2026-07-02T11:31:27"/>
    <s v=""/>
    <x v="5"/>
    <x v="4"/>
    <x v="0"/>
    <s v="APC-L  - APC-L  - Aprovado com Comentários (Retornar Aprovado)"/>
    <s v="Documento Emitido"/>
    <s v="Documento Emitido"/>
    <s v="Documento Emitido"/>
    <s v="Documento Emitido"/>
    <x v="1"/>
    <x v="1"/>
  </r>
  <r>
    <n v="189"/>
    <x v="8"/>
    <s v="MCA - Memória De Cálculo"/>
    <s v="BL1132-0001-EM-MCA-2017"/>
    <s v="MEMÓRIA DE CÁLCULO  - COBERTURAS METÁLICAS – 2204-ED-001 "/>
    <s v="Básico"/>
    <n v="0"/>
    <s v="A"/>
    <s v="0015"/>
    <s v="PARA APROVAÇÃO"/>
    <d v="2026-07-01T16:49:13"/>
    <d v="2026-07-06T13:46:02"/>
    <s v=""/>
    <x v="5"/>
    <x v="4"/>
    <x v="0"/>
    <s v="APC-L  - APC-L  - Aprovado com Comentários (Retornar Aprovado)"/>
    <s v="Documento Emitido"/>
    <s v="Documento Emitido"/>
    <s v="Documento Emitido"/>
    <s v="Documento Emitido"/>
    <x v="1"/>
    <x v="1"/>
  </r>
  <r>
    <n v="190"/>
    <x v="8"/>
    <s v="MCA - Memória De Cálculo"/>
    <s v="BL1132-0001-EM-MCA-2018"/>
    <s v="MEMÓRIA DE CÁLCULO  - COBERTURAS METÁLICAS – 2205-ED-001"/>
    <s v="Básico"/>
    <n v="0"/>
    <s v="A"/>
    <s v="0016"/>
    <s v="PARA APROVAÇÃO"/>
    <d v="2026-07-01T17:21:43"/>
    <d v="2026-07-06T13:50:30"/>
    <s v=""/>
    <x v="5"/>
    <x v="4"/>
    <x v="0"/>
    <s v="APC-L  - APC-L  - Aprovado com Comentários (Retornar Aprovado)"/>
    <s v="Documento Emitido"/>
    <s v="Documento Emitido"/>
    <s v="Documento Emitido"/>
    <s v="Documento Emitido"/>
    <x v="1"/>
    <x v="1"/>
  </r>
  <r>
    <n v="191"/>
    <x v="0"/>
    <e v="#N/A"/>
    <s v="BL1132-0001-EM-MCA-3000"/>
    <e v="#N/A"/>
    <s v="Detalhado"/>
    <e v="#N/A"/>
    <e v="#N/A"/>
    <e v="#N/A"/>
    <e v="#N/A"/>
    <e v="#N/A"/>
    <e v="#N/A"/>
    <e v="#N/A"/>
    <x v="1"/>
    <x v="0"/>
    <x v="0"/>
    <e v="#N/A"/>
    <s v="Documento Removido"/>
    <s v="Documento Removido"/>
    <s v="Documento Removido"/>
    <s v="Documento Removido"/>
    <x v="0"/>
    <x v="0"/>
  </r>
  <r>
    <n v="192"/>
    <x v="8"/>
    <s v="PQU - Planilha De Quantitativos"/>
    <s v="BL1132-0001-EM-PQU-2000"/>
    <s v="PLANILHA DE QUANTIDADES - FORNECIMENTO DE ESTRUTURA METÁLICA"/>
    <s v="Básico"/>
    <n v="0"/>
    <n v="0"/>
    <s v=""/>
    <s v=""/>
    <s v="Documento a emitir"/>
    <s v="Documento a emitir"/>
    <s v=""/>
    <x v="2"/>
    <x v="2"/>
    <x v="0"/>
    <s v=""/>
    <d v="2026-09-09T00:00:00"/>
    <s v="No prazo"/>
    <d v="2026-07-31T00:00:00"/>
    <s v="Emissão Atrasada"/>
    <x v="3"/>
    <x v="1"/>
  </r>
  <r>
    <n v="193"/>
    <x v="8"/>
    <s v="PQU - Planilha De Quantitativos"/>
    <s v="BL1132-0001-EM-PQU-2001"/>
    <s v="PLANILHA DE QUANTIDADES - FORNECIMENTO DE ESTRUTURA METÁLICA"/>
    <s v="Básico"/>
    <n v="0"/>
    <n v="0"/>
    <s v=""/>
    <s v=""/>
    <s v="Documento a emitir"/>
    <s v="Documento a emitir"/>
    <s v=""/>
    <x v="2"/>
    <x v="2"/>
    <x v="0"/>
    <s v=""/>
    <d v="2026-08-25T00:00:00"/>
    <s v="No prazo"/>
    <d v="2026-08-13T00:00:00"/>
    <s v="Emissão Atrasada"/>
    <x v="3"/>
    <x v="1"/>
  </r>
  <r>
    <n v="194"/>
    <x v="0"/>
    <e v="#N/A"/>
    <s v="BL1132-0001-EM-RTE-2000"/>
    <e v="#N/A"/>
    <s v="Básico"/>
    <e v="#N/A"/>
    <e v="#N/A"/>
    <e v="#N/A"/>
    <e v="#N/A"/>
    <e v="#N/A"/>
    <e v="#N/A"/>
    <e v="#N/A"/>
    <x v="1"/>
    <x v="0"/>
    <x v="0"/>
    <e v="#N/A"/>
    <s v="Documento Removido"/>
    <s v="Documento Removido"/>
    <s v="Documento Removido"/>
    <s v="Documento Removido"/>
    <x v="0"/>
    <x v="0"/>
  </r>
  <r>
    <n v="195"/>
    <x v="9"/>
    <s v="ATA - Ata E Notas De Reunião"/>
    <s v="BL1132-0001-GE-ATA-2000"/>
    <s v="ATA - APRESENTAÇÃO PROJETO - PLATÔ ADMINISTRATIVO"/>
    <s v="Básico"/>
    <n v="1"/>
    <s v="0"/>
    <s v="0032"/>
    <s v="PARA CONHECIMENTO"/>
    <d v="2026-07-10T16:47:30"/>
    <d v="2026-07-13T11:41:12"/>
    <d v="2026-07-10T16:47:30"/>
    <x v="3"/>
    <x v="3"/>
    <x v="0"/>
    <s v="APR - APROVADO"/>
    <s v="Documento Emitido"/>
    <s v="Documento Emitido"/>
    <s v="Documento Emitido"/>
    <s v="Documento Emitido"/>
    <x v="1"/>
    <x v="2"/>
  </r>
  <r>
    <n v="196"/>
    <x v="9"/>
    <s v="ATA - Ata E Notas De Reunião"/>
    <s v="BL1132-0001-GE-ATA-2001"/>
    <s v="ATA - APRESENTAÇÃO PROJETO - BRITAGEM, RENWA META – GALPÃO DE BAGS E EMPILHADOR DE COMBUSTÍVEL SÓLIDO - MECÂNICA"/>
    <s v="Básico"/>
    <n v="0"/>
    <s v="A"/>
    <s v="0011"/>
    <s v="PARA APROVAÇÃO"/>
    <d v="2026-07-01T12:27:51"/>
    <d v="2026-07-10T14:21:33"/>
    <s v=""/>
    <x v="4"/>
    <x v="4"/>
    <x v="0"/>
    <s v="APC-R  - APC-R - Aprovado com Comentários (Retornar para uma nova Aprovação)"/>
    <s v="Documento Emitido"/>
    <s v="Documento Emitido"/>
    <s v="Documento Emitido"/>
    <s v="Documento Emitido"/>
    <x v="1"/>
    <x v="1"/>
  </r>
  <r>
    <n v="197"/>
    <x v="9"/>
    <s v="ATA - Ata E Notas De Reunião"/>
    <s v="BL1132-0001-GE-ATA-2002"/>
    <s v="ATA - APRESENTAÇÃO PROJETO - ESTOCAGEM DE MATÉRIA PRIMA - PÁTIO DE ESTOCAGEM"/>
    <s v="Básico"/>
    <n v="0"/>
    <s v="A"/>
    <s v="0012"/>
    <s v="PARA APROVAÇÃO"/>
    <d v="2026-07-01T14:00:36"/>
    <d v="2026-07-10T14:22:44"/>
    <s v=""/>
    <x v="4"/>
    <x v="4"/>
    <x v="0"/>
    <s v="APR - APROVADO"/>
    <s v="Documento Emitido"/>
    <s v="Documento Emitido"/>
    <s v="Documento Emitido"/>
    <s v="Documento Emitido"/>
    <x v="1"/>
    <x v="1"/>
  </r>
  <r>
    <n v="198"/>
    <x v="9"/>
    <s v="ATA - Ata E Notas De Reunião"/>
    <s v="BL1132-0001-GE-ATA-2003"/>
    <s v="ATA - APRESENTAÇÃO PROJETO - SUBESTAÇÕES E DISTRIBUIÇÃO"/>
    <s v="Básico"/>
    <n v="0"/>
    <s v="A"/>
    <s v="0023"/>
    <s v="PARA APROVAÇÃO"/>
    <d v="2026-07-07T16:17:53"/>
    <d v="2026-07-10T14:19:43"/>
    <s v=""/>
    <x v="4"/>
    <x v="4"/>
    <x v="0"/>
    <s v="APC-R  - APC-R - Aprovado com Comentários (Retornar para uma nova Aprovação)"/>
    <s v="Documento Emitido"/>
    <s v="Documento Emitido"/>
    <s v="Documento Emitido"/>
    <s v="Documento Emitido"/>
    <x v="1"/>
    <x v="3"/>
  </r>
  <r>
    <n v="199"/>
    <x v="9"/>
    <s v="ATA - Ata E Notas De Reunião"/>
    <s v="BL1132-0001-GE-ATA-2004"/>
    <s v="ATA - APRESENTAÇÃO PROJETO - -"/>
    <s v="Básico"/>
    <n v="0"/>
    <n v="0"/>
    <s v=""/>
    <s v=""/>
    <s v="Documento a emitir"/>
    <s v="Documento a emitir"/>
    <s v=""/>
    <x v="0"/>
    <x v="0"/>
    <x v="0"/>
    <s v=""/>
    <s v="Documento Removido"/>
    <s v="No prazo"/>
    <s v="Documento Removido"/>
    <s v="No prazo"/>
    <x v="0"/>
    <x v="1"/>
  </r>
  <r>
    <n v="200"/>
    <x v="9"/>
    <s v="ATA - Ata E Notas De Reunião"/>
    <s v="BL1132-0001-GE-ATA-2005"/>
    <s v="ATA - APRESENTAÇÃO PROJETO - -"/>
    <s v="Básico"/>
    <n v="0"/>
    <n v="0"/>
    <s v=""/>
    <s v=""/>
    <s v="Documento a emitir"/>
    <s v="Documento a emitir"/>
    <s v=""/>
    <x v="0"/>
    <x v="0"/>
    <x v="0"/>
    <s v=""/>
    <s v="Documento Removido"/>
    <s v="No prazo"/>
    <s v="Documento Removido"/>
    <s v="No prazo"/>
    <x v="0"/>
    <x v="1"/>
  </r>
  <r>
    <n v="201"/>
    <x v="9"/>
    <s v="ATA - Ata E Notas De Reunião"/>
    <s v="BL1132-0001-GE-ATA-2006"/>
    <s v="ATA - APRESENTAÇÃO PROJETO - -"/>
    <s v="Básico"/>
    <n v="0"/>
    <n v="0"/>
    <s v=""/>
    <s v=""/>
    <s v="Documento a emitir"/>
    <s v="Documento a emitir"/>
    <s v=""/>
    <x v="0"/>
    <x v="0"/>
    <x v="0"/>
    <s v=""/>
    <s v="Documento Removido"/>
    <s v="No prazo"/>
    <s v="Documento Removido"/>
    <s v="No prazo"/>
    <x v="0"/>
    <x v="1"/>
  </r>
  <r>
    <n v="202"/>
    <x v="9"/>
    <s v="ATA - Ata E Notas De Reunião"/>
    <s v="BL1132-0001-GE-ATA-2007"/>
    <s v="ATA - APRESENTAÇÃO PROJETO - -"/>
    <s v="Básico"/>
    <n v="0"/>
    <n v="0"/>
    <s v=""/>
    <s v=""/>
    <s v="Documento a emitir"/>
    <s v="Documento a emitir"/>
    <s v=""/>
    <x v="0"/>
    <x v="0"/>
    <x v="0"/>
    <s v=""/>
    <s v="Documento Removido"/>
    <s v="No prazo"/>
    <s v="Documento Removido"/>
    <s v="No prazo"/>
    <x v="0"/>
    <x v="1"/>
  </r>
  <r>
    <n v="203"/>
    <x v="9"/>
    <s v="ATA - Ata E Notas De Reunião"/>
    <s v="BL1132-0001-GE-ATA-2008"/>
    <s v="ATA - APRESENTAÇÃO PROJETO - -"/>
    <s v="Básico"/>
    <n v="0"/>
    <n v="0"/>
    <s v=""/>
    <s v=""/>
    <s v="Documento a emitir"/>
    <s v="Documento a emitir"/>
    <s v=""/>
    <x v="0"/>
    <x v="0"/>
    <x v="0"/>
    <s v=""/>
    <s v="Documento Removido"/>
    <s v="No prazo"/>
    <s v="Documento Removido"/>
    <s v="No prazo"/>
    <x v="0"/>
    <x v="1"/>
  </r>
  <r>
    <n v="204"/>
    <x v="9"/>
    <s v="ATA - Ata E Notas De Reunião"/>
    <s v="BL1132-0001-GE-ATA-2009"/>
    <s v="ATA - APRESENTAÇÃO PROJETO - -"/>
    <s v="Básico"/>
    <n v="0"/>
    <n v="0"/>
    <s v=""/>
    <s v=""/>
    <s v="Documento a emitir"/>
    <s v="Documento a emitir"/>
    <s v=""/>
    <x v="0"/>
    <x v="0"/>
    <x v="0"/>
    <s v=""/>
    <s v="Documento Removido"/>
    <s v="No prazo"/>
    <s v="Documento Removido"/>
    <s v="No prazo"/>
    <x v="0"/>
    <x v="1"/>
  </r>
  <r>
    <n v="205"/>
    <x v="9"/>
    <s v="ATA - Ata E Notas De Reunião"/>
    <s v="BL1132-0001-GE-ATA-2010"/>
    <s v="ATA - APRESENTAÇÃO PROJETO - -"/>
    <s v="Básico"/>
    <n v="0"/>
    <n v="0"/>
    <s v=""/>
    <s v=""/>
    <s v="Documento a emitir"/>
    <s v="Documento a emitir"/>
    <s v=""/>
    <x v="0"/>
    <x v="0"/>
    <x v="0"/>
    <s v=""/>
    <s v="Documento Removido"/>
    <s v="No prazo"/>
    <s v="Documento Removido"/>
    <s v="No prazo"/>
    <x v="0"/>
    <x v="1"/>
  </r>
  <r>
    <n v="206"/>
    <x v="9"/>
    <s v="ATA - Ata E Notas De Reunião"/>
    <s v="BL1132-0001-GE-ATA-2011"/>
    <s v="ATA - APRESENTAÇÃO PROJETO - -"/>
    <s v="Básico"/>
    <n v="0"/>
    <n v="0"/>
    <s v=""/>
    <s v=""/>
    <s v="Documento a emitir"/>
    <s v="Documento a emitir"/>
    <s v=""/>
    <x v="0"/>
    <x v="0"/>
    <x v="0"/>
    <s v=""/>
    <s v="Documento Removido"/>
    <s v="No prazo"/>
    <s v="Documento Removido"/>
    <s v="No prazo"/>
    <x v="0"/>
    <x v="1"/>
  </r>
  <r>
    <n v="207"/>
    <x v="9"/>
    <s v="ATA - Ata E Notas De Reunião"/>
    <s v="BL1132-0001-GE-ATA-2012"/>
    <s v="ATA - APRESENTAÇÃO PROJETO - -"/>
    <s v="Básico"/>
    <n v="0"/>
    <n v="0"/>
    <s v=""/>
    <s v=""/>
    <s v="Documento a emitir"/>
    <s v="Documento a emitir"/>
    <s v=""/>
    <x v="0"/>
    <x v="0"/>
    <x v="0"/>
    <s v=""/>
    <s v="Documento Removido"/>
    <s v="No prazo"/>
    <s v="Documento Removido"/>
    <s v="No prazo"/>
    <x v="0"/>
    <x v="1"/>
  </r>
  <r>
    <n v="208"/>
    <x v="9"/>
    <s v="ATA - Ata E Notas De Reunião"/>
    <s v="BL1132-0001-GE-ATA-2013"/>
    <s v="ATA - APRESENTAÇÃO PROJETO - -"/>
    <s v="Básico"/>
    <n v="0"/>
    <n v="0"/>
    <s v=""/>
    <s v=""/>
    <s v="Documento a emitir"/>
    <s v="Documento a emitir"/>
    <s v=""/>
    <x v="0"/>
    <x v="0"/>
    <x v="0"/>
    <s v=""/>
    <s v="Documento Removido"/>
    <s v="No prazo"/>
    <s v="Documento Removido"/>
    <s v="No prazo"/>
    <x v="0"/>
    <x v="1"/>
  </r>
  <r>
    <n v="209"/>
    <x v="9"/>
    <s v="ATA - Ata E Notas De Reunião"/>
    <s v="BL1132-0001-GE-ATA-2014"/>
    <s v="ATA - APRESENTAÇÃO PROJETO - -"/>
    <s v="Básico"/>
    <n v="0"/>
    <n v="0"/>
    <s v=""/>
    <s v=""/>
    <s v="Documento a emitir"/>
    <s v="Documento a emitir"/>
    <s v=""/>
    <x v="0"/>
    <x v="0"/>
    <x v="0"/>
    <s v=""/>
    <s v="Documento Removido"/>
    <s v="No prazo"/>
    <s v="Documento Removido"/>
    <s v="No prazo"/>
    <x v="0"/>
    <x v="1"/>
  </r>
  <r>
    <n v="210"/>
    <x v="9"/>
    <s v="ATA - Ata E Notas De Reunião"/>
    <s v="BL1132-0001-GE-ATA-2015"/>
    <s v="ATA - APRESENTAÇÃO PROJETO - -"/>
    <s v="Básico"/>
    <n v="0"/>
    <n v="0"/>
    <s v=""/>
    <s v=""/>
    <s v="Documento a emitir"/>
    <s v="Documento a emitir"/>
    <s v=""/>
    <x v="0"/>
    <x v="0"/>
    <x v="0"/>
    <s v=""/>
    <s v="Documento Removido"/>
    <s v="No prazo"/>
    <s v="Documento Removido"/>
    <s v="No prazo"/>
    <x v="0"/>
    <x v="1"/>
  </r>
  <r>
    <n v="211"/>
    <x v="9"/>
    <s v="ATA - Ata E Notas De Reunião"/>
    <s v="BL1132-0001-GE-ATA-2016"/>
    <s v="ATA - APRESENTAÇÃO PROJETO - -"/>
    <s v="Básico"/>
    <n v="0"/>
    <n v="0"/>
    <s v=""/>
    <s v=""/>
    <s v="Documento a emitir"/>
    <s v="Documento a emitir"/>
    <s v=""/>
    <x v="0"/>
    <x v="0"/>
    <x v="0"/>
    <s v=""/>
    <s v="Documento Removido"/>
    <s v="No prazo"/>
    <s v="Documento Removido"/>
    <s v="No prazo"/>
    <x v="0"/>
    <x v="1"/>
  </r>
  <r>
    <n v="212"/>
    <x v="9"/>
    <s v="ATA - Ata E Notas De Reunião"/>
    <s v="BL1132-0001-GE-ATA-2017"/>
    <s v="ATA - APRESENTAÇÃO PROJETO - -"/>
    <s v="Básico"/>
    <n v="0"/>
    <n v="0"/>
    <s v=""/>
    <s v=""/>
    <s v="Documento a emitir"/>
    <s v="Documento a emitir"/>
    <s v=""/>
    <x v="0"/>
    <x v="0"/>
    <x v="0"/>
    <s v=""/>
    <s v="Documento Removido"/>
    <s v="No prazo"/>
    <s v="Documento Removido"/>
    <s v="No prazo"/>
    <x v="0"/>
    <x v="1"/>
  </r>
  <r>
    <n v="213"/>
    <x v="9"/>
    <s v="ATA - Ata E Notas De Reunião"/>
    <s v="BL1132-0001-GE-ATA-2018"/>
    <s v="ATA - APRESENTAÇÃO PROJETO - -"/>
    <s v="Básico"/>
    <n v="0"/>
    <n v="0"/>
    <s v=""/>
    <s v=""/>
    <s v="Documento a emitir"/>
    <s v="Documento a emitir"/>
    <s v=""/>
    <x v="0"/>
    <x v="0"/>
    <x v="0"/>
    <s v=""/>
    <s v="Documento Removido"/>
    <s v="No prazo"/>
    <s v="Documento Removido"/>
    <s v="No prazo"/>
    <x v="0"/>
    <x v="1"/>
  </r>
  <r>
    <n v="214"/>
    <x v="9"/>
    <s v="ATA - Ata E Notas De Reunião"/>
    <s v="BL1132-0001-GE-ATA-2019"/>
    <s v="ATA - APRESENTAÇÃO PROJETO - -"/>
    <s v="Básico"/>
    <n v="0"/>
    <n v="0"/>
    <s v=""/>
    <s v=""/>
    <s v="Documento a emitir"/>
    <s v="Documento a emitir"/>
    <s v=""/>
    <x v="0"/>
    <x v="0"/>
    <x v="0"/>
    <s v=""/>
    <s v="Documento Removido"/>
    <s v="No prazo"/>
    <s v="Documento Removido"/>
    <s v="No prazo"/>
    <x v="0"/>
    <x v="1"/>
  </r>
  <r>
    <n v="215"/>
    <x v="0"/>
    <e v="#N/A"/>
    <s v="BL1132-0001-GP-ATA-2000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216"/>
    <x v="0"/>
    <e v="#N/A"/>
    <s v="BL1132-0001-GP-ATA-2001"/>
    <e v="#N/A"/>
    <s v="Básico"/>
    <e v="#N/A"/>
    <e v="#N/A"/>
    <e v="#N/A"/>
    <e v="#N/A"/>
    <e v="#N/A"/>
    <e v="#N/A"/>
    <e v="#N/A"/>
    <x v="1"/>
    <x v="0"/>
    <x v="0"/>
    <e v="#N/A"/>
    <s v="Documento Removido"/>
    <s v="Documento Removido"/>
    <s v="Documento Removido"/>
    <s v="Documento Removido"/>
    <x v="0"/>
    <x v="0"/>
  </r>
  <r>
    <n v="217"/>
    <x v="0"/>
    <e v="#N/A"/>
    <s v="BL1132-0001-GP-ATA-2002"/>
    <e v="#N/A"/>
    <s v="Básico"/>
    <e v="#N/A"/>
    <e v="#N/A"/>
    <e v="#N/A"/>
    <e v="#N/A"/>
    <e v="#N/A"/>
    <e v="#N/A"/>
    <e v="#N/A"/>
    <x v="1"/>
    <x v="0"/>
    <x v="0"/>
    <e v="#N/A"/>
    <s v="Documento Removido"/>
    <s v="Documento Removido"/>
    <s v="Documento Removido"/>
    <s v="Documento Removido"/>
    <x v="0"/>
    <x v="0"/>
  </r>
  <r>
    <n v="218"/>
    <x v="10"/>
    <s v="NCO - Norma De Coordenação"/>
    <s v="BL1132-0001-GP-NCO-2000"/>
    <s v="NORMA DE COORDENAÇÃO"/>
    <s v="Básico"/>
    <n v="1"/>
    <s v="0"/>
    <s v="0035"/>
    <s v="PARA CONHECIMENTO"/>
    <d v="2026-07-10T16:48:18"/>
    <s v=""/>
    <d v="2026-07-10T16:48:18"/>
    <x v="3"/>
    <x v="3"/>
    <x v="0"/>
    <s v=""/>
    <s v="Documento Emitido"/>
    <s v="Documento Emitido"/>
    <s v="Documento Emitido"/>
    <s v="Documento Emitido"/>
    <x v="1"/>
    <x v="2"/>
  </r>
  <r>
    <n v="219"/>
    <x v="10"/>
    <s v="RTE - Relatório Técnico"/>
    <s v="BL1132-0001-GP-RTE-2000"/>
    <s v="RELATÓRIO DE ACOMPANHAMENTO PARA PRÓXIMAS FASES"/>
    <s v="Básico"/>
    <n v="0"/>
    <n v="0"/>
    <s v=""/>
    <s v=""/>
    <s v="Documento a emitir"/>
    <s v="Documento a emitir"/>
    <s v=""/>
    <x v="2"/>
    <x v="2"/>
    <x v="0"/>
    <s v=""/>
    <d v="2026-09-10T00:00:00"/>
    <s v="No prazo"/>
    <d v="2026-09-10T00:00:00"/>
    <s v="No prazo"/>
    <x v="3"/>
    <x v="1"/>
  </r>
  <r>
    <n v="220"/>
    <x v="11"/>
    <s v="ARJ - Arranjo, Layout, Plano Diretor"/>
    <s v="BL1132-0001-ME-ARJ-2000"/>
    <s v="PLANTA DE LOCAÇÃO - POÇOS TUBULARES PROFUNDOS"/>
    <s v="Básico"/>
    <n v="0"/>
    <s v="1"/>
    <s v="0028"/>
    <s v="PARA APROVAÇÃO"/>
    <d v="2026-07-08T16:16:32"/>
    <d v="2026-07-10T14:15:15"/>
    <s v=""/>
    <x v="4"/>
    <x v="4"/>
    <x v="0"/>
    <s v="APR - APROVADO"/>
    <s v="Documento Emitido"/>
    <s v="Documento Emitido"/>
    <s v="Documento Emitido"/>
    <s v="Documento Emitido"/>
    <x v="1"/>
    <x v="3"/>
  </r>
  <r>
    <n v="221"/>
    <x v="11"/>
    <s v="ARJ - Arranjo, Layout, Plano Diretor"/>
    <s v="BL1132-0001-ME-ARJ-2001"/>
    <s v="PLANO DIRETOR"/>
    <s v="Básico"/>
    <n v="0"/>
    <n v="0"/>
    <s v=""/>
    <s v=""/>
    <s v="Documento a emitir"/>
    <s v="Documento a emitir"/>
    <s v=""/>
    <x v="2"/>
    <x v="2"/>
    <x v="0"/>
    <s v=""/>
    <d v="2026-09-10T00:00:00"/>
    <s v="No prazo"/>
    <d v="2026-09-10T00:00:00"/>
    <s v="No prazo"/>
    <x v="3"/>
    <x v="1"/>
  </r>
  <r>
    <n v="222"/>
    <x v="11"/>
    <s v="ETE - Especificação Técnica"/>
    <s v="BL1132-0001-ME-ETE-2000"/>
    <s v="ESPECIFICAÇÃO TÉCNICA - BRITADOR 500t/h"/>
    <s v="Básico"/>
    <n v="0"/>
    <n v="0"/>
    <s v=""/>
    <s v=""/>
    <s v="Documento a emitir"/>
    <s v="Documento a emitir"/>
    <s v=""/>
    <x v="2"/>
    <x v="2"/>
    <x v="0"/>
    <s v=""/>
    <d v="2026-07-16T00:00:00"/>
    <s v="No prazo"/>
    <d v="2026-07-09T00:00:00"/>
    <s v="Emissão Atrasada"/>
    <x v="2"/>
    <x v="1"/>
  </r>
  <r>
    <n v="223"/>
    <x v="11"/>
    <s v="ETE - Especificação Técnica"/>
    <s v="BL1132-0001-ME-ETE-2001"/>
    <s v="ESPECIFICAÇÃO TÉCNICA - 1602-ST-01 - EMPILHADOR MÓVEL"/>
    <s v="Básico"/>
    <n v="0"/>
    <n v="0"/>
    <s v=""/>
    <s v=""/>
    <s v="Documento a emitir"/>
    <s v="Documento a emitir"/>
    <s v=""/>
    <x v="2"/>
    <x v="2"/>
    <x v="0"/>
    <s v=""/>
    <d v="2026-07-21T00:00:00"/>
    <s v="No prazo"/>
    <d v="2026-07-20T00:00:00"/>
    <s v="Emissão Atrasada"/>
    <x v="5"/>
    <x v="1"/>
  </r>
  <r>
    <n v="224"/>
    <x v="11"/>
    <s v="ETE - Especificação Técnica"/>
    <s v="BL1132-0001-ME-ETE-2005"/>
    <s v="ESPECIFICAÇÃO DE SERVIÇO - CONTRATAÇÃO DA MONTAGEM ELETROMECÂNICA"/>
    <s v="Básico"/>
    <n v="0"/>
    <s v="1"/>
    <s v="0035"/>
    <s v="PARA APROVAÇÃO"/>
    <d v="2026-07-10T16:48:18"/>
    <s v=""/>
    <s v=""/>
    <x v="5"/>
    <x v="5"/>
    <x v="1"/>
    <s v=""/>
    <s v="Documento Emitido"/>
    <s v="Documento Emitido"/>
    <s v="Documento Emitido"/>
    <s v="Documento Emitido"/>
    <x v="1"/>
    <x v="3"/>
  </r>
  <r>
    <n v="225"/>
    <x v="11"/>
    <s v="ETE - Especificação Técnica"/>
    <s v="BL1132-0001-ME-ETE-2006"/>
    <s v="ESPECIFICAÇÃO TÉCNICA - RENWA META - UNIDADES DE ENSACAMENTO E SISTEMA DE PESAGEM"/>
    <s v="Básico"/>
    <n v="0"/>
    <s v="A"/>
    <s v=""/>
    <s v=""/>
    <s v="Documento a emitir"/>
    <s v="Documento a emitir"/>
    <s v=""/>
    <x v="2"/>
    <x v="2"/>
    <x v="0"/>
    <s v=""/>
    <d v="2026-07-20T00:00:00"/>
    <s v="No prazo"/>
    <d v="2026-07-08T00:00:00"/>
    <s v="Emissão Atrasada"/>
    <x v="5"/>
    <x v="1"/>
  </r>
  <r>
    <n v="226"/>
    <x v="0"/>
    <e v="#N/A"/>
    <s v="BL1132-0001-ME-ETE-2007"/>
    <e v="#N/A"/>
    <s v="Básico"/>
    <e v="#N/A"/>
    <e v="#N/A"/>
    <e v="#N/A"/>
    <e v="#N/A"/>
    <e v="#N/A"/>
    <e v="#N/A"/>
    <e v="#N/A"/>
    <x v="1"/>
    <x v="0"/>
    <x v="0"/>
    <e v="#N/A"/>
    <s v="Documento Removido"/>
    <s v="Documento Removido"/>
    <s v="Documento Removido"/>
    <s v="Documento Removido"/>
    <x v="0"/>
    <x v="0"/>
  </r>
  <r>
    <n v="227"/>
    <x v="11"/>
    <s v="FDA - Folha De Dados"/>
    <s v="BL1132-0001-ME-FDA-2000"/>
    <s v="FOLHA DE DADOS - TRANSPORTADORES DE CORREIAS (EQ-MEC-06)"/>
    <s v="Básico"/>
    <n v="0"/>
    <s v="2"/>
    <s v="0036"/>
    <s v="PARA APROVAÇÃO"/>
    <d v="2026-07-10T16:48:36"/>
    <s v=""/>
    <s v=""/>
    <x v="5"/>
    <x v="5"/>
    <x v="1"/>
    <s v=""/>
    <s v="Documento Emitido"/>
    <s v="Documento Emitido"/>
    <s v="Documento Emitido"/>
    <s v="Documento Emitido"/>
    <x v="1"/>
    <x v="3"/>
  </r>
  <r>
    <n v="228"/>
    <x v="11"/>
    <s v="FDA - Folha De Dados"/>
    <s v="BL1132-0001-ME-FDA-2001"/>
    <s v="FOLHA DE DADOS - RENWA META - UNIDADES DE ENSACAMENTO E SISTEMA DE PESAGEM"/>
    <s v="Básico"/>
    <n v="0"/>
    <n v="0"/>
    <s v=""/>
    <s v=""/>
    <s v="Documento a emitir"/>
    <s v="Documento a emitir"/>
    <s v=""/>
    <x v="2"/>
    <x v="2"/>
    <x v="0"/>
    <s v=""/>
    <d v="2026-07-23T00:00:00"/>
    <s v="No prazo"/>
    <d v="2026-07-13T00:00:00"/>
    <s v="Emissão Atrasada"/>
    <x v="5"/>
    <x v="1"/>
  </r>
  <r>
    <n v="229"/>
    <x v="0"/>
    <e v="#N/A"/>
    <s v="BL1132-0001-ME-FDA-2002"/>
    <e v="#N/A"/>
    <s v="Básico"/>
    <e v="#N/A"/>
    <e v="#N/A"/>
    <e v="#N/A"/>
    <e v="#N/A"/>
    <e v="#N/A"/>
    <e v="#N/A"/>
    <e v="#N/A"/>
    <x v="1"/>
    <x v="0"/>
    <x v="0"/>
    <e v="#N/A"/>
    <s v="Documento Removido"/>
    <s v="Documento Removido"/>
    <s v="Documento Removido"/>
    <s v="Documento Removido"/>
    <x v="0"/>
    <x v="0"/>
  </r>
  <r>
    <n v="230"/>
    <x v="11"/>
    <s v="FDA - Folha De Dados"/>
    <s v="BL1132-0001-ME-FDA-2003"/>
    <s v="FOLHA DE DADOS - RENWA META - SILO DE ESTOCAGEM 2000t"/>
    <s v="Básico"/>
    <n v="0"/>
    <n v="0"/>
    <s v=""/>
    <s v=""/>
    <s v="Documento a emitir"/>
    <s v="Documento a emitir"/>
    <s v=""/>
    <x v="2"/>
    <x v="2"/>
    <x v="0"/>
    <s v=""/>
    <d v="2026-07-20T00:00:00"/>
    <s v="No prazo"/>
    <d v="2026-06-30T00:00:00"/>
    <s v="Emissão Atrasada"/>
    <x v="5"/>
    <x v="1"/>
  </r>
  <r>
    <n v="231"/>
    <x v="11"/>
    <s v="FDA - Folha De Dados"/>
    <s v="BL1132-0001-ME-FDA-2004"/>
    <s v="ESPECIFICAÇÃO TÉCNICA - BRITADOR 500t/h"/>
    <s v="Básico"/>
    <n v="0"/>
    <n v="0"/>
    <s v=""/>
    <s v=""/>
    <s v="Documento a emitir"/>
    <s v="Documento a emitir"/>
    <s v=""/>
    <x v="2"/>
    <x v="2"/>
    <x v="0"/>
    <s v=""/>
    <d v="2026-07-16T00:00:00"/>
    <s v="No prazo"/>
    <d v="2026-07-09T00:00:00"/>
    <s v="Emissão Atrasada"/>
    <x v="2"/>
    <x v="1"/>
  </r>
  <r>
    <n v="232"/>
    <x v="11"/>
    <s v="FDA - Folha De Dados"/>
    <s v="BL1132-0001-ME-FDA-2005"/>
    <s v="FOLHA DE DADOS - 1602-ST-01 - EMPILHADOR MÓVEL"/>
    <s v="Básico"/>
    <n v="0"/>
    <n v="0"/>
    <s v=""/>
    <s v=""/>
    <s v="Documento a emitir"/>
    <s v="Documento a emitir"/>
    <s v=""/>
    <x v="2"/>
    <x v="2"/>
    <x v="0"/>
    <s v=""/>
    <d v="2026-07-21T00:00:00"/>
    <s v="No prazo"/>
    <d v="2026-07-20T00:00:00"/>
    <s v="Emissão Atrasada"/>
    <x v="5"/>
    <x v="1"/>
  </r>
  <r>
    <n v="233"/>
    <x v="11"/>
    <s v="FDA - Folha De Dados"/>
    <s v="BL1132-0001-ME-FDA-2006"/>
    <s v="FOLHA DE DADOS - PONTE ROLANTE"/>
    <s v="Básico"/>
    <n v="0"/>
    <s v="1"/>
    <s v="0031"/>
    <s v="PARA APROVAÇÃO"/>
    <d v="2026-07-09T16:14:14"/>
    <s v=""/>
    <s v=""/>
    <x v="5"/>
    <x v="5"/>
    <x v="1"/>
    <s v=""/>
    <s v="Documento Emitido"/>
    <s v="Documento Emitido"/>
    <s v="Documento Emitido"/>
    <s v="Documento Emitido"/>
    <x v="1"/>
    <x v="3"/>
  </r>
  <r>
    <n v="234"/>
    <x v="0"/>
    <e v="#N/A"/>
    <s v="BL1132-0001-ME-FDA-2007"/>
    <e v="#N/A"/>
    <s v="Básico"/>
    <e v="#N/A"/>
    <e v="#N/A"/>
    <e v="#N/A"/>
    <e v="#N/A"/>
    <e v="#N/A"/>
    <e v="#N/A"/>
    <e v="#N/A"/>
    <x v="1"/>
    <x v="0"/>
    <x v="0"/>
    <e v="#N/A"/>
    <s v="Documento Removido"/>
    <s v="Documento Removido"/>
    <s v="Documento Removido"/>
    <s v="Documento Removido"/>
    <x v="0"/>
    <x v="0"/>
  </r>
  <r>
    <n v="235"/>
    <x v="11"/>
    <s v="LEI - Lista De Equipamentos E Instrumentos"/>
    <s v="BL1132-0001-ME-LEI-2000"/>
    <s v="LISTA DE EQUIPAMENTOS MECÂNICOS"/>
    <s v="Básico"/>
    <n v="1"/>
    <s v="2"/>
    <s v="0036"/>
    <s v="PARA APROVAÇÃO"/>
    <d v="2026-07-10T16:48:36"/>
    <s v=""/>
    <s v=""/>
    <x v="5"/>
    <x v="5"/>
    <x v="1"/>
    <s v=""/>
    <s v="Documento Emitido"/>
    <s v="Documento Emitido"/>
    <s v="Documento Emitido"/>
    <s v="Documento Emitido"/>
    <x v="1"/>
    <x v="2"/>
  </r>
  <r>
    <n v="236"/>
    <x v="0"/>
    <e v="#N/A"/>
    <s v="BL1132-0001-ME-MCA-2000"/>
    <e v="#N/A"/>
    <s v="Básico"/>
    <e v="#N/A"/>
    <e v="#N/A"/>
    <e v="#N/A"/>
    <e v="#N/A"/>
    <e v="#N/A"/>
    <e v="#N/A"/>
    <e v="#N/A"/>
    <x v="1"/>
    <x v="0"/>
    <x v="0"/>
    <e v="#N/A"/>
    <s v="Documento Removido"/>
    <s v="Documento Removido"/>
    <s v="Documento Removido"/>
    <s v="Documento Removido"/>
    <x v="0"/>
    <x v="0"/>
  </r>
  <r>
    <n v="237"/>
    <x v="11"/>
    <s v="MCA - Memória De Cálculo"/>
    <s v="BL1132-0001-ME-MCA-2002"/>
    <s v="MEMÓRIA DE CÁLCULO - CALDEIRARIA E PEQUENAS ESTRUTURAS"/>
    <s v="Básico"/>
    <n v="0"/>
    <n v="0"/>
    <s v=""/>
    <s v=""/>
    <s v="Documento a emitir"/>
    <s v="Documento a emitir"/>
    <s v=""/>
    <x v="2"/>
    <x v="2"/>
    <x v="0"/>
    <s v=""/>
    <d v="2026-08-21T00:00:00"/>
    <s v="No prazo"/>
    <d v="2026-08-05T00:00:00"/>
    <s v="Emissão Atrasada"/>
    <x v="3"/>
    <x v="1"/>
  </r>
  <r>
    <n v="238"/>
    <x v="11"/>
    <s v="MCA - Memória De Cálculo"/>
    <s v="BL1132-0001-ME-MCA-2003"/>
    <s v="MEMÓRIAL DE CÁLCULO - EQUIPAMENTOS DE MANUSEIO"/>
    <s v="Básico"/>
    <n v="0"/>
    <s v="2"/>
    <s v="0031"/>
    <s v="PARA APROVAÇÃO"/>
    <d v="2026-07-09T16:14:14"/>
    <d v="2026-07-13T13:22:40"/>
    <s v=""/>
    <x v="4"/>
    <x v="4"/>
    <x v="0"/>
    <s v="APC-R  - APC-R - Aprovado com Comentários (Retornar para uma nova Aprovação)"/>
    <s v="Documento Emitido"/>
    <s v="Documento Emitido"/>
    <s v="Documento Emitido"/>
    <s v="Documento Emitido"/>
    <x v="1"/>
    <x v="3"/>
  </r>
  <r>
    <n v="239"/>
    <x v="0"/>
    <e v="#N/A"/>
    <s v="BL1132-0001-ME-MCA-2005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240"/>
    <x v="11"/>
    <s v="MCA - Memória De Cálculo"/>
    <s v="BL1132-0001-ME-MCA-2007"/>
    <s v="MEMÓRIA DE CÁLCULO - 1411-ST-001 - SILO DE ALIMENTAÇÃO - GALPÃO DE ESTOCAGEM BIG-BAGS"/>
    <s v="Básico"/>
    <n v="0"/>
    <n v="0"/>
    <s v=""/>
    <s v=""/>
    <s v="Documento a emitir"/>
    <s v="Documento a emitir"/>
    <s v=""/>
    <x v="2"/>
    <x v="2"/>
    <x v="0"/>
    <s v=""/>
    <d v="2026-07-29T00:00:00"/>
    <s v="No prazo"/>
    <d v="2026-07-03T00:00:00"/>
    <s v="Emissão Atrasada"/>
    <x v="4"/>
    <x v="1"/>
  </r>
  <r>
    <n v="241"/>
    <x v="11"/>
    <s v="PBC - Plano De Bases E Cargas"/>
    <s v="BL1132-0001-ME-PBC-2000"/>
    <s v="MEMÓRIA DE CÁLCULO - PLANO DE CARGAS - RENWA META - SILO DE ALIMENTAÇÃO E GALPÃO DE ESTOCAGEM BIG-BAGS"/>
    <s v="Básico"/>
    <n v="0"/>
    <s v="A"/>
    <s v="0019"/>
    <s v="PARA APROVAÇÃO"/>
    <d v="2026-07-06T16:57:38"/>
    <d v="2026-07-09T11:45:19"/>
    <s v=""/>
    <x v="4"/>
    <x v="4"/>
    <x v="0"/>
    <s v="APC-R  - APC-R - Aprovado com Comentários (Retornar para uma nova Aprovação)"/>
    <s v="Documento Emitido"/>
    <s v="Documento Emitido"/>
    <s v="Documento Emitido"/>
    <s v="Documento Emitido"/>
    <x v="1"/>
    <x v="3"/>
  </r>
  <r>
    <n v="242"/>
    <x v="11"/>
    <s v="PBC - Plano De Bases E Cargas"/>
    <s v="BL1132-0001-ME-PBC-2001"/>
    <s v="MEMÓRIA DE CÁLCULO - PLANO DE CARGAS - RENWA META – COMPLEMENTO FLASH CALCINER"/>
    <s v="Básico"/>
    <n v="0"/>
    <s v="A"/>
    <s v="0031"/>
    <s v="PARA APROVAÇÃO"/>
    <d v="2026-07-09T16:14:14"/>
    <s v=""/>
    <s v=""/>
    <x v="5"/>
    <x v="5"/>
    <x v="1"/>
    <s v=""/>
    <s v="Documento Emitido"/>
    <s v="Documento Emitido"/>
    <s v="Documento Emitido"/>
    <s v="Documento Emitido"/>
    <x v="1"/>
    <x v="3"/>
  </r>
  <r>
    <n v="243"/>
    <x v="0"/>
    <e v="#N/A"/>
    <s v="BL1132-0001-ME-PBC-2002"/>
    <e v="#N/A"/>
    <s v="Básico"/>
    <e v="#N/A"/>
    <e v="#N/A"/>
    <e v="#N/A"/>
    <e v="#N/A"/>
    <e v="#N/A"/>
    <e v="#N/A"/>
    <e v="#N/A"/>
    <x v="1"/>
    <x v="0"/>
    <x v="0"/>
    <e v="#N/A"/>
    <s v="Documento Removido"/>
    <s v="Documento Removido"/>
    <s v="Documento Removido"/>
    <s v="Documento Removido"/>
    <x v="0"/>
    <x v="0"/>
  </r>
  <r>
    <n v="244"/>
    <x v="0"/>
    <e v="#N/A"/>
    <s v="BL1132-0001-ME-PBC-2003"/>
    <e v="#N/A"/>
    <s v="Básico"/>
    <e v="#N/A"/>
    <e v="#N/A"/>
    <e v="#N/A"/>
    <e v="#N/A"/>
    <e v="#N/A"/>
    <e v="#N/A"/>
    <e v="#N/A"/>
    <x v="1"/>
    <x v="0"/>
    <x v="0"/>
    <e v="#N/A"/>
    <s v="Documento Removido"/>
    <s v="Documento Removido"/>
    <s v="Documento Removido"/>
    <s v="Documento Removido"/>
    <x v="0"/>
    <x v="0"/>
  </r>
  <r>
    <n v="245"/>
    <x v="0"/>
    <e v="#N/A"/>
    <s v="BL1132-0001-ME-PBC-2004"/>
    <e v="#N/A"/>
    <s v="Básico"/>
    <e v="#N/A"/>
    <e v="#N/A"/>
    <e v="#N/A"/>
    <e v="#N/A"/>
    <e v="#N/A"/>
    <e v="#N/A"/>
    <e v="#N/A"/>
    <x v="1"/>
    <x v="0"/>
    <x v="0"/>
    <e v="#N/A"/>
    <s v="Documento Removido"/>
    <s v="Documento Removido"/>
    <s v="Documento Removido"/>
    <s v="Documento Removido"/>
    <x v="0"/>
    <x v="0"/>
  </r>
  <r>
    <n v="246"/>
    <x v="11"/>
    <s v="PBC - Plano De Bases E Cargas"/>
    <s v="BL1132-0001-ME-PBC-2005"/>
    <s v="MEMÓRIA DE CÁLCULO - PLANO DE CARGAS - BALANÇA - PÁTIO PROVISÓRIO"/>
    <s v="Básico"/>
    <n v="0"/>
    <s v="0"/>
    <s v=""/>
    <s v=""/>
    <s v="Documento a emitir"/>
    <s v="Documento a emitir"/>
    <s v=""/>
    <x v="2"/>
    <x v="2"/>
    <x v="0"/>
    <s v=""/>
    <d v="2026-07-24T00:00:00"/>
    <s v="No prazo"/>
    <d v="2026-07-21T00:00:00"/>
    <s v="Emissão Atrasada"/>
    <x v="5"/>
    <x v="1"/>
  </r>
  <r>
    <n v="247"/>
    <x v="11"/>
    <s v="PBC - Plano De Bases E Cargas"/>
    <s v="BL1132-0001-ME-PBC-2006"/>
    <s v="MEMÓRIA DE CÁLCULO - PLANO DE CARGAS - TANQUE DE SPCI"/>
    <s v="Básico"/>
    <n v="0"/>
    <n v="0"/>
    <s v=""/>
    <s v=""/>
    <s v="Documento a emitir"/>
    <s v="Documento a emitir"/>
    <s v=""/>
    <x v="2"/>
    <x v="2"/>
    <x v="0"/>
    <s v=""/>
    <d v="2026-08-14T00:00:00"/>
    <s v="No prazo"/>
    <d v="2026-07-29T00:00:00"/>
    <s v="Emissão Atrasada"/>
    <x v="3"/>
    <x v="1"/>
  </r>
  <r>
    <n v="248"/>
    <x v="11"/>
    <s v="PBC - Plano De Bases E Cargas"/>
    <s v="BL1132-0001-ME-PBC-2007"/>
    <s v="MEMÓRIA DE CÁLCULO  - PLANO DE CARGAS – SISTEMA DE MANUSEIO"/>
    <s v="Básico"/>
    <n v="0"/>
    <s v="1"/>
    <s v="0028"/>
    <s v="PARA APROVAÇÃO"/>
    <d v="2026-07-08T16:16:32"/>
    <d v="2026-07-09T16:21:40"/>
    <s v=""/>
    <x v="4"/>
    <x v="4"/>
    <x v="0"/>
    <s v="APC-R  - APC-R - Aprovado com Comentários (Retornar para uma nova Aprovação)"/>
    <s v="Documento Emitido"/>
    <s v="Documento Emitido"/>
    <s v="Documento Emitido"/>
    <s v="Documento Emitido"/>
    <x v="1"/>
    <x v="3"/>
  </r>
  <r>
    <n v="249"/>
    <x v="11"/>
    <s v="PBC - Plano De Bases E Cargas"/>
    <s v="BL1132-0001-ME-PBC-2008"/>
    <s v="MEMÓRIA DE CÁLCULO - PLANO DE CARGAS - SISTEMA DE CARREGAMENTO DE VAGÕES - EXTRAÇÃO DO SILO 1316-SI-001"/>
    <s v="Básico"/>
    <n v="0"/>
    <s v="A"/>
    <s v="0036"/>
    <s v="PARA APROVAÇÃO"/>
    <d v="2026-07-10T16:48:36"/>
    <s v=""/>
    <s v=""/>
    <x v="5"/>
    <x v="5"/>
    <x v="1"/>
    <s v=""/>
    <s v="Documento Emitido"/>
    <s v="Documento Emitido"/>
    <s v="Documento Emitido"/>
    <s v="Documento Emitido"/>
    <x v="1"/>
    <x v="3"/>
  </r>
  <r>
    <n v="250"/>
    <x v="11"/>
    <s v="PBC - Plano De Bases E Cargas"/>
    <s v="BL1132-0001-ME-PBC-2009"/>
    <s v="MEMÓRIA DE CÁLCULO  - PLANO DE CARGAS – PRÉDIO DA BRITAGEM"/>
    <s v="Básico"/>
    <n v="0"/>
    <s v="2"/>
    <s v="0024"/>
    <s v="PARA APROVAÇÃO"/>
    <d v="2026-07-07T16:18:04"/>
    <d v="2026-07-09T17:18:29"/>
    <s v=""/>
    <x v="4"/>
    <x v="4"/>
    <x v="0"/>
    <s v="APC-R  - APC-R - Aprovado com Comentários (Retornar para uma nova Aprovação)"/>
    <s v="Documento Emitido"/>
    <s v="Documento Emitido"/>
    <s v="Documento Emitido"/>
    <s v="Documento Emitido"/>
    <x v="1"/>
    <x v="3"/>
  </r>
  <r>
    <n v="251"/>
    <x v="11"/>
    <s v="PQU - Planilha De Quantitativos"/>
    <s v="BL1132-0001-ME-PQU-2000"/>
    <s v="PLANILHA DE QUANTIDADES - FORNECIMENTO DE CALDEIRARIA"/>
    <s v="Básico"/>
    <n v="0"/>
    <n v="0"/>
    <s v=""/>
    <s v=""/>
    <s v="Documento a emitir"/>
    <s v="Documento a emitir"/>
    <s v=""/>
    <x v="2"/>
    <x v="2"/>
    <x v="0"/>
    <s v=""/>
    <d v="2026-08-26T00:00:00"/>
    <s v="No prazo"/>
    <d v="2026-08-31T00:00:00"/>
    <s v="No prazo"/>
    <x v="3"/>
    <x v="1"/>
  </r>
  <r>
    <n v="252"/>
    <x v="11"/>
    <s v="PQU - Planilha De Quantitativos"/>
    <s v="BL1132-0001-ME-PQU-2001"/>
    <s v="PLANILHA DE QUANTIDADES - FORNECIMENTO DE EQUIPAMENTOS MECÂNICOS"/>
    <s v="Básico"/>
    <n v="0"/>
    <n v="0"/>
    <s v=""/>
    <s v=""/>
    <s v="Documento a emitir"/>
    <s v="Documento a emitir"/>
    <s v=""/>
    <x v="2"/>
    <x v="2"/>
    <x v="0"/>
    <s v=""/>
    <d v="2026-08-26T00:00:00"/>
    <s v="No prazo"/>
    <d v="2026-08-31T00:00:00"/>
    <s v="No prazo"/>
    <x v="3"/>
    <x v="1"/>
  </r>
  <r>
    <n v="253"/>
    <x v="11"/>
    <s v="PQU - Planilha De Quantitativos"/>
    <s v="BL1132-0001-ME-PQU-2002"/>
    <s v="PLANILHA QUANTIDADES - MONTAGEM ELETROMECÂNICA"/>
    <s v="Básico"/>
    <n v="0"/>
    <n v="0"/>
    <s v=""/>
    <s v=""/>
    <s v="Documento a emitir"/>
    <s v="Documento a emitir"/>
    <s v=""/>
    <x v="2"/>
    <x v="2"/>
    <x v="0"/>
    <s v=""/>
    <d v="2026-08-26T00:00:00"/>
    <s v="No prazo"/>
    <d v="2026-08-31T00:00:00"/>
    <s v="No prazo"/>
    <x v="3"/>
    <x v="1"/>
  </r>
  <r>
    <n v="254"/>
    <x v="12"/>
    <s v="CRO - Cronograma"/>
    <s v="BL1132-0001-PC-CRO-2000"/>
    <s v="CRONOGRAMA DETALHADO"/>
    <s v="Básico"/>
    <n v="1"/>
    <s v="0"/>
    <s v="0037"/>
    <s v="PARA CONHECIMENTO"/>
    <d v="2026-07-10T16:48:46"/>
    <d v="2026-07-13T11:36:22"/>
    <d v="2026-07-10T16:48:46"/>
    <x v="3"/>
    <x v="3"/>
    <x v="0"/>
    <s v="APR - APROVADO"/>
    <s v="Documento Emitido"/>
    <s v="Documento Emitido"/>
    <s v="Documento Emitido"/>
    <s v="Documento Emitido"/>
    <x v="1"/>
    <x v="2"/>
  </r>
  <r>
    <n v="255"/>
    <x v="13"/>
    <s v="ETE - Especificação Técnica"/>
    <s v="BL1132-0001-TU-ETE-2000"/>
    <s v="ESPECIFICAÇÃO GERAL - MATERIAIS DE TUBULAÇÃO"/>
    <s v="Básico"/>
    <n v="0"/>
    <n v="0"/>
    <s v=""/>
    <s v=""/>
    <s v="Documento a emitir"/>
    <s v="Documento a emitir"/>
    <s v=""/>
    <x v="2"/>
    <x v="2"/>
    <x v="0"/>
    <s v=""/>
    <d v="2026-08-25T00:00:00"/>
    <s v="No prazo"/>
    <d v="2026-08-21T00:00:00"/>
    <s v="Emissão Atrasada"/>
    <x v="3"/>
    <x v="1"/>
  </r>
  <r>
    <n v="256"/>
    <x v="0"/>
    <e v="#N/A"/>
    <s v="BL1132-0001-TU-LMA-2000"/>
    <e v="#N/A"/>
    <s v="Básico"/>
    <e v="#N/A"/>
    <e v="#N/A"/>
    <e v="#N/A"/>
    <e v="#N/A"/>
    <e v="#N/A"/>
    <e v="#N/A"/>
    <e v="#N/A"/>
    <x v="1"/>
    <x v="0"/>
    <x v="0"/>
    <e v="#N/A"/>
    <s v="Documento Removido"/>
    <s v="Documento Removido"/>
    <s v="Documento Removido"/>
    <s v="Documento Removido"/>
    <x v="0"/>
    <x v="0"/>
  </r>
  <r>
    <n v="257"/>
    <x v="13"/>
    <s v="MCA - Memória De Cálculo"/>
    <s v="BL1132-0001-TU-MCA-2000"/>
    <s v="MEMÓRIA DE CÁLCULO - ESTIMATIVA DE MATERIAIS DE TUBULAÇÃO"/>
    <s v="Básico"/>
    <n v="0"/>
    <n v="0"/>
    <s v=""/>
    <s v=""/>
    <s v="Documento a emitir"/>
    <s v="Documento a emitir"/>
    <s v=""/>
    <x v="2"/>
    <x v="2"/>
    <x v="0"/>
    <s v=""/>
    <d v="2026-08-18T00:00:00"/>
    <s v="No prazo"/>
    <d v="2026-08-14T00:00:00"/>
    <s v="Emissão Atrasada"/>
    <x v="3"/>
    <x v="1"/>
  </r>
  <r>
    <n v="258"/>
    <x v="13"/>
    <s v="PQU - Planilha De Quantitativos"/>
    <s v="BL1132-0001-TU-PQU-2000"/>
    <s v="PLANILHA DE QUANTIDADES - FORNECIMENTO DE TUBULAÇÕES"/>
    <s v="Básico"/>
    <n v="0"/>
    <n v="0"/>
    <s v=""/>
    <s v=""/>
    <s v="Documento a emitir"/>
    <s v="Documento a emitir"/>
    <s v=""/>
    <x v="2"/>
    <x v="2"/>
    <x v="0"/>
    <s v=""/>
    <d v="2026-09-02T00:00:00"/>
    <s v="No prazo"/>
    <d v="2026-08-31T00:00:00"/>
    <s v="Emissão Atrasada"/>
    <x v="3"/>
    <x v="1"/>
  </r>
  <r>
    <n v="259"/>
    <x v="14"/>
    <s v="ETE - Especificação Técnica"/>
    <s v="BL1132-0001-UT-ETE-2000"/>
    <s v="ESPECIFICAÇÃO TÉCNICA - SKID DE BOMBAS PARA COMBATE A INCÊNDIO"/>
    <s v="Básico"/>
    <n v="0"/>
    <n v="0"/>
    <s v=""/>
    <s v=""/>
    <s v="Documento a emitir"/>
    <s v="Documento a emitir"/>
    <s v=""/>
    <x v="2"/>
    <x v="2"/>
    <x v="0"/>
    <s v=""/>
    <d v="2026-08-05T00:00:00"/>
    <s v="No prazo"/>
    <d v="2026-08-13T00:00:00"/>
    <s v="No prazo"/>
    <x v="3"/>
    <x v="1"/>
  </r>
  <r>
    <n v="260"/>
    <x v="14"/>
    <s v="ETE - Especificação Técnica"/>
    <s v="BL1132-0001-UT-ETE-2001"/>
    <s v="ESPECIFICAÇÃO TÉCNICA - ESTAÇÃO DE TRATAMENTO DE ÁGUA - ETA"/>
    <s v="Básico"/>
    <n v="0"/>
    <n v="0"/>
    <s v=""/>
    <s v=""/>
    <s v="Documento a emitir"/>
    <s v="Documento a emitir"/>
    <s v=""/>
    <x v="2"/>
    <x v="2"/>
    <x v="0"/>
    <s v=""/>
    <d v="2026-08-05T00:00:00"/>
    <s v="No prazo"/>
    <d v="2026-08-11T00:00:00"/>
    <s v="No prazo"/>
    <x v="3"/>
    <x v="1"/>
  </r>
  <r>
    <n v="261"/>
    <x v="14"/>
    <s v="FDA - Folha De Dados"/>
    <s v="BL1132-0001-UT-FDA-2000"/>
    <s v="FOLHA DE DADOS - SKID DE COMBATE A INCÊNDIO"/>
    <s v="Básico"/>
    <n v="0"/>
    <n v="0"/>
    <s v=""/>
    <s v=""/>
    <s v="Documento a emitir"/>
    <s v="Documento a emitir"/>
    <s v=""/>
    <x v="2"/>
    <x v="2"/>
    <x v="0"/>
    <s v=""/>
    <d v="2026-08-10T00:00:00"/>
    <s v="No prazo"/>
    <d v="2026-08-18T00:00:00"/>
    <s v="No prazo"/>
    <x v="3"/>
    <x v="1"/>
  </r>
  <r>
    <n v="262"/>
    <x v="14"/>
    <s v="FEN - Fluxograma De Engenharia"/>
    <s v="BL1132-0001-UT-FEN-2000"/>
    <s v="FLUXOGRAMA DE ENGENHARIA - P&amp;ID - AR COMPRIMIDO PARA LABORATÓRIO, RECOLHA DE ÓLEO USADO DA OFICINA DE EQUIPAMENTOS MÓVEIS"/>
    <s v="Básico"/>
    <n v="0"/>
    <n v="0"/>
    <s v=""/>
    <s v=""/>
    <s v="Documento a emitir"/>
    <s v="Documento a emitir"/>
    <s v=""/>
    <x v="2"/>
    <x v="2"/>
    <x v="0"/>
    <s v=""/>
    <d v="2026-08-12T00:00:00"/>
    <s v="No prazo"/>
    <d v="2026-07-10T00:00:00"/>
    <s v="Emissão Atrasada"/>
    <x v="3"/>
    <x v="1"/>
  </r>
  <r>
    <n v="263"/>
    <x v="14"/>
    <s v="FEN - Fluxograma De Engenharia"/>
    <s v="BL1132-0001-UT-FEN-2001"/>
    <s v="FLUXOGRAMA DE ENGENHARIA - P&amp;ID - CAPTAÇÃO, ARMAZENAMENTO E DISTRIBUIÇÃO DE ÁGUA"/>
    <s v="Básico"/>
    <n v="0"/>
    <n v="0"/>
    <s v=""/>
    <s v=""/>
    <s v="Documento a emitir"/>
    <s v="Documento a emitir"/>
    <s v=""/>
    <x v="2"/>
    <x v="2"/>
    <x v="0"/>
    <s v=""/>
    <d v="2026-08-03T00:00:00"/>
    <s v="No prazo"/>
    <d v="2026-08-07T00:00:00"/>
    <s v="No prazo"/>
    <x v="3"/>
    <x v="1"/>
  </r>
  <r>
    <n v="264"/>
    <x v="14"/>
    <s v="FEN - Fluxograma De Engenharia"/>
    <s v="BL1132-0001-UT-FEN-2002"/>
    <s v="FLUXOGRAMA DE ENGENHARIA - P&amp;ID - ÁGUA PARA COMBATE A INCÊNDIO - 1/3"/>
    <s v="Básico"/>
    <n v="0"/>
    <n v="0"/>
    <s v=""/>
    <s v=""/>
    <s v="Documento a emitir"/>
    <s v="Documento a emitir"/>
    <s v=""/>
    <x v="2"/>
    <x v="2"/>
    <x v="0"/>
    <s v=""/>
    <d v="2026-07-22T00:00:00"/>
    <s v="No prazo"/>
    <d v="2026-07-30T00:00:00"/>
    <s v="No prazo"/>
    <x v="5"/>
    <x v="1"/>
  </r>
  <r>
    <n v="265"/>
    <x v="14"/>
    <s v="FEN - Fluxograma De Engenharia"/>
    <s v="BL1132-0001-UT-FEN-2003"/>
    <s v="FLUXOGRAMA DE ENGENHARIA - P&amp;ID - ÁGUA PARA COMBATE A INCÊNDIO - 2/3"/>
    <s v="Básico"/>
    <n v="0"/>
    <n v="0"/>
    <s v=""/>
    <s v=""/>
    <s v="Documento a emitir"/>
    <s v="Documento a emitir"/>
    <s v=""/>
    <x v="2"/>
    <x v="2"/>
    <x v="0"/>
    <s v=""/>
    <d v="2026-07-27T00:00:00"/>
    <s v="No prazo"/>
    <d v="2026-08-04T00:00:00"/>
    <s v="No prazo"/>
    <x v="4"/>
    <x v="1"/>
  </r>
  <r>
    <n v="266"/>
    <x v="14"/>
    <s v="FEN - Fluxograma De Engenharia"/>
    <s v="BL1132-0001-UT-FEN-2004"/>
    <s v="FLUXOGRAMA DE ENGENHARIA - P&amp;ID - ÁGUA PARA COMBATE A INCÊNDIO - 3/3"/>
    <s v="Básico"/>
    <n v="0"/>
    <n v="0"/>
    <s v=""/>
    <s v=""/>
    <s v="Documento a emitir"/>
    <s v="Documento a emitir"/>
    <s v=""/>
    <x v="2"/>
    <x v="2"/>
    <x v="0"/>
    <s v=""/>
    <d v="2026-07-30T00:00:00"/>
    <s v="No prazo"/>
    <d v="2026-08-07T00:00:00"/>
    <s v="No prazo"/>
    <x v="4"/>
    <x v="1"/>
  </r>
  <r>
    <n v="267"/>
    <x v="14"/>
    <s v="FEN - Fluxograma De Engenharia"/>
    <s v="BL1132-0001-UT-FEN-2005"/>
    <s v="FLUXOGRAMA DE ENGENHARIA - P&amp;ID - ÁGUA DE SERVIÇO"/>
    <s v="Básico"/>
    <n v="0"/>
    <n v="0"/>
    <s v=""/>
    <s v=""/>
    <s v="Documento a emitir"/>
    <s v="Documento a emitir"/>
    <s v=""/>
    <x v="2"/>
    <x v="2"/>
    <x v="0"/>
    <s v=""/>
    <d v="2026-08-03T00:00:00"/>
    <s v="No prazo"/>
    <d v="2026-08-07T00:00:00"/>
    <s v="No prazo"/>
    <x v="3"/>
    <x v="1"/>
  </r>
  <r>
    <n v="268"/>
    <x v="14"/>
    <s v="FEN - Fluxograma De Engenharia"/>
    <s v="BL1132-0001-UT-FEN-2006"/>
    <s v="FLUXOGRAMA DE ENGENHARIA - P&amp;ID - ÁGUA POTÁVEL"/>
    <s v="Básico"/>
    <n v="0"/>
    <n v="0"/>
    <s v=""/>
    <s v=""/>
    <s v="Documento a emitir"/>
    <s v="Documento a emitir"/>
    <s v=""/>
    <x v="2"/>
    <x v="2"/>
    <x v="0"/>
    <s v=""/>
    <d v="2026-08-03T00:00:00"/>
    <s v="No prazo"/>
    <d v="2026-08-07T00:00:00"/>
    <s v="No prazo"/>
    <x v="3"/>
    <x v="1"/>
  </r>
  <r>
    <n v="269"/>
    <x v="14"/>
    <s v="FEN - Fluxograma De Engenharia"/>
    <s v="BL1132-0001-UT-FEN-2007"/>
    <s v="FLUXOGRAMA DE ENGENHARIA - P&amp;ID - ÁGUA POTÁVEL"/>
    <s v="Básico"/>
    <n v="0"/>
    <n v="0"/>
    <s v=""/>
    <s v=""/>
    <s v="Documento a emitir"/>
    <s v="Documento a emitir"/>
    <s v=""/>
    <x v="2"/>
    <x v="2"/>
    <x v="0"/>
    <s v=""/>
    <d v="2026-08-03T00:00:00"/>
    <s v="No prazo"/>
    <d v="2026-08-07T00:00:00"/>
    <s v="No prazo"/>
    <x v="3"/>
    <x v="1"/>
  </r>
  <r>
    <n v="270"/>
    <x v="14"/>
    <s v="FEN - Fluxograma De Engenharia"/>
    <s v="BL1132-0001-UT-FEN-2008"/>
    <s v="UFD - BALANÇO DE ÁGUA POTÁVEL 1 MTPA"/>
    <s v="Básico"/>
    <n v="0"/>
    <s v="2"/>
    <s v=""/>
    <s v=""/>
    <s v="Documento a emitir"/>
    <s v="Documento a emitir"/>
    <s v=""/>
    <x v="2"/>
    <x v="2"/>
    <x v="0"/>
    <s v=""/>
    <d v="2026-07-22T00:00:00"/>
    <s v="No prazo"/>
    <d v="2026-07-28T00:00:00"/>
    <s v="No prazo"/>
    <x v="5"/>
    <x v="1"/>
  </r>
  <r>
    <n v="271"/>
    <x v="14"/>
    <s v="FEN - Fluxograma De Engenharia"/>
    <s v="BL1132-0001-UT-FEN-2009"/>
    <s v="UFD - BALANÇO DE AR COMPRIMIDO 1 MTPA"/>
    <s v="Básico"/>
    <n v="0"/>
    <n v="0"/>
    <s v=""/>
    <s v=""/>
    <s v="Documento a emitir"/>
    <s v="Documento a emitir"/>
    <s v=""/>
    <x v="2"/>
    <x v="2"/>
    <x v="0"/>
    <s v=""/>
    <d v="2026-08-05T00:00:00"/>
    <s v="No prazo"/>
    <d v="2026-08-11T00:00:00"/>
    <s v="No prazo"/>
    <x v="3"/>
    <x v="1"/>
  </r>
  <r>
    <n v="272"/>
    <x v="14"/>
    <s v="FEN - Fluxograma De Engenharia"/>
    <s v="BL1132-0001-UT-FEN-2010"/>
    <s v="UFD - BALANÇO DE ÁGUA 1 MTPA"/>
    <s v="Básico"/>
    <n v="0"/>
    <n v="0"/>
    <s v=""/>
    <s v=""/>
    <s v="Documento a emitir"/>
    <s v="Documento a emitir"/>
    <s v=""/>
    <x v="2"/>
    <x v="2"/>
    <x v="0"/>
    <s v=""/>
    <d v="2026-07-28T00:00:00"/>
    <s v="No prazo"/>
    <d v="2026-08-03T00:00:00"/>
    <s v="No prazo"/>
    <x v="4"/>
    <x v="1"/>
  </r>
  <r>
    <n v="273"/>
    <x v="14"/>
    <s v="FEN - Fluxograma De Engenharia"/>
    <s v="BL1132-0001-UT-FEN-2011"/>
    <s v="FLUXOGRAMA DE ENGENHARIA - P&amp;ID - AR COMPRIMIDO DE INSTRUMENTOS - 2/3"/>
    <s v="Básico"/>
    <n v="0"/>
    <n v="0"/>
    <s v=""/>
    <s v=""/>
    <s v="Documento a emitir"/>
    <s v="Documento a emitir"/>
    <s v=""/>
    <x v="2"/>
    <x v="2"/>
    <x v="0"/>
    <s v=""/>
    <d v="2026-08-11T00:00:00"/>
    <s v="No prazo"/>
    <d v="2026-08-17T00:00:00"/>
    <s v="No prazo"/>
    <x v="3"/>
    <x v="1"/>
  </r>
  <r>
    <n v="274"/>
    <x v="14"/>
    <s v="FEN - Fluxograma De Engenharia"/>
    <s v="BL1132-0001-UT-FEN-2012"/>
    <s v="FLUXOGRAMA DE ENGENHARIA - P&amp;ID - AR DE SERVIÇO - 3/3"/>
    <s v="Básico"/>
    <n v="0"/>
    <n v="0"/>
    <s v=""/>
    <s v=""/>
    <s v="Documento a emitir"/>
    <s v="Documento a emitir"/>
    <s v=""/>
    <x v="2"/>
    <x v="2"/>
    <x v="0"/>
    <s v=""/>
    <d v="2026-08-14T00:00:00"/>
    <s v="No prazo"/>
    <d v="2026-08-20T00:00:00"/>
    <s v="No prazo"/>
    <x v="3"/>
    <x v="1"/>
  </r>
  <r>
    <n v="275"/>
    <x v="0"/>
    <e v="#N/A"/>
    <s v="BL1132-0001-UT-FEN-2013"/>
    <e v="#N/A"/>
    <s v="Básico"/>
    <e v="#N/A"/>
    <e v="#N/A"/>
    <e v="#N/A"/>
    <e v="#N/A"/>
    <e v="#N/A"/>
    <e v="#N/A"/>
    <e v="#N/A"/>
    <x v="1"/>
    <x v="0"/>
    <x v="0"/>
    <e v="#N/A"/>
    <s v="Documento Removido"/>
    <s v="Documento Removido"/>
    <s v="Documento Removido"/>
    <s v="Documento Removido"/>
    <x v="0"/>
    <x v="0"/>
  </r>
  <r>
    <n v="276"/>
    <x v="14"/>
    <s v="LLC - Lista De Linhas E Cabos"/>
    <s v="BL1132-0001-UT-LLC-2000"/>
    <s v="LISTA DE LINHAS - LISTA DE LINHAS"/>
    <s v="Básico"/>
    <n v="0"/>
    <n v="0"/>
    <s v=""/>
    <s v=""/>
    <s v="Documento a emitir"/>
    <s v="Documento a emitir"/>
    <s v=""/>
    <x v="2"/>
    <x v="2"/>
    <x v="0"/>
    <s v=""/>
    <d v="2026-08-14T00:00:00"/>
    <s v="No prazo"/>
    <d v="2026-08-20T00:00:00"/>
    <s v="No prazo"/>
    <x v="3"/>
    <x v="1"/>
  </r>
  <r>
    <n v="277"/>
    <x v="14"/>
    <s v="MCA - Memória De Cálculo"/>
    <s v="BL1132-0001-UT-MCA-2000"/>
    <s v="MEMÓRIA DE CÁLCULO - SISTEMA DE COMBATE A INCÊNDIO"/>
    <s v="Básico"/>
    <n v="0"/>
    <n v="0"/>
    <s v=""/>
    <s v=""/>
    <s v="Documento a emitir"/>
    <s v="Documento a emitir"/>
    <s v=""/>
    <x v="2"/>
    <x v="2"/>
    <x v="0"/>
    <s v=""/>
    <d v="2026-07-17T00:00:00"/>
    <s v="No prazo"/>
    <d v="2026-07-23T00:00:00"/>
    <s v="No prazo"/>
    <x v="2"/>
    <x v="1"/>
  </r>
  <r>
    <n v="278"/>
    <x v="14"/>
    <s v="MCA - Memória De Cálculo"/>
    <s v="BL1132-0001-UT-MCA-2001"/>
    <s v="MEMÓRIA DE CÁLCULO - ÁGUA POTÁVEL"/>
    <s v="Básico"/>
    <n v="0"/>
    <s v="2"/>
    <s v="0025"/>
    <s v="PARA APROVAÇÃO"/>
    <d v="2026-07-07T16:18:14"/>
    <d v="2026-07-10T11:50:08"/>
    <s v=""/>
    <x v="4"/>
    <x v="4"/>
    <x v="0"/>
    <s v="APR - APROVADO"/>
    <s v="Documento Emitido"/>
    <s v="Documento Emitido"/>
    <s v="Documento Emitido"/>
    <s v="Documento Emitido"/>
    <x v="1"/>
    <x v="3"/>
  </r>
  <r>
    <n v="279"/>
    <x v="0"/>
    <e v="#N/A"/>
    <s v="BL1132-0001-UT-MCA-2002"/>
    <e v="#N/A"/>
    <s v="Básico"/>
    <e v="#N/A"/>
    <e v="#N/A"/>
    <e v="#N/A"/>
    <e v="#N/A"/>
    <e v="#N/A"/>
    <e v="#N/A"/>
    <e v="#N/A"/>
    <x v="1"/>
    <x v="0"/>
    <x v="0"/>
    <e v="#N/A"/>
    <s v="Documento Removido"/>
    <s v="Documento Removido"/>
    <s v="Documento Removido"/>
    <s v="Documento Removido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3000000}" name="Tabela dinâmica5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8">
  <location ref="C38:G48" firstHeaderRow="1" firstDataRow="2" firstDataCol="1"/>
  <pivotFields count="23">
    <pivotField showAll="0"/>
    <pivotField axis="axisRow" showAll="0">
      <items count="16">
        <item x="1"/>
        <item x="3"/>
        <item x="5"/>
        <item x="7"/>
        <item x="8"/>
        <item x="9"/>
        <item x="10"/>
        <item x="11"/>
        <item x="12"/>
        <item x="13"/>
        <item x="0"/>
        <item x="6"/>
        <item x="2"/>
        <item x="4"/>
        <item x="1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h="1" x="3"/>
        <item h="1" x="1"/>
        <item h="1" x="0"/>
        <item x="2"/>
        <item x="5"/>
        <item x="4"/>
        <item t="default"/>
      </items>
    </pivotField>
    <pivotField showAll="0"/>
  </pivotFields>
  <rowFields count="1">
    <field x="1"/>
  </rowFields>
  <rowItems count="9">
    <i>
      <x/>
    </i>
    <i>
      <x v="1"/>
    </i>
    <i>
      <x v="3"/>
    </i>
    <i>
      <x v="4"/>
    </i>
    <i>
      <x v="7"/>
    </i>
    <i>
      <x v="12"/>
    </i>
    <i>
      <x v="13"/>
    </i>
    <i>
      <x v="14"/>
    </i>
    <i t="grand">
      <x/>
    </i>
  </rowItems>
  <colFields count="1">
    <field x="21"/>
  </colFields>
  <colItems count="4">
    <i>
      <x v="3"/>
    </i>
    <i>
      <x v="4"/>
    </i>
    <i>
      <x v="5"/>
    </i>
    <i t="grand">
      <x/>
    </i>
  </colItems>
  <dataFields count="1">
    <dataField name="Contagem de Nº DOCUMENTO EMPRESA" fld="3" subtotal="count" baseField="0" baseItem="0"/>
  </dataFields>
  <chartFormats count="15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7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8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9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0" format="10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0" format="11" series="1">
      <pivotArea type="data" outline="0" fieldPosition="0">
        <references count="1">
          <reference field="1" count="1" selected="0">
            <x v="7"/>
          </reference>
        </references>
      </pivotArea>
    </chartFormat>
    <chartFormat chart="0" format="12" series="1">
      <pivotArea type="data" outline="0" fieldPosition="0">
        <references count="1">
          <reference field="1" count="1" selected="0">
            <x v="8"/>
          </reference>
        </references>
      </pivotArea>
    </chartFormat>
    <chartFormat chart="0" format="13" series="1">
      <pivotArea type="data" outline="0" fieldPosition="0">
        <references count="1">
          <reference field="1" count="1" selected="0">
            <x v="9"/>
          </reference>
        </references>
      </pivotArea>
    </chartFormat>
    <chartFormat chart="0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2000000}" name="Tabela dinâ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6">
  <location ref="C24:F28" firstHeaderRow="1" firstDataRow="2" firstDataCol="1"/>
  <pivotFields count="23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h="1" x="2"/>
        <item h="1" x="1"/>
        <item x="4"/>
        <item x="5"/>
        <item h="1" x="3"/>
        <item h="1" x="0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3">
    <i>
      <x v="2"/>
    </i>
    <i>
      <x v="3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Contagem de Nº DOCUMENTO EMPRESA" fld="3" subtotal="count" baseField="0" baseItem="0"/>
  </dataFields>
  <chartFormats count="3">
    <chartFormat chart="0" format="22" series="1">
      <pivotArea type="data" outline="0" fieldPosition="0">
        <references count="1">
          <reference field="15" count="1" selected="0">
            <x v="0"/>
          </reference>
        </references>
      </pivotArea>
    </chartFormat>
    <chartFormat chart="0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Tabela dinâmica6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2">
  <location ref="C59:F71" firstHeaderRow="1" firstDataRow="2" firstDataCol="1"/>
  <pivotFields count="23">
    <pivotField showAll="0"/>
    <pivotField axis="axisRow" showAll="0">
      <items count="16">
        <item x="1"/>
        <item x="3"/>
        <item x="5"/>
        <item x="7"/>
        <item x="8"/>
        <item x="9"/>
        <item x="10"/>
        <item x="11"/>
        <item x="12"/>
        <item x="13"/>
        <item x="0"/>
        <item x="6"/>
        <item x="2"/>
        <item x="4"/>
        <item x="1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h="1" x="1"/>
        <item h="1" x="0"/>
        <item x="3"/>
        <item x="2"/>
        <item t="default"/>
      </items>
    </pivotField>
  </pivotFields>
  <rowFields count="1">
    <field x="1"/>
  </rowFields>
  <rowItems count="11">
    <i>
      <x/>
    </i>
    <i>
      <x v="1"/>
    </i>
    <i>
      <x v="3"/>
    </i>
    <i>
      <x v="5"/>
    </i>
    <i>
      <x v="6"/>
    </i>
    <i>
      <x v="7"/>
    </i>
    <i>
      <x v="8"/>
    </i>
    <i>
      <x v="11"/>
    </i>
    <i>
      <x v="12"/>
    </i>
    <i>
      <x v="14"/>
    </i>
    <i t="grand">
      <x/>
    </i>
  </rowItems>
  <colFields count="1">
    <field x="22"/>
  </colFields>
  <colItems count="3">
    <i>
      <x v="2"/>
    </i>
    <i>
      <x v="3"/>
    </i>
    <i t="grand">
      <x/>
    </i>
  </colItems>
  <dataFields count="1">
    <dataField name="Contagem de Nº DOCUMENTO EMPRESA" fld="3" subtotal="count" baseField="0" baseItem="0"/>
  </dataFields>
  <chartFormats count="13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7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8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9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0" format="10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0" format="11" series="1">
      <pivotArea type="data" outline="0" fieldPosition="0">
        <references count="1">
          <reference field="1" count="1" selected="0">
            <x v="7"/>
          </reference>
        </references>
      </pivotArea>
    </chartFormat>
    <chartFormat chart="0" format="12" series="1">
      <pivotArea type="data" outline="0" fieldPosition="0">
        <references count="1">
          <reference field="1" count="1" selected="0">
            <x v="8"/>
          </reference>
        </references>
      </pivotArea>
    </chartFormat>
    <chartFormat chart="0" format="13" series="1">
      <pivotArea type="data" outline="0" fieldPosition="0">
        <references count="1">
          <reference field="1" count="1" selected="0">
            <x v="9"/>
          </reference>
        </references>
      </pivotArea>
    </chartFormat>
    <chartFormat chart="0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ela dinâmica3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13">
  <location ref="C13:H15" firstHeaderRow="1" firstDataRow="2" firstDataCol="1" rowPageCount="1" colPageCount="1"/>
  <pivotFields count="23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x="2"/>
        <item x="1"/>
        <item x="4"/>
        <item x="5"/>
        <item x="3"/>
        <item x="0"/>
        <item t="default"/>
      </items>
    </pivotField>
    <pivotField axis="axisCol" showAll="0">
      <items count="7">
        <item x="2"/>
        <item h="1" x="0"/>
        <item x="5"/>
        <item x="3"/>
        <item x="4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14"/>
  </colFields>
  <colItems count="5">
    <i>
      <x/>
    </i>
    <i>
      <x v="2"/>
    </i>
    <i>
      <x v="3"/>
    </i>
    <i>
      <x v="4"/>
    </i>
    <i t="grand">
      <x/>
    </i>
  </colItems>
  <pageFields count="1">
    <pageField fld="13" hier="-1"/>
  </pageFields>
  <dataFields count="1">
    <dataField name="Contagem de Nº DOCUMENTO EMPRESA" fld="3" subtotal="count" baseField="0" baseItem="0"/>
  </dataFields>
  <chartFormats count="8"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51" format="2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52" format="2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0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ExcelBLS1">
  <a:themeElements>
    <a:clrScheme name="BLOSSOM THEME">
      <a:dk1>
        <a:srgbClr val="0A090B"/>
      </a:dk1>
      <a:lt1>
        <a:srgbClr val="F5F5F5"/>
      </a:lt1>
      <a:dk2>
        <a:srgbClr val="1B1A1E"/>
      </a:dk2>
      <a:lt2>
        <a:srgbClr val="F5F5F5"/>
      </a:lt2>
      <a:accent1>
        <a:srgbClr val="D80268"/>
      </a:accent1>
      <a:accent2>
        <a:srgbClr val="F75C01"/>
      </a:accent2>
      <a:accent3>
        <a:srgbClr val="D2D5D3"/>
      </a:accent3>
      <a:accent4>
        <a:srgbClr val="379534"/>
      </a:accent4>
      <a:accent5>
        <a:srgbClr val="027BBE"/>
      </a:accent5>
      <a:accent6>
        <a:srgbClr val="504077"/>
      </a:accent6>
      <a:hlink>
        <a:srgbClr val="006AA2"/>
      </a:hlink>
      <a:folHlink>
        <a:srgbClr val="A1004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Tema Padrão Blossom" id="{C8F503FE-C4F3-4764-972D-B06BCD54203B}" vid="{A1B2AE47-239F-4FC1-947B-B79A554AC348}"/>
    </a:ext>
  </a:extLst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45"/>
  <sheetViews>
    <sheetView workbookViewId="0"/>
  </sheetViews>
  <sheetFormatPr defaultRowHeight="15" x14ac:dyDescent="0.25"/>
  <cols>
    <col min="1" max="1" width="7.28515625" customWidth="1"/>
    <col min="2" max="2" width="18.42578125" customWidth="1"/>
    <col min="3" max="3" width="27.5703125" customWidth="1"/>
    <col min="4" max="4" width="31.140625" customWidth="1"/>
    <col min="5" max="5" width="0" hidden="1"/>
    <col min="6" max="6" width="26.5703125" customWidth="1"/>
    <col min="7" max="7" width="16.5703125" customWidth="1"/>
    <col min="8" max="8" width="29.7109375" customWidth="1"/>
    <col min="9" max="9" width="16.5703125" customWidth="1"/>
    <col min="10" max="10" width="21.28515625" customWidth="1"/>
    <col min="11" max="11" width="12" customWidth="1"/>
    <col min="12" max="12" width="18.7109375" customWidth="1"/>
    <col min="13" max="13" width="18.85546875" customWidth="1"/>
    <col min="14" max="14" width="34.7109375" customWidth="1"/>
    <col min="15" max="15" width="56.140625" customWidth="1"/>
    <col min="16" max="16" width="48.28515625" customWidth="1"/>
    <col min="17" max="17" width="43.28515625" customWidth="1"/>
    <col min="18" max="18" width="53.7109375" customWidth="1"/>
    <col min="19" max="19" width="56.85546875" customWidth="1"/>
    <col min="20" max="20" width="26.85546875" customWidth="1"/>
    <col min="21" max="21" width="27.140625" customWidth="1"/>
    <col min="22" max="22" width="26" customWidth="1"/>
    <col min="23" max="23" width="29" customWidth="1"/>
    <col min="24" max="24" width="33.85546875" customWidth="1"/>
    <col min="25" max="25" width="21.85546875" customWidth="1"/>
    <col min="29" max="29" width="28.85546875" customWidth="1"/>
    <col min="30" max="30" width="30.7109375" customWidth="1"/>
    <col min="31" max="31" width="23.5703125" customWidth="1"/>
    <col min="32" max="32" width="28.140625" customWidth="1"/>
    <col min="33" max="33" width="24.140625" customWidth="1"/>
    <col min="34" max="34" width="14.7109375" customWidth="1"/>
    <col min="35" max="35" width="21.85546875" customWidth="1"/>
    <col min="38" max="38" width="30.5703125" customWidth="1"/>
    <col min="39" max="39" width="22" customWidth="1"/>
    <col min="40" max="40" width="21.85546875" customWidth="1"/>
    <col min="43" max="43" width="22.5703125" customWidth="1"/>
    <col min="44" max="44" width="35.42578125" customWidth="1"/>
    <col min="45" max="45" width="17.85546875" customWidth="1"/>
    <col min="46" max="46" width="28.140625" customWidth="1"/>
    <col min="47" max="47" width="21.85546875" customWidth="1"/>
    <col min="49" max="49" width="50.5703125" customWidth="1"/>
    <col min="50" max="50" width="64.28515625" customWidth="1"/>
    <col min="51" max="51" width="25.7109375" customWidth="1"/>
    <col min="52" max="52" width="115.7109375" customWidth="1"/>
    <col min="53" max="53" width="20.7109375" customWidth="1"/>
    <col min="54" max="54" width="21.7109375" customWidth="1"/>
    <col min="55" max="55" width="48.42578125" customWidth="1"/>
  </cols>
  <sheetData>
    <row r="1" spans="1:55" ht="25.5" customHeight="1" x14ac:dyDescent="0.25">
      <c r="A1" s="114"/>
      <c r="B1" s="115"/>
      <c r="C1" s="116"/>
      <c r="D1" s="120" t="s">
        <v>287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02"/>
      <c r="BB1" s="103"/>
      <c r="BC1" s="104"/>
    </row>
    <row r="2" spans="1:55" ht="25.5" customHeight="1" x14ac:dyDescent="0.25">
      <c r="A2" s="117"/>
      <c r="B2" s="118"/>
      <c r="C2" s="119"/>
      <c r="D2" s="117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8"/>
      <c r="AP2" s="118"/>
      <c r="AQ2" s="118"/>
      <c r="AR2" s="118"/>
      <c r="AS2" s="118"/>
      <c r="AT2" s="118"/>
      <c r="AU2" s="118"/>
      <c r="AV2" s="118"/>
      <c r="AW2" s="118"/>
      <c r="AX2" s="118"/>
      <c r="AY2" s="118"/>
      <c r="AZ2" s="118"/>
      <c r="BA2" s="105"/>
      <c r="BB2" s="106"/>
      <c r="BC2" s="107"/>
    </row>
    <row r="3" spans="1:55" ht="6" customHeight="1" x14ac:dyDescent="0.25">
      <c r="A3" s="37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108"/>
      <c r="BB3" s="109"/>
      <c r="BC3" s="110"/>
    </row>
    <row r="4" spans="1:55" ht="26.25" customHeight="1" x14ac:dyDescent="0.25">
      <c r="A4" s="3" t="s">
        <v>288</v>
      </c>
      <c r="B4" s="3" t="s">
        <v>289</v>
      </c>
      <c r="C4" s="4" t="s">
        <v>0</v>
      </c>
      <c r="D4" s="4" t="s">
        <v>290</v>
      </c>
      <c r="E4" s="4" t="s">
        <v>291</v>
      </c>
      <c r="F4" s="4" t="s">
        <v>1</v>
      </c>
      <c r="G4" s="4" t="s">
        <v>292</v>
      </c>
      <c r="H4" s="4" t="s">
        <v>293</v>
      </c>
      <c r="I4" s="4" t="s">
        <v>294</v>
      </c>
      <c r="J4" s="4" t="s">
        <v>295</v>
      </c>
      <c r="K4" s="4" t="s">
        <v>296</v>
      </c>
      <c r="L4" s="4" t="s">
        <v>297</v>
      </c>
      <c r="M4" s="4" t="s">
        <v>298</v>
      </c>
      <c r="N4" s="4" t="s">
        <v>299</v>
      </c>
      <c r="O4" s="4" t="s">
        <v>300</v>
      </c>
      <c r="P4" s="4" t="s">
        <v>301</v>
      </c>
      <c r="Q4" s="4" t="s">
        <v>302</v>
      </c>
      <c r="R4" s="4" t="s">
        <v>303</v>
      </c>
      <c r="S4" s="4" t="s">
        <v>304</v>
      </c>
      <c r="T4" s="4" t="s">
        <v>305</v>
      </c>
      <c r="U4" s="4" t="s">
        <v>306</v>
      </c>
      <c r="V4" s="4" t="s">
        <v>307</v>
      </c>
      <c r="W4" s="4" t="s">
        <v>308</v>
      </c>
      <c r="X4" s="4" t="s">
        <v>309</v>
      </c>
      <c r="Y4" s="5" t="s">
        <v>310</v>
      </c>
      <c r="Z4" s="5" t="s">
        <v>311</v>
      </c>
      <c r="AA4" s="5" t="s">
        <v>312</v>
      </c>
      <c r="AB4" s="5" t="s">
        <v>313</v>
      </c>
      <c r="AC4" s="5" t="s">
        <v>314</v>
      </c>
      <c r="AD4" s="5" t="s">
        <v>315</v>
      </c>
      <c r="AE4" s="5" t="s">
        <v>316</v>
      </c>
      <c r="AF4" s="5" t="s">
        <v>317</v>
      </c>
      <c r="AG4" s="5" t="s">
        <v>318</v>
      </c>
      <c r="AH4" s="6" t="s">
        <v>319</v>
      </c>
      <c r="AI4" s="4" t="s">
        <v>320</v>
      </c>
      <c r="AJ4" s="4" t="s">
        <v>321</v>
      </c>
      <c r="AK4" s="4" t="s">
        <v>322</v>
      </c>
      <c r="AL4" s="7" t="s">
        <v>323</v>
      </c>
      <c r="AM4" s="7" t="s">
        <v>324</v>
      </c>
      <c r="AN4" s="7" t="s">
        <v>325</v>
      </c>
      <c r="AO4" s="5" t="s">
        <v>326</v>
      </c>
      <c r="AP4" s="4" t="s">
        <v>327</v>
      </c>
      <c r="AQ4" s="5" t="s">
        <v>328</v>
      </c>
      <c r="AR4" s="5" t="s">
        <v>329</v>
      </c>
      <c r="AS4" s="4" t="s">
        <v>330</v>
      </c>
      <c r="AT4" s="8" t="s">
        <v>331</v>
      </c>
      <c r="AU4" s="4" t="s">
        <v>332</v>
      </c>
      <c r="AV4" s="8" t="s">
        <v>333</v>
      </c>
      <c r="AW4" s="9" t="s">
        <v>334</v>
      </c>
      <c r="AX4" s="9" t="s">
        <v>335</v>
      </c>
      <c r="AY4" s="10" t="s">
        <v>336</v>
      </c>
      <c r="AZ4" s="11" t="s">
        <v>337</v>
      </c>
      <c r="BA4" s="12" t="s">
        <v>338</v>
      </c>
      <c r="BB4" s="13" t="s">
        <v>339</v>
      </c>
      <c r="BC4" s="14" t="s">
        <v>340</v>
      </c>
    </row>
    <row r="5" spans="1:55" ht="63.75" customHeight="1" x14ac:dyDescent="0.25">
      <c r="A5" s="15">
        <v>1</v>
      </c>
      <c r="B5" s="15"/>
      <c r="C5" s="15" t="s">
        <v>341</v>
      </c>
      <c r="D5" s="15" t="s">
        <v>342</v>
      </c>
      <c r="E5" s="15" t="s">
        <v>343</v>
      </c>
      <c r="F5" s="16" t="s">
        <v>15</v>
      </c>
      <c r="G5" s="17">
        <v>0</v>
      </c>
      <c r="H5" s="18" t="s">
        <v>344</v>
      </c>
      <c r="I5" s="18" t="s">
        <v>345</v>
      </c>
      <c r="J5" s="18" t="s">
        <v>345</v>
      </c>
      <c r="K5" s="18" t="s">
        <v>345</v>
      </c>
      <c r="L5" s="18" t="s">
        <v>345</v>
      </c>
      <c r="M5" s="18" t="s">
        <v>345</v>
      </c>
      <c r="N5" s="18" t="s">
        <v>345</v>
      </c>
      <c r="O5" s="18" t="s">
        <v>345</v>
      </c>
      <c r="P5" s="18" t="s">
        <v>345</v>
      </c>
      <c r="Q5" s="18" t="s">
        <v>345</v>
      </c>
      <c r="R5" s="18" t="s">
        <v>345</v>
      </c>
      <c r="S5" s="18" t="s">
        <v>345</v>
      </c>
      <c r="T5" s="18" t="s">
        <v>345</v>
      </c>
      <c r="U5" s="18" t="s">
        <v>345</v>
      </c>
      <c r="V5" s="18" t="s">
        <v>345</v>
      </c>
      <c r="W5" s="18" t="s">
        <v>345</v>
      </c>
      <c r="X5" s="18" t="s">
        <v>345</v>
      </c>
      <c r="Y5" s="18" t="s">
        <v>345</v>
      </c>
      <c r="Z5" s="18" t="s">
        <v>345</v>
      </c>
      <c r="AA5" s="18" t="s">
        <v>345</v>
      </c>
      <c r="AB5" s="18" t="s">
        <v>345</v>
      </c>
      <c r="AC5" s="18" t="s">
        <v>345</v>
      </c>
      <c r="AD5" s="18" t="s">
        <v>345</v>
      </c>
      <c r="AE5" s="18" t="s">
        <v>345</v>
      </c>
      <c r="AF5" s="18" t="s">
        <v>345</v>
      </c>
      <c r="AG5" s="18" t="s">
        <v>345</v>
      </c>
      <c r="AH5" s="18" t="s">
        <v>345</v>
      </c>
      <c r="AI5" s="18" t="s">
        <v>345</v>
      </c>
      <c r="AJ5" s="18" t="s">
        <v>345</v>
      </c>
      <c r="AK5" s="18" t="s">
        <v>345</v>
      </c>
      <c r="AL5" s="18" t="s">
        <v>345</v>
      </c>
      <c r="AM5" s="18" t="s">
        <v>345</v>
      </c>
      <c r="AN5" s="18" t="s">
        <v>345</v>
      </c>
      <c r="AO5" s="18" t="s">
        <v>345</v>
      </c>
      <c r="AP5" s="18" t="s">
        <v>345</v>
      </c>
      <c r="AQ5" s="18" t="s">
        <v>345</v>
      </c>
      <c r="AR5" s="18" t="s">
        <v>345</v>
      </c>
      <c r="AS5" s="18" t="s">
        <v>345</v>
      </c>
      <c r="AT5" s="18" t="s">
        <v>345</v>
      </c>
      <c r="AU5" s="18" t="s">
        <v>345</v>
      </c>
      <c r="AV5" s="18" t="s">
        <v>345</v>
      </c>
      <c r="AW5" s="18" t="s">
        <v>345</v>
      </c>
      <c r="AX5" s="18" t="s">
        <v>345</v>
      </c>
      <c r="AY5" s="18" t="s">
        <v>345</v>
      </c>
      <c r="AZ5" s="18" t="s">
        <v>345</v>
      </c>
      <c r="BA5" s="18" t="s">
        <v>345</v>
      </c>
      <c r="BB5" s="18" t="s">
        <v>345</v>
      </c>
      <c r="BC5" s="18" t="s">
        <v>345</v>
      </c>
    </row>
    <row r="6" spans="1:55" ht="76.5" customHeight="1" x14ac:dyDescent="0.25">
      <c r="A6" s="15">
        <v>2</v>
      </c>
      <c r="B6" s="15"/>
      <c r="C6" s="15" t="s">
        <v>341</v>
      </c>
      <c r="D6" s="15" t="s">
        <v>342</v>
      </c>
      <c r="E6" s="15" t="s">
        <v>346</v>
      </c>
      <c r="F6" s="16" t="s">
        <v>16</v>
      </c>
      <c r="G6" s="17">
        <v>0</v>
      </c>
      <c r="H6" s="18" t="s">
        <v>347</v>
      </c>
      <c r="I6" s="18"/>
      <c r="J6" s="18" t="s">
        <v>348</v>
      </c>
      <c r="K6" s="19">
        <v>1</v>
      </c>
      <c r="L6" s="20">
        <v>1</v>
      </c>
      <c r="M6" s="21">
        <v>0.2</v>
      </c>
      <c r="N6" s="22"/>
      <c r="O6" s="18" t="s">
        <v>349</v>
      </c>
      <c r="P6" s="18" t="s">
        <v>350</v>
      </c>
      <c r="Q6" s="18" t="s">
        <v>351</v>
      </c>
      <c r="R6" s="18"/>
      <c r="S6" s="18"/>
      <c r="T6" s="22"/>
      <c r="U6" s="23"/>
      <c r="V6" s="22"/>
      <c r="W6" s="23"/>
      <c r="X6" s="24" t="s">
        <v>352</v>
      </c>
      <c r="Y6" s="18"/>
      <c r="Z6" s="18" t="s">
        <v>353</v>
      </c>
      <c r="AA6" s="25">
        <v>46212</v>
      </c>
      <c r="AB6" s="25">
        <v>46217</v>
      </c>
      <c r="AC6" s="26">
        <v>46212</v>
      </c>
      <c r="AD6" s="26">
        <v>46217</v>
      </c>
      <c r="AE6" s="23">
        <v>46227</v>
      </c>
      <c r="AF6" s="23">
        <v>46232</v>
      </c>
      <c r="AG6" s="23">
        <v>46212</v>
      </c>
      <c r="AH6" s="27">
        <v>0</v>
      </c>
      <c r="AI6" s="24"/>
      <c r="AJ6" s="28"/>
      <c r="AK6" s="28">
        <v>0</v>
      </c>
      <c r="AL6" s="18" t="s">
        <v>345</v>
      </c>
      <c r="AM6" s="18" t="s">
        <v>345</v>
      </c>
      <c r="AN6" s="18" t="s">
        <v>345</v>
      </c>
      <c r="AO6" s="18" t="s">
        <v>354</v>
      </c>
      <c r="AP6" s="24" t="s">
        <v>355</v>
      </c>
      <c r="AQ6" s="18" t="s">
        <v>345</v>
      </c>
      <c r="AR6" s="18" t="s">
        <v>345</v>
      </c>
      <c r="AS6" s="28"/>
      <c r="AT6" s="28" t="s">
        <v>356</v>
      </c>
      <c r="AU6" s="18" t="s">
        <v>345</v>
      </c>
      <c r="AV6" s="18" t="s">
        <v>345</v>
      </c>
      <c r="AW6" s="18" t="s">
        <v>345</v>
      </c>
      <c r="AX6" s="32" t="s">
        <v>357</v>
      </c>
      <c r="AY6" s="18" t="s">
        <v>345</v>
      </c>
      <c r="AZ6" s="18" t="s">
        <v>345</v>
      </c>
      <c r="BA6" s="35" t="s">
        <v>358</v>
      </c>
      <c r="BB6" s="36" t="s">
        <v>359</v>
      </c>
      <c r="BC6" s="18" t="s">
        <v>345</v>
      </c>
    </row>
    <row r="7" spans="1:55" ht="63.75" customHeight="1" x14ac:dyDescent="0.25">
      <c r="A7" s="15">
        <v>3</v>
      </c>
      <c r="B7" s="15"/>
      <c r="C7" s="15" t="s">
        <v>341</v>
      </c>
      <c r="D7" s="15" t="s">
        <v>342</v>
      </c>
      <c r="E7" s="15" t="s">
        <v>360</v>
      </c>
      <c r="F7" s="16" t="s">
        <v>17</v>
      </c>
      <c r="G7" s="17">
        <v>0</v>
      </c>
      <c r="H7" s="18" t="s">
        <v>361</v>
      </c>
      <c r="I7" s="18"/>
      <c r="J7" s="18" t="s">
        <v>348</v>
      </c>
      <c r="K7" s="19">
        <v>1</v>
      </c>
      <c r="L7" s="20">
        <v>1</v>
      </c>
      <c r="M7" s="21">
        <v>0</v>
      </c>
      <c r="N7" s="22"/>
      <c r="O7" s="18" t="s">
        <v>349</v>
      </c>
      <c r="P7" s="18" t="s">
        <v>362</v>
      </c>
      <c r="Q7" s="18" t="s">
        <v>363</v>
      </c>
      <c r="R7" s="18" t="s">
        <v>364</v>
      </c>
      <c r="S7" s="18"/>
      <c r="T7" s="22"/>
      <c r="U7" s="23"/>
      <c r="V7" s="22"/>
      <c r="W7" s="23"/>
      <c r="X7" s="24" t="s">
        <v>352</v>
      </c>
      <c r="Y7" s="18"/>
      <c r="Z7" s="18" t="s">
        <v>365</v>
      </c>
      <c r="AA7" s="25">
        <v>46247</v>
      </c>
      <c r="AB7" s="25">
        <v>46252</v>
      </c>
      <c r="AC7" s="26">
        <v>46247</v>
      </c>
      <c r="AD7" s="26">
        <v>46252</v>
      </c>
      <c r="AE7" s="23">
        <v>46262</v>
      </c>
      <c r="AF7" s="23">
        <v>46267</v>
      </c>
      <c r="AG7" s="23"/>
      <c r="AH7" s="27">
        <v>0</v>
      </c>
      <c r="AI7" s="24"/>
      <c r="AJ7" s="28"/>
      <c r="AK7" s="28">
        <v>0</v>
      </c>
      <c r="AL7" s="18" t="s">
        <v>345</v>
      </c>
      <c r="AM7" s="18" t="s">
        <v>345</v>
      </c>
      <c r="AN7" s="18" t="s">
        <v>345</v>
      </c>
      <c r="AO7" s="18" t="s">
        <v>354</v>
      </c>
      <c r="AP7" s="24" t="s">
        <v>355</v>
      </c>
      <c r="AQ7" s="18" t="s">
        <v>345</v>
      </c>
      <c r="AR7" s="18" t="s">
        <v>345</v>
      </c>
      <c r="AS7" s="28"/>
      <c r="AT7" s="28"/>
      <c r="AU7" s="18" t="s">
        <v>345</v>
      </c>
      <c r="AV7" s="18" t="s">
        <v>345</v>
      </c>
      <c r="AW7" s="18" t="s">
        <v>345</v>
      </c>
      <c r="AX7" s="32" t="s">
        <v>357</v>
      </c>
      <c r="AY7" s="18" t="s">
        <v>345</v>
      </c>
      <c r="AZ7" s="18" t="s">
        <v>345</v>
      </c>
      <c r="BA7" s="35" t="s">
        <v>358</v>
      </c>
      <c r="BB7" s="36" t="s">
        <v>359</v>
      </c>
      <c r="BC7" s="18" t="s">
        <v>345</v>
      </c>
    </row>
    <row r="8" spans="1:55" ht="63.75" customHeight="1" x14ac:dyDescent="0.25">
      <c r="A8" s="15">
        <v>4</v>
      </c>
      <c r="B8" s="15"/>
      <c r="C8" s="15" t="s">
        <v>341</v>
      </c>
      <c r="D8" s="15" t="s">
        <v>342</v>
      </c>
      <c r="E8" s="15" t="s">
        <v>366</v>
      </c>
      <c r="F8" s="16" t="s">
        <v>18</v>
      </c>
      <c r="G8" s="17">
        <v>0</v>
      </c>
      <c r="H8" s="18" t="s">
        <v>367</v>
      </c>
      <c r="I8" s="18"/>
      <c r="J8" s="18" t="s">
        <v>348</v>
      </c>
      <c r="K8" s="19">
        <v>1</v>
      </c>
      <c r="L8" s="20">
        <v>1</v>
      </c>
      <c r="M8" s="21">
        <v>0</v>
      </c>
      <c r="N8" s="22"/>
      <c r="O8" s="18" t="s">
        <v>349</v>
      </c>
      <c r="P8" s="18" t="s">
        <v>362</v>
      </c>
      <c r="Q8" s="18" t="s">
        <v>363</v>
      </c>
      <c r="R8" s="18" t="s">
        <v>368</v>
      </c>
      <c r="S8" s="18"/>
      <c r="T8" s="22"/>
      <c r="U8" s="23"/>
      <c r="V8" s="22"/>
      <c r="W8" s="23"/>
      <c r="X8" s="24" t="s">
        <v>352</v>
      </c>
      <c r="Y8" s="18"/>
      <c r="Z8" s="18" t="s">
        <v>369</v>
      </c>
      <c r="AA8" s="25">
        <v>46239</v>
      </c>
      <c r="AB8" s="25">
        <v>46244</v>
      </c>
      <c r="AC8" s="26">
        <v>46239</v>
      </c>
      <c r="AD8" s="26">
        <v>46244</v>
      </c>
      <c r="AE8" s="23">
        <v>46254</v>
      </c>
      <c r="AF8" s="23">
        <v>46259</v>
      </c>
      <c r="AG8" s="23"/>
      <c r="AH8" s="27">
        <v>0</v>
      </c>
      <c r="AI8" s="24"/>
      <c r="AJ8" s="28"/>
      <c r="AK8" s="28">
        <v>0</v>
      </c>
      <c r="AL8" s="18" t="s">
        <v>345</v>
      </c>
      <c r="AM8" s="18" t="s">
        <v>345</v>
      </c>
      <c r="AN8" s="18" t="s">
        <v>345</v>
      </c>
      <c r="AO8" s="18" t="s">
        <v>354</v>
      </c>
      <c r="AP8" s="24" t="s">
        <v>355</v>
      </c>
      <c r="AQ8" s="18" t="s">
        <v>345</v>
      </c>
      <c r="AR8" s="18" t="s">
        <v>345</v>
      </c>
      <c r="AS8" s="28"/>
      <c r="AT8" s="28"/>
      <c r="AU8" s="18" t="s">
        <v>345</v>
      </c>
      <c r="AV8" s="18" t="s">
        <v>345</v>
      </c>
      <c r="AW8" s="18" t="s">
        <v>345</v>
      </c>
      <c r="AX8" s="32" t="s">
        <v>357</v>
      </c>
      <c r="AY8" s="18" t="s">
        <v>345</v>
      </c>
      <c r="AZ8" s="18" t="s">
        <v>345</v>
      </c>
      <c r="BA8" s="35" t="s">
        <v>358</v>
      </c>
      <c r="BB8" s="36" t="s">
        <v>359</v>
      </c>
      <c r="BC8" s="18" t="s">
        <v>345</v>
      </c>
    </row>
    <row r="9" spans="1:55" ht="63.75" customHeight="1" x14ac:dyDescent="0.25">
      <c r="A9" s="15">
        <v>5</v>
      </c>
      <c r="B9" s="15"/>
      <c r="C9" s="15" t="s">
        <v>341</v>
      </c>
      <c r="D9" s="15" t="s">
        <v>342</v>
      </c>
      <c r="E9" s="15" t="s">
        <v>370</v>
      </c>
      <c r="F9" s="16" t="s">
        <v>19</v>
      </c>
      <c r="G9" s="17">
        <v>0</v>
      </c>
      <c r="H9" s="18" t="s">
        <v>371</v>
      </c>
      <c r="I9" s="18"/>
      <c r="J9" s="18" t="s">
        <v>348</v>
      </c>
      <c r="K9" s="19">
        <v>1</v>
      </c>
      <c r="L9" s="20">
        <v>1</v>
      </c>
      <c r="M9" s="21">
        <v>0</v>
      </c>
      <c r="N9" s="22"/>
      <c r="O9" s="18" t="s">
        <v>349</v>
      </c>
      <c r="P9" s="18" t="s">
        <v>362</v>
      </c>
      <c r="Q9" s="18" t="s">
        <v>372</v>
      </c>
      <c r="R9" s="18" t="s">
        <v>373</v>
      </c>
      <c r="S9" s="18"/>
      <c r="T9" s="22"/>
      <c r="U9" s="23"/>
      <c r="V9" s="22"/>
      <c r="W9" s="23"/>
      <c r="X9" s="24" t="s">
        <v>374</v>
      </c>
      <c r="Y9" s="18"/>
      <c r="Z9" s="18" t="s">
        <v>375</v>
      </c>
      <c r="AA9" s="25">
        <v>46233</v>
      </c>
      <c r="AB9" s="25">
        <v>46237</v>
      </c>
      <c r="AC9" s="26">
        <v>46233</v>
      </c>
      <c r="AD9" s="26">
        <v>46237</v>
      </c>
      <c r="AE9" s="23">
        <v>46247</v>
      </c>
      <c r="AF9" s="23">
        <v>46252</v>
      </c>
      <c r="AG9" s="23"/>
      <c r="AH9" s="27">
        <v>0</v>
      </c>
      <c r="AI9" s="24"/>
      <c r="AJ9" s="28"/>
      <c r="AK9" s="28">
        <v>0</v>
      </c>
      <c r="AL9" s="18" t="s">
        <v>345</v>
      </c>
      <c r="AM9" s="18" t="s">
        <v>345</v>
      </c>
      <c r="AN9" s="18" t="s">
        <v>345</v>
      </c>
      <c r="AO9" s="18" t="s">
        <v>354</v>
      </c>
      <c r="AP9" s="24" t="s">
        <v>355</v>
      </c>
      <c r="AQ9" s="18" t="s">
        <v>345</v>
      </c>
      <c r="AR9" s="18" t="s">
        <v>345</v>
      </c>
      <c r="AS9" s="28"/>
      <c r="AT9" s="28"/>
      <c r="AU9" s="18" t="s">
        <v>345</v>
      </c>
      <c r="AV9" s="18" t="s">
        <v>345</v>
      </c>
      <c r="AW9" s="18" t="s">
        <v>345</v>
      </c>
      <c r="AX9" s="32" t="s">
        <v>357</v>
      </c>
      <c r="AY9" s="18" t="s">
        <v>345</v>
      </c>
      <c r="AZ9" s="18" t="s">
        <v>345</v>
      </c>
      <c r="BA9" s="35" t="s">
        <v>358</v>
      </c>
      <c r="BB9" s="36" t="s">
        <v>359</v>
      </c>
      <c r="BC9" s="18" t="s">
        <v>345</v>
      </c>
    </row>
    <row r="10" spans="1:55" ht="76.5" customHeight="1" x14ac:dyDescent="0.25">
      <c r="A10" s="15">
        <v>6</v>
      </c>
      <c r="B10" s="15"/>
      <c r="C10" s="15" t="s">
        <v>341</v>
      </c>
      <c r="D10" s="15" t="s">
        <v>342</v>
      </c>
      <c r="E10" s="15" t="s">
        <v>376</v>
      </c>
      <c r="F10" s="16" t="s">
        <v>20</v>
      </c>
      <c r="G10" s="17">
        <v>0</v>
      </c>
      <c r="H10" s="18" t="s">
        <v>377</v>
      </c>
      <c r="I10" s="18"/>
      <c r="J10" s="18" t="s">
        <v>348</v>
      </c>
      <c r="K10" s="19">
        <v>1</v>
      </c>
      <c r="L10" s="20">
        <v>1</v>
      </c>
      <c r="M10" s="21">
        <v>0</v>
      </c>
      <c r="N10" s="22"/>
      <c r="O10" s="18" t="s">
        <v>349</v>
      </c>
      <c r="P10" s="18" t="s">
        <v>362</v>
      </c>
      <c r="Q10" s="18" t="s">
        <v>372</v>
      </c>
      <c r="R10" s="18" t="s">
        <v>378</v>
      </c>
      <c r="S10" s="18"/>
      <c r="T10" s="22"/>
      <c r="U10" s="23"/>
      <c r="V10" s="22"/>
      <c r="W10" s="23"/>
      <c r="X10" s="24" t="s">
        <v>374</v>
      </c>
      <c r="Y10" s="18"/>
      <c r="Z10" s="18" t="s">
        <v>379</v>
      </c>
      <c r="AA10" s="25">
        <v>46227</v>
      </c>
      <c r="AB10" s="25">
        <v>46231</v>
      </c>
      <c r="AC10" s="26">
        <v>46227</v>
      </c>
      <c r="AD10" s="26">
        <v>46231</v>
      </c>
      <c r="AE10" s="23">
        <v>46241</v>
      </c>
      <c r="AF10" s="23">
        <v>46246</v>
      </c>
      <c r="AG10" s="23"/>
      <c r="AH10" s="27">
        <v>0</v>
      </c>
      <c r="AI10" s="24"/>
      <c r="AJ10" s="28"/>
      <c r="AK10" s="28">
        <v>0</v>
      </c>
      <c r="AL10" s="18" t="s">
        <v>345</v>
      </c>
      <c r="AM10" s="18" t="s">
        <v>345</v>
      </c>
      <c r="AN10" s="18" t="s">
        <v>345</v>
      </c>
      <c r="AO10" s="18" t="s">
        <v>354</v>
      </c>
      <c r="AP10" s="24" t="s">
        <v>355</v>
      </c>
      <c r="AQ10" s="18" t="s">
        <v>345</v>
      </c>
      <c r="AR10" s="18" t="s">
        <v>345</v>
      </c>
      <c r="AS10" s="28"/>
      <c r="AT10" s="28"/>
      <c r="AU10" s="18" t="s">
        <v>345</v>
      </c>
      <c r="AV10" s="18" t="s">
        <v>345</v>
      </c>
      <c r="AW10" s="18" t="s">
        <v>345</v>
      </c>
      <c r="AX10" s="32" t="s">
        <v>357</v>
      </c>
      <c r="AY10" s="18" t="s">
        <v>345</v>
      </c>
      <c r="AZ10" s="18" t="s">
        <v>345</v>
      </c>
      <c r="BA10" s="35" t="s">
        <v>358</v>
      </c>
      <c r="BB10" s="36" t="s">
        <v>359</v>
      </c>
      <c r="BC10" s="18" t="s">
        <v>345</v>
      </c>
    </row>
    <row r="11" spans="1:55" ht="63.75" customHeight="1" x14ac:dyDescent="0.25">
      <c r="A11" s="15">
        <v>7</v>
      </c>
      <c r="B11" s="15"/>
      <c r="C11" s="15" t="s">
        <v>341</v>
      </c>
      <c r="D11" s="15" t="s">
        <v>342</v>
      </c>
      <c r="E11" s="15" t="s">
        <v>380</v>
      </c>
      <c r="F11" s="16" t="s">
        <v>21</v>
      </c>
      <c r="G11" s="17">
        <v>0</v>
      </c>
      <c r="H11" s="18" t="s">
        <v>381</v>
      </c>
      <c r="I11" s="18"/>
      <c r="J11" s="18" t="s">
        <v>348</v>
      </c>
      <c r="K11" s="19">
        <v>1</v>
      </c>
      <c r="L11" s="20">
        <v>1</v>
      </c>
      <c r="M11" s="21">
        <v>0</v>
      </c>
      <c r="N11" s="22"/>
      <c r="O11" s="18" t="s">
        <v>349</v>
      </c>
      <c r="P11" s="18" t="s">
        <v>362</v>
      </c>
      <c r="Q11" s="18" t="s">
        <v>372</v>
      </c>
      <c r="R11" s="18" t="s">
        <v>382</v>
      </c>
      <c r="S11" s="18"/>
      <c r="T11" s="22"/>
      <c r="U11" s="23"/>
      <c r="V11" s="22"/>
      <c r="W11" s="23"/>
      <c r="X11" s="24" t="s">
        <v>374</v>
      </c>
      <c r="Y11" s="18"/>
      <c r="Z11" s="18" t="s">
        <v>383</v>
      </c>
      <c r="AA11" s="25">
        <v>46244</v>
      </c>
      <c r="AB11" s="25">
        <v>46247</v>
      </c>
      <c r="AC11" s="26">
        <v>46244</v>
      </c>
      <c r="AD11" s="26">
        <v>46247</v>
      </c>
      <c r="AE11" s="23">
        <v>46257</v>
      </c>
      <c r="AF11" s="23">
        <v>46262</v>
      </c>
      <c r="AG11" s="23"/>
      <c r="AH11" s="27">
        <v>0</v>
      </c>
      <c r="AI11" s="24"/>
      <c r="AJ11" s="28"/>
      <c r="AK11" s="28">
        <v>0</v>
      </c>
      <c r="AL11" s="18" t="s">
        <v>345</v>
      </c>
      <c r="AM11" s="18" t="s">
        <v>345</v>
      </c>
      <c r="AN11" s="18" t="s">
        <v>345</v>
      </c>
      <c r="AO11" s="18" t="s">
        <v>354</v>
      </c>
      <c r="AP11" s="24" t="s">
        <v>355</v>
      </c>
      <c r="AQ11" s="18" t="s">
        <v>345</v>
      </c>
      <c r="AR11" s="18" t="s">
        <v>345</v>
      </c>
      <c r="AS11" s="28"/>
      <c r="AT11" s="28"/>
      <c r="AU11" s="18" t="s">
        <v>345</v>
      </c>
      <c r="AV11" s="18" t="s">
        <v>345</v>
      </c>
      <c r="AW11" s="18" t="s">
        <v>345</v>
      </c>
      <c r="AX11" s="32" t="s">
        <v>357</v>
      </c>
      <c r="AY11" s="18" t="s">
        <v>345</v>
      </c>
      <c r="AZ11" s="18" t="s">
        <v>345</v>
      </c>
      <c r="BA11" s="35" t="s">
        <v>358</v>
      </c>
      <c r="BB11" s="36" t="s">
        <v>359</v>
      </c>
      <c r="BC11" s="18" t="s">
        <v>345</v>
      </c>
    </row>
    <row r="12" spans="1:55" ht="76.5" customHeight="1" x14ac:dyDescent="0.25">
      <c r="A12" s="15">
        <v>8</v>
      </c>
      <c r="B12" s="15"/>
      <c r="C12" s="15" t="s">
        <v>341</v>
      </c>
      <c r="D12" s="15" t="s">
        <v>384</v>
      </c>
      <c r="E12" s="15" t="s">
        <v>385</v>
      </c>
      <c r="F12" s="16" t="s">
        <v>22</v>
      </c>
      <c r="G12" s="17">
        <v>0</v>
      </c>
      <c r="H12" s="18" t="s">
        <v>386</v>
      </c>
      <c r="I12" s="18"/>
      <c r="J12" s="18" t="s">
        <v>387</v>
      </c>
      <c r="K12" s="19">
        <v>2.5</v>
      </c>
      <c r="L12" s="20">
        <v>20</v>
      </c>
      <c r="M12" s="21">
        <v>0</v>
      </c>
      <c r="N12" s="22"/>
      <c r="O12" s="18" t="s">
        <v>349</v>
      </c>
      <c r="P12" s="18" t="s">
        <v>388</v>
      </c>
      <c r="Q12" s="18" t="s">
        <v>389</v>
      </c>
      <c r="R12" s="18" t="s">
        <v>390</v>
      </c>
      <c r="S12" s="18"/>
      <c r="T12" s="22"/>
      <c r="U12" s="23"/>
      <c r="V12" s="22"/>
      <c r="W12" s="23"/>
      <c r="X12" s="24" t="s">
        <v>352</v>
      </c>
      <c r="Y12" s="18"/>
      <c r="Z12" s="18" t="s">
        <v>391</v>
      </c>
      <c r="AA12" s="25">
        <v>46225</v>
      </c>
      <c r="AB12" s="25">
        <v>46226</v>
      </c>
      <c r="AC12" s="26">
        <v>46225</v>
      </c>
      <c r="AD12" s="26">
        <v>46226</v>
      </c>
      <c r="AE12" s="23">
        <v>46236</v>
      </c>
      <c r="AF12" s="23">
        <v>46241</v>
      </c>
      <c r="AG12" s="23"/>
      <c r="AH12" s="27">
        <v>0</v>
      </c>
      <c r="AI12" s="24"/>
      <c r="AJ12" s="28"/>
      <c r="AK12" s="28">
        <v>0</v>
      </c>
      <c r="AL12" s="18" t="s">
        <v>345</v>
      </c>
      <c r="AM12" s="18" t="s">
        <v>345</v>
      </c>
      <c r="AN12" s="18" t="s">
        <v>345</v>
      </c>
      <c r="AO12" s="18" t="s">
        <v>354</v>
      </c>
      <c r="AP12" s="24" t="s">
        <v>355</v>
      </c>
      <c r="AQ12" s="18" t="s">
        <v>345</v>
      </c>
      <c r="AR12" s="18" t="s">
        <v>345</v>
      </c>
      <c r="AS12" s="28"/>
      <c r="AT12" s="28"/>
      <c r="AU12" s="18" t="s">
        <v>345</v>
      </c>
      <c r="AV12" s="18" t="s">
        <v>345</v>
      </c>
      <c r="AW12" s="18" t="s">
        <v>345</v>
      </c>
      <c r="AX12" s="32" t="s">
        <v>357</v>
      </c>
      <c r="AY12" s="18" t="s">
        <v>345</v>
      </c>
      <c r="AZ12" s="18" t="s">
        <v>345</v>
      </c>
      <c r="BA12" s="35" t="s">
        <v>358</v>
      </c>
      <c r="BB12" s="36" t="s">
        <v>359</v>
      </c>
      <c r="BC12" s="18" t="s">
        <v>345</v>
      </c>
    </row>
    <row r="13" spans="1:55" ht="63.75" customHeight="1" x14ac:dyDescent="0.25">
      <c r="A13" s="15">
        <v>9</v>
      </c>
      <c r="B13" s="15"/>
      <c r="C13" s="15" t="s">
        <v>341</v>
      </c>
      <c r="D13" s="15" t="s">
        <v>384</v>
      </c>
      <c r="E13" s="15" t="s">
        <v>392</v>
      </c>
      <c r="F13" s="16" t="s">
        <v>23</v>
      </c>
      <c r="G13" s="17">
        <v>0</v>
      </c>
      <c r="H13" s="18" t="s">
        <v>393</v>
      </c>
      <c r="I13" s="18"/>
      <c r="J13" s="18" t="s">
        <v>387</v>
      </c>
      <c r="K13" s="19">
        <v>2</v>
      </c>
      <c r="L13" s="20">
        <v>16</v>
      </c>
      <c r="M13" s="21">
        <v>0</v>
      </c>
      <c r="N13" s="22"/>
      <c r="O13" s="18" t="s">
        <v>349</v>
      </c>
      <c r="P13" s="18" t="s">
        <v>388</v>
      </c>
      <c r="Q13" s="18" t="s">
        <v>389</v>
      </c>
      <c r="R13" s="18" t="s">
        <v>364</v>
      </c>
      <c r="S13" s="18"/>
      <c r="T13" s="22"/>
      <c r="U13" s="23"/>
      <c r="V13" s="22"/>
      <c r="W13" s="23"/>
      <c r="X13" s="24" t="s">
        <v>352</v>
      </c>
      <c r="Y13" s="18"/>
      <c r="Z13" s="18" t="s">
        <v>394</v>
      </c>
      <c r="AA13" s="25">
        <v>46248</v>
      </c>
      <c r="AB13" s="25">
        <v>46252</v>
      </c>
      <c r="AC13" s="26">
        <v>46248</v>
      </c>
      <c r="AD13" s="26">
        <v>46252</v>
      </c>
      <c r="AE13" s="23">
        <v>46262</v>
      </c>
      <c r="AF13" s="23">
        <v>46267</v>
      </c>
      <c r="AG13" s="23"/>
      <c r="AH13" s="27">
        <v>0</v>
      </c>
      <c r="AI13" s="24"/>
      <c r="AJ13" s="28"/>
      <c r="AK13" s="28">
        <v>0</v>
      </c>
      <c r="AL13" s="18" t="s">
        <v>345</v>
      </c>
      <c r="AM13" s="18" t="s">
        <v>345</v>
      </c>
      <c r="AN13" s="18" t="s">
        <v>345</v>
      </c>
      <c r="AO13" s="18" t="s">
        <v>354</v>
      </c>
      <c r="AP13" s="24" t="s">
        <v>355</v>
      </c>
      <c r="AQ13" s="18" t="s">
        <v>345</v>
      </c>
      <c r="AR13" s="18" t="s">
        <v>345</v>
      </c>
      <c r="AS13" s="28"/>
      <c r="AT13" s="28"/>
      <c r="AU13" s="18" t="s">
        <v>345</v>
      </c>
      <c r="AV13" s="18" t="s">
        <v>345</v>
      </c>
      <c r="AW13" s="18" t="s">
        <v>345</v>
      </c>
      <c r="AX13" s="32" t="s">
        <v>357</v>
      </c>
      <c r="AY13" s="18" t="s">
        <v>345</v>
      </c>
      <c r="AZ13" s="18" t="s">
        <v>345</v>
      </c>
      <c r="BA13" s="35" t="s">
        <v>358</v>
      </c>
      <c r="BB13" s="36" t="s">
        <v>359</v>
      </c>
      <c r="BC13" s="18" t="s">
        <v>345</v>
      </c>
    </row>
    <row r="14" spans="1:55" ht="76.5" customHeight="1" x14ac:dyDescent="0.25">
      <c r="A14" s="15">
        <v>10</v>
      </c>
      <c r="B14" s="15"/>
      <c r="C14" s="15" t="s">
        <v>341</v>
      </c>
      <c r="D14" s="15" t="s">
        <v>384</v>
      </c>
      <c r="E14" s="15" t="s">
        <v>395</v>
      </c>
      <c r="F14" s="16" t="s">
        <v>24</v>
      </c>
      <c r="G14" s="17">
        <v>0</v>
      </c>
      <c r="H14" s="18" t="s">
        <v>396</v>
      </c>
      <c r="I14" s="18"/>
      <c r="J14" s="18" t="s">
        <v>387</v>
      </c>
      <c r="K14" s="19">
        <v>2</v>
      </c>
      <c r="L14" s="20">
        <v>16</v>
      </c>
      <c r="M14" s="21">
        <v>0</v>
      </c>
      <c r="N14" s="22"/>
      <c r="O14" s="18" t="s">
        <v>349</v>
      </c>
      <c r="P14" s="18" t="s">
        <v>388</v>
      </c>
      <c r="Q14" s="18" t="s">
        <v>389</v>
      </c>
      <c r="R14" s="18" t="s">
        <v>373</v>
      </c>
      <c r="S14" s="18"/>
      <c r="T14" s="22"/>
      <c r="U14" s="23"/>
      <c r="V14" s="22"/>
      <c r="W14" s="23"/>
      <c r="X14" s="24" t="s">
        <v>352</v>
      </c>
      <c r="Y14" s="18"/>
      <c r="Z14" s="18" t="s">
        <v>397</v>
      </c>
      <c r="AA14" s="25">
        <v>46237</v>
      </c>
      <c r="AB14" s="25">
        <v>46239</v>
      </c>
      <c r="AC14" s="26">
        <v>46237</v>
      </c>
      <c r="AD14" s="26">
        <v>46239</v>
      </c>
      <c r="AE14" s="23">
        <v>46249</v>
      </c>
      <c r="AF14" s="23">
        <v>46254</v>
      </c>
      <c r="AG14" s="23"/>
      <c r="AH14" s="27">
        <v>0</v>
      </c>
      <c r="AI14" s="24"/>
      <c r="AJ14" s="28"/>
      <c r="AK14" s="28">
        <v>0</v>
      </c>
      <c r="AL14" s="18" t="s">
        <v>345</v>
      </c>
      <c r="AM14" s="18" t="s">
        <v>345</v>
      </c>
      <c r="AN14" s="18" t="s">
        <v>345</v>
      </c>
      <c r="AO14" s="18" t="s">
        <v>354</v>
      </c>
      <c r="AP14" s="24" t="s">
        <v>355</v>
      </c>
      <c r="AQ14" s="18" t="s">
        <v>345</v>
      </c>
      <c r="AR14" s="18" t="s">
        <v>345</v>
      </c>
      <c r="AS14" s="28"/>
      <c r="AT14" s="28"/>
      <c r="AU14" s="18" t="s">
        <v>345</v>
      </c>
      <c r="AV14" s="18" t="s">
        <v>345</v>
      </c>
      <c r="AW14" s="18" t="s">
        <v>345</v>
      </c>
      <c r="AX14" s="32" t="s">
        <v>357</v>
      </c>
      <c r="AY14" s="18" t="s">
        <v>345</v>
      </c>
      <c r="AZ14" s="18" t="s">
        <v>345</v>
      </c>
      <c r="BA14" s="35" t="s">
        <v>358</v>
      </c>
      <c r="BB14" s="36" t="s">
        <v>359</v>
      </c>
      <c r="BC14" s="18" t="s">
        <v>345</v>
      </c>
    </row>
    <row r="15" spans="1:55" ht="76.5" customHeight="1" x14ac:dyDescent="0.25">
      <c r="A15" s="15">
        <v>11</v>
      </c>
      <c r="B15" s="15"/>
      <c r="C15" s="15" t="s">
        <v>341</v>
      </c>
      <c r="D15" s="15" t="s">
        <v>384</v>
      </c>
      <c r="E15" s="15" t="s">
        <v>398</v>
      </c>
      <c r="F15" s="16" t="s">
        <v>25</v>
      </c>
      <c r="G15" s="17">
        <v>0</v>
      </c>
      <c r="H15" s="18" t="s">
        <v>399</v>
      </c>
      <c r="I15" s="18"/>
      <c r="J15" s="18" t="s">
        <v>387</v>
      </c>
      <c r="K15" s="19">
        <v>2</v>
      </c>
      <c r="L15" s="20">
        <v>16</v>
      </c>
      <c r="M15" s="21">
        <v>0</v>
      </c>
      <c r="N15" s="22"/>
      <c r="O15" s="18" t="s">
        <v>349</v>
      </c>
      <c r="P15" s="18" t="s">
        <v>400</v>
      </c>
      <c r="Q15" s="18" t="s">
        <v>389</v>
      </c>
      <c r="R15" s="18" t="s">
        <v>401</v>
      </c>
      <c r="S15" s="18"/>
      <c r="T15" s="22"/>
      <c r="U15" s="23"/>
      <c r="V15" s="22"/>
      <c r="W15" s="23"/>
      <c r="X15" s="24" t="s">
        <v>352</v>
      </c>
      <c r="Y15" s="18"/>
      <c r="Z15" s="18" t="s">
        <v>402</v>
      </c>
      <c r="AA15" s="25">
        <v>46231</v>
      </c>
      <c r="AB15" s="25">
        <v>46233</v>
      </c>
      <c r="AC15" s="26">
        <v>46231</v>
      </c>
      <c r="AD15" s="26">
        <v>46233</v>
      </c>
      <c r="AE15" s="23">
        <v>46243</v>
      </c>
      <c r="AF15" s="23">
        <v>46248</v>
      </c>
      <c r="AG15" s="23"/>
      <c r="AH15" s="27">
        <v>0</v>
      </c>
      <c r="AI15" s="24"/>
      <c r="AJ15" s="28"/>
      <c r="AK15" s="28">
        <v>0</v>
      </c>
      <c r="AL15" s="18" t="s">
        <v>345</v>
      </c>
      <c r="AM15" s="18" t="s">
        <v>345</v>
      </c>
      <c r="AN15" s="18" t="s">
        <v>345</v>
      </c>
      <c r="AO15" s="18" t="s">
        <v>354</v>
      </c>
      <c r="AP15" s="24" t="s">
        <v>355</v>
      </c>
      <c r="AQ15" s="18" t="s">
        <v>345</v>
      </c>
      <c r="AR15" s="18" t="s">
        <v>345</v>
      </c>
      <c r="AS15" s="28"/>
      <c r="AT15" s="28"/>
      <c r="AU15" s="18" t="s">
        <v>345</v>
      </c>
      <c r="AV15" s="18" t="s">
        <v>345</v>
      </c>
      <c r="AW15" s="18" t="s">
        <v>345</v>
      </c>
      <c r="AX15" s="32" t="s">
        <v>357</v>
      </c>
      <c r="AY15" s="18" t="s">
        <v>345</v>
      </c>
      <c r="AZ15" s="18" t="s">
        <v>345</v>
      </c>
      <c r="BA15" s="35" t="s">
        <v>358</v>
      </c>
      <c r="BB15" s="36" t="s">
        <v>359</v>
      </c>
      <c r="BC15" s="18" t="s">
        <v>345</v>
      </c>
    </row>
    <row r="16" spans="1:55" ht="63.75" customHeight="1" x14ac:dyDescent="0.25">
      <c r="A16" s="15">
        <v>12</v>
      </c>
      <c r="B16" s="15"/>
      <c r="C16" s="15" t="s">
        <v>341</v>
      </c>
      <c r="D16" s="15" t="s">
        <v>403</v>
      </c>
      <c r="E16" s="15" t="s">
        <v>404</v>
      </c>
      <c r="F16" s="16" t="s">
        <v>26</v>
      </c>
      <c r="G16" s="17">
        <v>0</v>
      </c>
      <c r="H16" s="18" t="s">
        <v>405</v>
      </c>
      <c r="I16" s="18"/>
      <c r="J16" s="18" t="s">
        <v>387</v>
      </c>
      <c r="K16" s="19">
        <v>4</v>
      </c>
      <c r="L16" s="20">
        <v>32</v>
      </c>
      <c r="M16" s="21">
        <v>0</v>
      </c>
      <c r="N16" s="22"/>
      <c r="O16" s="18" t="s">
        <v>349</v>
      </c>
      <c r="P16" s="18" t="s">
        <v>350</v>
      </c>
      <c r="Q16" s="18" t="s">
        <v>406</v>
      </c>
      <c r="R16" s="18" t="s">
        <v>407</v>
      </c>
      <c r="S16" s="18"/>
      <c r="T16" s="22"/>
      <c r="U16" s="23"/>
      <c r="V16" s="22"/>
      <c r="W16" s="23"/>
      <c r="X16" s="24" t="s">
        <v>352</v>
      </c>
      <c r="Y16" s="18"/>
      <c r="Z16" s="18" t="s">
        <v>408</v>
      </c>
      <c r="AA16" s="25">
        <v>46254</v>
      </c>
      <c r="AB16" s="25">
        <v>46255</v>
      </c>
      <c r="AC16" s="26">
        <v>46254</v>
      </c>
      <c r="AD16" s="26">
        <v>46255</v>
      </c>
      <c r="AE16" s="23">
        <v>46265</v>
      </c>
      <c r="AF16" s="23">
        <v>46270</v>
      </c>
      <c r="AG16" s="23"/>
      <c r="AH16" s="27">
        <v>0</v>
      </c>
      <c r="AI16" s="24"/>
      <c r="AJ16" s="28"/>
      <c r="AK16" s="28">
        <v>0</v>
      </c>
      <c r="AL16" s="18" t="s">
        <v>345</v>
      </c>
      <c r="AM16" s="18" t="s">
        <v>345</v>
      </c>
      <c r="AN16" s="18" t="s">
        <v>345</v>
      </c>
      <c r="AO16" s="18" t="s">
        <v>354</v>
      </c>
      <c r="AP16" s="24" t="s">
        <v>355</v>
      </c>
      <c r="AQ16" s="18" t="s">
        <v>345</v>
      </c>
      <c r="AR16" s="18" t="s">
        <v>345</v>
      </c>
      <c r="AS16" s="28"/>
      <c r="AT16" s="28"/>
      <c r="AU16" s="18" t="s">
        <v>345</v>
      </c>
      <c r="AV16" s="18" t="s">
        <v>345</v>
      </c>
      <c r="AW16" s="18" t="s">
        <v>345</v>
      </c>
      <c r="AX16" s="32" t="s">
        <v>357</v>
      </c>
      <c r="AY16" s="18" t="s">
        <v>345</v>
      </c>
      <c r="AZ16" s="18" t="s">
        <v>345</v>
      </c>
      <c r="BA16" s="35" t="s">
        <v>358</v>
      </c>
      <c r="BB16" s="36" t="s">
        <v>359</v>
      </c>
      <c r="BC16" s="18" t="s">
        <v>345</v>
      </c>
    </row>
    <row r="17" spans="1:55" ht="76.5" customHeight="1" x14ac:dyDescent="0.25">
      <c r="A17" s="15">
        <v>13</v>
      </c>
      <c r="B17" s="15"/>
      <c r="C17" s="15" t="s">
        <v>341</v>
      </c>
      <c r="D17" s="15" t="s">
        <v>403</v>
      </c>
      <c r="E17" s="15" t="s">
        <v>409</v>
      </c>
      <c r="F17" s="16" t="s">
        <v>27</v>
      </c>
      <c r="G17" s="17">
        <v>0</v>
      </c>
      <c r="H17" s="18" t="s">
        <v>410</v>
      </c>
      <c r="I17" s="18"/>
      <c r="J17" s="18" t="s">
        <v>387</v>
      </c>
      <c r="K17" s="19">
        <v>1</v>
      </c>
      <c r="L17" s="20">
        <v>8</v>
      </c>
      <c r="M17" s="21">
        <v>0</v>
      </c>
      <c r="N17" s="22"/>
      <c r="O17" s="18" t="s">
        <v>349</v>
      </c>
      <c r="P17" s="18" t="s">
        <v>350</v>
      </c>
      <c r="Q17" s="18" t="s">
        <v>406</v>
      </c>
      <c r="R17" s="18" t="s">
        <v>411</v>
      </c>
      <c r="S17" s="18"/>
      <c r="T17" s="22"/>
      <c r="U17" s="23"/>
      <c r="V17" s="22"/>
      <c r="W17" s="23"/>
      <c r="X17" s="24" t="s">
        <v>352</v>
      </c>
      <c r="Y17" s="18"/>
      <c r="Z17" s="18" t="s">
        <v>412</v>
      </c>
      <c r="AA17" s="25">
        <v>46217</v>
      </c>
      <c r="AB17" s="25">
        <v>46220</v>
      </c>
      <c r="AC17" s="26">
        <v>46217</v>
      </c>
      <c r="AD17" s="26">
        <v>46220</v>
      </c>
      <c r="AE17" s="23">
        <v>46230</v>
      </c>
      <c r="AF17" s="23">
        <v>46235</v>
      </c>
      <c r="AG17" s="23"/>
      <c r="AH17" s="27">
        <v>0</v>
      </c>
      <c r="AI17" s="24"/>
      <c r="AJ17" s="28"/>
      <c r="AK17" s="28">
        <v>0</v>
      </c>
      <c r="AL17" s="18" t="s">
        <v>345</v>
      </c>
      <c r="AM17" s="18" t="s">
        <v>345</v>
      </c>
      <c r="AN17" s="18" t="s">
        <v>345</v>
      </c>
      <c r="AO17" s="18" t="s">
        <v>354</v>
      </c>
      <c r="AP17" s="24" t="s">
        <v>355</v>
      </c>
      <c r="AQ17" s="18" t="s">
        <v>345</v>
      </c>
      <c r="AR17" s="18" t="s">
        <v>345</v>
      </c>
      <c r="AS17" s="28"/>
      <c r="AT17" s="28"/>
      <c r="AU17" s="18" t="s">
        <v>345</v>
      </c>
      <c r="AV17" s="18" t="s">
        <v>345</v>
      </c>
      <c r="AW17" s="18" t="s">
        <v>345</v>
      </c>
      <c r="AX17" s="32" t="s">
        <v>357</v>
      </c>
      <c r="AY17" s="18" t="s">
        <v>345</v>
      </c>
      <c r="AZ17" s="18" t="s">
        <v>345</v>
      </c>
      <c r="BA17" s="35" t="s">
        <v>358</v>
      </c>
      <c r="BB17" s="36" t="s">
        <v>359</v>
      </c>
      <c r="BC17" s="18" t="s">
        <v>345</v>
      </c>
    </row>
    <row r="18" spans="1:55" ht="63.75" customHeight="1" x14ac:dyDescent="0.25">
      <c r="A18" s="15">
        <v>14</v>
      </c>
      <c r="B18" s="15"/>
      <c r="C18" s="15" t="s">
        <v>341</v>
      </c>
      <c r="D18" s="15" t="s">
        <v>403</v>
      </c>
      <c r="E18" s="15" t="s">
        <v>413</v>
      </c>
      <c r="F18" s="16" t="s">
        <v>28</v>
      </c>
      <c r="G18" s="17">
        <v>1</v>
      </c>
      <c r="H18" s="18" t="s">
        <v>414</v>
      </c>
      <c r="I18" s="18" t="s">
        <v>415</v>
      </c>
      <c r="J18" s="18" t="s">
        <v>387</v>
      </c>
      <c r="K18" s="19">
        <v>0.75</v>
      </c>
      <c r="L18" s="20">
        <v>6</v>
      </c>
      <c r="M18" s="21">
        <v>1</v>
      </c>
      <c r="N18" s="22" t="s">
        <v>416</v>
      </c>
      <c r="O18" s="18" t="s">
        <v>349</v>
      </c>
      <c r="P18" s="18" t="s">
        <v>350</v>
      </c>
      <c r="Q18" s="18" t="s">
        <v>406</v>
      </c>
      <c r="R18" s="18" t="s">
        <v>417</v>
      </c>
      <c r="S18" s="18"/>
      <c r="T18" s="22" t="s">
        <v>418</v>
      </c>
      <c r="U18" s="23">
        <v>46210.678734525463</v>
      </c>
      <c r="V18" s="22" t="s">
        <v>419</v>
      </c>
      <c r="W18" s="23">
        <v>46212.670122997682</v>
      </c>
      <c r="X18" s="24" t="s">
        <v>352</v>
      </c>
      <c r="Y18" s="18"/>
      <c r="Z18" s="18" t="s">
        <v>420</v>
      </c>
      <c r="AA18" s="25">
        <v>46196</v>
      </c>
      <c r="AB18" s="25">
        <v>46199</v>
      </c>
      <c r="AC18" s="26"/>
      <c r="AD18" s="26">
        <v>46210.678734525463</v>
      </c>
      <c r="AE18" s="23">
        <v>46210.678734525463</v>
      </c>
      <c r="AF18" s="23">
        <v>46210.678734525463</v>
      </c>
      <c r="AG18" s="23">
        <v>46190</v>
      </c>
      <c r="AH18" s="27"/>
      <c r="AI18" s="24"/>
      <c r="AJ18" s="28"/>
      <c r="AK18" s="28">
        <v>0</v>
      </c>
      <c r="AL18" s="18" t="s">
        <v>345</v>
      </c>
      <c r="AM18" s="18" t="s">
        <v>345</v>
      </c>
      <c r="AN18" s="18" t="s">
        <v>345</v>
      </c>
      <c r="AO18" s="18" t="s">
        <v>354</v>
      </c>
      <c r="AP18" s="24" t="s">
        <v>355</v>
      </c>
      <c r="AQ18" s="18" t="s">
        <v>345</v>
      </c>
      <c r="AR18" s="18" t="s">
        <v>345</v>
      </c>
      <c r="AS18" s="28"/>
      <c r="AT18" s="28" t="s">
        <v>421</v>
      </c>
      <c r="AU18" s="18" t="s">
        <v>345</v>
      </c>
      <c r="AV18" s="18" t="s">
        <v>345</v>
      </c>
      <c r="AW18" s="18" t="s">
        <v>345</v>
      </c>
      <c r="AX18" s="32" t="s">
        <v>357</v>
      </c>
      <c r="AY18" s="18" t="s">
        <v>345</v>
      </c>
      <c r="AZ18" s="18" t="s">
        <v>345</v>
      </c>
      <c r="BA18" s="35" t="s">
        <v>358</v>
      </c>
      <c r="BB18" s="36" t="s">
        <v>359</v>
      </c>
      <c r="BC18" s="111">
        <v>46209</v>
      </c>
    </row>
    <row r="19" spans="1:55" ht="76.5" customHeight="1" x14ac:dyDescent="0.25">
      <c r="A19" s="15">
        <v>15</v>
      </c>
      <c r="B19" s="15"/>
      <c r="C19" s="15" t="s">
        <v>341</v>
      </c>
      <c r="D19" s="15" t="s">
        <v>403</v>
      </c>
      <c r="E19" s="15" t="s">
        <v>422</v>
      </c>
      <c r="F19" s="16" t="s">
        <v>29</v>
      </c>
      <c r="G19" s="17">
        <v>0</v>
      </c>
      <c r="H19" s="18" t="s">
        <v>423</v>
      </c>
      <c r="I19" s="18"/>
      <c r="J19" s="18" t="s">
        <v>387</v>
      </c>
      <c r="K19" s="19">
        <v>4</v>
      </c>
      <c r="L19" s="20">
        <v>32</v>
      </c>
      <c r="M19" s="21">
        <v>0</v>
      </c>
      <c r="N19" s="22"/>
      <c r="O19" s="18" t="s">
        <v>349</v>
      </c>
      <c r="P19" s="18" t="s">
        <v>350</v>
      </c>
      <c r="Q19" s="18" t="s">
        <v>406</v>
      </c>
      <c r="R19" s="18" t="s">
        <v>424</v>
      </c>
      <c r="S19" s="18"/>
      <c r="T19" s="22"/>
      <c r="U19" s="23"/>
      <c r="V19" s="22"/>
      <c r="W19" s="23"/>
      <c r="X19" s="24" t="s">
        <v>352</v>
      </c>
      <c r="Y19" s="18"/>
      <c r="Z19" s="18" t="s">
        <v>425</v>
      </c>
      <c r="AA19" s="25">
        <v>46259</v>
      </c>
      <c r="AB19" s="25">
        <v>46265</v>
      </c>
      <c r="AC19" s="26">
        <v>46259</v>
      </c>
      <c r="AD19" s="26">
        <v>46265</v>
      </c>
      <c r="AE19" s="23">
        <v>46275</v>
      </c>
      <c r="AF19" s="23">
        <v>46280</v>
      </c>
      <c r="AG19" s="23"/>
      <c r="AH19" s="27">
        <v>0</v>
      </c>
      <c r="AI19" s="24"/>
      <c r="AJ19" s="28"/>
      <c r="AK19" s="28">
        <v>0</v>
      </c>
      <c r="AL19" s="18" t="s">
        <v>345</v>
      </c>
      <c r="AM19" s="18" t="s">
        <v>345</v>
      </c>
      <c r="AN19" s="18" t="s">
        <v>345</v>
      </c>
      <c r="AO19" s="18" t="s">
        <v>354</v>
      </c>
      <c r="AP19" s="24" t="s">
        <v>355</v>
      </c>
      <c r="AQ19" s="18" t="s">
        <v>345</v>
      </c>
      <c r="AR19" s="18" t="s">
        <v>345</v>
      </c>
      <c r="AS19" s="28"/>
      <c r="AT19" s="28"/>
      <c r="AU19" s="18" t="s">
        <v>345</v>
      </c>
      <c r="AV19" s="18" t="s">
        <v>345</v>
      </c>
      <c r="AW19" s="18" t="s">
        <v>345</v>
      </c>
      <c r="AX19" s="32" t="s">
        <v>357</v>
      </c>
      <c r="AY19" s="18" t="s">
        <v>345</v>
      </c>
      <c r="AZ19" s="18" t="s">
        <v>345</v>
      </c>
      <c r="BA19" s="35" t="s">
        <v>358</v>
      </c>
      <c r="BB19" s="36" t="s">
        <v>359</v>
      </c>
      <c r="BC19" s="112"/>
    </row>
    <row r="20" spans="1:55" ht="76.5" customHeight="1" x14ac:dyDescent="0.25">
      <c r="A20" s="15">
        <v>16</v>
      </c>
      <c r="B20" s="15"/>
      <c r="C20" s="15" t="s">
        <v>341</v>
      </c>
      <c r="D20" s="15" t="s">
        <v>403</v>
      </c>
      <c r="E20" s="15" t="s">
        <v>426</v>
      </c>
      <c r="F20" s="16" t="s">
        <v>30</v>
      </c>
      <c r="G20" s="17">
        <v>0</v>
      </c>
      <c r="H20" s="18" t="s">
        <v>427</v>
      </c>
      <c r="I20" s="18"/>
      <c r="J20" s="18" t="s">
        <v>387</v>
      </c>
      <c r="K20" s="19">
        <v>1</v>
      </c>
      <c r="L20" s="20">
        <v>8</v>
      </c>
      <c r="M20" s="21">
        <v>0</v>
      </c>
      <c r="N20" s="22"/>
      <c r="O20" s="18" t="s">
        <v>349</v>
      </c>
      <c r="P20" s="18" t="s">
        <v>350</v>
      </c>
      <c r="Q20" s="18" t="s">
        <v>406</v>
      </c>
      <c r="R20" s="18" t="s">
        <v>428</v>
      </c>
      <c r="S20" s="18"/>
      <c r="T20" s="22"/>
      <c r="U20" s="23"/>
      <c r="V20" s="22"/>
      <c r="W20" s="23"/>
      <c r="X20" s="24" t="s">
        <v>352</v>
      </c>
      <c r="Y20" s="18"/>
      <c r="Z20" s="18" t="s">
        <v>429</v>
      </c>
      <c r="AA20" s="25">
        <v>46259</v>
      </c>
      <c r="AB20" s="25">
        <v>46265</v>
      </c>
      <c r="AC20" s="26">
        <v>46259</v>
      </c>
      <c r="AD20" s="26">
        <v>46265</v>
      </c>
      <c r="AE20" s="23">
        <v>46275</v>
      </c>
      <c r="AF20" s="23">
        <v>46280</v>
      </c>
      <c r="AG20" s="23"/>
      <c r="AH20" s="27">
        <v>0</v>
      </c>
      <c r="AI20" s="24"/>
      <c r="AJ20" s="28"/>
      <c r="AK20" s="28">
        <v>0</v>
      </c>
      <c r="AL20" s="18" t="s">
        <v>345</v>
      </c>
      <c r="AM20" s="18" t="s">
        <v>345</v>
      </c>
      <c r="AN20" s="18" t="s">
        <v>345</v>
      </c>
      <c r="AO20" s="18" t="s">
        <v>354</v>
      </c>
      <c r="AP20" s="24" t="s">
        <v>355</v>
      </c>
      <c r="AQ20" s="18" t="s">
        <v>345</v>
      </c>
      <c r="AR20" s="18" t="s">
        <v>345</v>
      </c>
      <c r="AS20" s="28"/>
      <c r="AT20" s="28"/>
      <c r="AU20" s="18" t="s">
        <v>345</v>
      </c>
      <c r="AV20" s="18" t="s">
        <v>345</v>
      </c>
      <c r="AW20" s="18" t="s">
        <v>345</v>
      </c>
      <c r="AX20" s="32" t="s">
        <v>357</v>
      </c>
      <c r="AY20" s="18" t="s">
        <v>345</v>
      </c>
      <c r="AZ20" s="18" t="s">
        <v>345</v>
      </c>
      <c r="BA20" s="35" t="s">
        <v>358</v>
      </c>
      <c r="BB20" s="36" t="s">
        <v>359</v>
      </c>
      <c r="BC20" s="112"/>
    </row>
    <row r="21" spans="1:55" ht="63.75" customHeight="1" x14ac:dyDescent="0.25">
      <c r="A21" s="15">
        <v>17</v>
      </c>
      <c r="B21" s="15"/>
      <c r="C21" s="15" t="s">
        <v>341</v>
      </c>
      <c r="D21" s="15" t="s">
        <v>403</v>
      </c>
      <c r="E21" s="15" t="s">
        <v>430</v>
      </c>
      <c r="F21" s="16" t="s">
        <v>31</v>
      </c>
      <c r="G21" s="17">
        <v>0</v>
      </c>
      <c r="H21" s="18" t="s">
        <v>431</v>
      </c>
      <c r="I21" s="18"/>
      <c r="J21" s="18" t="s">
        <v>387</v>
      </c>
      <c r="K21" s="19">
        <v>1</v>
      </c>
      <c r="L21" s="20">
        <v>8</v>
      </c>
      <c r="M21" s="21">
        <v>0</v>
      </c>
      <c r="N21" s="22"/>
      <c r="O21" s="18" t="s">
        <v>349</v>
      </c>
      <c r="P21" s="18" t="s">
        <v>350</v>
      </c>
      <c r="Q21" s="18" t="s">
        <v>406</v>
      </c>
      <c r="R21" s="18" t="s">
        <v>432</v>
      </c>
      <c r="S21" s="18"/>
      <c r="T21" s="22"/>
      <c r="U21" s="23"/>
      <c r="V21" s="22"/>
      <c r="W21" s="23"/>
      <c r="X21" s="24" t="s">
        <v>352</v>
      </c>
      <c r="Y21" s="18"/>
      <c r="Z21" s="18" t="s">
        <v>433</v>
      </c>
      <c r="AA21" s="25">
        <v>46265</v>
      </c>
      <c r="AB21" s="25">
        <v>46269</v>
      </c>
      <c r="AC21" s="26">
        <v>46265</v>
      </c>
      <c r="AD21" s="26">
        <v>46269</v>
      </c>
      <c r="AE21" s="23">
        <v>46279</v>
      </c>
      <c r="AF21" s="23">
        <v>46284</v>
      </c>
      <c r="AG21" s="23"/>
      <c r="AH21" s="27">
        <v>0</v>
      </c>
      <c r="AI21" s="24"/>
      <c r="AJ21" s="28"/>
      <c r="AK21" s="28">
        <v>0</v>
      </c>
      <c r="AL21" s="18" t="s">
        <v>345</v>
      </c>
      <c r="AM21" s="18" t="s">
        <v>345</v>
      </c>
      <c r="AN21" s="18" t="s">
        <v>345</v>
      </c>
      <c r="AO21" s="18" t="s">
        <v>354</v>
      </c>
      <c r="AP21" s="24" t="s">
        <v>355</v>
      </c>
      <c r="AQ21" s="18" t="s">
        <v>345</v>
      </c>
      <c r="AR21" s="18" t="s">
        <v>345</v>
      </c>
      <c r="AS21" s="28"/>
      <c r="AT21" s="28"/>
      <c r="AU21" s="18" t="s">
        <v>345</v>
      </c>
      <c r="AV21" s="18" t="s">
        <v>345</v>
      </c>
      <c r="AW21" s="18" t="s">
        <v>345</v>
      </c>
      <c r="AX21" s="32" t="s">
        <v>357</v>
      </c>
      <c r="AY21" s="18" t="s">
        <v>345</v>
      </c>
      <c r="AZ21" s="18" t="s">
        <v>345</v>
      </c>
      <c r="BA21" s="35" t="s">
        <v>358</v>
      </c>
      <c r="BB21" s="36" t="s">
        <v>359</v>
      </c>
      <c r="BC21" s="112"/>
    </row>
    <row r="22" spans="1:55" ht="63.75" customHeight="1" x14ac:dyDescent="0.25">
      <c r="A22" s="15">
        <v>18</v>
      </c>
      <c r="B22" s="15"/>
      <c r="C22" s="15" t="s">
        <v>341</v>
      </c>
      <c r="D22" s="15" t="s">
        <v>403</v>
      </c>
      <c r="E22" s="15" t="s">
        <v>434</v>
      </c>
      <c r="F22" s="16" t="s">
        <v>32</v>
      </c>
      <c r="G22" s="17">
        <v>0</v>
      </c>
      <c r="H22" s="18" t="s">
        <v>435</v>
      </c>
      <c r="I22" s="18"/>
      <c r="J22" s="18" t="s">
        <v>387</v>
      </c>
      <c r="K22" s="19">
        <v>1</v>
      </c>
      <c r="L22" s="20">
        <v>8</v>
      </c>
      <c r="M22" s="21">
        <v>0</v>
      </c>
      <c r="N22" s="22"/>
      <c r="O22" s="18" t="s">
        <v>349</v>
      </c>
      <c r="P22" s="18" t="s">
        <v>350</v>
      </c>
      <c r="Q22" s="18" t="s">
        <v>406</v>
      </c>
      <c r="R22" s="18" t="s">
        <v>436</v>
      </c>
      <c r="S22" s="18"/>
      <c r="T22" s="22"/>
      <c r="U22" s="23"/>
      <c r="V22" s="22"/>
      <c r="W22" s="23"/>
      <c r="X22" s="24" t="s">
        <v>352</v>
      </c>
      <c r="Y22" s="18"/>
      <c r="Z22" s="18" t="s">
        <v>437</v>
      </c>
      <c r="AA22" s="25">
        <v>46255</v>
      </c>
      <c r="AB22" s="25">
        <v>46258</v>
      </c>
      <c r="AC22" s="26">
        <v>46255</v>
      </c>
      <c r="AD22" s="26">
        <v>46258</v>
      </c>
      <c r="AE22" s="23">
        <v>46268</v>
      </c>
      <c r="AF22" s="23">
        <v>46273</v>
      </c>
      <c r="AG22" s="23"/>
      <c r="AH22" s="27">
        <v>0</v>
      </c>
      <c r="AI22" s="24"/>
      <c r="AJ22" s="28"/>
      <c r="AK22" s="28">
        <v>0</v>
      </c>
      <c r="AL22" s="18" t="s">
        <v>345</v>
      </c>
      <c r="AM22" s="18" t="s">
        <v>345</v>
      </c>
      <c r="AN22" s="18" t="s">
        <v>345</v>
      </c>
      <c r="AO22" s="18" t="s">
        <v>354</v>
      </c>
      <c r="AP22" s="24" t="s">
        <v>355</v>
      </c>
      <c r="AQ22" s="18" t="s">
        <v>345</v>
      </c>
      <c r="AR22" s="18" t="s">
        <v>345</v>
      </c>
      <c r="AS22" s="28"/>
      <c r="AT22" s="28"/>
      <c r="AU22" s="18" t="s">
        <v>345</v>
      </c>
      <c r="AV22" s="18" t="s">
        <v>345</v>
      </c>
      <c r="AW22" s="18" t="s">
        <v>345</v>
      </c>
      <c r="AX22" s="32" t="s">
        <v>357</v>
      </c>
      <c r="AY22" s="18" t="s">
        <v>345</v>
      </c>
      <c r="AZ22" s="18" t="s">
        <v>345</v>
      </c>
      <c r="BA22" s="35" t="s">
        <v>358</v>
      </c>
      <c r="BB22" s="36" t="s">
        <v>359</v>
      </c>
      <c r="BC22" s="112"/>
    </row>
    <row r="23" spans="1:55" ht="63.75" customHeight="1" x14ac:dyDescent="0.25">
      <c r="A23" s="15">
        <v>19</v>
      </c>
      <c r="B23" s="15"/>
      <c r="C23" s="15" t="s">
        <v>341</v>
      </c>
      <c r="D23" s="15" t="s">
        <v>403</v>
      </c>
      <c r="E23" s="15" t="s">
        <v>438</v>
      </c>
      <c r="F23" s="16" t="s">
        <v>33</v>
      </c>
      <c r="G23" s="17">
        <v>0</v>
      </c>
      <c r="H23" s="18" t="s">
        <v>439</v>
      </c>
      <c r="I23" s="18"/>
      <c r="J23" s="18" t="s">
        <v>387</v>
      </c>
      <c r="K23" s="19">
        <v>1</v>
      </c>
      <c r="L23" s="20">
        <v>8</v>
      </c>
      <c r="M23" s="21">
        <v>0</v>
      </c>
      <c r="N23" s="22"/>
      <c r="O23" s="18" t="s">
        <v>349</v>
      </c>
      <c r="P23" s="18" t="s">
        <v>350</v>
      </c>
      <c r="Q23" s="18" t="s">
        <v>406</v>
      </c>
      <c r="R23" s="18" t="s">
        <v>440</v>
      </c>
      <c r="S23" s="18"/>
      <c r="T23" s="22"/>
      <c r="U23" s="23"/>
      <c r="V23" s="22"/>
      <c r="W23" s="23"/>
      <c r="X23" s="24" t="s">
        <v>352</v>
      </c>
      <c r="Y23" s="18"/>
      <c r="Z23" s="18" t="s">
        <v>441</v>
      </c>
      <c r="AA23" s="25">
        <v>46255</v>
      </c>
      <c r="AB23" s="25">
        <v>46258</v>
      </c>
      <c r="AC23" s="26">
        <v>46255</v>
      </c>
      <c r="AD23" s="26">
        <v>46258</v>
      </c>
      <c r="AE23" s="23">
        <v>46268</v>
      </c>
      <c r="AF23" s="23">
        <v>46273</v>
      </c>
      <c r="AG23" s="23"/>
      <c r="AH23" s="27">
        <v>0</v>
      </c>
      <c r="AI23" s="24"/>
      <c r="AJ23" s="28"/>
      <c r="AK23" s="28">
        <v>0</v>
      </c>
      <c r="AL23" s="18" t="s">
        <v>345</v>
      </c>
      <c r="AM23" s="18" t="s">
        <v>345</v>
      </c>
      <c r="AN23" s="18" t="s">
        <v>345</v>
      </c>
      <c r="AO23" s="18" t="s">
        <v>354</v>
      </c>
      <c r="AP23" s="24" t="s">
        <v>355</v>
      </c>
      <c r="AQ23" s="18" t="s">
        <v>345</v>
      </c>
      <c r="AR23" s="18" t="s">
        <v>345</v>
      </c>
      <c r="AS23" s="28"/>
      <c r="AT23" s="28"/>
      <c r="AU23" s="18" t="s">
        <v>345</v>
      </c>
      <c r="AV23" s="18" t="s">
        <v>345</v>
      </c>
      <c r="AW23" s="18" t="s">
        <v>345</v>
      </c>
      <c r="AX23" s="32" t="s">
        <v>357</v>
      </c>
      <c r="AY23" s="18" t="s">
        <v>345</v>
      </c>
      <c r="AZ23" s="18" t="s">
        <v>345</v>
      </c>
      <c r="BA23" s="35" t="s">
        <v>358</v>
      </c>
      <c r="BB23" s="36" t="s">
        <v>359</v>
      </c>
      <c r="BC23" s="112"/>
    </row>
    <row r="24" spans="1:55" ht="76.5" customHeight="1" x14ac:dyDescent="0.25">
      <c r="A24" s="15">
        <v>20</v>
      </c>
      <c r="B24" s="15"/>
      <c r="C24" s="15" t="s">
        <v>341</v>
      </c>
      <c r="D24" s="15" t="s">
        <v>403</v>
      </c>
      <c r="E24" s="15" t="s">
        <v>442</v>
      </c>
      <c r="F24" s="16" t="s">
        <v>34</v>
      </c>
      <c r="G24" s="17">
        <v>0</v>
      </c>
      <c r="H24" s="18" t="s">
        <v>443</v>
      </c>
      <c r="I24" s="18"/>
      <c r="J24" s="18" t="s">
        <v>387</v>
      </c>
      <c r="K24" s="19">
        <v>1</v>
      </c>
      <c r="L24" s="20">
        <v>8</v>
      </c>
      <c r="M24" s="21">
        <v>0</v>
      </c>
      <c r="N24" s="22"/>
      <c r="O24" s="18" t="s">
        <v>349</v>
      </c>
      <c r="P24" s="18" t="s">
        <v>350</v>
      </c>
      <c r="Q24" s="18" t="s">
        <v>406</v>
      </c>
      <c r="R24" s="18" t="s">
        <v>444</v>
      </c>
      <c r="S24" s="18"/>
      <c r="T24" s="22"/>
      <c r="U24" s="23"/>
      <c r="V24" s="22"/>
      <c r="W24" s="23"/>
      <c r="X24" s="24" t="s">
        <v>352</v>
      </c>
      <c r="Y24" s="18"/>
      <c r="Z24" s="18" t="s">
        <v>445</v>
      </c>
      <c r="AA24" s="25">
        <v>46269</v>
      </c>
      <c r="AB24" s="25">
        <v>46275</v>
      </c>
      <c r="AC24" s="26">
        <v>46269</v>
      </c>
      <c r="AD24" s="26">
        <v>46275</v>
      </c>
      <c r="AE24" s="23">
        <v>46285</v>
      </c>
      <c r="AF24" s="23">
        <v>46290</v>
      </c>
      <c r="AG24" s="23"/>
      <c r="AH24" s="27">
        <v>0</v>
      </c>
      <c r="AI24" s="24"/>
      <c r="AJ24" s="28"/>
      <c r="AK24" s="28">
        <v>0</v>
      </c>
      <c r="AL24" s="18" t="s">
        <v>345</v>
      </c>
      <c r="AM24" s="18" t="s">
        <v>345</v>
      </c>
      <c r="AN24" s="18" t="s">
        <v>345</v>
      </c>
      <c r="AO24" s="18" t="s">
        <v>354</v>
      </c>
      <c r="AP24" s="24" t="s">
        <v>355</v>
      </c>
      <c r="AQ24" s="18" t="s">
        <v>345</v>
      </c>
      <c r="AR24" s="18" t="s">
        <v>345</v>
      </c>
      <c r="AS24" s="28"/>
      <c r="AT24" s="28"/>
      <c r="AU24" s="18" t="s">
        <v>345</v>
      </c>
      <c r="AV24" s="18" t="s">
        <v>345</v>
      </c>
      <c r="AW24" s="18" t="s">
        <v>345</v>
      </c>
      <c r="AX24" s="32" t="s">
        <v>357</v>
      </c>
      <c r="AY24" s="18" t="s">
        <v>345</v>
      </c>
      <c r="AZ24" s="18" t="s">
        <v>345</v>
      </c>
      <c r="BA24" s="35" t="s">
        <v>358</v>
      </c>
      <c r="BB24" s="36" t="s">
        <v>359</v>
      </c>
      <c r="BC24" s="112"/>
    </row>
    <row r="25" spans="1:55" ht="63.75" customHeight="1" x14ac:dyDescent="0.25">
      <c r="A25" s="15">
        <v>21</v>
      </c>
      <c r="B25" s="15"/>
      <c r="C25" s="15" t="s">
        <v>341</v>
      </c>
      <c r="D25" s="15" t="s">
        <v>403</v>
      </c>
      <c r="E25" s="15" t="s">
        <v>446</v>
      </c>
      <c r="F25" s="16" t="s">
        <v>35</v>
      </c>
      <c r="G25" s="17">
        <v>0</v>
      </c>
      <c r="H25" s="18" t="s">
        <v>447</v>
      </c>
      <c r="I25" s="18"/>
      <c r="J25" s="18" t="s">
        <v>387</v>
      </c>
      <c r="K25" s="19">
        <v>1</v>
      </c>
      <c r="L25" s="20">
        <v>8</v>
      </c>
      <c r="M25" s="21">
        <v>0</v>
      </c>
      <c r="N25" s="22"/>
      <c r="O25" s="18" t="s">
        <v>349</v>
      </c>
      <c r="P25" s="18" t="s">
        <v>350</v>
      </c>
      <c r="Q25" s="18" t="s">
        <v>406</v>
      </c>
      <c r="R25" s="18" t="s">
        <v>448</v>
      </c>
      <c r="S25" s="18"/>
      <c r="T25" s="22"/>
      <c r="U25" s="23"/>
      <c r="V25" s="22"/>
      <c r="W25" s="23"/>
      <c r="X25" s="24" t="s">
        <v>352</v>
      </c>
      <c r="Y25" s="18"/>
      <c r="Z25" s="18" t="s">
        <v>449</v>
      </c>
      <c r="AA25" s="25">
        <v>46269</v>
      </c>
      <c r="AB25" s="25">
        <v>46275</v>
      </c>
      <c r="AC25" s="26">
        <v>46269</v>
      </c>
      <c r="AD25" s="26">
        <v>46275</v>
      </c>
      <c r="AE25" s="23">
        <v>46285</v>
      </c>
      <c r="AF25" s="23">
        <v>46290</v>
      </c>
      <c r="AG25" s="23"/>
      <c r="AH25" s="27">
        <v>0</v>
      </c>
      <c r="AI25" s="24"/>
      <c r="AJ25" s="28"/>
      <c r="AK25" s="28">
        <v>0</v>
      </c>
      <c r="AL25" s="18" t="s">
        <v>345</v>
      </c>
      <c r="AM25" s="18" t="s">
        <v>345</v>
      </c>
      <c r="AN25" s="18" t="s">
        <v>345</v>
      </c>
      <c r="AO25" s="18" t="s">
        <v>354</v>
      </c>
      <c r="AP25" s="24" t="s">
        <v>355</v>
      </c>
      <c r="AQ25" s="18" t="s">
        <v>345</v>
      </c>
      <c r="AR25" s="18" t="s">
        <v>345</v>
      </c>
      <c r="AS25" s="28"/>
      <c r="AT25" s="28"/>
      <c r="AU25" s="18" t="s">
        <v>345</v>
      </c>
      <c r="AV25" s="18" t="s">
        <v>345</v>
      </c>
      <c r="AW25" s="18" t="s">
        <v>345</v>
      </c>
      <c r="AX25" s="32" t="s">
        <v>357</v>
      </c>
      <c r="AY25" s="18" t="s">
        <v>345</v>
      </c>
      <c r="AZ25" s="18" t="s">
        <v>345</v>
      </c>
      <c r="BA25" s="35" t="s">
        <v>358</v>
      </c>
      <c r="BB25" s="36" t="s">
        <v>359</v>
      </c>
      <c r="BC25" s="112"/>
    </row>
    <row r="26" spans="1:55" ht="76.5" customHeight="1" x14ac:dyDescent="0.25">
      <c r="A26" s="15">
        <v>22</v>
      </c>
      <c r="B26" s="15"/>
      <c r="C26" s="15" t="s">
        <v>341</v>
      </c>
      <c r="D26" s="15" t="s">
        <v>403</v>
      </c>
      <c r="E26" s="15" t="s">
        <v>450</v>
      </c>
      <c r="F26" s="16" t="s">
        <v>36</v>
      </c>
      <c r="G26" s="17">
        <v>0</v>
      </c>
      <c r="H26" s="18" t="s">
        <v>451</v>
      </c>
      <c r="I26" s="18"/>
      <c r="J26" s="18" t="s">
        <v>387</v>
      </c>
      <c r="K26" s="19">
        <v>1</v>
      </c>
      <c r="L26" s="20">
        <v>8</v>
      </c>
      <c r="M26" s="21">
        <v>0</v>
      </c>
      <c r="N26" s="22"/>
      <c r="O26" s="18" t="s">
        <v>349</v>
      </c>
      <c r="P26" s="18" t="s">
        <v>350</v>
      </c>
      <c r="Q26" s="18" t="s">
        <v>406</v>
      </c>
      <c r="R26" s="18" t="s">
        <v>452</v>
      </c>
      <c r="S26" s="18"/>
      <c r="T26" s="22"/>
      <c r="U26" s="23"/>
      <c r="V26" s="22"/>
      <c r="W26" s="23"/>
      <c r="X26" s="24" t="s">
        <v>352</v>
      </c>
      <c r="Y26" s="18"/>
      <c r="Z26" s="18" t="s">
        <v>453</v>
      </c>
      <c r="AA26" s="25">
        <v>46269</v>
      </c>
      <c r="AB26" s="25">
        <v>46275</v>
      </c>
      <c r="AC26" s="26">
        <v>46269</v>
      </c>
      <c r="AD26" s="26">
        <v>46275</v>
      </c>
      <c r="AE26" s="23">
        <v>46285</v>
      </c>
      <c r="AF26" s="23">
        <v>46290</v>
      </c>
      <c r="AG26" s="23"/>
      <c r="AH26" s="27">
        <v>0</v>
      </c>
      <c r="AI26" s="24"/>
      <c r="AJ26" s="28"/>
      <c r="AK26" s="28">
        <v>0</v>
      </c>
      <c r="AL26" s="18" t="s">
        <v>345</v>
      </c>
      <c r="AM26" s="18" t="s">
        <v>345</v>
      </c>
      <c r="AN26" s="18" t="s">
        <v>345</v>
      </c>
      <c r="AO26" s="18" t="s">
        <v>354</v>
      </c>
      <c r="AP26" s="24" t="s">
        <v>355</v>
      </c>
      <c r="AQ26" s="18" t="s">
        <v>345</v>
      </c>
      <c r="AR26" s="18" t="s">
        <v>345</v>
      </c>
      <c r="AS26" s="28"/>
      <c r="AT26" s="28"/>
      <c r="AU26" s="18" t="s">
        <v>345</v>
      </c>
      <c r="AV26" s="18" t="s">
        <v>345</v>
      </c>
      <c r="AW26" s="18" t="s">
        <v>345</v>
      </c>
      <c r="AX26" s="32" t="s">
        <v>357</v>
      </c>
      <c r="AY26" s="18" t="s">
        <v>345</v>
      </c>
      <c r="AZ26" s="18" t="s">
        <v>345</v>
      </c>
      <c r="BA26" s="35" t="s">
        <v>358</v>
      </c>
      <c r="BB26" s="36" t="s">
        <v>359</v>
      </c>
      <c r="BC26" s="112"/>
    </row>
    <row r="27" spans="1:55" ht="76.5" customHeight="1" x14ac:dyDescent="0.25">
      <c r="A27" s="15">
        <v>23</v>
      </c>
      <c r="B27" s="15"/>
      <c r="C27" s="15" t="s">
        <v>341</v>
      </c>
      <c r="D27" s="15" t="s">
        <v>403</v>
      </c>
      <c r="E27" s="15" t="s">
        <v>454</v>
      </c>
      <c r="F27" s="16" t="s">
        <v>37</v>
      </c>
      <c r="G27" s="17">
        <v>0</v>
      </c>
      <c r="H27" s="18" t="s">
        <v>455</v>
      </c>
      <c r="I27" s="18" t="s">
        <v>456</v>
      </c>
      <c r="J27" s="18" t="s">
        <v>387</v>
      </c>
      <c r="K27" s="19">
        <v>0.375</v>
      </c>
      <c r="L27" s="20">
        <v>3</v>
      </c>
      <c r="M27" s="21">
        <v>1</v>
      </c>
      <c r="N27" s="22" t="s">
        <v>457</v>
      </c>
      <c r="O27" s="18" t="s">
        <v>349</v>
      </c>
      <c r="P27" s="18" t="s">
        <v>350</v>
      </c>
      <c r="Q27" s="18" t="s">
        <v>406</v>
      </c>
      <c r="R27" s="18" t="s">
        <v>458</v>
      </c>
      <c r="S27" s="18"/>
      <c r="T27" s="22" t="s">
        <v>459</v>
      </c>
      <c r="U27" s="23">
        <v>46202.537889432868</v>
      </c>
      <c r="V27" s="22" t="s">
        <v>419</v>
      </c>
      <c r="W27" s="23">
        <v>46205.37610065972</v>
      </c>
      <c r="X27" s="24" t="s">
        <v>352</v>
      </c>
      <c r="Y27" s="18"/>
      <c r="Z27" s="18" t="s">
        <v>460</v>
      </c>
      <c r="AA27" s="25">
        <v>46199</v>
      </c>
      <c r="AB27" s="25">
        <v>46204</v>
      </c>
      <c r="AC27" s="26">
        <v>46197</v>
      </c>
      <c r="AD27" s="26">
        <v>46202.537889432868</v>
      </c>
      <c r="AE27" s="23">
        <v>46202.537889432868</v>
      </c>
      <c r="AF27" s="23">
        <v>46202.537889432868</v>
      </c>
      <c r="AG27" s="23">
        <v>46191</v>
      </c>
      <c r="AH27" s="27">
        <v>0</v>
      </c>
      <c r="AI27" s="24"/>
      <c r="AJ27" s="28"/>
      <c r="AK27" s="28">
        <v>0</v>
      </c>
      <c r="AL27" s="18" t="s">
        <v>345</v>
      </c>
      <c r="AM27" s="18" t="s">
        <v>345</v>
      </c>
      <c r="AN27" s="18" t="s">
        <v>345</v>
      </c>
      <c r="AO27" s="18" t="s">
        <v>354</v>
      </c>
      <c r="AP27" s="24" t="s">
        <v>355</v>
      </c>
      <c r="AQ27" s="18" t="s">
        <v>345</v>
      </c>
      <c r="AR27" s="18" t="s">
        <v>345</v>
      </c>
      <c r="AS27" s="28"/>
      <c r="AT27" s="28" t="s">
        <v>461</v>
      </c>
      <c r="AU27" s="18" t="s">
        <v>345</v>
      </c>
      <c r="AV27" s="18" t="s">
        <v>345</v>
      </c>
      <c r="AW27" s="18" t="s">
        <v>345</v>
      </c>
      <c r="AX27" s="32" t="s">
        <v>357</v>
      </c>
      <c r="AY27" s="18" t="s">
        <v>345</v>
      </c>
      <c r="AZ27" s="18" t="s">
        <v>345</v>
      </c>
      <c r="BA27" s="35" t="s">
        <v>358</v>
      </c>
      <c r="BB27" s="36" t="s">
        <v>359</v>
      </c>
      <c r="BC27" s="112"/>
    </row>
    <row r="28" spans="1:55" ht="76.5" customHeight="1" x14ac:dyDescent="0.25">
      <c r="A28" s="15">
        <v>24</v>
      </c>
      <c r="B28" s="15"/>
      <c r="C28" s="15" t="s">
        <v>341</v>
      </c>
      <c r="D28" s="15" t="s">
        <v>403</v>
      </c>
      <c r="E28" s="15" t="s">
        <v>462</v>
      </c>
      <c r="F28" s="16" t="s">
        <v>38</v>
      </c>
      <c r="G28" s="17">
        <v>0</v>
      </c>
      <c r="H28" s="18" t="s">
        <v>463</v>
      </c>
      <c r="I28" s="18"/>
      <c r="J28" s="18" t="s">
        <v>387</v>
      </c>
      <c r="K28" s="19">
        <v>1</v>
      </c>
      <c r="L28" s="20">
        <v>8</v>
      </c>
      <c r="M28" s="21">
        <v>0.2</v>
      </c>
      <c r="N28" s="22"/>
      <c r="O28" s="18" t="s">
        <v>349</v>
      </c>
      <c r="P28" s="18" t="s">
        <v>350</v>
      </c>
      <c r="Q28" s="18" t="s">
        <v>406</v>
      </c>
      <c r="R28" s="18" t="s">
        <v>464</v>
      </c>
      <c r="S28" s="18"/>
      <c r="T28" s="22"/>
      <c r="U28" s="23"/>
      <c r="V28" s="22"/>
      <c r="W28" s="23"/>
      <c r="X28" s="24" t="s">
        <v>352</v>
      </c>
      <c r="Y28" s="18"/>
      <c r="Z28" s="18" t="s">
        <v>465</v>
      </c>
      <c r="AA28" s="25">
        <v>46269</v>
      </c>
      <c r="AB28" s="25">
        <v>46275</v>
      </c>
      <c r="AC28" s="26">
        <v>46269</v>
      </c>
      <c r="AD28" s="26">
        <v>46275</v>
      </c>
      <c r="AE28" s="23">
        <v>46285</v>
      </c>
      <c r="AF28" s="23">
        <v>46290</v>
      </c>
      <c r="AG28" s="23">
        <v>46191</v>
      </c>
      <c r="AH28" s="27">
        <v>0</v>
      </c>
      <c r="AI28" s="24"/>
      <c r="AJ28" s="28"/>
      <c r="AK28" s="28">
        <v>0</v>
      </c>
      <c r="AL28" s="18" t="s">
        <v>345</v>
      </c>
      <c r="AM28" s="18" t="s">
        <v>345</v>
      </c>
      <c r="AN28" s="18" t="s">
        <v>345</v>
      </c>
      <c r="AO28" s="18" t="s">
        <v>354</v>
      </c>
      <c r="AP28" s="24" t="s">
        <v>355</v>
      </c>
      <c r="AQ28" s="18" t="s">
        <v>345</v>
      </c>
      <c r="AR28" s="18" t="s">
        <v>345</v>
      </c>
      <c r="AS28" s="28"/>
      <c r="AT28" s="28" t="s">
        <v>466</v>
      </c>
      <c r="AU28" s="18" t="s">
        <v>345</v>
      </c>
      <c r="AV28" s="18" t="s">
        <v>345</v>
      </c>
      <c r="AW28" s="18" t="s">
        <v>345</v>
      </c>
      <c r="AX28" s="32" t="s">
        <v>357</v>
      </c>
      <c r="AY28" s="18" t="s">
        <v>345</v>
      </c>
      <c r="AZ28" s="18" t="s">
        <v>345</v>
      </c>
      <c r="BA28" s="35" t="s">
        <v>358</v>
      </c>
      <c r="BB28" s="36" t="s">
        <v>359</v>
      </c>
      <c r="BC28" s="112"/>
    </row>
    <row r="29" spans="1:55" ht="63.75" customHeight="1" x14ac:dyDescent="0.25">
      <c r="A29" s="15">
        <v>25</v>
      </c>
      <c r="B29" s="15"/>
      <c r="C29" s="15" t="s">
        <v>341</v>
      </c>
      <c r="D29" s="15" t="s">
        <v>403</v>
      </c>
      <c r="E29" s="15" t="s">
        <v>467</v>
      </c>
      <c r="F29" s="16" t="s">
        <v>39</v>
      </c>
      <c r="G29" s="17">
        <v>0</v>
      </c>
      <c r="H29" s="18" t="s">
        <v>468</v>
      </c>
      <c r="I29" s="18" t="s">
        <v>456</v>
      </c>
      <c r="J29" s="18" t="s">
        <v>387</v>
      </c>
      <c r="K29" s="19">
        <v>1.125</v>
      </c>
      <c r="L29" s="20">
        <v>9</v>
      </c>
      <c r="M29" s="21">
        <v>0.9</v>
      </c>
      <c r="N29" s="22" t="s">
        <v>469</v>
      </c>
      <c r="O29" s="18" t="s">
        <v>349</v>
      </c>
      <c r="P29" s="18" t="s">
        <v>350</v>
      </c>
      <c r="Q29" s="18" t="s">
        <v>406</v>
      </c>
      <c r="R29" s="18" t="s">
        <v>470</v>
      </c>
      <c r="S29" s="18"/>
      <c r="T29" s="22" t="s">
        <v>418</v>
      </c>
      <c r="U29" s="23">
        <v>46210.67873579861</v>
      </c>
      <c r="V29" s="22" t="s">
        <v>471</v>
      </c>
      <c r="W29" s="23">
        <v>46213.602180127316</v>
      </c>
      <c r="X29" s="24" t="s">
        <v>352</v>
      </c>
      <c r="Y29" s="18"/>
      <c r="Z29" s="18" t="s">
        <v>472</v>
      </c>
      <c r="AA29" s="25">
        <v>46204</v>
      </c>
      <c r="AB29" s="25">
        <v>46209</v>
      </c>
      <c r="AC29" s="26">
        <v>46204</v>
      </c>
      <c r="AD29" s="26">
        <v>46210.67873579861</v>
      </c>
      <c r="AE29" s="23">
        <v>46220.67873579861</v>
      </c>
      <c r="AF29" s="23">
        <v>46225.67873579861</v>
      </c>
      <c r="AG29" s="23">
        <v>46203</v>
      </c>
      <c r="AH29" s="27">
        <v>0</v>
      </c>
      <c r="AI29" s="24"/>
      <c r="AJ29" s="28"/>
      <c r="AK29" s="28">
        <v>0</v>
      </c>
      <c r="AL29" s="18" t="s">
        <v>345</v>
      </c>
      <c r="AM29" s="18" t="s">
        <v>345</v>
      </c>
      <c r="AN29" s="18" t="s">
        <v>345</v>
      </c>
      <c r="AO29" s="18" t="s">
        <v>354</v>
      </c>
      <c r="AP29" s="24" t="s">
        <v>355</v>
      </c>
      <c r="AQ29" s="18" t="s">
        <v>345</v>
      </c>
      <c r="AR29" s="18" t="s">
        <v>345</v>
      </c>
      <c r="AS29" s="28"/>
      <c r="AT29" s="28" t="s">
        <v>473</v>
      </c>
      <c r="AU29" s="18" t="s">
        <v>345</v>
      </c>
      <c r="AV29" s="18" t="s">
        <v>345</v>
      </c>
      <c r="AW29" s="18" t="s">
        <v>345</v>
      </c>
      <c r="AX29" s="32" t="s">
        <v>357</v>
      </c>
      <c r="AY29" s="18" t="s">
        <v>345</v>
      </c>
      <c r="AZ29" s="18" t="s">
        <v>345</v>
      </c>
      <c r="BA29" s="35" t="s">
        <v>358</v>
      </c>
      <c r="BB29" s="36" t="s">
        <v>359</v>
      </c>
      <c r="BC29" s="112"/>
    </row>
    <row r="30" spans="1:55" ht="63.75" customHeight="1" x14ac:dyDescent="0.25">
      <c r="A30" s="15">
        <v>26</v>
      </c>
      <c r="B30" s="15"/>
      <c r="C30" s="15" t="s">
        <v>341</v>
      </c>
      <c r="D30" s="15" t="s">
        <v>403</v>
      </c>
      <c r="E30" s="15" t="s">
        <v>474</v>
      </c>
      <c r="F30" s="16" t="s">
        <v>40</v>
      </c>
      <c r="G30" s="17">
        <v>1</v>
      </c>
      <c r="H30" s="18" t="s">
        <v>475</v>
      </c>
      <c r="I30" s="18" t="s">
        <v>415</v>
      </c>
      <c r="J30" s="18" t="s">
        <v>387</v>
      </c>
      <c r="K30" s="19">
        <v>0.5</v>
      </c>
      <c r="L30" s="20">
        <v>4</v>
      </c>
      <c r="M30" s="21">
        <v>1</v>
      </c>
      <c r="N30" s="22" t="s">
        <v>457</v>
      </c>
      <c r="O30" s="18" t="s">
        <v>349</v>
      </c>
      <c r="P30" s="18" t="s">
        <v>350</v>
      </c>
      <c r="Q30" s="18" t="s">
        <v>406</v>
      </c>
      <c r="R30" s="18" t="s">
        <v>476</v>
      </c>
      <c r="S30" s="18"/>
      <c r="T30" s="22" t="s">
        <v>418</v>
      </c>
      <c r="U30" s="23">
        <v>46210.678736377318</v>
      </c>
      <c r="V30" s="22" t="s">
        <v>477</v>
      </c>
      <c r="W30" s="23">
        <v>46212.678822685193</v>
      </c>
      <c r="X30" s="24" t="s">
        <v>352</v>
      </c>
      <c r="Y30" s="18"/>
      <c r="Z30" s="18" t="s">
        <v>478</v>
      </c>
      <c r="AA30" s="25">
        <v>46199</v>
      </c>
      <c r="AB30" s="25">
        <v>46204</v>
      </c>
      <c r="AC30" s="26"/>
      <c r="AD30" s="26">
        <v>46210.678736377318</v>
      </c>
      <c r="AE30" s="23">
        <v>46210.678736377318</v>
      </c>
      <c r="AF30" s="23">
        <v>46210.678736377318</v>
      </c>
      <c r="AG30" s="23">
        <v>46192</v>
      </c>
      <c r="AH30" s="27"/>
      <c r="AI30" s="24"/>
      <c r="AJ30" s="28"/>
      <c r="AK30" s="28">
        <v>0</v>
      </c>
      <c r="AL30" s="18" t="s">
        <v>345</v>
      </c>
      <c r="AM30" s="18" t="s">
        <v>345</v>
      </c>
      <c r="AN30" s="18" t="s">
        <v>345</v>
      </c>
      <c r="AO30" s="18" t="s">
        <v>354</v>
      </c>
      <c r="AP30" s="24" t="s">
        <v>355</v>
      </c>
      <c r="AQ30" s="18" t="s">
        <v>345</v>
      </c>
      <c r="AR30" s="18" t="s">
        <v>345</v>
      </c>
      <c r="AS30" s="28"/>
      <c r="AT30" s="28" t="s">
        <v>479</v>
      </c>
      <c r="AU30" s="18" t="s">
        <v>345</v>
      </c>
      <c r="AV30" s="18" t="s">
        <v>345</v>
      </c>
      <c r="AW30" s="18" t="s">
        <v>345</v>
      </c>
      <c r="AX30" s="32" t="s">
        <v>357</v>
      </c>
      <c r="AY30" s="18" t="s">
        <v>345</v>
      </c>
      <c r="AZ30" s="18" t="s">
        <v>345</v>
      </c>
      <c r="BA30" s="35" t="s">
        <v>358</v>
      </c>
      <c r="BB30" s="36" t="s">
        <v>359</v>
      </c>
      <c r="BC30" s="111">
        <v>46209</v>
      </c>
    </row>
    <row r="31" spans="1:55" ht="63.75" customHeight="1" x14ac:dyDescent="0.25">
      <c r="A31" s="15">
        <v>27</v>
      </c>
      <c r="B31" s="15"/>
      <c r="C31" s="15" t="s">
        <v>341</v>
      </c>
      <c r="D31" s="15" t="s">
        <v>403</v>
      </c>
      <c r="E31" s="15" t="s">
        <v>480</v>
      </c>
      <c r="F31" s="16" t="s">
        <v>41</v>
      </c>
      <c r="G31" s="17">
        <v>1</v>
      </c>
      <c r="H31" s="18" t="s">
        <v>481</v>
      </c>
      <c r="I31" s="18" t="s">
        <v>415</v>
      </c>
      <c r="J31" s="18" t="s">
        <v>387</v>
      </c>
      <c r="K31" s="19">
        <v>0.375</v>
      </c>
      <c r="L31" s="20">
        <v>3</v>
      </c>
      <c r="M31" s="21">
        <v>1</v>
      </c>
      <c r="N31" s="22" t="s">
        <v>416</v>
      </c>
      <c r="O31" s="18" t="s">
        <v>349</v>
      </c>
      <c r="P31" s="18" t="s">
        <v>350</v>
      </c>
      <c r="Q31" s="18" t="s">
        <v>406</v>
      </c>
      <c r="R31" s="18" t="s">
        <v>482</v>
      </c>
      <c r="S31" s="18"/>
      <c r="T31" s="22" t="s">
        <v>483</v>
      </c>
      <c r="U31" s="23">
        <v>46213.699927858797</v>
      </c>
      <c r="V31" s="22"/>
      <c r="W31" s="23"/>
      <c r="X31" s="24" t="s">
        <v>352</v>
      </c>
      <c r="Y31" s="18"/>
      <c r="Z31" s="18" t="s">
        <v>484</v>
      </c>
      <c r="AA31" s="25">
        <v>46204</v>
      </c>
      <c r="AB31" s="25">
        <v>46209</v>
      </c>
      <c r="AC31" s="26"/>
      <c r="AD31" s="26">
        <v>46213.699927858797</v>
      </c>
      <c r="AE31" s="23">
        <v>46213.699927858797</v>
      </c>
      <c r="AF31" s="23">
        <v>46213.699927858797</v>
      </c>
      <c r="AG31" s="23">
        <v>46199</v>
      </c>
      <c r="AH31" s="27"/>
      <c r="AI31" s="24"/>
      <c r="AJ31" s="28"/>
      <c r="AK31" s="28">
        <v>0</v>
      </c>
      <c r="AL31" s="18" t="s">
        <v>345</v>
      </c>
      <c r="AM31" s="18" t="s">
        <v>345</v>
      </c>
      <c r="AN31" s="18" t="s">
        <v>345</v>
      </c>
      <c r="AO31" s="18" t="s">
        <v>354</v>
      </c>
      <c r="AP31" s="24" t="s">
        <v>355</v>
      </c>
      <c r="AQ31" s="18" t="s">
        <v>345</v>
      </c>
      <c r="AR31" s="18" t="s">
        <v>345</v>
      </c>
      <c r="AS31" s="28"/>
      <c r="AT31" s="28" t="s">
        <v>485</v>
      </c>
      <c r="AU31" s="18" t="s">
        <v>345</v>
      </c>
      <c r="AV31" s="18" t="s">
        <v>345</v>
      </c>
      <c r="AW31" s="18" t="s">
        <v>345</v>
      </c>
      <c r="AX31" s="32" t="s">
        <v>357</v>
      </c>
      <c r="AY31" s="18" t="s">
        <v>345</v>
      </c>
      <c r="AZ31" s="18" t="s">
        <v>345</v>
      </c>
      <c r="BA31" s="35" t="s">
        <v>358</v>
      </c>
      <c r="BB31" s="36" t="s">
        <v>359</v>
      </c>
      <c r="BC31" s="112"/>
    </row>
    <row r="32" spans="1:55" ht="63.75" customHeight="1" x14ac:dyDescent="0.25">
      <c r="A32" s="15">
        <v>28</v>
      </c>
      <c r="B32" s="15"/>
      <c r="C32" s="15" t="s">
        <v>341</v>
      </c>
      <c r="D32" s="15" t="s">
        <v>403</v>
      </c>
      <c r="E32" s="15" t="s">
        <v>486</v>
      </c>
      <c r="F32" s="16" t="s">
        <v>42</v>
      </c>
      <c r="G32" s="17">
        <v>0</v>
      </c>
      <c r="H32" s="18" t="s">
        <v>487</v>
      </c>
      <c r="I32" s="18"/>
      <c r="J32" s="18" t="s">
        <v>387</v>
      </c>
      <c r="K32" s="19">
        <v>1</v>
      </c>
      <c r="L32" s="20">
        <v>8</v>
      </c>
      <c r="M32" s="21">
        <v>0</v>
      </c>
      <c r="N32" s="22"/>
      <c r="O32" s="18" t="s">
        <v>349</v>
      </c>
      <c r="P32" s="18" t="s">
        <v>350</v>
      </c>
      <c r="Q32" s="18" t="s">
        <v>406</v>
      </c>
      <c r="R32" s="18" t="s">
        <v>488</v>
      </c>
      <c r="S32" s="18"/>
      <c r="T32" s="22"/>
      <c r="U32" s="23"/>
      <c r="V32" s="22"/>
      <c r="W32" s="23"/>
      <c r="X32" s="24" t="s">
        <v>352</v>
      </c>
      <c r="Y32" s="18"/>
      <c r="Z32" s="18" t="s">
        <v>489</v>
      </c>
      <c r="AA32" s="25">
        <v>46258</v>
      </c>
      <c r="AB32" s="25">
        <v>46259</v>
      </c>
      <c r="AC32" s="26">
        <v>46258</v>
      </c>
      <c r="AD32" s="26">
        <v>46259</v>
      </c>
      <c r="AE32" s="23">
        <v>46269</v>
      </c>
      <c r="AF32" s="23">
        <v>46274</v>
      </c>
      <c r="AG32" s="23"/>
      <c r="AH32" s="27">
        <v>0</v>
      </c>
      <c r="AI32" s="24"/>
      <c r="AJ32" s="28"/>
      <c r="AK32" s="28">
        <v>0</v>
      </c>
      <c r="AL32" s="18" t="s">
        <v>345</v>
      </c>
      <c r="AM32" s="18" t="s">
        <v>345</v>
      </c>
      <c r="AN32" s="18" t="s">
        <v>345</v>
      </c>
      <c r="AO32" s="18" t="s">
        <v>354</v>
      </c>
      <c r="AP32" s="24" t="s">
        <v>355</v>
      </c>
      <c r="AQ32" s="18" t="s">
        <v>345</v>
      </c>
      <c r="AR32" s="18" t="s">
        <v>345</v>
      </c>
      <c r="AS32" s="28"/>
      <c r="AT32" s="28"/>
      <c r="AU32" s="18" t="s">
        <v>345</v>
      </c>
      <c r="AV32" s="18" t="s">
        <v>345</v>
      </c>
      <c r="AW32" s="18" t="s">
        <v>345</v>
      </c>
      <c r="AX32" s="32" t="s">
        <v>357</v>
      </c>
      <c r="AY32" s="18" t="s">
        <v>345</v>
      </c>
      <c r="AZ32" s="18" t="s">
        <v>345</v>
      </c>
      <c r="BA32" s="35" t="s">
        <v>358</v>
      </c>
      <c r="BB32" s="36" t="s">
        <v>359</v>
      </c>
      <c r="BC32" s="112"/>
    </row>
    <row r="33" spans="1:55" ht="63.75" customHeight="1" x14ac:dyDescent="0.25">
      <c r="A33" s="15">
        <v>29</v>
      </c>
      <c r="B33" s="15"/>
      <c r="C33" s="15" t="s">
        <v>341</v>
      </c>
      <c r="D33" s="15" t="s">
        <v>403</v>
      </c>
      <c r="E33" s="15" t="s">
        <v>490</v>
      </c>
      <c r="F33" s="16" t="s">
        <v>43</v>
      </c>
      <c r="G33" s="17">
        <v>0</v>
      </c>
      <c r="H33" s="18" t="s">
        <v>491</v>
      </c>
      <c r="I33" s="18"/>
      <c r="J33" s="18" t="s">
        <v>387</v>
      </c>
      <c r="K33" s="19">
        <v>1</v>
      </c>
      <c r="L33" s="20">
        <v>8</v>
      </c>
      <c r="M33" s="21">
        <v>0</v>
      </c>
      <c r="N33" s="22"/>
      <c r="O33" s="18" t="s">
        <v>349</v>
      </c>
      <c r="P33" s="18" t="s">
        <v>350</v>
      </c>
      <c r="Q33" s="18" t="s">
        <v>406</v>
      </c>
      <c r="R33" s="18" t="s">
        <v>492</v>
      </c>
      <c r="S33" s="18"/>
      <c r="T33" s="22"/>
      <c r="U33" s="23"/>
      <c r="V33" s="22"/>
      <c r="W33" s="23"/>
      <c r="X33" s="24" t="s">
        <v>352</v>
      </c>
      <c r="Y33" s="18"/>
      <c r="Z33" s="18" t="s">
        <v>493</v>
      </c>
      <c r="AA33" s="25">
        <v>46254</v>
      </c>
      <c r="AB33" s="25">
        <v>46255</v>
      </c>
      <c r="AC33" s="26">
        <v>46254</v>
      </c>
      <c r="AD33" s="26">
        <v>46255</v>
      </c>
      <c r="AE33" s="23">
        <v>46265</v>
      </c>
      <c r="AF33" s="23">
        <v>46270</v>
      </c>
      <c r="AG33" s="23"/>
      <c r="AH33" s="27">
        <v>0</v>
      </c>
      <c r="AI33" s="24"/>
      <c r="AJ33" s="28"/>
      <c r="AK33" s="28">
        <v>0</v>
      </c>
      <c r="AL33" s="18" t="s">
        <v>345</v>
      </c>
      <c r="AM33" s="18" t="s">
        <v>345</v>
      </c>
      <c r="AN33" s="18" t="s">
        <v>345</v>
      </c>
      <c r="AO33" s="18" t="s">
        <v>354</v>
      </c>
      <c r="AP33" s="24" t="s">
        <v>355</v>
      </c>
      <c r="AQ33" s="18" t="s">
        <v>345</v>
      </c>
      <c r="AR33" s="18" t="s">
        <v>345</v>
      </c>
      <c r="AS33" s="28"/>
      <c r="AT33" s="28"/>
      <c r="AU33" s="18" t="s">
        <v>345</v>
      </c>
      <c r="AV33" s="18" t="s">
        <v>345</v>
      </c>
      <c r="AW33" s="18" t="s">
        <v>345</v>
      </c>
      <c r="AX33" s="32" t="s">
        <v>357</v>
      </c>
      <c r="AY33" s="18" t="s">
        <v>345</v>
      </c>
      <c r="AZ33" s="18" t="s">
        <v>345</v>
      </c>
      <c r="BA33" s="35" t="s">
        <v>358</v>
      </c>
      <c r="BB33" s="36" t="s">
        <v>359</v>
      </c>
      <c r="BC33" s="112"/>
    </row>
    <row r="34" spans="1:55" ht="76.5" customHeight="1" x14ac:dyDescent="0.25">
      <c r="A34" s="15">
        <v>30</v>
      </c>
      <c r="B34" s="15"/>
      <c r="C34" s="15" t="s">
        <v>341</v>
      </c>
      <c r="D34" s="15" t="s">
        <v>403</v>
      </c>
      <c r="E34" s="15" t="s">
        <v>494</v>
      </c>
      <c r="F34" s="16" t="s">
        <v>44</v>
      </c>
      <c r="G34" s="17">
        <v>0</v>
      </c>
      <c r="H34" s="18" t="s">
        <v>495</v>
      </c>
      <c r="I34" s="18"/>
      <c r="J34" s="18" t="s">
        <v>387</v>
      </c>
      <c r="K34" s="19">
        <v>1</v>
      </c>
      <c r="L34" s="20">
        <v>8</v>
      </c>
      <c r="M34" s="21">
        <v>0</v>
      </c>
      <c r="N34" s="22"/>
      <c r="O34" s="18" t="s">
        <v>349</v>
      </c>
      <c r="P34" s="18" t="s">
        <v>350</v>
      </c>
      <c r="Q34" s="18" t="s">
        <v>406</v>
      </c>
      <c r="R34" s="18" t="s">
        <v>496</v>
      </c>
      <c r="S34" s="18"/>
      <c r="T34" s="22"/>
      <c r="U34" s="23"/>
      <c r="V34" s="22"/>
      <c r="W34" s="23"/>
      <c r="X34" s="24" t="s">
        <v>352</v>
      </c>
      <c r="Y34" s="18"/>
      <c r="Z34" s="18" t="s">
        <v>497</v>
      </c>
      <c r="AA34" s="25">
        <v>46258</v>
      </c>
      <c r="AB34" s="25">
        <v>46259</v>
      </c>
      <c r="AC34" s="26">
        <v>46258</v>
      </c>
      <c r="AD34" s="26">
        <v>46259</v>
      </c>
      <c r="AE34" s="23">
        <v>46269</v>
      </c>
      <c r="AF34" s="23">
        <v>46274</v>
      </c>
      <c r="AG34" s="23"/>
      <c r="AH34" s="27">
        <v>0</v>
      </c>
      <c r="AI34" s="24"/>
      <c r="AJ34" s="28"/>
      <c r="AK34" s="28">
        <v>0</v>
      </c>
      <c r="AL34" s="18" t="s">
        <v>345</v>
      </c>
      <c r="AM34" s="18" t="s">
        <v>345</v>
      </c>
      <c r="AN34" s="18" t="s">
        <v>345</v>
      </c>
      <c r="AO34" s="18" t="s">
        <v>354</v>
      </c>
      <c r="AP34" s="24" t="s">
        <v>355</v>
      </c>
      <c r="AQ34" s="18" t="s">
        <v>345</v>
      </c>
      <c r="AR34" s="18" t="s">
        <v>345</v>
      </c>
      <c r="AS34" s="28"/>
      <c r="AT34" s="28"/>
      <c r="AU34" s="18" t="s">
        <v>345</v>
      </c>
      <c r="AV34" s="18" t="s">
        <v>345</v>
      </c>
      <c r="AW34" s="18" t="s">
        <v>345</v>
      </c>
      <c r="AX34" s="32" t="s">
        <v>357</v>
      </c>
      <c r="AY34" s="18" t="s">
        <v>345</v>
      </c>
      <c r="AZ34" s="18" t="s">
        <v>345</v>
      </c>
      <c r="BA34" s="35" t="s">
        <v>358</v>
      </c>
      <c r="BB34" s="36" t="s">
        <v>359</v>
      </c>
      <c r="BC34" s="112"/>
    </row>
    <row r="35" spans="1:55" ht="63.75" customHeight="1" x14ac:dyDescent="0.25">
      <c r="A35" s="15">
        <v>31</v>
      </c>
      <c r="B35" s="15"/>
      <c r="C35" s="15" t="s">
        <v>341</v>
      </c>
      <c r="D35" s="15" t="s">
        <v>403</v>
      </c>
      <c r="E35" s="15" t="s">
        <v>498</v>
      </c>
      <c r="F35" s="16" t="s">
        <v>45</v>
      </c>
      <c r="G35" s="17">
        <v>0</v>
      </c>
      <c r="H35" s="18" t="s">
        <v>499</v>
      </c>
      <c r="I35" s="18"/>
      <c r="J35" s="18" t="s">
        <v>387</v>
      </c>
      <c r="K35" s="19">
        <v>1</v>
      </c>
      <c r="L35" s="20">
        <v>8</v>
      </c>
      <c r="M35" s="21">
        <v>0</v>
      </c>
      <c r="N35" s="22"/>
      <c r="O35" s="18" t="s">
        <v>349</v>
      </c>
      <c r="P35" s="18" t="s">
        <v>350</v>
      </c>
      <c r="Q35" s="18" t="s">
        <v>406</v>
      </c>
      <c r="R35" s="18" t="s">
        <v>500</v>
      </c>
      <c r="S35" s="18"/>
      <c r="T35" s="22"/>
      <c r="U35" s="23"/>
      <c r="V35" s="22"/>
      <c r="W35" s="23"/>
      <c r="X35" s="24" t="s">
        <v>352</v>
      </c>
      <c r="Y35" s="18"/>
      <c r="Z35" s="18" t="s">
        <v>501</v>
      </c>
      <c r="AA35" s="25">
        <v>46258</v>
      </c>
      <c r="AB35" s="25">
        <v>46259</v>
      </c>
      <c r="AC35" s="26">
        <v>46258</v>
      </c>
      <c r="AD35" s="26">
        <v>46259</v>
      </c>
      <c r="AE35" s="23">
        <v>46269</v>
      </c>
      <c r="AF35" s="23">
        <v>46274</v>
      </c>
      <c r="AG35" s="23"/>
      <c r="AH35" s="27">
        <v>0</v>
      </c>
      <c r="AI35" s="24"/>
      <c r="AJ35" s="28"/>
      <c r="AK35" s="28">
        <v>0</v>
      </c>
      <c r="AL35" s="18" t="s">
        <v>345</v>
      </c>
      <c r="AM35" s="18" t="s">
        <v>345</v>
      </c>
      <c r="AN35" s="18" t="s">
        <v>345</v>
      </c>
      <c r="AO35" s="18" t="s">
        <v>354</v>
      </c>
      <c r="AP35" s="24" t="s">
        <v>355</v>
      </c>
      <c r="AQ35" s="18" t="s">
        <v>345</v>
      </c>
      <c r="AR35" s="18" t="s">
        <v>345</v>
      </c>
      <c r="AS35" s="28"/>
      <c r="AT35" s="28"/>
      <c r="AU35" s="18" t="s">
        <v>345</v>
      </c>
      <c r="AV35" s="18" t="s">
        <v>345</v>
      </c>
      <c r="AW35" s="18" t="s">
        <v>345</v>
      </c>
      <c r="AX35" s="32" t="s">
        <v>357</v>
      </c>
      <c r="AY35" s="18" t="s">
        <v>345</v>
      </c>
      <c r="AZ35" s="18" t="s">
        <v>345</v>
      </c>
      <c r="BA35" s="35" t="s">
        <v>358</v>
      </c>
      <c r="BB35" s="36" t="s">
        <v>359</v>
      </c>
      <c r="BC35" s="112"/>
    </row>
    <row r="36" spans="1:55" ht="76.5" customHeight="1" x14ac:dyDescent="0.25">
      <c r="A36" s="15">
        <v>32</v>
      </c>
      <c r="B36" s="15"/>
      <c r="C36" s="15" t="s">
        <v>341</v>
      </c>
      <c r="D36" s="15" t="s">
        <v>403</v>
      </c>
      <c r="E36" s="15" t="s">
        <v>502</v>
      </c>
      <c r="F36" s="16" t="s">
        <v>46</v>
      </c>
      <c r="G36" s="17">
        <v>0</v>
      </c>
      <c r="H36" s="18" t="s">
        <v>503</v>
      </c>
      <c r="I36" s="18"/>
      <c r="J36" s="18" t="s">
        <v>387</v>
      </c>
      <c r="K36" s="19">
        <v>1</v>
      </c>
      <c r="L36" s="20">
        <v>8</v>
      </c>
      <c r="M36" s="21">
        <v>0</v>
      </c>
      <c r="N36" s="22"/>
      <c r="O36" s="18" t="s">
        <v>349</v>
      </c>
      <c r="P36" s="18" t="s">
        <v>350</v>
      </c>
      <c r="Q36" s="18" t="s">
        <v>406</v>
      </c>
      <c r="R36" s="18" t="s">
        <v>504</v>
      </c>
      <c r="S36" s="18"/>
      <c r="T36" s="22"/>
      <c r="U36" s="23"/>
      <c r="V36" s="22"/>
      <c r="W36" s="23"/>
      <c r="X36" s="24" t="s">
        <v>352</v>
      </c>
      <c r="Y36" s="18"/>
      <c r="Z36" s="18" t="s">
        <v>505</v>
      </c>
      <c r="AA36" s="25">
        <v>46265</v>
      </c>
      <c r="AB36" s="25">
        <v>46269</v>
      </c>
      <c r="AC36" s="26">
        <v>46265</v>
      </c>
      <c r="AD36" s="26">
        <v>46269</v>
      </c>
      <c r="AE36" s="23">
        <v>46279</v>
      </c>
      <c r="AF36" s="23">
        <v>46284</v>
      </c>
      <c r="AG36" s="23"/>
      <c r="AH36" s="27">
        <v>0</v>
      </c>
      <c r="AI36" s="24"/>
      <c r="AJ36" s="28"/>
      <c r="AK36" s="28">
        <v>0</v>
      </c>
      <c r="AL36" s="18" t="s">
        <v>345</v>
      </c>
      <c r="AM36" s="18" t="s">
        <v>345</v>
      </c>
      <c r="AN36" s="18" t="s">
        <v>345</v>
      </c>
      <c r="AO36" s="18" t="s">
        <v>354</v>
      </c>
      <c r="AP36" s="24" t="s">
        <v>355</v>
      </c>
      <c r="AQ36" s="18" t="s">
        <v>345</v>
      </c>
      <c r="AR36" s="18" t="s">
        <v>345</v>
      </c>
      <c r="AS36" s="28"/>
      <c r="AT36" s="28"/>
      <c r="AU36" s="18" t="s">
        <v>345</v>
      </c>
      <c r="AV36" s="18" t="s">
        <v>345</v>
      </c>
      <c r="AW36" s="18" t="s">
        <v>345</v>
      </c>
      <c r="AX36" s="32" t="s">
        <v>357</v>
      </c>
      <c r="AY36" s="18" t="s">
        <v>345</v>
      </c>
      <c r="AZ36" s="18" t="s">
        <v>345</v>
      </c>
      <c r="BA36" s="35" t="s">
        <v>358</v>
      </c>
      <c r="BB36" s="36" t="s">
        <v>359</v>
      </c>
      <c r="BC36" s="112"/>
    </row>
    <row r="37" spans="1:55" ht="63.75" customHeight="1" x14ac:dyDescent="0.25">
      <c r="A37" s="15">
        <v>33</v>
      </c>
      <c r="B37" s="15"/>
      <c r="C37" s="15" t="s">
        <v>341</v>
      </c>
      <c r="D37" s="15" t="s">
        <v>403</v>
      </c>
      <c r="E37" s="15" t="s">
        <v>506</v>
      </c>
      <c r="F37" s="16" t="s">
        <v>47</v>
      </c>
      <c r="G37" s="17">
        <v>1</v>
      </c>
      <c r="H37" s="18" t="s">
        <v>507</v>
      </c>
      <c r="I37" s="18" t="s">
        <v>415</v>
      </c>
      <c r="J37" s="18" t="s">
        <v>387</v>
      </c>
      <c r="K37" s="19">
        <v>0.5</v>
      </c>
      <c r="L37" s="20">
        <v>4</v>
      </c>
      <c r="M37" s="21">
        <v>1</v>
      </c>
      <c r="N37" s="22" t="s">
        <v>416</v>
      </c>
      <c r="O37" s="18" t="s">
        <v>349</v>
      </c>
      <c r="P37" s="18" t="s">
        <v>350</v>
      </c>
      <c r="Q37" s="18" t="s">
        <v>406</v>
      </c>
      <c r="R37" s="18" t="s">
        <v>508</v>
      </c>
      <c r="S37" s="18"/>
      <c r="T37" s="22" t="s">
        <v>483</v>
      </c>
      <c r="U37" s="23">
        <v>46213.699928275462</v>
      </c>
      <c r="V37" s="22"/>
      <c r="W37" s="23"/>
      <c r="X37" s="24" t="s">
        <v>352</v>
      </c>
      <c r="Y37" s="18"/>
      <c r="Z37" s="18" t="s">
        <v>509</v>
      </c>
      <c r="AA37" s="25">
        <v>46204</v>
      </c>
      <c r="AB37" s="25">
        <v>46209</v>
      </c>
      <c r="AC37" s="26"/>
      <c r="AD37" s="26">
        <v>46213.699928275462</v>
      </c>
      <c r="AE37" s="23">
        <v>46213.699928275462</v>
      </c>
      <c r="AF37" s="23">
        <v>46213.699928275462</v>
      </c>
      <c r="AG37" s="23">
        <v>46202</v>
      </c>
      <c r="AH37" s="27"/>
      <c r="AI37" s="24"/>
      <c r="AJ37" s="28"/>
      <c r="AK37" s="28">
        <v>0</v>
      </c>
      <c r="AL37" s="18" t="s">
        <v>345</v>
      </c>
      <c r="AM37" s="18" t="s">
        <v>345</v>
      </c>
      <c r="AN37" s="18" t="s">
        <v>345</v>
      </c>
      <c r="AO37" s="18" t="s">
        <v>354</v>
      </c>
      <c r="AP37" s="24" t="s">
        <v>355</v>
      </c>
      <c r="AQ37" s="18" t="s">
        <v>345</v>
      </c>
      <c r="AR37" s="18" t="s">
        <v>345</v>
      </c>
      <c r="AS37" s="28"/>
      <c r="AT37" s="28" t="s">
        <v>485</v>
      </c>
      <c r="AU37" s="18" t="s">
        <v>345</v>
      </c>
      <c r="AV37" s="18" t="s">
        <v>345</v>
      </c>
      <c r="AW37" s="18" t="s">
        <v>345</v>
      </c>
      <c r="AX37" s="32" t="s">
        <v>357</v>
      </c>
      <c r="AY37" s="18" t="s">
        <v>345</v>
      </c>
      <c r="AZ37" s="18" t="s">
        <v>345</v>
      </c>
      <c r="BA37" s="35" t="s">
        <v>358</v>
      </c>
      <c r="BB37" s="36" t="s">
        <v>359</v>
      </c>
      <c r="BC37" s="112"/>
    </row>
    <row r="38" spans="1:55" ht="63.75" customHeight="1" x14ac:dyDescent="0.25">
      <c r="A38" s="15">
        <v>34</v>
      </c>
      <c r="B38" s="15"/>
      <c r="C38" s="15" t="s">
        <v>341</v>
      </c>
      <c r="D38" s="15" t="s">
        <v>403</v>
      </c>
      <c r="E38" s="15" t="s">
        <v>510</v>
      </c>
      <c r="F38" s="16" t="s">
        <v>48</v>
      </c>
      <c r="G38" s="17">
        <v>0</v>
      </c>
      <c r="H38" s="18" t="s">
        <v>511</v>
      </c>
      <c r="I38" s="18"/>
      <c r="J38" s="18" t="s">
        <v>387</v>
      </c>
      <c r="K38" s="19">
        <v>1</v>
      </c>
      <c r="L38" s="20">
        <v>8</v>
      </c>
      <c r="M38" s="21">
        <v>0</v>
      </c>
      <c r="N38" s="22"/>
      <c r="O38" s="18" t="s">
        <v>349</v>
      </c>
      <c r="P38" s="18" t="s">
        <v>350</v>
      </c>
      <c r="Q38" s="18" t="s">
        <v>406</v>
      </c>
      <c r="R38" s="18" t="s">
        <v>512</v>
      </c>
      <c r="S38" s="18"/>
      <c r="T38" s="22"/>
      <c r="U38" s="23"/>
      <c r="V38" s="22"/>
      <c r="W38" s="23"/>
      <c r="X38" s="24" t="s">
        <v>352</v>
      </c>
      <c r="Y38" s="18"/>
      <c r="Z38" s="18" t="s">
        <v>513</v>
      </c>
      <c r="AA38" s="25">
        <v>46254</v>
      </c>
      <c r="AB38" s="25">
        <v>46259</v>
      </c>
      <c r="AC38" s="26">
        <v>46254</v>
      </c>
      <c r="AD38" s="26">
        <v>46259</v>
      </c>
      <c r="AE38" s="23">
        <v>46269</v>
      </c>
      <c r="AF38" s="23">
        <v>46274</v>
      </c>
      <c r="AG38" s="23"/>
      <c r="AH38" s="27">
        <v>0</v>
      </c>
      <c r="AI38" s="24"/>
      <c r="AJ38" s="28"/>
      <c r="AK38" s="28">
        <v>0</v>
      </c>
      <c r="AL38" s="18" t="s">
        <v>345</v>
      </c>
      <c r="AM38" s="18" t="s">
        <v>345</v>
      </c>
      <c r="AN38" s="18" t="s">
        <v>345</v>
      </c>
      <c r="AO38" s="18" t="s">
        <v>354</v>
      </c>
      <c r="AP38" s="24" t="s">
        <v>355</v>
      </c>
      <c r="AQ38" s="18" t="s">
        <v>345</v>
      </c>
      <c r="AR38" s="18" t="s">
        <v>345</v>
      </c>
      <c r="AS38" s="28"/>
      <c r="AT38" s="28"/>
      <c r="AU38" s="18" t="s">
        <v>345</v>
      </c>
      <c r="AV38" s="18" t="s">
        <v>345</v>
      </c>
      <c r="AW38" s="18" t="s">
        <v>345</v>
      </c>
      <c r="AX38" s="32" t="s">
        <v>357</v>
      </c>
      <c r="AY38" s="18" t="s">
        <v>345</v>
      </c>
      <c r="AZ38" s="18" t="s">
        <v>345</v>
      </c>
      <c r="BA38" s="35" t="s">
        <v>358</v>
      </c>
      <c r="BB38" s="36" t="s">
        <v>359</v>
      </c>
      <c r="BC38" s="112"/>
    </row>
    <row r="39" spans="1:55" ht="76.5" customHeight="1" x14ac:dyDescent="0.25">
      <c r="A39" s="15">
        <v>35</v>
      </c>
      <c r="B39" s="15"/>
      <c r="C39" s="15" t="s">
        <v>341</v>
      </c>
      <c r="D39" s="15" t="s">
        <v>403</v>
      </c>
      <c r="E39" s="15" t="s">
        <v>514</v>
      </c>
      <c r="F39" s="16" t="s">
        <v>49</v>
      </c>
      <c r="G39" s="17">
        <v>0</v>
      </c>
      <c r="H39" s="18" t="s">
        <v>515</v>
      </c>
      <c r="I39" s="18"/>
      <c r="J39" s="18" t="s">
        <v>387</v>
      </c>
      <c r="K39" s="19">
        <v>1</v>
      </c>
      <c r="L39" s="20">
        <v>8</v>
      </c>
      <c r="M39" s="21">
        <v>0</v>
      </c>
      <c r="N39" s="22"/>
      <c r="O39" s="18" t="s">
        <v>349</v>
      </c>
      <c r="P39" s="18" t="s">
        <v>516</v>
      </c>
      <c r="Q39" s="18" t="s">
        <v>406</v>
      </c>
      <c r="R39" s="18" t="s">
        <v>517</v>
      </c>
      <c r="S39" s="18"/>
      <c r="T39" s="22"/>
      <c r="U39" s="23"/>
      <c r="V39" s="22"/>
      <c r="W39" s="23"/>
      <c r="X39" s="24" t="s">
        <v>352</v>
      </c>
      <c r="Y39" s="18"/>
      <c r="Z39" s="18" t="s">
        <v>518</v>
      </c>
      <c r="AA39" s="25">
        <v>46220</v>
      </c>
      <c r="AB39" s="25">
        <v>46225</v>
      </c>
      <c r="AC39" s="26">
        <v>46220</v>
      </c>
      <c r="AD39" s="26">
        <v>46225</v>
      </c>
      <c r="AE39" s="23">
        <v>46235</v>
      </c>
      <c r="AF39" s="23">
        <v>46240</v>
      </c>
      <c r="AG39" s="23"/>
      <c r="AH39" s="27">
        <v>0</v>
      </c>
      <c r="AI39" s="24"/>
      <c r="AJ39" s="28"/>
      <c r="AK39" s="28">
        <v>0</v>
      </c>
      <c r="AL39" s="18" t="s">
        <v>345</v>
      </c>
      <c r="AM39" s="18" t="s">
        <v>345</v>
      </c>
      <c r="AN39" s="18" t="s">
        <v>345</v>
      </c>
      <c r="AO39" s="18" t="s">
        <v>354</v>
      </c>
      <c r="AP39" s="24" t="s">
        <v>355</v>
      </c>
      <c r="AQ39" s="18" t="s">
        <v>345</v>
      </c>
      <c r="AR39" s="18" t="s">
        <v>345</v>
      </c>
      <c r="AS39" s="28"/>
      <c r="AT39" s="28"/>
      <c r="AU39" s="18" t="s">
        <v>345</v>
      </c>
      <c r="AV39" s="18" t="s">
        <v>345</v>
      </c>
      <c r="AW39" s="18" t="s">
        <v>345</v>
      </c>
      <c r="AX39" s="32" t="s">
        <v>357</v>
      </c>
      <c r="AY39" s="18" t="s">
        <v>345</v>
      </c>
      <c r="AZ39" s="18" t="s">
        <v>345</v>
      </c>
      <c r="BA39" s="35" t="s">
        <v>358</v>
      </c>
      <c r="BB39" s="36" t="s">
        <v>359</v>
      </c>
      <c r="BC39" s="112"/>
    </row>
    <row r="40" spans="1:55" ht="76.5" customHeight="1" x14ac:dyDescent="0.25">
      <c r="A40" s="15">
        <v>36</v>
      </c>
      <c r="B40" s="15"/>
      <c r="C40" s="15" t="s">
        <v>341</v>
      </c>
      <c r="D40" s="15" t="s">
        <v>403</v>
      </c>
      <c r="E40" s="15" t="s">
        <v>519</v>
      </c>
      <c r="F40" s="16" t="s">
        <v>50</v>
      </c>
      <c r="G40" s="17">
        <v>0</v>
      </c>
      <c r="H40" s="18" t="s">
        <v>520</v>
      </c>
      <c r="I40" s="18"/>
      <c r="J40" s="18" t="s">
        <v>387</v>
      </c>
      <c r="K40" s="19">
        <v>1</v>
      </c>
      <c r="L40" s="20">
        <v>8</v>
      </c>
      <c r="M40" s="21">
        <v>0</v>
      </c>
      <c r="N40" s="22"/>
      <c r="O40" s="18" t="s">
        <v>349</v>
      </c>
      <c r="P40" s="18" t="s">
        <v>521</v>
      </c>
      <c r="Q40" s="18" t="s">
        <v>406</v>
      </c>
      <c r="R40" s="18" t="s">
        <v>364</v>
      </c>
      <c r="S40" s="18"/>
      <c r="T40" s="22"/>
      <c r="U40" s="23"/>
      <c r="V40" s="22"/>
      <c r="W40" s="23"/>
      <c r="X40" s="24" t="s">
        <v>352</v>
      </c>
      <c r="Y40" s="18"/>
      <c r="Z40" s="18" t="s">
        <v>522</v>
      </c>
      <c r="AA40" s="25">
        <v>46248</v>
      </c>
      <c r="AB40" s="25">
        <v>46252</v>
      </c>
      <c r="AC40" s="26">
        <v>46248</v>
      </c>
      <c r="AD40" s="26">
        <v>46252</v>
      </c>
      <c r="AE40" s="23">
        <v>46262</v>
      </c>
      <c r="AF40" s="23">
        <v>46267</v>
      </c>
      <c r="AG40" s="23"/>
      <c r="AH40" s="27">
        <v>0</v>
      </c>
      <c r="AI40" s="24"/>
      <c r="AJ40" s="28"/>
      <c r="AK40" s="28">
        <v>0</v>
      </c>
      <c r="AL40" s="18" t="s">
        <v>345</v>
      </c>
      <c r="AM40" s="18" t="s">
        <v>345</v>
      </c>
      <c r="AN40" s="18" t="s">
        <v>345</v>
      </c>
      <c r="AO40" s="18" t="s">
        <v>354</v>
      </c>
      <c r="AP40" s="24" t="s">
        <v>355</v>
      </c>
      <c r="AQ40" s="18" t="s">
        <v>345</v>
      </c>
      <c r="AR40" s="18" t="s">
        <v>345</v>
      </c>
      <c r="AS40" s="28"/>
      <c r="AT40" s="28"/>
      <c r="AU40" s="18" t="s">
        <v>345</v>
      </c>
      <c r="AV40" s="18" t="s">
        <v>345</v>
      </c>
      <c r="AW40" s="18" t="s">
        <v>345</v>
      </c>
      <c r="AX40" s="32" t="s">
        <v>357</v>
      </c>
      <c r="AY40" s="18" t="s">
        <v>345</v>
      </c>
      <c r="AZ40" s="18" t="s">
        <v>345</v>
      </c>
      <c r="BA40" s="35" t="s">
        <v>358</v>
      </c>
      <c r="BB40" s="36" t="s">
        <v>359</v>
      </c>
      <c r="BC40" s="112"/>
    </row>
    <row r="41" spans="1:55" ht="63.75" customHeight="1" x14ac:dyDescent="0.25">
      <c r="A41" s="15">
        <v>37</v>
      </c>
      <c r="B41" s="15"/>
      <c r="C41" s="15" t="s">
        <v>341</v>
      </c>
      <c r="D41" s="15" t="s">
        <v>403</v>
      </c>
      <c r="E41" s="15" t="s">
        <v>523</v>
      </c>
      <c r="F41" s="16" t="s">
        <v>51</v>
      </c>
      <c r="G41" s="17">
        <v>0</v>
      </c>
      <c r="H41" s="18" t="s">
        <v>524</v>
      </c>
      <c r="I41" s="18"/>
      <c r="J41" s="18" t="s">
        <v>387</v>
      </c>
      <c r="K41" s="19">
        <v>1</v>
      </c>
      <c r="L41" s="20">
        <v>8</v>
      </c>
      <c r="M41" s="21">
        <v>0</v>
      </c>
      <c r="N41" s="22"/>
      <c r="O41" s="18" t="s">
        <v>349</v>
      </c>
      <c r="P41" s="18" t="s">
        <v>521</v>
      </c>
      <c r="Q41" s="18" t="s">
        <v>406</v>
      </c>
      <c r="R41" s="18" t="s">
        <v>525</v>
      </c>
      <c r="S41" s="18"/>
      <c r="T41" s="22"/>
      <c r="U41" s="23"/>
      <c r="V41" s="22"/>
      <c r="W41" s="23"/>
      <c r="X41" s="24" t="s">
        <v>352</v>
      </c>
      <c r="Y41" s="18"/>
      <c r="Z41" s="18" t="s">
        <v>526</v>
      </c>
      <c r="AA41" s="25">
        <v>46217</v>
      </c>
      <c r="AB41" s="25">
        <v>46220</v>
      </c>
      <c r="AC41" s="26">
        <v>46217</v>
      </c>
      <c r="AD41" s="26">
        <v>46220</v>
      </c>
      <c r="AE41" s="23">
        <v>46230</v>
      </c>
      <c r="AF41" s="23">
        <v>46235</v>
      </c>
      <c r="AG41" s="23"/>
      <c r="AH41" s="27">
        <v>0</v>
      </c>
      <c r="AI41" s="24"/>
      <c r="AJ41" s="28"/>
      <c r="AK41" s="28">
        <v>0</v>
      </c>
      <c r="AL41" s="18" t="s">
        <v>345</v>
      </c>
      <c r="AM41" s="18" t="s">
        <v>345</v>
      </c>
      <c r="AN41" s="18" t="s">
        <v>345</v>
      </c>
      <c r="AO41" s="18" t="s">
        <v>354</v>
      </c>
      <c r="AP41" s="24" t="s">
        <v>355</v>
      </c>
      <c r="AQ41" s="18" t="s">
        <v>345</v>
      </c>
      <c r="AR41" s="18" t="s">
        <v>345</v>
      </c>
      <c r="AS41" s="28"/>
      <c r="AT41" s="28"/>
      <c r="AU41" s="18" t="s">
        <v>345</v>
      </c>
      <c r="AV41" s="18" t="s">
        <v>345</v>
      </c>
      <c r="AW41" s="18" t="s">
        <v>345</v>
      </c>
      <c r="AX41" s="32" t="s">
        <v>357</v>
      </c>
      <c r="AY41" s="18" t="s">
        <v>345</v>
      </c>
      <c r="AZ41" s="18" t="s">
        <v>345</v>
      </c>
      <c r="BA41" s="35" t="s">
        <v>358</v>
      </c>
      <c r="BB41" s="36" t="s">
        <v>359</v>
      </c>
      <c r="BC41" s="112"/>
    </row>
    <row r="42" spans="1:55" ht="63.75" customHeight="1" x14ac:dyDescent="0.25">
      <c r="A42" s="15">
        <v>38</v>
      </c>
      <c r="B42" s="15"/>
      <c r="C42" s="15" t="s">
        <v>341</v>
      </c>
      <c r="D42" s="15" t="s">
        <v>403</v>
      </c>
      <c r="E42" s="15" t="s">
        <v>527</v>
      </c>
      <c r="F42" s="16" t="s">
        <v>52</v>
      </c>
      <c r="G42" s="17">
        <v>0</v>
      </c>
      <c r="H42" s="18" t="s">
        <v>528</v>
      </c>
      <c r="I42" s="18"/>
      <c r="J42" s="18" t="s">
        <v>387</v>
      </c>
      <c r="K42" s="19">
        <v>1</v>
      </c>
      <c r="L42" s="20">
        <v>8</v>
      </c>
      <c r="M42" s="21">
        <v>0</v>
      </c>
      <c r="N42" s="22"/>
      <c r="O42" s="18" t="s">
        <v>349</v>
      </c>
      <c r="P42" s="18" t="s">
        <v>521</v>
      </c>
      <c r="Q42" s="18" t="s">
        <v>406</v>
      </c>
      <c r="R42" s="18" t="s">
        <v>368</v>
      </c>
      <c r="S42" s="18"/>
      <c r="T42" s="22"/>
      <c r="U42" s="23"/>
      <c r="V42" s="22"/>
      <c r="W42" s="23"/>
      <c r="X42" s="24" t="s">
        <v>352</v>
      </c>
      <c r="Y42" s="18"/>
      <c r="Z42" s="18" t="s">
        <v>529</v>
      </c>
      <c r="AA42" s="25">
        <v>46239</v>
      </c>
      <c r="AB42" s="25">
        <v>46244</v>
      </c>
      <c r="AC42" s="26">
        <v>46239</v>
      </c>
      <c r="AD42" s="26">
        <v>46244</v>
      </c>
      <c r="AE42" s="23">
        <v>46254</v>
      </c>
      <c r="AF42" s="23">
        <v>46259</v>
      </c>
      <c r="AG42" s="23"/>
      <c r="AH42" s="27">
        <v>0</v>
      </c>
      <c r="AI42" s="24"/>
      <c r="AJ42" s="28"/>
      <c r="AK42" s="28">
        <v>0</v>
      </c>
      <c r="AL42" s="18" t="s">
        <v>345</v>
      </c>
      <c r="AM42" s="18" t="s">
        <v>345</v>
      </c>
      <c r="AN42" s="18" t="s">
        <v>345</v>
      </c>
      <c r="AO42" s="18" t="s">
        <v>354</v>
      </c>
      <c r="AP42" s="24" t="s">
        <v>355</v>
      </c>
      <c r="AQ42" s="18" t="s">
        <v>345</v>
      </c>
      <c r="AR42" s="18" t="s">
        <v>345</v>
      </c>
      <c r="AS42" s="28"/>
      <c r="AT42" s="28"/>
      <c r="AU42" s="18" t="s">
        <v>345</v>
      </c>
      <c r="AV42" s="18" t="s">
        <v>345</v>
      </c>
      <c r="AW42" s="18" t="s">
        <v>345</v>
      </c>
      <c r="AX42" s="32" t="s">
        <v>357</v>
      </c>
      <c r="AY42" s="18" t="s">
        <v>345</v>
      </c>
      <c r="AZ42" s="18" t="s">
        <v>345</v>
      </c>
      <c r="BA42" s="35" t="s">
        <v>358</v>
      </c>
      <c r="BB42" s="36" t="s">
        <v>359</v>
      </c>
      <c r="BC42" s="112"/>
    </row>
    <row r="43" spans="1:55" ht="76.5" customHeight="1" x14ac:dyDescent="0.25">
      <c r="A43" s="15">
        <v>39</v>
      </c>
      <c r="B43" s="15"/>
      <c r="C43" s="15" t="s">
        <v>341</v>
      </c>
      <c r="D43" s="15" t="s">
        <v>403</v>
      </c>
      <c r="E43" s="15" t="s">
        <v>530</v>
      </c>
      <c r="F43" s="16" t="s">
        <v>53</v>
      </c>
      <c r="G43" s="17">
        <v>0</v>
      </c>
      <c r="H43" s="18" t="s">
        <v>531</v>
      </c>
      <c r="I43" s="18"/>
      <c r="J43" s="18" t="s">
        <v>387</v>
      </c>
      <c r="K43" s="19">
        <v>1</v>
      </c>
      <c r="L43" s="20">
        <v>8</v>
      </c>
      <c r="M43" s="21">
        <v>0</v>
      </c>
      <c r="N43" s="22"/>
      <c r="O43" s="18" t="s">
        <v>349</v>
      </c>
      <c r="P43" s="18" t="s">
        <v>521</v>
      </c>
      <c r="Q43" s="18" t="s">
        <v>406</v>
      </c>
      <c r="R43" s="18" t="s">
        <v>373</v>
      </c>
      <c r="S43" s="18"/>
      <c r="T43" s="22"/>
      <c r="U43" s="23"/>
      <c r="V43" s="22"/>
      <c r="W43" s="23"/>
      <c r="X43" s="24" t="s">
        <v>352</v>
      </c>
      <c r="Y43" s="18"/>
      <c r="Z43" s="18" t="s">
        <v>532</v>
      </c>
      <c r="AA43" s="25">
        <v>46237</v>
      </c>
      <c r="AB43" s="25">
        <v>46239</v>
      </c>
      <c r="AC43" s="26">
        <v>46237</v>
      </c>
      <c r="AD43" s="26">
        <v>46239</v>
      </c>
      <c r="AE43" s="23">
        <v>46249</v>
      </c>
      <c r="AF43" s="23">
        <v>46254</v>
      </c>
      <c r="AG43" s="23"/>
      <c r="AH43" s="27">
        <v>0</v>
      </c>
      <c r="AI43" s="24"/>
      <c r="AJ43" s="28"/>
      <c r="AK43" s="28">
        <v>0</v>
      </c>
      <c r="AL43" s="18" t="s">
        <v>345</v>
      </c>
      <c r="AM43" s="18" t="s">
        <v>345</v>
      </c>
      <c r="AN43" s="18" t="s">
        <v>345</v>
      </c>
      <c r="AO43" s="18" t="s">
        <v>354</v>
      </c>
      <c r="AP43" s="24" t="s">
        <v>355</v>
      </c>
      <c r="AQ43" s="18" t="s">
        <v>345</v>
      </c>
      <c r="AR43" s="18" t="s">
        <v>345</v>
      </c>
      <c r="AS43" s="28"/>
      <c r="AT43" s="28"/>
      <c r="AU43" s="18" t="s">
        <v>345</v>
      </c>
      <c r="AV43" s="18" t="s">
        <v>345</v>
      </c>
      <c r="AW43" s="18" t="s">
        <v>345</v>
      </c>
      <c r="AX43" s="32" t="s">
        <v>357</v>
      </c>
      <c r="AY43" s="18" t="s">
        <v>345</v>
      </c>
      <c r="AZ43" s="18" t="s">
        <v>345</v>
      </c>
      <c r="BA43" s="35" t="s">
        <v>358</v>
      </c>
      <c r="BB43" s="36" t="s">
        <v>359</v>
      </c>
      <c r="BC43" s="112"/>
    </row>
    <row r="44" spans="1:55" ht="76.5" customHeight="1" x14ac:dyDescent="0.25">
      <c r="A44" s="15">
        <v>40</v>
      </c>
      <c r="B44" s="15"/>
      <c r="C44" s="15" t="s">
        <v>341</v>
      </c>
      <c r="D44" s="15" t="s">
        <v>403</v>
      </c>
      <c r="E44" s="15" t="s">
        <v>533</v>
      </c>
      <c r="F44" s="16" t="s">
        <v>54</v>
      </c>
      <c r="G44" s="17">
        <v>0</v>
      </c>
      <c r="H44" s="18" t="s">
        <v>534</v>
      </c>
      <c r="I44" s="18"/>
      <c r="J44" s="18" t="s">
        <v>387</v>
      </c>
      <c r="K44" s="19">
        <v>1</v>
      </c>
      <c r="L44" s="20">
        <v>8</v>
      </c>
      <c r="M44" s="21">
        <v>0</v>
      </c>
      <c r="N44" s="22"/>
      <c r="O44" s="18" t="s">
        <v>349</v>
      </c>
      <c r="P44" s="18" t="s">
        <v>535</v>
      </c>
      <c r="Q44" s="18" t="s">
        <v>406</v>
      </c>
      <c r="R44" s="18" t="s">
        <v>401</v>
      </c>
      <c r="S44" s="18"/>
      <c r="T44" s="22"/>
      <c r="U44" s="23"/>
      <c r="V44" s="22"/>
      <c r="W44" s="23"/>
      <c r="X44" s="24" t="s">
        <v>352</v>
      </c>
      <c r="Y44" s="18"/>
      <c r="Z44" s="18" t="s">
        <v>536</v>
      </c>
      <c r="AA44" s="25">
        <v>46231</v>
      </c>
      <c r="AB44" s="25">
        <v>46233</v>
      </c>
      <c r="AC44" s="26">
        <v>46231</v>
      </c>
      <c r="AD44" s="26">
        <v>46233</v>
      </c>
      <c r="AE44" s="23">
        <v>46243</v>
      </c>
      <c r="AF44" s="23">
        <v>46248</v>
      </c>
      <c r="AG44" s="23"/>
      <c r="AH44" s="27">
        <v>0</v>
      </c>
      <c r="AI44" s="24"/>
      <c r="AJ44" s="28"/>
      <c r="AK44" s="28">
        <v>0</v>
      </c>
      <c r="AL44" s="18" t="s">
        <v>345</v>
      </c>
      <c r="AM44" s="18" t="s">
        <v>345</v>
      </c>
      <c r="AN44" s="18" t="s">
        <v>345</v>
      </c>
      <c r="AO44" s="18" t="s">
        <v>354</v>
      </c>
      <c r="AP44" s="24" t="s">
        <v>355</v>
      </c>
      <c r="AQ44" s="18" t="s">
        <v>345</v>
      </c>
      <c r="AR44" s="18" t="s">
        <v>345</v>
      </c>
      <c r="AS44" s="28"/>
      <c r="AT44" s="28"/>
      <c r="AU44" s="18" t="s">
        <v>345</v>
      </c>
      <c r="AV44" s="18" t="s">
        <v>345</v>
      </c>
      <c r="AW44" s="18" t="s">
        <v>345</v>
      </c>
      <c r="AX44" s="32" t="s">
        <v>357</v>
      </c>
      <c r="AY44" s="18" t="s">
        <v>345</v>
      </c>
      <c r="AZ44" s="18" t="s">
        <v>345</v>
      </c>
      <c r="BA44" s="35" t="s">
        <v>358</v>
      </c>
      <c r="BB44" s="36" t="s">
        <v>359</v>
      </c>
      <c r="BC44" s="112"/>
    </row>
    <row r="45" spans="1:55" ht="76.5" customHeight="1" x14ac:dyDescent="0.25">
      <c r="A45" s="15">
        <v>41</v>
      </c>
      <c r="B45" s="15"/>
      <c r="C45" s="15" t="s">
        <v>341</v>
      </c>
      <c r="D45" s="15" t="s">
        <v>403</v>
      </c>
      <c r="E45" s="15" t="s">
        <v>537</v>
      </c>
      <c r="F45" s="16" t="s">
        <v>55</v>
      </c>
      <c r="G45" s="17">
        <v>0</v>
      </c>
      <c r="H45" s="18" t="s">
        <v>538</v>
      </c>
      <c r="I45" s="18"/>
      <c r="J45" s="18" t="s">
        <v>387</v>
      </c>
      <c r="K45" s="19">
        <v>1</v>
      </c>
      <c r="L45" s="20">
        <v>8</v>
      </c>
      <c r="M45" s="21">
        <v>0</v>
      </c>
      <c r="N45" s="22"/>
      <c r="O45" s="18" t="s">
        <v>349</v>
      </c>
      <c r="P45" s="18" t="s">
        <v>539</v>
      </c>
      <c r="Q45" s="18" t="s">
        <v>406</v>
      </c>
      <c r="R45" s="18" t="s">
        <v>540</v>
      </c>
      <c r="S45" s="18"/>
      <c r="T45" s="22"/>
      <c r="U45" s="23"/>
      <c r="V45" s="22"/>
      <c r="W45" s="23"/>
      <c r="X45" s="24" t="s">
        <v>352</v>
      </c>
      <c r="Y45" s="18"/>
      <c r="Z45" s="18" t="s">
        <v>541</v>
      </c>
      <c r="AA45" s="25">
        <v>46245</v>
      </c>
      <c r="AB45" s="25">
        <v>46247</v>
      </c>
      <c r="AC45" s="26">
        <v>46245</v>
      </c>
      <c r="AD45" s="26">
        <v>46247</v>
      </c>
      <c r="AE45" s="23">
        <v>46257</v>
      </c>
      <c r="AF45" s="23">
        <v>46262</v>
      </c>
      <c r="AG45" s="23"/>
      <c r="AH45" s="27">
        <v>0</v>
      </c>
      <c r="AI45" s="24"/>
      <c r="AJ45" s="28"/>
      <c r="AK45" s="28">
        <v>0</v>
      </c>
      <c r="AL45" s="18" t="s">
        <v>345</v>
      </c>
      <c r="AM45" s="18" t="s">
        <v>345</v>
      </c>
      <c r="AN45" s="18" t="s">
        <v>345</v>
      </c>
      <c r="AO45" s="18" t="s">
        <v>354</v>
      </c>
      <c r="AP45" s="24" t="s">
        <v>355</v>
      </c>
      <c r="AQ45" s="18" t="s">
        <v>345</v>
      </c>
      <c r="AR45" s="18" t="s">
        <v>345</v>
      </c>
      <c r="AS45" s="28"/>
      <c r="AT45" s="28"/>
      <c r="AU45" s="18" t="s">
        <v>345</v>
      </c>
      <c r="AV45" s="18" t="s">
        <v>345</v>
      </c>
      <c r="AW45" s="18" t="s">
        <v>345</v>
      </c>
      <c r="AX45" s="32" t="s">
        <v>357</v>
      </c>
      <c r="AY45" s="18" t="s">
        <v>345</v>
      </c>
      <c r="AZ45" s="18" t="s">
        <v>345</v>
      </c>
      <c r="BA45" s="35" t="s">
        <v>358</v>
      </c>
      <c r="BB45" s="36" t="s">
        <v>359</v>
      </c>
      <c r="BC45" s="112"/>
    </row>
    <row r="46" spans="1:55" ht="76.5" customHeight="1" x14ac:dyDescent="0.25">
      <c r="A46" s="15">
        <v>42</v>
      </c>
      <c r="B46" s="15"/>
      <c r="C46" s="15" t="s">
        <v>341</v>
      </c>
      <c r="D46" s="15" t="s">
        <v>403</v>
      </c>
      <c r="E46" s="15" t="s">
        <v>542</v>
      </c>
      <c r="F46" s="16" t="s">
        <v>63</v>
      </c>
      <c r="G46" s="17">
        <v>0</v>
      </c>
      <c r="H46" s="18" t="s">
        <v>543</v>
      </c>
      <c r="I46" s="18" t="s">
        <v>359</v>
      </c>
      <c r="J46" s="18" t="s">
        <v>387</v>
      </c>
      <c r="K46" s="19">
        <v>0.375</v>
      </c>
      <c r="L46" s="20">
        <v>3</v>
      </c>
      <c r="M46" s="21">
        <v>0.8</v>
      </c>
      <c r="N46" s="22" t="s">
        <v>469</v>
      </c>
      <c r="O46" s="18" t="s">
        <v>349</v>
      </c>
      <c r="P46" s="18" t="s">
        <v>350</v>
      </c>
      <c r="Q46" s="18" t="s">
        <v>406</v>
      </c>
      <c r="R46" s="18" t="s">
        <v>544</v>
      </c>
      <c r="S46" s="18"/>
      <c r="T46" s="22" t="s">
        <v>483</v>
      </c>
      <c r="U46" s="23">
        <v>46213.699928784721</v>
      </c>
      <c r="V46" s="22"/>
      <c r="W46" s="23"/>
      <c r="X46" s="24" t="s">
        <v>374</v>
      </c>
      <c r="Y46" s="18"/>
      <c r="Z46" s="18"/>
      <c r="AA46" s="25"/>
      <c r="AB46" s="25"/>
      <c r="AC46" s="26">
        <v>46209</v>
      </c>
      <c r="AD46" s="26">
        <v>46213.699928784721</v>
      </c>
      <c r="AE46" s="23">
        <v>46223.699928784721</v>
      </c>
      <c r="AF46" s="23">
        <v>46228.699928784721</v>
      </c>
      <c r="AG46" s="23">
        <v>46202</v>
      </c>
      <c r="AH46" s="27">
        <v>0</v>
      </c>
      <c r="AI46" s="24"/>
      <c r="AJ46" s="28"/>
      <c r="AK46" s="28">
        <v>0</v>
      </c>
      <c r="AL46" s="18" t="s">
        <v>345</v>
      </c>
      <c r="AM46" s="18" t="s">
        <v>345</v>
      </c>
      <c r="AN46" s="18" t="s">
        <v>345</v>
      </c>
      <c r="AO46" s="18" t="s">
        <v>354</v>
      </c>
      <c r="AP46" s="24" t="s">
        <v>355</v>
      </c>
      <c r="AQ46" s="18" t="s">
        <v>345</v>
      </c>
      <c r="AR46" s="18" t="s">
        <v>345</v>
      </c>
      <c r="AS46" s="28"/>
      <c r="AT46" s="28" t="s">
        <v>461</v>
      </c>
      <c r="AU46" s="18" t="s">
        <v>345</v>
      </c>
      <c r="AV46" s="18" t="s">
        <v>345</v>
      </c>
      <c r="AW46" s="18" t="s">
        <v>345</v>
      </c>
      <c r="AX46" s="32" t="s">
        <v>545</v>
      </c>
      <c r="AY46" s="18" t="s">
        <v>345</v>
      </c>
      <c r="AZ46" s="18" t="s">
        <v>345</v>
      </c>
      <c r="BA46" s="35" t="s">
        <v>358</v>
      </c>
      <c r="BB46" s="36" t="s">
        <v>359</v>
      </c>
      <c r="BC46" s="112"/>
    </row>
    <row r="47" spans="1:55" ht="63.75" customHeight="1" x14ac:dyDescent="0.25">
      <c r="A47" s="15">
        <v>43</v>
      </c>
      <c r="B47" s="15"/>
      <c r="C47" s="15" t="s">
        <v>341</v>
      </c>
      <c r="D47" s="15" t="s">
        <v>546</v>
      </c>
      <c r="E47" s="15" t="s">
        <v>547</v>
      </c>
      <c r="F47" s="16" t="s">
        <v>64</v>
      </c>
      <c r="G47" s="17">
        <v>0</v>
      </c>
      <c r="H47" s="18" t="s">
        <v>548</v>
      </c>
      <c r="I47" s="18"/>
      <c r="J47" s="18" t="s">
        <v>387</v>
      </c>
      <c r="K47" s="19">
        <v>2.5</v>
      </c>
      <c r="L47" s="20">
        <v>20</v>
      </c>
      <c r="M47" s="21">
        <v>0.2</v>
      </c>
      <c r="N47" s="22"/>
      <c r="O47" s="18" t="s">
        <v>349</v>
      </c>
      <c r="P47" s="18" t="s">
        <v>549</v>
      </c>
      <c r="Q47" s="18" t="s">
        <v>550</v>
      </c>
      <c r="R47" s="18"/>
      <c r="S47" s="18"/>
      <c r="T47" s="22"/>
      <c r="U47" s="23"/>
      <c r="V47" s="22"/>
      <c r="W47" s="23"/>
      <c r="X47" s="24" t="s">
        <v>352</v>
      </c>
      <c r="Y47" s="18"/>
      <c r="Z47" s="18" t="s">
        <v>551</v>
      </c>
      <c r="AA47" s="25">
        <v>46226</v>
      </c>
      <c r="AB47" s="25">
        <v>46227</v>
      </c>
      <c r="AC47" s="26">
        <v>46226</v>
      </c>
      <c r="AD47" s="26">
        <v>46227</v>
      </c>
      <c r="AE47" s="23">
        <v>46237</v>
      </c>
      <c r="AF47" s="23">
        <v>46242</v>
      </c>
      <c r="AG47" s="23">
        <v>46188</v>
      </c>
      <c r="AH47" s="27">
        <v>0</v>
      </c>
      <c r="AI47" s="24"/>
      <c r="AJ47" s="28"/>
      <c r="AK47" s="28">
        <v>0</v>
      </c>
      <c r="AL47" s="18" t="s">
        <v>345</v>
      </c>
      <c r="AM47" s="18" t="s">
        <v>345</v>
      </c>
      <c r="AN47" s="18" t="s">
        <v>345</v>
      </c>
      <c r="AO47" s="18" t="s">
        <v>354</v>
      </c>
      <c r="AP47" s="24" t="s">
        <v>355</v>
      </c>
      <c r="AQ47" s="18" t="s">
        <v>345</v>
      </c>
      <c r="AR47" s="18" t="s">
        <v>345</v>
      </c>
      <c r="AS47" s="28"/>
      <c r="AT47" s="28" t="s">
        <v>552</v>
      </c>
      <c r="AU47" s="18" t="s">
        <v>345</v>
      </c>
      <c r="AV47" s="18" t="s">
        <v>345</v>
      </c>
      <c r="AW47" s="18" t="s">
        <v>345</v>
      </c>
      <c r="AX47" s="32" t="s">
        <v>357</v>
      </c>
      <c r="AY47" s="18" t="s">
        <v>345</v>
      </c>
      <c r="AZ47" s="18" t="s">
        <v>345</v>
      </c>
      <c r="BA47" s="35" t="s">
        <v>358</v>
      </c>
      <c r="BB47" s="36" t="s">
        <v>359</v>
      </c>
      <c r="BC47" s="112"/>
    </row>
    <row r="48" spans="1:55" ht="76.5" customHeight="1" x14ac:dyDescent="0.25">
      <c r="A48" s="15">
        <v>44</v>
      </c>
      <c r="B48" s="15"/>
      <c r="C48" s="15" t="s">
        <v>341</v>
      </c>
      <c r="D48" s="15" t="s">
        <v>546</v>
      </c>
      <c r="E48" s="15" t="s">
        <v>553</v>
      </c>
      <c r="F48" s="16" t="s">
        <v>65</v>
      </c>
      <c r="G48" s="17">
        <v>0</v>
      </c>
      <c r="H48" s="18" t="s">
        <v>554</v>
      </c>
      <c r="I48" s="18"/>
      <c r="J48" s="18" t="s">
        <v>387</v>
      </c>
      <c r="K48" s="19">
        <v>1</v>
      </c>
      <c r="L48" s="20">
        <v>8</v>
      </c>
      <c r="M48" s="21">
        <v>0</v>
      </c>
      <c r="N48" s="22"/>
      <c r="O48" s="18" t="s">
        <v>349</v>
      </c>
      <c r="P48" s="18" t="s">
        <v>549</v>
      </c>
      <c r="Q48" s="18" t="s">
        <v>555</v>
      </c>
      <c r="R48" s="18"/>
      <c r="S48" s="18"/>
      <c r="T48" s="22"/>
      <c r="U48" s="23"/>
      <c r="V48" s="22"/>
      <c r="W48" s="23"/>
      <c r="X48" s="24" t="s">
        <v>352</v>
      </c>
      <c r="Y48" s="18"/>
      <c r="Z48" s="18" t="s">
        <v>556</v>
      </c>
      <c r="AA48" s="25">
        <v>46252</v>
      </c>
      <c r="AB48" s="25">
        <v>46254</v>
      </c>
      <c r="AC48" s="26">
        <v>46252</v>
      </c>
      <c r="AD48" s="26">
        <v>46254</v>
      </c>
      <c r="AE48" s="23">
        <v>46264</v>
      </c>
      <c r="AF48" s="23">
        <v>46269</v>
      </c>
      <c r="AG48" s="23"/>
      <c r="AH48" s="27">
        <v>0</v>
      </c>
      <c r="AI48" s="24"/>
      <c r="AJ48" s="28"/>
      <c r="AK48" s="28">
        <v>0</v>
      </c>
      <c r="AL48" s="18" t="s">
        <v>345</v>
      </c>
      <c r="AM48" s="18" t="s">
        <v>345</v>
      </c>
      <c r="AN48" s="18" t="s">
        <v>345</v>
      </c>
      <c r="AO48" s="18" t="s">
        <v>354</v>
      </c>
      <c r="AP48" s="24" t="s">
        <v>355</v>
      </c>
      <c r="AQ48" s="18" t="s">
        <v>345</v>
      </c>
      <c r="AR48" s="18" t="s">
        <v>345</v>
      </c>
      <c r="AS48" s="28"/>
      <c r="AT48" s="28"/>
      <c r="AU48" s="18" t="s">
        <v>345</v>
      </c>
      <c r="AV48" s="18" t="s">
        <v>345</v>
      </c>
      <c r="AW48" s="18" t="s">
        <v>345</v>
      </c>
      <c r="AX48" s="32" t="s">
        <v>357</v>
      </c>
      <c r="AY48" s="18" t="s">
        <v>345</v>
      </c>
      <c r="AZ48" s="18" t="s">
        <v>345</v>
      </c>
      <c r="BA48" s="35" t="s">
        <v>358</v>
      </c>
      <c r="BB48" s="36" t="s">
        <v>359</v>
      </c>
      <c r="BC48" s="112"/>
    </row>
    <row r="49" spans="1:55" ht="76.5" customHeight="1" x14ac:dyDescent="0.25">
      <c r="A49" s="15">
        <v>45</v>
      </c>
      <c r="B49" s="15"/>
      <c r="C49" s="15" t="s">
        <v>341</v>
      </c>
      <c r="D49" s="15" t="s">
        <v>546</v>
      </c>
      <c r="E49" s="15" t="s">
        <v>557</v>
      </c>
      <c r="F49" s="16" t="s">
        <v>66</v>
      </c>
      <c r="G49" s="17">
        <v>0</v>
      </c>
      <c r="H49" s="18" t="s">
        <v>558</v>
      </c>
      <c r="I49" s="18" t="s">
        <v>456</v>
      </c>
      <c r="J49" s="18" t="s">
        <v>387</v>
      </c>
      <c r="K49" s="19">
        <v>12.125</v>
      </c>
      <c r="L49" s="20">
        <v>97</v>
      </c>
      <c r="M49" s="21">
        <v>0.9</v>
      </c>
      <c r="N49" s="22" t="s">
        <v>469</v>
      </c>
      <c r="O49" s="18" t="s">
        <v>349</v>
      </c>
      <c r="P49" s="18" t="s">
        <v>549</v>
      </c>
      <c r="Q49" s="18" t="s">
        <v>559</v>
      </c>
      <c r="R49" s="18"/>
      <c r="S49" s="18"/>
      <c r="T49" s="22" t="s">
        <v>560</v>
      </c>
      <c r="U49" s="23">
        <v>46199.699325266207</v>
      </c>
      <c r="V49" s="22" t="s">
        <v>471</v>
      </c>
      <c r="W49" s="23">
        <v>46204.712519097222</v>
      </c>
      <c r="X49" s="24" t="s">
        <v>352</v>
      </c>
      <c r="Y49" s="18"/>
      <c r="Z49" s="18" t="s">
        <v>561</v>
      </c>
      <c r="AA49" s="25">
        <v>46182</v>
      </c>
      <c r="AB49" s="25">
        <v>46196</v>
      </c>
      <c r="AC49" s="26">
        <v>46182</v>
      </c>
      <c r="AD49" s="26">
        <v>46199.699325266207</v>
      </c>
      <c r="AE49" s="23">
        <v>46209.699325266207</v>
      </c>
      <c r="AF49" s="23">
        <v>46214.699325266207</v>
      </c>
      <c r="AG49" s="23">
        <v>46191</v>
      </c>
      <c r="AH49" s="27">
        <v>0</v>
      </c>
      <c r="AI49" s="24"/>
      <c r="AJ49" s="28"/>
      <c r="AK49" s="28">
        <v>0</v>
      </c>
      <c r="AL49" s="18" t="s">
        <v>345</v>
      </c>
      <c r="AM49" s="18" t="s">
        <v>345</v>
      </c>
      <c r="AN49" s="18" t="s">
        <v>345</v>
      </c>
      <c r="AO49" s="18" t="s">
        <v>354</v>
      </c>
      <c r="AP49" s="24" t="s">
        <v>355</v>
      </c>
      <c r="AQ49" s="18" t="s">
        <v>345</v>
      </c>
      <c r="AR49" s="18" t="s">
        <v>345</v>
      </c>
      <c r="AS49" s="28"/>
      <c r="AT49" s="28" t="s">
        <v>562</v>
      </c>
      <c r="AU49" s="18" t="s">
        <v>345</v>
      </c>
      <c r="AV49" s="18" t="s">
        <v>345</v>
      </c>
      <c r="AW49" s="18" t="s">
        <v>345</v>
      </c>
      <c r="AX49" s="32" t="s">
        <v>357</v>
      </c>
      <c r="AY49" s="18" t="s">
        <v>345</v>
      </c>
      <c r="AZ49" s="18" t="s">
        <v>345</v>
      </c>
      <c r="BA49" s="35" t="s">
        <v>358</v>
      </c>
      <c r="BB49" s="36" t="s">
        <v>359</v>
      </c>
      <c r="BC49" s="112"/>
    </row>
    <row r="50" spans="1:55" ht="63.75" customHeight="1" x14ac:dyDescent="0.25">
      <c r="A50" s="15">
        <v>46</v>
      </c>
      <c r="B50" s="15"/>
      <c r="C50" s="15" t="s">
        <v>341</v>
      </c>
      <c r="D50" s="15" t="s">
        <v>563</v>
      </c>
      <c r="E50" s="15" t="s">
        <v>564</v>
      </c>
      <c r="F50" s="16" t="s">
        <v>70</v>
      </c>
      <c r="G50" s="17">
        <v>0</v>
      </c>
      <c r="H50" s="18" t="s">
        <v>565</v>
      </c>
      <c r="I50" s="18"/>
      <c r="J50" s="18" t="s">
        <v>387</v>
      </c>
      <c r="K50" s="19">
        <v>3</v>
      </c>
      <c r="L50" s="20">
        <v>24</v>
      </c>
      <c r="M50" s="21">
        <v>0</v>
      </c>
      <c r="N50" s="22"/>
      <c r="O50" s="18" t="s">
        <v>349</v>
      </c>
      <c r="P50" s="18" t="s">
        <v>350</v>
      </c>
      <c r="Q50" s="18" t="s">
        <v>566</v>
      </c>
      <c r="R50" s="18"/>
      <c r="S50" s="18"/>
      <c r="T50" s="22"/>
      <c r="U50" s="23"/>
      <c r="V50" s="22"/>
      <c r="W50" s="23"/>
      <c r="X50" s="24" t="s">
        <v>352</v>
      </c>
      <c r="Y50" s="18"/>
      <c r="Z50" s="18" t="s">
        <v>567</v>
      </c>
      <c r="AA50" s="25">
        <v>46217</v>
      </c>
      <c r="AB50" s="25">
        <v>46220</v>
      </c>
      <c r="AC50" s="26">
        <v>46217</v>
      </c>
      <c r="AD50" s="26">
        <v>46220</v>
      </c>
      <c r="AE50" s="23">
        <v>46230</v>
      </c>
      <c r="AF50" s="23">
        <v>46235</v>
      </c>
      <c r="AG50" s="23"/>
      <c r="AH50" s="27">
        <v>0</v>
      </c>
      <c r="AI50" s="24"/>
      <c r="AJ50" s="28"/>
      <c r="AK50" s="28">
        <v>0</v>
      </c>
      <c r="AL50" s="18" t="s">
        <v>345</v>
      </c>
      <c r="AM50" s="18" t="s">
        <v>345</v>
      </c>
      <c r="AN50" s="18" t="s">
        <v>345</v>
      </c>
      <c r="AO50" s="18" t="s">
        <v>354</v>
      </c>
      <c r="AP50" s="24" t="s">
        <v>355</v>
      </c>
      <c r="AQ50" s="18" t="s">
        <v>345</v>
      </c>
      <c r="AR50" s="18" t="s">
        <v>345</v>
      </c>
      <c r="AS50" s="28"/>
      <c r="AT50" s="28"/>
      <c r="AU50" s="18" t="s">
        <v>345</v>
      </c>
      <c r="AV50" s="18" t="s">
        <v>345</v>
      </c>
      <c r="AW50" s="18" t="s">
        <v>345</v>
      </c>
      <c r="AX50" s="32" t="s">
        <v>357</v>
      </c>
      <c r="AY50" s="18" t="s">
        <v>345</v>
      </c>
      <c r="AZ50" s="18" t="s">
        <v>345</v>
      </c>
      <c r="BA50" s="35" t="s">
        <v>358</v>
      </c>
      <c r="BB50" s="36" t="s">
        <v>359</v>
      </c>
      <c r="BC50" s="112"/>
    </row>
    <row r="51" spans="1:55" ht="76.5" customHeight="1" x14ac:dyDescent="0.25">
      <c r="A51" s="15">
        <v>47</v>
      </c>
      <c r="B51" s="15"/>
      <c r="C51" s="15" t="s">
        <v>568</v>
      </c>
      <c r="D51" s="15" t="s">
        <v>569</v>
      </c>
      <c r="E51" s="15" t="s">
        <v>570</v>
      </c>
      <c r="F51" s="16" t="s">
        <v>72</v>
      </c>
      <c r="G51" s="17">
        <v>2</v>
      </c>
      <c r="H51" s="18" t="s">
        <v>571</v>
      </c>
      <c r="I51" s="18" t="s">
        <v>572</v>
      </c>
      <c r="J51" s="18" t="s">
        <v>387</v>
      </c>
      <c r="K51" s="19">
        <v>3.375</v>
      </c>
      <c r="L51" s="20">
        <v>27</v>
      </c>
      <c r="M51" s="21">
        <v>1</v>
      </c>
      <c r="N51" s="22" t="s">
        <v>573</v>
      </c>
      <c r="O51" s="18" t="s">
        <v>349</v>
      </c>
      <c r="P51" s="18" t="s">
        <v>574</v>
      </c>
      <c r="Q51" s="18" t="s">
        <v>575</v>
      </c>
      <c r="R51" s="18" t="s">
        <v>576</v>
      </c>
      <c r="S51" s="18"/>
      <c r="T51" s="22" t="s">
        <v>577</v>
      </c>
      <c r="U51" s="23">
        <v>46213.699656053243</v>
      </c>
      <c r="V51" s="22"/>
      <c r="W51" s="23"/>
      <c r="X51" s="24" t="s">
        <v>352</v>
      </c>
      <c r="Y51" s="18"/>
      <c r="Z51" s="18" t="s">
        <v>578</v>
      </c>
      <c r="AA51" s="25">
        <v>46192</v>
      </c>
      <c r="AB51" s="25">
        <v>46206</v>
      </c>
      <c r="AC51" s="26"/>
      <c r="AD51" s="26">
        <v>46213.699656053243</v>
      </c>
      <c r="AE51" s="23">
        <v>46213.699656053243</v>
      </c>
      <c r="AF51" s="23">
        <v>46213.699656053243</v>
      </c>
      <c r="AG51" s="23">
        <v>46192</v>
      </c>
      <c r="AH51" s="27"/>
      <c r="AI51" s="24"/>
      <c r="AJ51" s="28"/>
      <c r="AK51" s="28">
        <v>0</v>
      </c>
      <c r="AL51" s="18" t="s">
        <v>345</v>
      </c>
      <c r="AM51" s="18" t="s">
        <v>345</v>
      </c>
      <c r="AN51" s="18" t="s">
        <v>345</v>
      </c>
      <c r="AO51" s="18" t="s">
        <v>354</v>
      </c>
      <c r="AP51" s="24" t="s">
        <v>355</v>
      </c>
      <c r="AQ51" s="18" t="s">
        <v>345</v>
      </c>
      <c r="AR51" s="18" t="s">
        <v>345</v>
      </c>
      <c r="AS51" s="28"/>
      <c r="AT51" s="28" t="s">
        <v>579</v>
      </c>
      <c r="AU51" s="18" t="s">
        <v>345</v>
      </c>
      <c r="AV51" s="18" t="s">
        <v>345</v>
      </c>
      <c r="AW51" s="18" t="s">
        <v>345</v>
      </c>
      <c r="AX51" s="32" t="s">
        <v>545</v>
      </c>
      <c r="AY51" s="18" t="s">
        <v>345</v>
      </c>
      <c r="AZ51" s="18" t="s">
        <v>345</v>
      </c>
      <c r="BA51" s="35" t="s">
        <v>358</v>
      </c>
      <c r="BB51" s="36" t="s">
        <v>359</v>
      </c>
      <c r="BC51" s="111">
        <v>46213</v>
      </c>
    </row>
    <row r="52" spans="1:55" ht="63.75" customHeight="1" x14ac:dyDescent="0.25">
      <c r="A52" s="15">
        <v>48</v>
      </c>
      <c r="B52" s="15"/>
      <c r="C52" s="15" t="s">
        <v>568</v>
      </c>
      <c r="D52" s="15" t="s">
        <v>580</v>
      </c>
      <c r="E52" s="15" t="s">
        <v>581</v>
      </c>
      <c r="F52" s="16" t="s">
        <v>73</v>
      </c>
      <c r="G52" s="17">
        <v>0</v>
      </c>
      <c r="H52" s="18" t="s">
        <v>582</v>
      </c>
      <c r="I52" s="18"/>
      <c r="J52" s="18" t="s">
        <v>348</v>
      </c>
      <c r="K52" s="19">
        <v>1</v>
      </c>
      <c r="L52" s="20">
        <v>1</v>
      </c>
      <c r="M52" s="21">
        <v>0</v>
      </c>
      <c r="N52" s="22"/>
      <c r="O52" s="18" t="s">
        <v>349</v>
      </c>
      <c r="P52" s="18" t="s">
        <v>583</v>
      </c>
      <c r="Q52" s="18" t="s">
        <v>584</v>
      </c>
      <c r="R52" s="18"/>
      <c r="S52" s="18"/>
      <c r="T52" s="22"/>
      <c r="U52" s="23"/>
      <c r="V52" s="22"/>
      <c r="W52" s="23"/>
      <c r="X52" s="24" t="s">
        <v>352</v>
      </c>
      <c r="Y52" s="18"/>
      <c r="Z52" s="18" t="s">
        <v>585</v>
      </c>
      <c r="AA52" s="25">
        <v>46227</v>
      </c>
      <c r="AB52" s="25">
        <v>46232</v>
      </c>
      <c r="AC52" s="26">
        <v>46230</v>
      </c>
      <c r="AD52" s="26">
        <v>46233</v>
      </c>
      <c r="AE52" s="23">
        <v>46243</v>
      </c>
      <c r="AF52" s="23">
        <v>46248</v>
      </c>
      <c r="AG52" s="23"/>
      <c r="AH52" s="27">
        <v>0</v>
      </c>
      <c r="AI52" s="24"/>
      <c r="AJ52" s="28"/>
      <c r="AK52" s="28">
        <v>0</v>
      </c>
      <c r="AL52" s="18" t="s">
        <v>345</v>
      </c>
      <c r="AM52" s="18" t="s">
        <v>345</v>
      </c>
      <c r="AN52" s="18" t="s">
        <v>345</v>
      </c>
      <c r="AO52" s="18" t="s">
        <v>354</v>
      </c>
      <c r="AP52" s="24" t="s">
        <v>355</v>
      </c>
      <c r="AQ52" s="18" t="s">
        <v>345</v>
      </c>
      <c r="AR52" s="18" t="s">
        <v>345</v>
      </c>
      <c r="AS52" s="28"/>
      <c r="AT52" s="28"/>
      <c r="AU52" s="18" t="s">
        <v>345</v>
      </c>
      <c r="AV52" s="18" t="s">
        <v>345</v>
      </c>
      <c r="AW52" s="18" t="s">
        <v>345</v>
      </c>
      <c r="AX52" s="32"/>
      <c r="AY52" s="18" t="s">
        <v>345</v>
      </c>
      <c r="AZ52" s="18" t="s">
        <v>345</v>
      </c>
      <c r="BA52" s="35" t="s">
        <v>358</v>
      </c>
      <c r="BB52" s="36" t="s">
        <v>359</v>
      </c>
      <c r="BC52" s="112"/>
    </row>
    <row r="53" spans="1:55" ht="76.5" customHeight="1" x14ac:dyDescent="0.25">
      <c r="A53" s="15">
        <v>49</v>
      </c>
      <c r="B53" s="15"/>
      <c r="C53" s="15" t="s">
        <v>568</v>
      </c>
      <c r="D53" s="15" t="s">
        <v>580</v>
      </c>
      <c r="E53" s="15" t="s">
        <v>586</v>
      </c>
      <c r="F53" s="16" t="s">
        <v>74</v>
      </c>
      <c r="G53" s="17">
        <v>0</v>
      </c>
      <c r="H53" s="18" t="s">
        <v>587</v>
      </c>
      <c r="I53" s="18"/>
      <c r="J53" s="18" t="s">
        <v>348</v>
      </c>
      <c r="K53" s="19">
        <v>1</v>
      </c>
      <c r="L53" s="20">
        <v>1</v>
      </c>
      <c r="M53" s="21">
        <v>0</v>
      </c>
      <c r="N53" s="22"/>
      <c r="O53" s="18" t="s">
        <v>349</v>
      </c>
      <c r="P53" s="18" t="s">
        <v>588</v>
      </c>
      <c r="Q53" s="18" t="s">
        <v>584</v>
      </c>
      <c r="R53" s="18"/>
      <c r="S53" s="18"/>
      <c r="T53" s="22"/>
      <c r="U53" s="23"/>
      <c r="V53" s="22"/>
      <c r="W53" s="23"/>
      <c r="X53" s="24" t="s">
        <v>352</v>
      </c>
      <c r="Y53" s="18"/>
      <c r="Z53" s="18" t="s">
        <v>589</v>
      </c>
      <c r="AA53" s="25">
        <v>46239</v>
      </c>
      <c r="AB53" s="25">
        <v>46244</v>
      </c>
      <c r="AC53" s="26">
        <v>46230</v>
      </c>
      <c r="AD53" s="26">
        <v>46233</v>
      </c>
      <c r="AE53" s="23">
        <v>46243</v>
      </c>
      <c r="AF53" s="23">
        <v>46248</v>
      </c>
      <c r="AG53" s="23"/>
      <c r="AH53" s="27">
        <v>0</v>
      </c>
      <c r="AI53" s="24"/>
      <c r="AJ53" s="28"/>
      <c r="AK53" s="28">
        <v>0</v>
      </c>
      <c r="AL53" s="18" t="s">
        <v>345</v>
      </c>
      <c r="AM53" s="18" t="s">
        <v>345</v>
      </c>
      <c r="AN53" s="18" t="s">
        <v>345</v>
      </c>
      <c r="AO53" s="18" t="s">
        <v>354</v>
      </c>
      <c r="AP53" s="24" t="s">
        <v>355</v>
      </c>
      <c r="AQ53" s="18" t="s">
        <v>345</v>
      </c>
      <c r="AR53" s="18" t="s">
        <v>345</v>
      </c>
      <c r="AS53" s="28"/>
      <c r="AT53" s="28"/>
      <c r="AU53" s="18" t="s">
        <v>345</v>
      </c>
      <c r="AV53" s="18" t="s">
        <v>345</v>
      </c>
      <c r="AW53" s="18" t="s">
        <v>345</v>
      </c>
      <c r="AX53" s="32"/>
      <c r="AY53" s="18" t="s">
        <v>345</v>
      </c>
      <c r="AZ53" s="18" t="s">
        <v>345</v>
      </c>
      <c r="BA53" s="35" t="s">
        <v>358</v>
      </c>
      <c r="BB53" s="36" t="s">
        <v>359</v>
      </c>
      <c r="BC53" s="112"/>
    </row>
    <row r="54" spans="1:55" ht="76.5" customHeight="1" x14ac:dyDescent="0.25">
      <c r="A54" s="15">
        <v>50</v>
      </c>
      <c r="B54" s="15"/>
      <c r="C54" s="15" t="s">
        <v>568</v>
      </c>
      <c r="D54" s="15" t="s">
        <v>580</v>
      </c>
      <c r="E54" s="15" t="s">
        <v>590</v>
      </c>
      <c r="F54" s="16" t="s">
        <v>75</v>
      </c>
      <c r="G54" s="17">
        <v>0</v>
      </c>
      <c r="H54" s="18" t="s">
        <v>591</v>
      </c>
      <c r="I54" s="18"/>
      <c r="J54" s="18" t="s">
        <v>348</v>
      </c>
      <c r="K54" s="19">
        <v>1</v>
      </c>
      <c r="L54" s="20">
        <v>1</v>
      </c>
      <c r="M54" s="21">
        <v>0</v>
      </c>
      <c r="N54" s="22"/>
      <c r="O54" s="18" t="s">
        <v>349</v>
      </c>
      <c r="P54" s="18" t="s">
        <v>592</v>
      </c>
      <c r="Q54" s="18" t="s">
        <v>584</v>
      </c>
      <c r="R54" s="18"/>
      <c r="S54" s="18"/>
      <c r="T54" s="22"/>
      <c r="U54" s="23"/>
      <c r="V54" s="22"/>
      <c r="W54" s="23"/>
      <c r="X54" s="24" t="s">
        <v>352</v>
      </c>
      <c r="Y54" s="18"/>
      <c r="Z54" s="18" t="s">
        <v>593</v>
      </c>
      <c r="AA54" s="25">
        <v>46251</v>
      </c>
      <c r="AB54" s="25">
        <v>46254</v>
      </c>
      <c r="AC54" s="26">
        <v>46230</v>
      </c>
      <c r="AD54" s="26">
        <v>46233</v>
      </c>
      <c r="AE54" s="23">
        <v>46243</v>
      </c>
      <c r="AF54" s="23">
        <v>46248</v>
      </c>
      <c r="AG54" s="23"/>
      <c r="AH54" s="27">
        <v>0</v>
      </c>
      <c r="AI54" s="24"/>
      <c r="AJ54" s="28"/>
      <c r="AK54" s="28">
        <v>0</v>
      </c>
      <c r="AL54" s="18" t="s">
        <v>345</v>
      </c>
      <c r="AM54" s="18" t="s">
        <v>345</v>
      </c>
      <c r="AN54" s="18" t="s">
        <v>345</v>
      </c>
      <c r="AO54" s="18" t="s">
        <v>354</v>
      </c>
      <c r="AP54" s="24" t="s">
        <v>355</v>
      </c>
      <c r="AQ54" s="18" t="s">
        <v>345</v>
      </c>
      <c r="AR54" s="18" t="s">
        <v>345</v>
      </c>
      <c r="AS54" s="28"/>
      <c r="AT54" s="28"/>
      <c r="AU54" s="18" t="s">
        <v>345</v>
      </c>
      <c r="AV54" s="18" t="s">
        <v>345</v>
      </c>
      <c r="AW54" s="18" t="s">
        <v>345</v>
      </c>
      <c r="AX54" s="32"/>
      <c r="AY54" s="18" t="s">
        <v>345</v>
      </c>
      <c r="AZ54" s="18" t="s">
        <v>345</v>
      </c>
      <c r="BA54" s="35" t="s">
        <v>358</v>
      </c>
      <c r="BB54" s="36" t="s">
        <v>359</v>
      </c>
      <c r="BC54" s="112"/>
    </row>
    <row r="55" spans="1:55" ht="76.5" customHeight="1" x14ac:dyDescent="0.25">
      <c r="A55" s="15">
        <v>51</v>
      </c>
      <c r="B55" s="15"/>
      <c r="C55" s="15" t="s">
        <v>568</v>
      </c>
      <c r="D55" s="15" t="s">
        <v>580</v>
      </c>
      <c r="E55" s="15" t="s">
        <v>594</v>
      </c>
      <c r="F55" s="16" t="s">
        <v>76</v>
      </c>
      <c r="G55" s="17">
        <v>0</v>
      </c>
      <c r="H55" s="18" t="s">
        <v>595</v>
      </c>
      <c r="I55" s="18"/>
      <c r="J55" s="18" t="s">
        <v>348</v>
      </c>
      <c r="K55" s="19">
        <v>1</v>
      </c>
      <c r="L55" s="20">
        <v>1</v>
      </c>
      <c r="M55" s="21">
        <v>0</v>
      </c>
      <c r="N55" s="22"/>
      <c r="O55" s="18" t="s">
        <v>349</v>
      </c>
      <c r="P55" s="18" t="s">
        <v>596</v>
      </c>
      <c r="Q55" s="18" t="s">
        <v>584</v>
      </c>
      <c r="R55" s="18"/>
      <c r="S55" s="18"/>
      <c r="T55" s="22"/>
      <c r="U55" s="23"/>
      <c r="V55" s="22"/>
      <c r="W55" s="23"/>
      <c r="X55" s="24" t="s">
        <v>352</v>
      </c>
      <c r="Y55" s="18"/>
      <c r="Z55" s="18" t="s">
        <v>597</v>
      </c>
      <c r="AA55" s="25">
        <v>46206</v>
      </c>
      <c r="AB55" s="25">
        <v>46211</v>
      </c>
      <c r="AC55" s="26">
        <v>46211</v>
      </c>
      <c r="AD55" s="26">
        <v>46216</v>
      </c>
      <c r="AE55" s="23">
        <v>46226</v>
      </c>
      <c r="AF55" s="23">
        <v>46231</v>
      </c>
      <c r="AG55" s="23"/>
      <c r="AH55" s="27">
        <v>0</v>
      </c>
      <c r="AI55" s="24"/>
      <c r="AJ55" s="28"/>
      <c r="AK55" s="28">
        <v>0</v>
      </c>
      <c r="AL55" s="18" t="s">
        <v>345</v>
      </c>
      <c r="AM55" s="18" t="s">
        <v>345</v>
      </c>
      <c r="AN55" s="18" t="s">
        <v>345</v>
      </c>
      <c r="AO55" s="18" t="s">
        <v>354</v>
      </c>
      <c r="AP55" s="24" t="s">
        <v>355</v>
      </c>
      <c r="AQ55" s="18" t="s">
        <v>345</v>
      </c>
      <c r="AR55" s="18" t="s">
        <v>345</v>
      </c>
      <c r="AS55" s="28"/>
      <c r="AT55" s="28"/>
      <c r="AU55" s="18" t="s">
        <v>345</v>
      </c>
      <c r="AV55" s="18" t="s">
        <v>345</v>
      </c>
      <c r="AW55" s="18" t="s">
        <v>345</v>
      </c>
      <c r="AX55" s="32"/>
      <c r="AY55" s="18" t="s">
        <v>345</v>
      </c>
      <c r="AZ55" s="18" t="s">
        <v>345</v>
      </c>
      <c r="BA55" s="35" t="s">
        <v>358</v>
      </c>
      <c r="BB55" s="36" t="s">
        <v>359</v>
      </c>
      <c r="BC55" s="112"/>
    </row>
    <row r="56" spans="1:55" ht="76.5" customHeight="1" x14ac:dyDescent="0.25">
      <c r="A56" s="15">
        <v>52</v>
      </c>
      <c r="B56" s="15"/>
      <c r="C56" s="15" t="s">
        <v>568</v>
      </c>
      <c r="D56" s="15" t="s">
        <v>580</v>
      </c>
      <c r="E56" s="15" t="s">
        <v>598</v>
      </c>
      <c r="F56" s="16" t="s">
        <v>77</v>
      </c>
      <c r="G56" s="17">
        <v>0</v>
      </c>
      <c r="H56" s="18" t="s">
        <v>599</v>
      </c>
      <c r="I56" s="18"/>
      <c r="J56" s="18" t="s">
        <v>348</v>
      </c>
      <c r="K56" s="19">
        <v>1</v>
      </c>
      <c r="L56" s="20">
        <v>1</v>
      </c>
      <c r="M56" s="21">
        <v>0</v>
      </c>
      <c r="N56" s="22"/>
      <c r="O56" s="18" t="s">
        <v>349</v>
      </c>
      <c r="P56" s="18" t="s">
        <v>600</v>
      </c>
      <c r="Q56" s="18" t="s">
        <v>584</v>
      </c>
      <c r="R56" s="18"/>
      <c r="S56" s="18"/>
      <c r="T56" s="22"/>
      <c r="U56" s="23"/>
      <c r="V56" s="22"/>
      <c r="W56" s="23"/>
      <c r="X56" s="24" t="s">
        <v>352</v>
      </c>
      <c r="Y56" s="18"/>
      <c r="Z56" s="18" t="s">
        <v>601</v>
      </c>
      <c r="AA56" s="25">
        <v>46211</v>
      </c>
      <c r="AB56" s="25">
        <v>46216</v>
      </c>
      <c r="AC56" s="26">
        <v>46216</v>
      </c>
      <c r="AD56" s="26">
        <v>46219</v>
      </c>
      <c r="AE56" s="23">
        <v>46229</v>
      </c>
      <c r="AF56" s="23">
        <v>46234</v>
      </c>
      <c r="AG56" s="23"/>
      <c r="AH56" s="27">
        <v>0</v>
      </c>
      <c r="AI56" s="24"/>
      <c r="AJ56" s="28"/>
      <c r="AK56" s="28">
        <v>0</v>
      </c>
      <c r="AL56" s="18" t="s">
        <v>345</v>
      </c>
      <c r="AM56" s="18" t="s">
        <v>345</v>
      </c>
      <c r="AN56" s="18" t="s">
        <v>345</v>
      </c>
      <c r="AO56" s="18" t="s">
        <v>354</v>
      </c>
      <c r="AP56" s="24" t="s">
        <v>355</v>
      </c>
      <c r="AQ56" s="18" t="s">
        <v>345</v>
      </c>
      <c r="AR56" s="18" t="s">
        <v>345</v>
      </c>
      <c r="AS56" s="28"/>
      <c r="AT56" s="28"/>
      <c r="AU56" s="18" t="s">
        <v>345</v>
      </c>
      <c r="AV56" s="18" t="s">
        <v>345</v>
      </c>
      <c r="AW56" s="18" t="s">
        <v>345</v>
      </c>
      <c r="AX56" s="32"/>
      <c r="AY56" s="18" t="s">
        <v>345</v>
      </c>
      <c r="AZ56" s="18" t="s">
        <v>345</v>
      </c>
      <c r="BA56" s="35" t="s">
        <v>358</v>
      </c>
      <c r="BB56" s="36" t="s">
        <v>359</v>
      </c>
      <c r="BC56" s="112"/>
    </row>
    <row r="57" spans="1:55" ht="63.75" customHeight="1" x14ac:dyDescent="0.25">
      <c r="A57" s="15">
        <v>53</v>
      </c>
      <c r="B57" s="15"/>
      <c r="C57" s="15" t="s">
        <v>568</v>
      </c>
      <c r="D57" s="15" t="s">
        <v>580</v>
      </c>
      <c r="E57" s="15" t="s">
        <v>602</v>
      </c>
      <c r="F57" s="16" t="s">
        <v>78</v>
      </c>
      <c r="G57" s="17">
        <v>0</v>
      </c>
      <c r="H57" s="18" t="s">
        <v>603</v>
      </c>
      <c r="I57" s="18"/>
      <c r="J57" s="18" t="s">
        <v>348</v>
      </c>
      <c r="K57" s="19">
        <v>1</v>
      </c>
      <c r="L57" s="20">
        <v>1</v>
      </c>
      <c r="M57" s="21">
        <v>0</v>
      </c>
      <c r="N57" s="22"/>
      <c r="O57" s="18" t="s">
        <v>349</v>
      </c>
      <c r="P57" s="18" t="s">
        <v>604</v>
      </c>
      <c r="Q57" s="18" t="s">
        <v>584</v>
      </c>
      <c r="R57" s="18"/>
      <c r="S57" s="18"/>
      <c r="T57" s="22"/>
      <c r="U57" s="23"/>
      <c r="V57" s="22"/>
      <c r="W57" s="23"/>
      <c r="X57" s="24" t="s">
        <v>352</v>
      </c>
      <c r="Y57" s="18"/>
      <c r="Z57" s="18" t="s">
        <v>605</v>
      </c>
      <c r="AA57" s="25">
        <v>46216</v>
      </c>
      <c r="AB57" s="25">
        <v>46219</v>
      </c>
      <c r="AC57" s="26">
        <v>46219</v>
      </c>
      <c r="AD57" s="26">
        <v>46224</v>
      </c>
      <c r="AE57" s="23">
        <v>46234</v>
      </c>
      <c r="AF57" s="23">
        <v>46239</v>
      </c>
      <c r="AG57" s="23"/>
      <c r="AH57" s="27">
        <v>0</v>
      </c>
      <c r="AI57" s="24"/>
      <c r="AJ57" s="28"/>
      <c r="AK57" s="28">
        <v>0</v>
      </c>
      <c r="AL57" s="18" t="s">
        <v>345</v>
      </c>
      <c r="AM57" s="18" t="s">
        <v>345</v>
      </c>
      <c r="AN57" s="18" t="s">
        <v>345</v>
      </c>
      <c r="AO57" s="18" t="s">
        <v>354</v>
      </c>
      <c r="AP57" s="24" t="s">
        <v>355</v>
      </c>
      <c r="AQ57" s="18" t="s">
        <v>345</v>
      </c>
      <c r="AR57" s="18" t="s">
        <v>345</v>
      </c>
      <c r="AS57" s="28"/>
      <c r="AT57" s="28"/>
      <c r="AU57" s="18" t="s">
        <v>345</v>
      </c>
      <c r="AV57" s="18" t="s">
        <v>345</v>
      </c>
      <c r="AW57" s="18" t="s">
        <v>345</v>
      </c>
      <c r="AX57" s="32"/>
      <c r="AY57" s="18" t="s">
        <v>345</v>
      </c>
      <c r="AZ57" s="18" t="s">
        <v>345</v>
      </c>
      <c r="BA57" s="35" t="s">
        <v>358</v>
      </c>
      <c r="BB57" s="36" t="s">
        <v>359</v>
      </c>
      <c r="BC57" s="112"/>
    </row>
    <row r="58" spans="1:55" ht="76.5" customHeight="1" x14ac:dyDescent="0.25">
      <c r="A58" s="15">
        <v>54</v>
      </c>
      <c r="B58" s="15"/>
      <c r="C58" s="15" t="s">
        <v>568</v>
      </c>
      <c r="D58" s="15" t="s">
        <v>580</v>
      </c>
      <c r="E58" s="15" t="s">
        <v>606</v>
      </c>
      <c r="F58" s="16" t="s">
        <v>79</v>
      </c>
      <c r="G58" s="17">
        <v>0</v>
      </c>
      <c r="H58" s="18" t="s">
        <v>607</v>
      </c>
      <c r="I58" s="18"/>
      <c r="J58" s="18" t="s">
        <v>348</v>
      </c>
      <c r="K58" s="19">
        <v>1</v>
      </c>
      <c r="L58" s="20">
        <v>1</v>
      </c>
      <c r="M58" s="21">
        <v>0</v>
      </c>
      <c r="N58" s="22"/>
      <c r="O58" s="18" t="s">
        <v>349</v>
      </c>
      <c r="P58" s="18" t="s">
        <v>608</v>
      </c>
      <c r="Q58" s="18" t="s">
        <v>584</v>
      </c>
      <c r="R58" s="18"/>
      <c r="S58" s="18"/>
      <c r="T58" s="22"/>
      <c r="U58" s="23"/>
      <c r="V58" s="22"/>
      <c r="W58" s="23"/>
      <c r="X58" s="24" t="s">
        <v>374</v>
      </c>
      <c r="Y58" s="18"/>
      <c r="Z58" s="18" t="s">
        <v>609</v>
      </c>
      <c r="AA58" s="25">
        <v>46219</v>
      </c>
      <c r="AB58" s="25">
        <v>46224</v>
      </c>
      <c r="AC58" s="26">
        <v>46224</v>
      </c>
      <c r="AD58" s="26">
        <v>46227</v>
      </c>
      <c r="AE58" s="23">
        <v>46237</v>
      </c>
      <c r="AF58" s="23">
        <v>46242</v>
      </c>
      <c r="AG58" s="23"/>
      <c r="AH58" s="27">
        <v>0</v>
      </c>
      <c r="AI58" s="24"/>
      <c r="AJ58" s="28"/>
      <c r="AK58" s="28">
        <v>0</v>
      </c>
      <c r="AL58" s="18" t="s">
        <v>345</v>
      </c>
      <c r="AM58" s="18" t="s">
        <v>345</v>
      </c>
      <c r="AN58" s="18" t="s">
        <v>345</v>
      </c>
      <c r="AO58" s="18" t="s">
        <v>354</v>
      </c>
      <c r="AP58" s="24" t="s">
        <v>355</v>
      </c>
      <c r="AQ58" s="18" t="s">
        <v>345</v>
      </c>
      <c r="AR58" s="18" t="s">
        <v>345</v>
      </c>
      <c r="AS58" s="28"/>
      <c r="AT58" s="28"/>
      <c r="AU58" s="18" t="s">
        <v>345</v>
      </c>
      <c r="AV58" s="18" t="s">
        <v>345</v>
      </c>
      <c r="AW58" s="18" t="s">
        <v>345</v>
      </c>
      <c r="AX58" s="32"/>
      <c r="AY58" s="18" t="s">
        <v>345</v>
      </c>
      <c r="AZ58" s="18" t="s">
        <v>345</v>
      </c>
      <c r="BA58" s="35" t="s">
        <v>610</v>
      </c>
      <c r="BB58" s="36" t="s">
        <v>359</v>
      </c>
      <c r="BC58" s="112"/>
    </row>
    <row r="59" spans="1:55" ht="76.5" customHeight="1" x14ac:dyDescent="0.25">
      <c r="A59" s="15">
        <v>55</v>
      </c>
      <c r="B59" s="15"/>
      <c r="C59" s="15" t="s">
        <v>568</v>
      </c>
      <c r="D59" s="15" t="s">
        <v>611</v>
      </c>
      <c r="E59" s="15" t="s">
        <v>612</v>
      </c>
      <c r="F59" s="16" t="s">
        <v>80</v>
      </c>
      <c r="G59" s="17">
        <v>0</v>
      </c>
      <c r="H59" s="18" t="s">
        <v>613</v>
      </c>
      <c r="I59" s="18"/>
      <c r="J59" s="18" t="s">
        <v>387</v>
      </c>
      <c r="K59" s="19">
        <v>1</v>
      </c>
      <c r="L59" s="20">
        <v>8</v>
      </c>
      <c r="M59" s="21">
        <v>0</v>
      </c>
      <c r="N59" s="22"/>
      <c r="O59" s="18" t="s">
        <v>349</v>
      </c>
      <c r="P59" s="18" t="s">
        <v>574</v>
      </c>
      <c r="Q59" s="18" t="s">
        <v>614</v>
      </c>
      <c r="R59" s="18"/>
      <c r="S59" s="18"/>
      <c r="T59" s="22"/>
      <c r="U59" s="23"/>
      <c r="V59" s="22"/>
      <c r="W59" s="23"/>
      <c r="X59" s="24" t="s">
        <v>352</v>
      </c>
      <c r="Y59" s="18"/>
      <c r="Z59" s="18" t="s">
        <v>615</v>
      </c>
      <c r="AA59" s="25">
        <v>46217</v>
      </c>
      <c r="AB59" s="25">
        <v>46231</v>
      </c>
      <c r="AC59" s="26">
        <v>46209</v>
      </c>
      <c r="AD59" s="26">
        <v>46223</v>
      </c>
      <c r="AE59" s="23">
        <v>46233</v>
      </c>
      <c r="AF59" s="23">
        <v>46238</v>
      </c>
      <c r="AG59" s="23"/>
      <c r="AH59" s="27">
        <v>0</v>
      </c>
      <c r="AI59" s="24"/>
      <c r="AJ59" s="28"/>
      <c r="AK59" s="28">
        <v>0</v>
      </c>
      <c r="AL59" s="18" t="s">
        <v>345</v>
      </c>
      <c r="AM59" s="18" t="s">
        <v>345</v>
      </c>
      <c r="AN59" s="18" t="s">
        <v>345</v>
      </c>
      <c r="AO59" s="18"/>
      <c r="AP59" s="24" t="s">
        <v>355</v>
      </c>
      <c r="AQ59" s="18" t="s">
        <v>345</v>
      </c>
      <c r="AR59" s="18" t="s">
        <v>345</v>
      </c>
      <c r="AS59" s="28"/>
      <c r="AT59" s="28"/>
      <c r="AU59" s="18" t="s">
        <v>345</v>
      </c>
      <c r="AV59" s="18" t="s">
        <v>345</v>
      </c>
      <c r="AW59" s="18" t="s">
        <v>345</v>
      </c>
      <c r="AX59" s="32"/>
      <c r="AY59" s="18" t="s">
        <v>345</v>
      </c>
      <c r="AZ59" s="18" t="s">
        <v>345</v>
      </c>
      <c r="BA59" s="35" t="s">
        <v>358</v>
      </c>
      <c r="BB59" s="36" t="s">
        <v>359</v>
      </c>
      <c r="BC59" s="112"/>
    </row>
    <row r="60" spans="1:55" ht="63.75" customHeight="1" x14ac:dyDescent="0.25">
      <c r="A60" s="15">
        <v>56</v>
      </c>
      <c r="B60" s="15"/>
      <c r="C60" s="15" t="s">
        <v>568</v>
      </c>
      <c r="D60" s="15" t="s">
        <v>611</v>
      </c>
      <c r="E60" s="15" t="s">
        <v>616</v>
      </c>
      <c r="F60" s="16" t="s">
        <v>81</v>
      </c>
      <c r="G60" s="17">
        <v>0</v>
      </c>
      <c r="H60" s="18" t="s">
        <v>617</v>
      </c>
      <c r="I60" s="18"/>
      <c r="J60" s="18" t="s">
        <v>387</v>
      </c>
      <c r="K60" s="19">
        <v>1</v>
      </c>
      <c r="L60" s="20">
        <v>8</v>
      </c>
      <c r="M60" s="21">
        <v>0</v>
      </c>
      <c r="N60" s="22"/>
      <c r="O60" s="18" t="s">
        <v>349</v>
      </c>
      <c r="P60" s="18" t="s">
        <v>574</v>
      </c>
      <c r="Q60" s="18" t="s">
        <v>618</v>
      </c>
      <c r="R60" s="18"/>
      <c r="S60" s="18"/>
      <c r="T60" s="22"/>
      <c r="U60" s="23"/>
      <c r="V60" s="22"/>
      <c r="W60" s="23"/>
      <c r="X60" s="24" t="s">
        <v>352</v>
      </c>
      <c r="Y60" s="18"/>
      <c r="Z60" s="18" t="s">
        <v>619</v>
      </c>
      <c r="AA60" s="25">
        <v>46217</v>
      </c>
      <c r="AB60" s="25">
        <v>46231</v>
      </c>
      <c r="AC60" s="26">
        <v>46209</v>
      </c>
      <c r="AD60" s="26">
        <v>46223</v>
      </c>
      <c r="AE60" s="23">
        <v>46233</v>
      </c>
      <c r="AF60" s="23">
        <v>46238</v>
      </c>
      <c r="AG60" s="23"/>
      <c r="AH60" s="27">
        <v>0</v>
      </c>
      <c r="AI60" s="24"/>
      <c r="AJ60" s="28"/>
      <c r="AK60" s="28">
        <v>0</v>
      </c>
      <c r="AL60" s="18" t="s">
        <v>345</v>
      </c>
      <c r="AM60" s="18" t="s">
        <v>345</v>
      </c>
      <c r="AN60" s="18" t="s">
        <v>345</v>
      </c>
      <c r="AO60" s="18"/>
      <c r="AP60" s="24" t="s">
        <v>355</v>
      </c>
      <c r="AQ60" s="18" t="s">
        <v>345</v>
      </c>
      <c r="AR60" s="18" t="s">
        <v>345</v>
      </c>
      <c r="AS60" s="28"/>
      <c r="AT60" s="28"/>
      <c r="AU60" s="18" t="s">
        <v>345</v>
      </c>
      <c r="AV60" s="18" t="s">
        <v>345</v>
      </c>
      <c r="AW60" s="18" t="s">
        <v>345</v>
      </c>
      <c r="AX60" s="32"/>
      <c r="AY60" s="18" t="s">
        <v>345</v>
      </c>
      <c r="AZ60" s="18" t="s">
        <v>345</v>
      </c>
      <c r="BA60" s="35" t="s">
        <v>358</v>
      </c>
      <c r="BB60" s="36" t="s">
        <v>359</v>
      </c>
      <c r="BC60" s="112"/>
    </row>
    <row r="61" spans="1:55" ht="76.5" customHeight="1" x14ac:dyDescent="0.25">
      <c r="A61" s="15">
        <v>57</v>
      </c>
      <c r="B61" s="15"/>
      <c r="C61" s="15" t="s">
        <v>568</v>
      </c>
      <c r="D61" s="15" t="s">
        <v>620</v>
      </c>
      <c r="E61" s="15" t="s">
        <v>621</v>
      </c>
      <c r="F61" s="16" t="s">
        <v>82</v>
      </c>
      <c r="G61" s="17">
        <v>0</v>
      </c>
      <c r="H61" s="18" t="s">
        <v>622</v>
      </c>
      <c r="I61" s="18"/>
      <c r="J61" s="18" t="s">
        <v>387</v>
      </c>
      <c r="K61" s="19">
        <v>6.75</v>
      </c>
      <c r="L61" s="20">
        <v>54</v>
      </c>
      <c r="M61" s="21">
        <v>0</v>
      </c>
      <c r="N61" s="22"/>
      <c r="O61" s="18" t="s">
        <v>349</v>
      </c>
      <c r="P61" s="18" t="s">
        <v>574</v>
      </c>
      <c r="Q61" s="18" t="s">
        <v>623</v>
      </c>
      <c r="R61" s="18" t="s">
        <v>624</v>
      </c>
      <c r="S61" s="18"/>
      <c r="T61" s="22"/>
      <c r="U61" s="23"/>
      <c r="V61" s="22"/>
      <c r="W61" s="23"/>
      <c r="X61" s="24" t="s">
        <v>374</v>
      </c>
      <c r="Y61" s="18"/>
      <c r="Z61" s="18" t="s">
        <v>625</v>
      </c>
      <c r="AA61" s="25">
        <v>46192</v>
      </c>
      <c r="AB61" s="25">
        <v>46206</v>
      </c>
      <c r="AC61" s="26">
        <v>46220</v>
      </c>
      <c r="AD61" s="26">
        <v>46234</v>
      </c>
      <c r="AE61" s="23">
        <v>46244</v>
      </c>
      <c r="AF61" s="23">
        <v>46249</v>
      </c>
      <c r="AG61" s="23"/>
      <c r="AH61" s="27">
        <v>0</v>
      </c>
      <c r="AI61" s="24"/>
      <c r="AJ61" s="28"/>
      <c r="AK61" s="28">
        <v>0</v>
      </c>
      <c r="AL61" s="18" t="s">
        <v>345</v>
      </c>
      <c r="AM61" s="18" t="s">
        <v>345</v>
      </c>
      <c r="AN61" s="18" t="s">
        <v>345</v>
      </c>
      <c r="AO61" s="18" t="s">
        <v>354</v>
      </c>
      <c r="AP61" s="24" t="s">
        <v>355</v>
      </c>
      <c r="AQ61" s="18" t="s">
        <v>345</v>
      </c>
      <c r="AR61" s="18" t="s">
        <v>345</v>
      </c>
      <c r="AS61" s="28"/>
      <c r="AT61" s="28"/>
      <c r="AU61" s="18" t="s">
        <v>345</v>
      </c>
      <c r="AV61" s="18" t="s">
        <v>345</v>
      </c>
      <c r="AW61" s="18" t="s">
        <v>345</v>
      </c>
      <c r="AX61" s="32"/>
      <c r="AY61" s="18" t="s">
        <v>345</v>
      </c>
      <c r="AZ61" s="18" t="s">
        <v>345</v>
      </c>
      <c r="BA61" s="35" t="s">
        <v>358</v>
      </c>
      <c r="BB61" s="36" t="s">
        <v>359</v>
      </c>
      <c r="BC61" s="112"/>
    </row>
    <row r="62" spans="1:55" ht="76.5" customHeight="1" x14ac:dyDescent="0.25">
      <c r="A62" s="15">
        <v>58</v>
      </c>
      <c r="B62" s="15"/>
      <c r="C62" s="15" t="s">
        <v>626</v>
      </c>
      <c r="D62" s="15" t="s">
        <v>580</v>
      </c>
      <c r="E62" s="15" t="s">
        <v>627</v>
      </c>
      <c r="F62" s="16" t="s">
        <v>83</v>
      </c>
      <c r="G62" s="17">
        <v>0</v>
      </c>
      <c r="H62" s="18" t="s">
        <v>628</v>
      </c>
      <c r="I62" s="18"/>
      <c r="J62" s="18" t="s">
        <v>348</v>
      </c>
      <c r="K62" s="19">
        <v>1</v>
      </c>
      <c r="L62" s="20">
        <v>1</v>
      </c>
      <c r="M62" s="21">
        <v>0</v>
      </c>
      <c r="N62" s="22"/>
      <c r="O62" s="18" t="s">
        <v>349</v>
      </c>
      <c r="P62" s="18" t="s">
        <v>629</v>
      </c>
      <c r="Q62" s="18" t="s">
        <v>630</v>
      </c>
      <c r="R62" s="18" t="s">
        <v>631</v>
      </c>
      <c r="S62" s="18"/>
      <c r="T62" s="22"/>
      <c r="U62" s="23"/>
      <c r="V62" s="22"/>
      <c r="W62" s="23"/>
      <c r="X62" s="24" t="s">
        <v>352</v>
      </c>
      <c r="Y62" s="18"/>
      <c r="Z62" s="18" t="s">
        <v>632</v>
      </c>
      <c r="AA62" s="25">
        <v>46244</v>
      </c>
      <c r="AB62" s="25">
        <v>46246</v>
      </c>
      <c r="AC62" s="26">
        <v>46244</v>
      </c>
      <c r="AD62" s="26">
        <v>46246</v>
      </c>
      <c r="AE62" s="23">
        <v>46256</v>
      </c>
      <c r="AF62" s="23">
        <v>46261</v>
      </c>
      <c r="AG62" s="23"/>
      <c r="AH62" s="27"/>
      <c r="AI62" s="24"/>
      <c r="AJ62" s="28"/>
      <c r="AK62" s="28"/>
      <c r="AL62" s="18" t="s">
        <v>345</v>
      </c>
      <c r="AM62" s="18" t="s">
        <v>345</v>
      </c>
      <c r="AN62" s="18" t="s">
        <v>345</v>
      </c>
      <c r="AO62" s="18"/>
      <c r="AP62" s="24" t="s">
        <v>355</v>
      </c>
      <c r="AQ62" s="18" t="s">
        <v>345</v>
      </c>
      <c r="AR62" s="18" t="s">
        <v>345</v>
      </c>
      <c r="AS62" s="28"/>
      <c r="AT62" s="28"/>
      <c r="AU62" s="18" t="s">
        <v>345</v>
      </c>
      <c r="AV62" s="18" t="s">
        <v>345</v>
      </c>
      <c r="AW62" s="18" t="s">
        <v>345</v>
      </c>
      <c r="AX62" s="32"/>
      <c r="AY62" s="18" t="s">
        <v>345</v>
      </c>
      <c r="AZ62" s="18" t="s">
        <v>345</v>
      </c>
      <c r="BA62" s="35" t="s">
        <v>358</v>
      </c>
      <c r="BB62" s="36" t="s">
        <v>359</v>
      </c>
      <c r="BC62" s="112"/>
    </row>
    <row r="63" spans="1:55" ht="76.5" customHeight="1" x14ac:dyDescent="0.25">
      <c r="A63" s="15">
        <v>59</v>
      </c>
      <c r="B63" s="15"/>
      <c r="C63" s="15" t="s">
        <v>626</v>
      </c>
      <c r="D63" s="15" t="s">
        <v>580</v>
      </c>
      <c r="E63" s="15" t="s">
        <v>633</v>
      </c>
      <c r="F63" s="16" t="s">
        <v>84</v>
      </c>
      <c r="G63" s="17">
        <v>0</v>
      </c>
      <c r="H63" s="18" t="s">
        <v>634</v>
      </c>
      <c r="I63" s="18"/>
      <c r="J63" s="18" t="s">
        <v>348</v>
      </c>
      <c r="K63" s="19">
        <v>1</v>
      </c>
      <c r="L63" s="20">
        <v>1</v>
      </c>
      <c r="M63" s="21">
        <v>0</v>
      </c>
      <c r="N63" s="22"/>
      <c r="O63" s="18" t="s">
        <v>349</v>
      </c>
      <c r="P63" s="18" t="s">
        <v>629</v>
      </c>
      <c r="Q63" s="18" t="s">
        <v>630</v>
      </c>
      <c r="R63" s="18" t="s">
        <v>635</v>
      </c>
      <c r="S63" s="18"/>
      <c r="T63" s="22"/>
      <c r="U63" s="23"/>
      <c r="V63" s="22"/>
      <c r="W63" s="23"/>
      <c r="X63" s="24" t="s">
        <v>352</v>
      </c>
      <c r="Y63" s="18"/>
      <c r="Z63" s="18" t="s">
        <v>636</v>
      </c>
      <c r="AA63" s="25">
        <v>46244</v>
      </c>
      <c r="AB63" s="25">
        <v>46246</v>
      </c>
      <c r="AC63" s="26">
        <v>46244</v>
      </c>
      <c r="AD63" s="26">
        <v>46246</v>
      </c>
      <c r="AE63" s="23">
        <v>46256</v>
      </c>
      <c r="AF63" s="23">
        <v>46261</v>
      </c>
      <c r="AG63" s="23"/>
      <c r="AH63" s="27"/>
      <c r="AI63" s="24"/>
      <c r="AJ63" s="28"/>
      <c r="AK63" s="28"/>
      <c r="AL63" s="18" t="s">
        <v>345</v>
      </c>
      <c r="AM63" s="18" t="s">
        <v>345</v>
      </c>
      <c r="AN63" s="18" t="s">
        <v>345</v>
      </c>
      <c r="AO63" s="18"/>
      <c r="AP63" s="24" t="s">
        <v>355</v>
      </c>
      <c r="AQ63" s="18" t="s">
        <v>345</v>
      </c>
      <c r="AR63" s="18" t="s">
        <v>345</v>
      </c>
      <c r="AS63" s="28"/>
      <c r="AT63" s="28"/>
      <c r="AU63" s="18" t="s">
        <v>345</v>
      </c>
      <c r="AV63" s="18" t="s">
        <v>345</v>
      </c>
      <c r="AW63" s="18" t="s">
        <v>345</v>
      </c>
      <c r="AX63" s="32"/>
      <c r="AY63" s="18" t="s">
        <v>345</v>
      </c>
      <c r="AZ63" s="18" t="s">
        <v>345</v>
      </c>
      <c r="BA63" s="35" t="s">
        <v>358</v>
      </c>
      <c r="BB63" s="36" t="s">
        <v>359</v>
      </c>
      <c r="BC63" s="112"/>
    </row>
    <row r="64" spans="1:55" ht="63.75" customHeight="1" x14ac:dyDescent="0.25">
      <c r="A64" s="15">
        <v>60</v>
      </c>
      <c r="B64" s="15"/>
      <c r="C64" s="15" t="s">
        <v>626</v>
      </c>
      <c r="D64" s="15" t="s">
        <v>580</v>
      </c>
      <c r="E64" s="15" t="s">
        <v>637</v>
      </c>
      <c r="F64" s="16" t="s">
        <v>85</v>
      </c>
      <c r="G64" s="17">
        <v>0</v>
      </c>
      <c r="H64" s="18" t="s">
        <v>638</v>
      </c>
      <c r="I64" s="18"/>
      <c r="J64" s="18" t="s">
        <v>348</v>
      </c>
      <c r="K64" s="19">
        <v>1</v>
      </c>
      <c r="L64" s="20">
        <v>1</v>
      </c>
      <c r="M64" s="21">
        <v>0</v>
      </c>
      <c r="N64" s="22"/>
      <c r="O64" s="18" t="s">
        <v>349</v>
      </c>
      <c r="P64" s="18" t="s">
        <v>629</v>
      </c>
      <c r="Q64" s="18" t="s">
        <v>630</v>
      </c>
      <c r="R64" s="18" t="s">
        <v>639</v>
      </c>
      <c r="S64" s="18"/>
      <c r="T64" s="22"/>
      <c r="U64" s="23"/>
      <c r="V64" s="22"/>
      <c r="W64" s="23"/>
      <c r="X64" s="24" t="s">
        <v>352</v>
      </c>
      <c r="Y64" s="18"/>
      <c r="Z64" s="18" t="s">
        <v>640</v>
      </c>
      <c r="AA64" s="25">
        <v>46244</v>
      </c>
      <c r="AB64" s="25">
        <v>46246</v>
      </c>
      <c r="AC64" s="26">
        <v>46244</v>
      </c>
      <c r="AD64" s="26">
        <v>46246</v>
      </c>
      <c r="AE64" s="23">
        <v>46256</v>
      </c>
      <c r="AF64" s="23">
        <v>46261</v>
      </c>
      <c r="AG64" s="23"/>
      <c r="AH64" s="27"/>
      <c r="AI64" s="24"/>
      <c r="AJ64" s="28"/>
      <c r="AK64" s="28"/>
      <c r="AL64" s="18" t="s">
        <v>345</v>
      </c>
      <c r="AM64" s="18" t="s">
        <v>345</v>
      </c>
      <c r="AN64" s="18" t="s">
        <v>345</v>
      </c>
      <c r="AO64" s="18"/>
      <c r="AP64" s="24" t="s">
        <v>355</v>
      </c>
      <c r="AQ64" s="18" t="s">
        <v>345</v>
      </c>
      <c r="AR64" s="18" t="s">
        <v>345</v>
      </c>
      <c r="AS64" s="28"/>
      <c r="AT64" s="28"/>
      <c r="AU64" s="18" t="s">
        <v>345</v>
      </c>
      <c r="AV64" s="18" t="s">
        <v>345</v>
      </c>
      <c r="AW64" s="18" t="s">
        <v>345</v>
      </c>
      <c r="AX64" s="32"/>
      <c r="AY64" s="18" t="s">
        <v>345</v>
      </c>
      <c r="AZ64" s="18" t="s">
        <v>345</v>
      </c>
      <c r="BA64" s="35" t="s">
        <v>358</v>
      </c>
      <c r="BB64" s="36" t="s">
        <v>359</v>
      </c>
      <c r="BC64" s="112"/>
    </row>
    <row r="65" spans="1:55" ht="76.5" customHeight="1" x14ac:dyDescent="0.25">
      <c r="A65" s="15">
        <v>61</v>
      </c>
      <c r="B65" s="15"/>
      <c r="C65" s="15" t="s">
        <v>626</v>
      </c>
      <c r="D65" s="15" t="s">
        <v>580</v>
      </c>
      <c r="E65" s="15" t="s">
        <v>641</v>
      </c>
      <c r="F65" s="16" t="s">
        <v>86</v>
      </c>
      <c r="G65" s="17">
        <v>0</v>
      </c>
      <c r="H65" s="18" t="s">
        <v>642</v>
      </c>
      <c r="I65" s="18"/>
      <c r="J65" s="18" t="s">
        <v>348</v>
      </c>
      <c r="K65" s="19">
        <v>1</v>
      </c>
      <c r="L65" s="20">
        <v>1</v>
      </c>
      <c r="M65" s="21">
        <v>0</v>
      </c>
      <c r="N65" s="22"/>
      <c r="O65" s="18" t="s">
        <v>349</v>
      </c>
      <c r="P65" s="18" t="s">
        <v>629</v>
      </c>
      <c r="Q65" s="18" t="s">
        <v>630</v>
      </c>
      <c r="R65" s="18" t="s">
        <v>643</v>
      </c>
      <c r="S65" s="18"/>
      <c r="T65" s="22"/>
      <c r="U65" s="23"/>
      <c r="V65" s="22"/>
      <c r="W65" s="23"/>
      <c r="X65" s="24" t="s">
        <v>352</v>
      </c>
      <c r="Y65" s="18"/>
      <c r="Z65" s="18" t="s">
        <v>644</v>
      </c>
      <c r="AA65" s="25">
        <v>46244</v>
      </c>
      <c r="AB65" s="25">
        <v>46246</v>
      </c>
      <c r="AC65" s="26">
        <v>46244</v>
      </c>
      <c r="AD65" s="26">
        <v>46246</v>
      </c>
      <c r="AE65" s="23">
        <v>46256</v>
      </c>
      <c r="AF65" s="23">
        <v>46261</v>
      </c>
      <c r="AG65" s="23"/>
      <c r="AH65" s="27"/>
      <c r="AI65" s="24"/>
      <c r="AJ65" s="28"/>
      <c r="AK65" s="28"/>
      <c r="AL65" s="18" t="s">
        <v>345</v>
      </c>
      <c r="AM65" s="18" t="s">
        <v>345</v>
      </c>
      <c r="AN65" s="18" t="s">
        <v>345</v>
      </c>
      <c r="AO65" s="18"/>
      <c r="AP65" s="24" t="s">
        <v>355</v>
      </c>
      <c r="AQ65" s="18" t="s">
        <v>345</v>
      </c>
      <c r="AR65" s="18" t="s">
        <v>345</v>
      </c>
      <c r="AS65" s="28"/>
      <c r="AT65" s="28"/>
      <c r="AU65" s="18" t="s">
        <v>345</v>
      </c>
      <c r="AV65" s="18" t="s">
        <v>345</v>
      </c>
      <c r="AW65" s="18" t="s">
        <v>345</v>
      </c>
      <c r="AX65" s="32"/>
      <c r="AY65" s="18" t="s">
        <v>345</v>
      </c>
      <c r="AZ65" s="18" t="s">
        <v>345</v>
      </c>
      <c r="BA65" s="35" t="s">
        <v>358</v>
      </c>
      <c r="BB65" s="36" t="s">
        <v>359</v>
      </c>
      <c r="BC65" s="112"/>
    </row>
    <row r="66" spans="1:55" ht="76.5" customHeight="1" x14ac:dyDescent="0.25">
      <c r="A66" s="15">
        <v>62</v>
      </c>
      <c r="B66" s="15"/>
      <c r="C66" s="15" t="s">
        <v>626</v>
      </c>
      <c r="D66" s="15" t="s">
        <v>580</v>
      </c>
      <c r="E66" s="15" t="s">
        <v>645</v>
      </c>
      <c r="F66" s="16" t="s">
        <v>87</v>
      </c>
      <c r="G66" s="17">
        <v>0</v>
      </c>
      <c r="H66" s="18" t="s">
        <v>646</v>
      </c>
      <c r="I66" s="18"/>
      <c r="J66" s="18" t="s">
        <v>348</v>
      </c>
      <c r="K66" s="19">
        <v>1</v>
      </c>
      <c r="L66" s="20">
        <v>1</v>
      </c>
      <c r="M66" s="21">
        <v>0.2</v>
      </c>
      <c r="N66" s="22"/>
      <c r="O66" s="18" t="s">
        <v>349</v>
      </c>
      <c r="P66" s="18" t="s">
        <v>629</v>
      </c>
      <c r="Q66" s="18" t="s">
        <v>630</v>
      </c>
      <c r="R66" s="18" t="s">
        <v>647</v>
      </c>
      <c r="S66" s="18"/>
      <c r="T66" s="22"/>
      <c r="U66" s="23"/>
      <c r="V66" s="22"/>
      <c r="W66" s="23"/>
      <c r="X66" s="24" t="s">
        <v>352</v>
      </c>
      <c r="Y66" s="18"/>
      <c r="Z66" s="18" t="s">
        <v>648</v>
      </c>
      <c r="AA66" s="25">
        <v>46244</v>
      </c>
      <c r="AB66" s="25">
        <v>46246</v>
      </c>
      <c r="AC66" s="26">
        <v>46244</v>
      </c>
      <c r="AD66" s="26">
        <v>46246</v>
      </c>
      <c r="AE66" s="23">
        <v>46256</v>
      </c>
      <c r="AF66" s="23">
        <v>46261</v>
      </c>
      <c r="AG66" s="23">
        <v>46189</v>
      </c>
      <c r="AH66" s="27"/>
      <c r="AI66" s="24"/>
      <c r="AJ66" s="28"/>
      <c r="AK66" s="28"/>
      <c r="AL66" s="18" t="s">
        <v>345</v>
      </c>
      <c r="AM66" s="18" t="s">
        <v>345</v>
      </c>
      <c r="AN66" s="18" t="s">
        <v>345</v>
      </c>
      <c r="AO66" s="18"/>
      <c r="AP66" s="24" t="s">
        <v>355</v>
      </c>
      <c r="AQ66" s="18" t="s">
        <v>345</v>
      </c>
      <c r="AR66" s="18" t="s">
        <v>345</v>
      </c>
      <c r="AS66" s="28"/>
      <c r="AT66" s="28" t="s">
        <v>649</v>
      </c>
      <c r="AU66" s="18" t="s">
        <v>345</v>
      </c>
      <c r="AV66" s="18" t="s">
        <v>345</v>
      </c>
      <c r="AW66" s="18" t="s">
        <v>345</v>
      </c>
      <c r="AX66" s="32"/>
      <c r="AY66" s="18" t="s">
        <v>345</v>
      </c>
      <c r="AZ66" s="18" t="s">
        <v>345</v>
      </c>
      <c r="BA66" s="35" t="s">
        <v>358</v>
      </c>
      <c r="BB66" s="36" t="s">
        <v>359</v>
      </c>
      <c r="BC66" s="112"/>
    </row>
    <row r="67" spans="1:55" ht="76.5" customHeight="1" x14ac:dyDescent="0.25">
      <c r="A67" s="15">
        <v>63</v>
      </c>
      <c r="B67" s="15"/>
      <c r="C67" s="15" t="s">
        <v>626</v>
      </c>
      <c r="D67" s="15" t="s">
        <v>580</v>
      </c>
      <c r="E67" s="15" t="s">
        <v>650</v>
      </c>
      <c r="F67" s="16" t="s">
        <v>88</v>
      </c>
      <c r="G67" s="17">
        <v>0</v>
      </c>
      <c r="H67" s="18" t="s">
        <v>651</v>
      </c>
      <c r="I67" s="18"/>
      <c r="J67" s="18" t="s">
        <v>348</v>
      </c>
      <c r="K67" s="19">
        <v>1</v>
      </c>
      <c r="L67" s="20">
        <v>1</v>
      </c>
      <c r="M67" s="21">
        <v>0</v>
      </c>
      <c r="N67" s="22"/>
      <c r="O67" s="18" t="s">
        <v>349</v>
      </c>
      <c r="P67" s="18" t="s">
        <v>629</v>
      </c>
      <c r="Q67" s="18" t="s">
        <v>630</v>
      </c>
      <c r="R67" s="18" t="s">
        <v>652</v>
      </c>
      <c r="S67" s="18"/>
      <c r="T67" s="22"/>
      <c r="U67" s="23"/>
      <c r="V67" s="22"/>
      <c r="W67" s="23"/>
      <c r="X67" s="24" t="s">
        <v>352</v>
      </c>
      <c r="Y67" s="18"/>
      <c r="Z67" s="18" t="s">
        <v>653</v>
      </c>
      <c r="AA67" s="25">
        <v>46244</v>
      </c>
      <c r="AB67" s="25">
        <v>46246</v>
      </c>
      <c r="AC67" s="26">
        <v>46244</v>
      </c>
      <c r="AD67" s="26">
        <v>46246</v>
      </c>
      <c r="AE67" s="23">
        <v>46256</v>
      </c>
      <c r="AF67" s="23">
        <v>46261</v>
      </c>
      <c r="AG67" s="23"/>
      <c r="AH67" s="27"/>
      <c r="AI67" s="24"/>
      <c r="AJ67" s="28"/>
      <c r="AK67" s="28"/>
      <c r="AL67" s="18" t="s">
        <v>345</v>
      </c>
      <c r="AM67" s="18" t="s">
        <v>345</v>
      </c>
      <c r="AN67" s="18" t="s">
        <v>345</v>
      </c>
      <c r="AO67" s="18"/>
      <c r="AP67" s="24" t="s">
        <v>355</v>
      </c>
      <c r="AQ67" s="18" t="s">
        <v>345</v>
      </c>
      <c r="AR67" s="18" t="s">
        <v>345</v>
      </c>
      <c r="AS67" s="28"/>
      <c r="AT67" s="28"/>
      <c r="AU67" s="18" t="s">
        <v>345</v>
      </c>
      <c r="AV67" s="18" t="s">
        <v>345</v>
      </c>
      <c r="AW67" s="18" t="s">
        <v>345</v>
      </c>
      <c r="AX67" s="32"/>
      <c r="AY67" s="18" t="s">
        <v>345</v>
      </c>
      <c r="AZ67" s="18" t="s">
        <v>345</v>
      </c>
      <c r="BA67" s="35" t="s">
        <v>358</v>
      </c>
      <c r="BB67" s="36" t="s">
        <v>359</v>
      </c>
      <c r="BC67" s="112"/>
    </row>
    <row r="68" spans="1:55" ht="76.5" customHeight="1" x14ac:dyDescent="0.25">
      <c r="A68" s="15">
        <v>64</v>
      </c>
      <c r="B68" s="15"/>
      <c r="C68" s="15" t="s">
        <v>626</v>
      </c>
      <c r="D68" s="15" t="s">
        <v>580</v>
      </c>
      <c r="E68" s="15" t="s">
        <v>654</v>
      </c>
      <c r="F68" s="16" t="s">
        <v>89</v>
      </c>
      <c r="G68" s="17">
        <v>0</v>
      </c>
      <c r="H68" s="18" t="s">
        <v>655</v>
      </c>
      <c r="I68" s="18"/>
      <c r="J68" s="18" t="s">
        <v>348</v>
      </c>
      <c r="K68" s="19">
        <v>1</v>
      </c>
      <c r="L68" s="20">
        <v>1</v>
      </c>
      <c r="M68" s="21">
        <v>0</v>
      </c>
      <c r="N68" s="22"/>
      <c r="O68" s="18" t="s">
        <v>349</v>
      </c>
      <c r="P68" s="18" t="s">
        <v>656</v>
      </c>
      <c r="Q68" s="18" t="s">
        <v>657</v>
      </c>
      <c r="R68" s="18" t="s">
        <v>658</v>
      </c>
      <c r="S68" s="18"/>
      <c r="T68" s="22"/>
      <c r="U68" s="23"/>
      <c r="V68" s="22"/>
      <c r="W68" s="23"/>
      <c r="X68" s="24" t="s">
        <v>352</v>
      </c>
      <c r="Y68" s="18"/>
      <c r="Z68" s="18" t="s">
        <v>659</v>
      </c>
      <c r="AA68" s="25">
        <v>46244</v>
      </c>
      <c r="AB68" s="25">
        <v>46246</v>
      </c>
      <c r="AC68" s="26">
        <v>46244</v>
      </c>
      <c r="AD68" s="26">
        <v>46246</v>
      </c>
      <c r="AE68" s="23">
        <v>46256</v>
      </c>
      <c r="AF68" s="23">
        <v>46261</v>
      </c>
      <c r="AG68" s="23"/>
      <c r="AH68" s="27"/>
      <c r="AI68" s="24"/>
      <c r="AJ68" s="28"/>
      <c r="AK68" s="28"/>
      <c r="AL68" s="18" t="s">
        <v>345</v>
      </c>
      <c r="AM68" s="18" t="s">
        <v>345</v>
      </c>
      <c r="AN68" s="18" t="s">
        <v>345</v>
      </c>
      <c r="AO68" s="18"/>
      <c r="AP68" s="24" t="s">
        <v>355</v>
      </c>
      <c r="AQ68" s="18" t="s">
        <v>345</v>
      </c>
      <c r="AR68" s="18" t="s">
        <v>345</v>
      </c>
      <c r="AS68" s="28"/>
      <c r="AT68" s="28"/>
      <c r="AU68" s="18" t="s">
        <v>345</v>
      </c>
      <c r="AV68" s="18" t="s">
        <v>345</v>
      </c>
      <c r="AW68" s="18" t="s">
        <v>345</v>
      </c>
      <c r="AX68" s="32"/>
      <c r="AY68" s="18" t="s">
        <v>345</v>
      </c>
      <c r="AZ68" s="18" t="s">
        <v>345</v>
      </c>
      <c r="BA68" s="35" t="s">
        <v>358</v>
      </c>
      <c r="BB68" s="36" t="s">
        <v>359</v>
      </c>
      <c r="BC68" s="112"/>
    </row>
    <row r="69" spans="1:55" ht="76.5" customHeight="1" x14ac:dyDescent="0.25">
      <c r="A69" s="15">
        <v>65</v>
      </c>
      <c r="B69" s="15"/>
      <c r="C69" s="15" t="s">
        <v>626</v>
      </c>
      <c r="D69" s="15" t="s">
        <v>580</v>
      </c>
      <c r="E69" s="15" t="s">
        <v>660</v>
      </c>
      <c r="F69" s="16" t="s">
        <v>90</v>
      </c>
      <c r="G69" s="17">
        <v>0</v>
      </c>
      <c r="H69" s="18" t="s">
        <v>661</v>
      </c>
      <c r="I69" s="18"/>
      <c r="J69" s="18" t="s">
        <v>348</v>
      </c>
      <c r="K69" s="19">
        <v>1</v>
      </c>
      <c r="L69" s="20">
        <v>1</v>
      </c>
      <c r="M69" s="21">
        <v>0</v>
      </c>
      <c r="N69" s="22"/>
      <c r="O69" s="18" t="s">
        <v>349</v>
      </c>
      <c r="P69" s="18" t="s">
        <v>574</v>
      </c>
      <c r="Q69" s="18" t="s">
        <v>630</v>
      </c>
      <c r="R69" s="18" t="s">
        <v>662</v>
      </c>
      <c r="S69" s="18"/>
      <c r="T69" s="22"/>
      <c r="U69" s="23"/>
      <c r="V69" s="22"/>
      <c r="W69" s="23"/>
      <c r="X69" s="24" t="s">
        <v>352</v>
      </c>
      <c r="Y69" s="18"/>
      <c r="Z69" s="18" t="s">
        <v>663</v>
      </c>
      <c r="AA69" s="25">
        <v>46238</v>
      </c>
      <c r="AB69" s="25">
        <v>46241</v>
      </c>
      <c r="AC69" s="26">
        <v>46238</v>
      </c>
      <c r="AD69" s="26">
        <v>46241</v>
      </c>
      <c r="AE69" s="23">
        <v>46251</v>
      </c>
      <c r="AF69" s="23">
        <v>46256</v>
      </c>
      <c r="AG69" s="23"/>
      <c r="AH69" s="27"/>
      <c r="AI69" s="24"/>
      <c r="AJ69" s="28"/>
      <c r="AK69" s="28"/>
      <c r="AL69" s="18" t="s">
        <v>345</v>
      </c>
      <c r="AM69" s="18" t="s">
        <v>345</v>
      </c>
      <c r="AN69" s="18" t="s">
        <v>345</v>
      </c>
      <c r="AO69" s="18"/>
      <c r="AP69" s="24" t="s">
        <v>355</v>
      </c>
      <c r="AQ69" s="18" t="s">
        <v>345</v>
      </c>
      <c r="AR69" s="18" t="s">
        <v>345</v>
      </c>
      <c r="AS69" s="28"/>
      <c r="AT69" s="28"/>
      <c r="AU69" s="18" t="s">
        <v>345</v>
      </c>
      <c r="AV69" s="18" t="s">
        <v>345</v>
      </c>
      <c r="AW69" s="18" t="s">
        <v>345</v>
      </c>
      <c r="AX69" s="32"/>
      <c r="AY69" s="18" t="s">
        <v>345</v>
      </c>
      <c r="AZ69" s="18" t="s">
        <v>345</v>
      </c>
      <c r="BA69" s="35" t="s">
        <v>358</v>
      </c>
      <c r="BB69" s="36" t="s">
        <v>359</v>
      </c>
      <c r="BC69" s="112"/>
    </row>
    <row r="70" spans="1:55" ht="76.5" customHeight="1" x14ac:dyDescent="0.25">
      <c r="A70" s="15">
        <v>66</v>
      </c>
      <c r="B70" s="15"/>
      <c r="C70" s="15" t="s">
        <v>626</v>
      </c>
      <c r="D70" s="15" t="s">
        <v>664</v>
      </c>
      <c r="E70" s="15" t="s">
        <v>665</v>
      </c>
      <c r="F70" s="16" t="s">
        <v>91</v>
      </c>
      <c r="G70" s="17">
        <v>0</v>
      </c>
      <c r="H70" s="18" t="s">
        <v>666</v>
      </c>
      <c r="I70" s="18"/>
      <c r="J70" s="18" t="s">
        <v>387</v>
      </c>
      <c r="K70" s="19">
        <v>3</v>
      </c>
      <c r="L70" s="20">
        <v>24</v>
      </c>
      <c r="M70" s="21">
        <v>0</v>
      </c>
      <c r="N70" s="22"/>
      <c r="O70" s="18" t="s">
        <v>349</v>
      </c>
      <c r="P70" s="18" t="s">
        <v>583</v>
      </c>
      <c r="Q70" s="18" t="s">
        <v>667</v>
      </c>
      <c r="R70" s="18" t="s">
        <v>668</v>
      </c>
      <c r="S70" s="18"/>
      <c r="T70" s="22"/>
      <c r="U70" s="23"/>
      <c r="V70" s="22"/>
      <c r="W70" s="23"/>
      <c r="X70" s="24" t="s">
        <v>352</v>
      </c>
      <c r="Y70" s="18"/>
      <c r="Z70" s="18" t="s">
        <v>669</v>
      </c>
      <c r="AA70" s="25">
        <v>46234</v>
      </c>
      <c r="AB70" s="25">
        <v>46241</v>
      </c>
      <c r="AC70" s="26">
        <v>46237</v>
      </c>
      <c r="AD70" s="26">
        <v>46244</v>
      </c>
      <c r="AE70" s="23">
        <v>46254</v>
      </c>
      <c r="AF70" s="23">
        <v>46259</v>
      </c>
      <c r="AG70" s="23"/>
      <c r="AH70" s="27">
        <v>0</v>
      </c>
      <c r="AI70" s="24"/>
      <c r="AJ70" s="28"/>
      <c r="AK70" s="28">
        <v>0</v>
      </c>
      <c r="AL70" s="18" t="s">
        <v>345</v>
      </c>
      <c r="AM70" s="18" t="s">
        <v>345</v>
      </c>
      <c r="AN70" s="18" t="s">
        <v>345</v>
      </c>
      <c r="AO70" s="18"/>
      <c r="AP70" s="24" t="s">
        <v>355</v>
      </c>
      <c r="AQ70" s="18" t="s">
        <v>345</v>
      </c>
      <c r="AR70" s="18" t="s">
        <v>345</v>
      </c>
      <c r="AS70" s="28"/>
      <c r="AT70" s="28"/>
      <c r="AU70" s="18" t="s">
        <v>345</v>
      </c>
      <c r="AV70" s="18" t="s">
        <v>345</v>
      </c>
      <c r="AW70" s="18" t="s">
        <v>345</v>
      </c>
      <c r="AX70" s="32"/>
      <c r="AY70" s="18" t="s">
        <v>345</v>
      </c>
      <c r="AZ70" s="18" t="s">
        <v>345</v>
      </c>
      <c r="BA70" s="35" t="s">
        <v>358</v>
      </c>
      <c r="BB70" s="36" t="s">
        <v>359</v>
      </c>
      <c r="BC70" s="112"/>
    </row>
    <row r="71" spans="1:55" ht="76.5" customHeight="1" x14ac:dyDescent="0.25">
      <c r="A71" s="15">
        <v>67</v>
      </c>
      <c r="B71" s="15"/>
      <c r="C71" s="15" t="s">
        <v>626</v>
      </c>
      <c r="D71" s="15" t="s">
        <v>664</v>
      </c>
      <c r="E71" s="15" t="s">
        <v>670</v>
      </c>
      <c r="F71" s="16" t="s">
        <v>92</v>
      </c>
      <c r="G71" s="17">
        <v>0</v>
      </c>
      <c r="H71" s="18" t="s">
        <v>671</v>
      </c>
      <c r="I71" s="18"/>
      <c r="J71" s="18" t="s">
        <v>387</v>
      </c>
      <c r="K71" s="19">
        <v>3</v>
      </c>
      <c r="L71" s="20">
        <v>24</v>
      </c>
      <c r="M71" s="21">
        <v>0</v>
      </c>
      <c r="N71" s="22"/>
      <c r="O71" s="18" t="s">
        <v>349</v>
      </c>
      <c r="P71" s="18" t="s">
        <v>588</v>
      </c>
      <c r="Q71" s="18" t="s">
        <v>667</v>
      </c>
      <c r="R71" s="18" t="s">
        <v>668</v>
      </c>
      <c r="S71" s="18"/>
      <c r="T71" s="22"/>
      <c r="U71" s="23"/>
      <c r="V71" s="22"/>
      <c r="W71" s="23"/>
      <c r="X71" s="24" t="s">
        <v>352</v>
      </c>
      <c r="Y71" s="18"/>
      <c r="Z71" s="18" t="s">
        <v>672</v>
      </c>
      <c r="AA71" s="25">
        <v>46245</v>
      </c>
      <c r="AB71" s="25">
        <v>46251</v>
      </c>
      <c r="AC71" s="26">
        <v>46234</v>
      </c>
      <c r="AD71" s="26">
        <v>46240</v>
      </c>
      <c r="AE71" s="23">
        <v>46250</v>
      </c>
      <c r="AF71" s="23">
        <v>46255</v>
      </c>
      <c r="AG71" s="23"/>
      <c r="AH71" s="27">
        <v>0</v>
      </c>
      <c r="AI71" s="24"/>
      <c r="AJ71" s="28"/>
      <c r="AK71" s="28">
        <v>0</v>
      </c>
      <c r="AL71" s="18" t="s">
        <v>345</v>
      </c>
      <c r="AM71" s="18" t="s">
        <v>345</v>
      </c>
      <c r="AN71" s="18" t="s">
        <v>345</v>
      </c>
      <c r="AO71" s="18"/>
      <c r="AP71" s="24" t="s">
        <v>355</v>
      </c>
      <c r="AQ71" s="18" t="s">
        <v>345</v>
      </c>
      <c r="AR71" s="18" t="s">
        <v>345</v>
      </c>
      <c r="AS71" s="28"/>
      <c r="AT71" s="28"/>
      <c r="AU71" s="18" t="s">
        <v>345</v>
      </c>
      <c r="AV71" s="18" t="s">
        <v>345</v>
      </c>
      <c r="AW71" s="18" t="s">
        <v>345</v>
      </c>
      <c r="AX71" s="32"/>
      <c r="AY71" s="18" t="s">
        <v>345</v>
      </c>
      <c r="AZ71" s="18" t="s">
        <v>345</v>
      </c>
      <c r="BA71" s="35" t="s">
        <v>358</v>
      </c>
      <c r="BB71" s="36" t="s">
        <v>359</v>
      </c>
      <c r="BC71" s="112"/>
    </row>
    <row r="72" spans="1:55" ht="76.5" customHeight="1" x14ac:dyDescent="0.25">
      <c r="A72" s="15">
        <v>68</v>
      </c>
      <c r="B72" s="15"/>
      <c r="C72" s="15" t="s">
        <v>626</v>
      </c>
      <c r="D72" s="15" t="s">
        <v>664</v>
      </c>
      <c r="E72" s="15" t="s">
        <v>673</v>
      </c>
      <c r="F72" s="16" t="s">
        <v>93</v>
      </c>
      <c r="G72" s="17">
        <v>0</v>
      </c>
      <c r="H72" s="18" t="s">
        <v>674</v>
      </c>
      <c r="I72" s="18"/>
      <c r="J72" s="18" t="s">
        <v>387</v>
      </c>
      <c r="K72" s="19">
        <v>3</v>
      </c>
      <c r="L72" s="20">
        <v>24</v>
      </c>
      <c r="M72" s="21">
        <v>0.2</v>
      </c>
      <c r="N72" s="22"/>
      <c r="O72" s="18" t="s">
        <v>349</v>
      </c>
      <c r="P72" s="18" t="s">
        <v>592</v>
      </c>
      <c r="Q72" s="18" t="s">
        <v>667</v>
      </c>
      <c r="R72" s="18" t="s">
        <v>668</v>
      </c>
      <c r="S72" s="18"/>
      <c r="T72" s="22"/>
      <c r="U72" s="23"/>
      <c r="V72" s="22"/>
      <c r="W72" s="23"/>
      <c r="X72" s="24" t="s">
        <v>352</v>
      </c>
      <c r="Y72" s="18"/>
      <c r="Z72" s="18" t="s">
        <v>675</v>
      </c>
      <c r="AA72" s="25">
        <v>46254</v>
      </c>
      <c r="AB72" s="25">
        <v>46259</v>
      </c>
      <c r="AC72" s="26">
        <v>46233</v>
      </c>
      <c r="AD72" s="26">
        <v>46238</v>
      </c>
      <c r="AE72" s="23">
        <v>46248</v>
      </c>
      <c r="AF72" s="23">
        <v>46253</v>
      </c>
      <c r="AG72" s="23">
        <v>46212</v>
      </c>
      <c r="AH72" s="27">
        <v>0</v>
      </c>
      <c r="AI72" s="24"/>
      <c r="AJ72" s="28"/>
      <c r="AK72" s="28">
        <v>0</v>
      </c>
      <c r="AL72" s="18" t="s">
        <v>345</v>
      </c>
      <c r="AM72" s="18" t="s">
        <v>345</v>
      </c>
      <c r="AN72" s="18" t="s">
        <v>345</v>
      </c>
      <c r="AO72" s="18"/>
      <c r="AP72" s="24" t="s">
        <v>355</v>
      </c>
      <c r="AQ72" s="18" t="s">
        <v>345</v>
      </c>
      <c r="AR72" s="18" t="s">
        <v>345</v>
      </c>
      <c r="AS72" s="28"/>
      <c r="AT72" s="28" t="s">
        <v>676</v>
      </c>
      <c r="AU72" s="18" t="s">
        <v>345</v>
      </c>
      <c r="AV72" s="18" t="s">
        <v>345</v>
      </c>
      <c r="AW72" s="18" t="s">
        <v>345</v>
      </c>
      <c r="AX72" s="32"/>
      <c r="AY72" s="18" t="s">
        <v>345</v>
      </c>
      <c r="AZ72" s="18" t="s">
        <v>345</v>
      </c>
      <c r="BA72" s="35" t="s">
        <v>358</v>
      </c>
      <c r="BB72" s="36" t="s">
        <v>359</v>
      </c>
      <c r="BC72" s="112"/>
    </row>
    <row r="73" spans="1:55" ht="63.75" customHeight="1" x14ac:dyDescent="0.25">
      <c r="A73" s="15">
        <v>69</v>
      </c>
      <c r="B73" s="15"/>
      <c r="C73" s="15" t="s">
        <v>626</v>
      </c>
      <c r="D73" s="15" t="s">
        <v>664</v>
      </c>
      <c r="E73" s="15" t="s">
        <v>677</v>
      </c>
      <c r="F73" s="16" t="s">
        <v>94</v>
      </c>
      <c r="G73" s="17">
        <v>0</v>
      </c>
      <c r="H73" s="18" t="s">
        <v>678</v>
      </c>
      <c r="I73" s="18"/>
      <c r="J73" s="18" t="s">
        <v>387</v>
      </c>
      <c r="K73" s="19">
        <v>5</v>
      </c>
      <c r="L73" s="20">
        <v>40</v>
      </c>
      <c r="M73" s="21">
        <v>0</v>
      </c>
      <c r="N73" s="22"/>
      <c r="O73" s="18" t="s">
        <v>349</v>
      </c>
      <c r="P73" s="18" t="s">
        <v>679</v>
      </c>
      <c r="Q73" s="18" t="s">
        <v>667</v>
      </c>
      <c r="R73" s="18" t="s">
        <v>680</v>
      </c>
      <c r="S73" s="18"/>
      <c r="T73" s="22"/>
      <c r="U73" s="23"/>
      <c r="V73" s="22"/>
      <c r="W73" s="23"/>
      <c r="X73" s="24" t="s">
        <v>352</v>
      </c>
      <c r="Y73" s="18"/>
      <c r="Z73" s="18" t="s">
        <v>681</v>
      </c>
      <c r="AA73" s="25">
        <v>46232</v>
      </c>
      <c r="AB73" s="25">
        <v>46238</v>
      </c>
      <c r="AC73" s="26">
        <v>46232</v>
      </c>
      <c r="AD73" s="26">
        <v>46238</v>
      </c>
      <c r="AE73" s="23">
        <v>46248</v>
      </c>
      <c r="AF73" s="23">
        <v>46253</v>
      </c>
      <c r="AG73" s="23"/>
      <c r="AH73" s="27">
        <v>0</v>
      </c>
      <c r="AI73" s="24"/>
      <c r="AJ73" s="28"/>
      <c r="AK73" s="28">
        <v>0</v>
      </c>
      <c r="AL73" s="18" t="s">
        <v>345</v>
      </c>
      <c r="AM73" s="18" t="s">
        <v>345</v>
      </c>
      <c r="AN73" s="18" t="s">
        <v>345</v>
      </c>
      <c r="AO73" s="18"/>
      <c r="AP73" s="24" t="s">
        <v>355</v>
      </c>
      <c r="AQ73" s="18" t="s">
        <v>345</v>
      </c>
      <c r="AR73" s="18" t="s">
        <v>345</v>
      </c>
      <c r="AS73" s="28"/>
      <c r="AT73" s="28"/>
      <c r="AU73" s="18" t="s">
        <v>345</v>
      </c>
      <c r="AV73" s="18" t="s">
        <v>345</v>
      </c>
      <c r="AW73" s="18" t="s">
        <v>345</v>
      </c>
      <c r="AX73" s="32"/>
      <c r="AY73" s="18" t="s">
        <v>345</v>
      </c>
      <c r="AZ73" s="18" t="s">
        <v>345</v>
      </c>
      <c r="BA73" s="35" t="s">
        <v>358</v>
      </c>
      <c r="BB73" s="36" t="s">
        <v>359</v>
      </c>
      <c r="BC73" s="112"/>
    </row>
    <row r="74" spans="1:55" ht="76.5" customHeight="1" x14ac:dyDescent="0.25">
      <c r="A74" s="15">
        <v>70</v>
      </c>
      <c r="B74" s="15"/>
      <c r="C74" s="15" t="s">
        <v>626</v>
      </c>
      <c r="D74" s="15" t="s">
        <v>664</v>
      </c>
      <c r="E74" s="15" t="s">
        <v>682</v>
      </c>
      <c r="F74" s="16" t="s">
        <v>98</v>
      </c>
      <c r="G74" s="17">
        <v>0</v>
      </c>
      <c r="H74" s="18" t="s">
        <v>683</v>
      </c>
      <c r="I74" s="18"/>
      <c r="J74" s="18" t="s">
        <v>387</v>
      </c>
      <c r="K74" s="19">
        <v>6</v>
      </c>
      <c r="L74" s="20">
        <v>48</v>
      </c>
      <c r="M74" s="21">
        <v>0</v>
      </c>
      <c r="N74" s="22"/>
      <c r="O74" s="18" t="s">
        <v>349</v>
      </c>
      <c r="P74" s="18" t="s">
        <v>684</v>
      </c>
      <c r="Q74" s="18" t="s">
        <v>667</v>
      </c>
      <c r="R74" s="18" t="s">
        <v>685</v>
      </c>
      <c r="S74" s="18"/>
      <c r="T74" s="22"/>
      <c r="U74" s="23"/>
      <c r="V74" s="22"/>
      <c r="W74" s="23"/>
      <c r="X74" s="24" t="s">
        <v>352</v>
      </c>
      <c r="Y74" s="18"/>
      <c r="Z74" s="18" t="s">
        <v>686</v>
      </c>
      <c r="AA74" s="25">
        <v>46247</v>
      </c>
      <c r="AB74" s="25">
        <v>46253</v>
      </c>
      <c r="AC74" s="26">
        <v>46220</v>
      </c>
      <c r="AD74" s="26">
        <v>46226</v>
      </c>
      <c r="AE74" s="23">
        <v>46236</v>
      </c>
      <c r="AF74" s="23">
        <v>46241</v>
      </c>
      <c r="AG74" s="23"/>
      <c r="AH74" s="27">
        <v>0</v>
      </c>
      <c r="AI74" s="24"/>
      <c r="AJ74" s="28"/>
      <c r="AK74" s="28">
        <v>0</v>
      </c>
      <c r="AL74" s="18" t="s">
        <v>345</v>
      </c>
      <c r="AM74" s="18" t="s">
        <v>345</v>
      </c>
      <c r="AN74" s="18" t="s">
        <v>345</v>
      </c>
      <c r="AO74" s="18"/>
      <c r="AP74" s="24" t="s">
        <v>355</v>
      </c>
      <c r="AQ74" s="18" t="s">
        <v>345</v>
      </c>
      <c r="AR74" s="18" t="s">
        <v>345</v>
      </c>
      <c r="AS74" s="28"/>
      <c r="AT74" s="28"/>
      <c r="AU74" s="18" t="s">
        <v>345</v>
      </c>
      <c r="AV74" s="18" t="s">
        <v>345</v>
      </c>
      <c r="AW74" s="18" t="s">
        <v>345</v>
      </c>
      <c r="AX74" s="32"/>
      <c r="AY74" s="18" t="s">
        <v>345</v>
      </c>
      <c r="AZ74" s="18" t="s">
        <v>345</v>
      </c>
      <c r="BA74" s="35" t="s">
        <v>358</v>
      </c>
      <c r="BB74" s="36" t="s">
        <v>359</v>
      </c>
      <c r="BC74" s="112"/>
    </row>
    <row r="75" spans="1:55" ht="76.5" customHeight="1" x14ac:dyDescent="0.25">
      <c r="A75" s="15">
        <v>71</v>
      </c>
      <c r="B75" s="15"/>
      <c r="C75" s="15" t="s">
        <v>626</v>
      </c>
      <c r="D75" s="15" t="s">
        <v>664</v>
      </c>
      <c r="E75" s="15" t="s">
        <v>687</v>
      </c>
      <c r="F75" s="16" t="s">
        <v>99</v>
      </c>
      <c r="G75" s="17">
        <v>0</v>
      </c>
      <c r="H75" s="18" t="s">
        <v>688</v>
      </c>
      <c r="I75" s="18"/>
      <c r="J75" s="18" t="s">
        <v>387</v>
      </c>
      <c r="K75" s="19">
        <v>2</v>
      </c>
      <c r="L75" s="20">
        <v>16</v>
      </c>
      <c r="M75" s="21">
        <v>0</v>
      </c>
      <c r="N75" s="22"/>
      <c r="O75" s="18" t="s">
        <v>349</v>
      </c>
      <c r="P75" s="18" t="s">
        <v>574</v>
      </c>
      <c r="Q75" s="18" t="s">
        <v>667</v>
      </c>
      <c r="R75" s="18" t="s">
        <v>662</v>
      </c>
      <c r="S75" s="18"/>
      <c r="T75" s="22"/>
      <c r="U75" s="23"/>
      <c r="V75" s="22"/>
      <c r="W75" s="23"/>
      <c r="X75" s="24" t="s">
        <v>352</v>
      </c>
      <c r="Y75" s="18"/>
      <c r="Z75" s="18" t="s">
        <v>689</v>
      </c>
      <c r="AA75" s="25">
        <v>46225</v>
      </c>
      <c r="AB75" s="25">
        <v>46230</v>
      </c>
      <c r="AC75" s="26">
        <v>46225</v>
      </c>
      <c r="AD75" s="26">
        <v>46230</v>
      </c>
      <c r="AE75" s="23">
        <v>46240</v>
      </c>
      <c r="AF75" s="23">
        <v>46245</v>
      </c>
      <c r="AG75" s="23"/>
      <c r="AH75" s="27">
        <v>0</v>
      </c>
      <c r="AI75" s="24"/>
      <c r="AJ75" s="28"/>
      <c r="AK75" s="28">
        <v>0</v>
      </c>
      <c r="AL75" s="18" t="s">
        <v>345</v>
      </c>
      <c r="AM75" s="18" t="s">
        <v>345</v>
      </c>
      <c r="AN75" s="18" t="s">
        <v>345</v>
      </c>
      <c r="AO75" s="18"/>
      <c r="AP75" s="24" t="s">
        <v>355</v>
      </c>
      <c r="AQ75" s="18" t="s">
        <v>345</v>
      </c>
      <c r="AR75" s="18" t="s">
        <v>345</v>
      </c>
      <c r="AS75" s="28"/>
      <c r="AT75" s="28"/>
      <c r="AU75" s="18" t="s">
        <v>345</v>
      </c>
      <c r="AV75" s="18" t="s">
        <v>345</v>
      </c>
      <c r="AW75" s="18" t="s">
        <v>345</v>
      </c>
      <c r="AX75" s="32"/>
      <c r="AY75" s="18" t="s">
        <v>345</v>
      </c>
      <c r="AZ75" s="18" t="s">
        <v>345</v>
      </c>
      <c r="BA75" s="35" t="s">
        <v>358</v>
      </c>
      <c r="BB75" s="36" t="s">
        <v>359</v>
      </c>
      <c r="BC75" s="112"/>
    </row>
    <row r="76" spans="1:55" ht="76.5" customHeight="1" x14ac:dyDescent="0.25">
      <c r="A76" s="15">
        <v>72</v>
      </c>
      <c r="B76" s="15"/>
      <c r="C76" s="15" t="s">
        <v>626</v>
      </c>
      <c r="D76" s="15" t="s">
        <v>664</v>
      </c>
      <c r="E76" s="15" t="s">
        <v>690</v>
      </c>
      <c r="F76" s="16" t="s">
        <v>100</v>
      </c>
      <c r="G76" s="17">
        <v>0</v>
      </c>
      <c r="H76" s="18" t="s">
        <v>691</v>
      </c>
      <c r="I76" s="18"/>
      <c r="J76" s="18" t="s">
        <v>387</v>
      </c>
      <c r="K76" s="19">
        <v>11</v>
      </c>
      <c r="L76" s="20">
        <v>88</v>
      </c>
      <c r="M76" s="21">
        <v>0</v>
      </c>
      <c r="N76" s="22"/>
      <c r="O76" s="18" t="s">
        <v>349</v>
      </c>
      <c r="P76" s="18" t="s">
        <v>656</v>
      </c>
      <c r="Q76" s="18" t="s">
        <v>667</v>
      </c>
      <c r="R76" s="18" t="s">
        <v>692</v>
      </c>
      <c r="S76" s="18"/>
      <c r="T76" s="22"/>
      <c r="U76" s="23"/>
      <c r="V76" s="22"/>
      <c r="W76" s="23"/>
      <c r="X76" s="24" t="s">
        <v>352</v>
      </c>
      <c r="Y76" s="18"/>
      <c r="Z76" s="18" t="s">
        <v>693</v>
      </c>
      <c r="AA76" s="25">
        <v>46244</v>
      </c>
      <c r="AB76" s="25">
        <v>46246</v>
      </c>
      <c r="AC76" s="26">
        <v>46244</v>
      </c>
      <c r="AD76" s="26">
        <v>46246</v>
      </c>
      <c r="AE76" s="23">
        <v>46256</v>
      </c>
      <c r="AF76" s="23">
        <v>46261</v>
      </c>
      <c r="AG76" s="23"/>
      <c r="AH76" s="27">
        <v>0</v>
      </c>
      <c r="AI76" s="24"/>
      <c r="AJ76" s="28"/>
      <c r="AK76" s="28">
        <v>0</v>
      </c>
      <c r="AL76" s="18" t="s">
        <v>345</v>
      </c>
      <c r="AM76" s="18" t="s">
        <v>345</v>
      </c>
      <c r="AN76" s="18" t="s">
        <v>345</v>
      </c>
      <c r="AO76" s="18"/>
      <c r="AP76" s="24" t="s">
        <v>355</v>
      </c>
      <c r="AQ76" s="18" t="s">
        <v>345</v>
      </c>
      <c r="AR76" s="18" t="s">
        <v>345</v>
      </c>
      <c r="AS76" s="28"/>
      <c r="AT76" s="28"/>
      <c r="AU76" s="18" t="s">
        <v>345</v>
      </c>
      <c r="AV76" s="18" t="s">
        <v>345</v>
      </c>
      <c r="AW76" s="18" t="s">
        <v>345</v>
      </c>
      <c r="AX76" s="32"/>
      <c r="AY76" s="18" t="s">
        <v>345</v>
      </c>
      <c r="AZ76" s="18" t="s">
        <v>345</v>
      </c>
      <c r="BA76" s="35" t="s">
        <v>358</v>
      </c>
      <c r="BB76" s="36" t="s">
        <v>359</v>
      </c>
      <c r="BC76" s="112"/>
    </row>
    <row r="77" spans="1:55" ht="63.75" customHeight="1" x14ac:dyDescent="0.25">
      <c r="A77" s="15">
        <v>73</v>
      </c>
      <c r="B77" s="15"/>
      <c r="C77" s="15" t="s">
        <v>626</v>
      </c>
      <c r="D77" s="15" t="s">
        <v>664</v>
      </c>
      <c r="E77" s="15" t="s">
        <v>694</v>
      </c>
      <c r="F77" s="16" t="s">
        <v>101</v>
      </c>
      <c r="G77" s="17">
        <v>0</v>
      </c>
      <c r="H77" s="18" t="s">
        <v>695</v>
      </c>
      <c r="I77" s="18"/>
      <c r="J77" s="18" t="s">
        <v>387</v>
      </c>
      <c r="K77" s="19">
        <v>3</v>
      </c>
      <c r="L77" s="20">
        <v>24</v>
      </c>
      <c r="M77" s="21">
        <v>0</v>
      </c>
      <c r="N77" s="22"/>
      <c r="O77" s="18" t="s">
        <v>349</v>
      </c>
      <c r="P77" s="18" t="s">
        <v>696</v>
      </c>
      <c r="Q77" s="18" t="s">
        <v>667</v>
      </c>
      <c r="R77" s="18" t="s">
        <v>697</v>
      </c>
      <c r="S77" s="18"/>
      <c r="T77" s="22"/>
      <c r="U77" s="23"/>
      <c r="V77" s="22"/>
      <c r="W77" s="23"/>
      <c r="X77" s="24" t="s">
        <v>352</v>
      </c>
      <c r="Y77" s="18"/>
      <c r="Z77" s="18" t="s">
        <v>698</v>
      </c>
      <c r="AA77" s="25">
        <v>46205</v>
      </c>
      <c r="AB77" s="25">
        <v>46211</v>
      </c>
      <c r="AC77" s="26">
        <v>46213</v>
      </c>
      <c r="AD77" s="26">
        <v>46219</v>
      </c>
      <c r="AE77" s="23">
        <v>46229</v>
      </c>
      <c r="AF77" s="23">
        <v>46234</v>
      </c>
      <c r="AG77" s="23"/>
      <c r="AH77" s="27">
        <v>0</v>
      </c>
      <c r="AI77" s="24"/>
      <c r="AJ77" s="28"/>
      <c r="AK77" s="28">
        <v>0</v>
      </c>
      <c r="AL77" s="18" t="s">
        <v>345</v>
      </c>
      <c r="AM77" s="18" t="s">
        <v>345</v>
      </c>
      <c r="AN77" s="18" t="s">
        <v>345</v>
      </c>
      <c r="AO77" s="18"/>
      <c r="AP77" s="24" t="s">
        <v>355</v>
      </c>
      <c r="AQ77" s="18" t="s">
        <v>345</v>
      </c>
      <c r="AR77" s="18" t="s">
        <v>345</v>
      </c>
      <c r="AS77" s="28"/>
      <c r="AT77" s="28"/>
      <c r="AU77" s="18" t="s">
        <v>345</v>
      </c>
      <c r="AV77" s="18" t="s">
        <v>345</v>
      </c>
      <c r="AW77" s="18" t="s">
        <v>345</v>
      </c>
      <c r="AX77" s="32"/>
      <c r="AY77" s="18" t="s">
        <v>345</v>
      </c>
      <c r="AZ77" s="18" t="s">
        <v>345</v>
      </c>
      <c r="BA77" s="35" t="s">
        <v>358</v>
      </c>
      <c r="BB77" s="36" t="s">
        <v>359</v>
      </c>
      <c r="BC77" s="112"/>
    </row>
    <row r="78" spans="1:55" ht="76.5" customHeight="1" x14ac:dyDescent="0.25">
      <c r="A78" s="15">
        <v>74</v>
      </c>
      <c r="B78" s="15"/>
      <c r="C78" s="15" t="s">
        <v>626</v>
      </c>
      <c r="D78" s="15" t="s">
        <v>664</v>
      </c>
      <c r="E78" s="15" t="s">
        <v>699</v>
      </c>
      <c r="F78" s="16" t="s">
        <v>102</v>
      </c>
      <c r="G78" s="17">
        <v>0</v>
      </c>
      <c r="H78" s="18" t="s">
        <v>700</v>
      </c>
      <c r="I78" s="18"/>
      <c r="J78" s="18" t="s">
        <v>387</v>
      </c>
      <c r="K78" s="19">
        <v>12</v>
      </c>
      <c r="L78" s="20">
        <v>96</v>
      </c>
      <c r="M78" s="21">
        <v>0</v>
      </c>
      <c r="N78" s="22"/>
      <c r="O78" s="18" t="s">
        <v>349</v>
      </c>
      <c r="P78" s="18" t="s">
        <v>701</v>
      </c>
      <c r="Q78" s="18" t="s">
        <v>702</v>
      </c>
      <c r="R78" s="18" t="s">
        <v>703</v>
      </c>
      <c r="S78" s="18"/>
      <c r="T78" s="22"/>
      <c r="U78" s="23"/>
      <c r="V78" s="22"/>
      <c r="W78" s="23"/>
      <c r="X78" s="24" t="s">
        <v>352</v>
      </c>
      <c r="Y78" s="18"/>
      <c r="Z78" s="18" t="s">
        <v>704</v>
      </c>
      <c r="AA78" s="25">
        <v>46211</v>
      </c>
      <c r="AB78" s="25">
        <v>46217</v>
      </c>
      <c r="AC78" s="26">
        <v>46219</v>
      </c>
      <c r="AD78" s="26">
        <v>46225</v>
      </c>
      <c r="AE78" s="23">
        <v>46235</v>
      </c>
      <c r="AF78" s="23">
        <v>46240</v>
      </c>
      <c r="AG78" s="23"/>
      <c r="AH78" s="27">
        <v>0</v>
      </c>
      <c r="AI78" s="24"/>
      <c r="AJ78" s="28"/>
      <c r="AK78" s="28">
        <v>0</v>
      </c>
      <c r="AL78" s="18" t="s">
        <v>345</v>
      </c>
      <c r="AM78" s="18" t="s">
        <v>345</v>
      </c>
      <c r="AN78" s="18" t="s">
        <v>345</v>
      </c>
      <c r="AO78" s="18"/>
      <c r="AP78" s="24" t="s">
        <v>355</v>
      </c>
      <c r="AQ78" s="18" t="s">
        <v>345</v>
      </c>
      <c r="AR78" s="18" t="s">
        <v>345</v>
      </c>
      <c r="AS78" s="28"/>
      <c r="AT78" s="28"/>
      <c r="AU78" s="18" t="s">
        <v>345</v>
      </c>
      <c r="AV78" s="18" t="s">
        <v>345</v>
      </c>
      <c r="AW78" s="18" t="s">
        <v>345</v>
      </c>
      <c r="AX78" s="32"/>
      <c r="AY78" s="18" t="s">
        <v>345</v>
      </c>
      <c r="AZ78" s="18" t="s">
        <v>345</v>
      </c>
      <c r="BA78" s="35" t="s">
        <v>358</v>
      </c>
      <c r="BB78" s="36" t="s">
        <v>359</v>
      </c>
      <c r="BC78" s="112"/>
    </row>
    <row r="79" spans="1:55" ht="63.75" customHeight="1" x14ac:dyDescent="0.25">
      <c r="A79" s="15">
        <v>75</v>
      </c>
      <c r="B79" s="15"/>
      <c r="C79" s="15" t="s">
        <v>626</v>
      </c>
      <c r="D79" s="15" t="s">
        <v>664</v>
      </c>
      <c r="E79" s="15" t="s">
        <v>705</v>
      </c>
      <c r="F79" s="16" t="s">
        <v>103</v>
      </c>
      <c r="G79" s="17">
        <v>0</v>
      </c>
      <c r="H79" s="18" t="s">
        <v>706</v>
      </c>
      <c r="I79" s="18"/>
      <c r="J79" s="18" t="s">
        <v>387</v>
      </c>
      <c r="K79" s="19">
        <v>4</v>
      </c>
      <c r="L79" s="20">
        <v>32</v>
      </c>
      <c r="M79" s="21">
        <v>0</v>
      </c>
      <c r="N79" s="22"/>
      <c r="O79" s="18" t="s">
        <v>349</v>
      </c>
      <c r="P79" s="18" t="s">
        <v>707</v>
      </c>
      <c r="Q79" s="18" t="s">
        <v>667</v>
      </c>
      <c r="R79" s="18" t="s">
        <v>708</v>
      </c>
      <c r="S79" s="18"/>
      <c r="T79" s="22"/>
      <c r="U79" s="23"/>
      <c r="V79" s="22"/>
      <c r="W79" s="23"/>
      <c r="X79" s="24" t="s">
        <v>352</v>
      </c>
      <c r="Y79" s="18"/>
      <c r="Z79" s="18" t="s">
        <v>709</v>
      </c>
      <c r="AA79" s="25">
        <v>46238</v>
      </c>
      <c r="AB79" s="25">
        <v>46244</v>
      </c>
      <c r="AC79" s="26">
        <v>46219</v>
      </c>
      <c r="AD79" s="26">
        <v>46225</v>
      </c>
      <c r="AE79" s="23">
        <v>46235</v>
      </c>
      <c r="AF79" s="23">
        <v>46240</v>
      </c>
      <c r="AG79" s="23"/>
      <c r="AH79" s="27">
        <v>0</v>
      </c>
      <c r="AI79" s="24"/>
      <c r="AJ79" s="28"/>
      <c r="AK79" s="28">
        <v>0</v>
      </c>
      <c r="AL79" s="18" t="s">
        <v>345</v>
      </c>
      <c r="AM79" s="18" t="s">
        <v>345</v>
      </c>
      <c r="AN79" s="18" t="s">
        <v>345</v>
      </c>
      <c r="AO79" s="18"/>
      <c r="AP79" s="24" t="s">
        <v>355</v>
      </c>
      <c r="AQ79" s="18" t="s">
        <v>345</v>
      </c>
      <c r="AR79" s="18" t="s">
        <v>345</v>
      </c>
      <c r="AS79" s="28"/>
      <c r="AT79" s="28"/>
      <c r="AU79" s="18" t="s">
        <v>345</v>
      </c>
      <c r="AV79" s="18" t="s">
        <v>345</v>
      </c>
      <c r="AW79" s="18" t="s">
        <v>345</v>
      </c>
      <c r="AX79" s="32"/>
      <c r="AY79" s="18" t="s">
        <v>345</v>
      </c>
      <c r="AZ79" s="18" t="s">
        <v>345</v>
      </c>
      <c r="BA79" s="35" t="s">
        <v>358</v>
      </c>
      <c r="BB79" s="36" t="s">
        <v>359</v>
      </c>
      <c r="BC79" s="112"/>
    </row>
    <row r="80" spans="1:55" ht="76.5" customHeight="1" x14ac:dyDescent="0.25">
      <c r="A80" s="15">
        <v>76</v>
      </c>
      <c r="B80" s="15"/>
      <c r="C80" s="15" t="s">
        <v>626</v>
      </c>
      <c r="D80" s="15" t="s">
        <v>664</v>
      </c>
      <c r="E80" s="15" t="s">
        <v>710</v>
      </c>
      <c r="F80" s="16" t="s">
        <v>104</v>
      </c>
      <c r="G80" s="17">
        <v>0</v>
      </c>
      <c r="H80" s="18" t="s">
        <v>711</v>
      </c>
      <c r="I80" s="18"/>
      <c r="J80" s="18" t="s">
        <v>387</v>
      </c>
      <c r="K80" s="19">
        <v>6</v>
      </c>
      <c r="L80" s="20">
        <v>48</v>
      </c>
      <c r="M80" s="21">
        <v>0</v>
      </c>
      <c r="N80" s="22"/>
      <c r="O80" s="18" t="s">
        <v>349</v>
      </c>
      <c r="P80" s="18" t="s">
        <v>712</v>
      </c>
      <c r="Q80" s="18" t="s">
        <v>667</v>
      </c>
      <c r="R80" s="18" t="s">
        <v>713</v>
      </c>
      <c r="S80" s="18"/>
      <c r="T80" s="22"/>
      <c r="U80" s="23"/>
      <c r="V80" s="22"/>
      <c r="W80" s="23"/>
      <c r="X80" s="24" t="s">
        <v>352</v>
      </c>
      <c r="Y80" s="18"/>
      <c r="Z80" s="18" t="s">
        <v>714</v>
      </c>
      <c r="AA80" s="25">
        <v>46260</v>
      </c>
      <c r="AB80" s="25">
        <v>46267</v>
      </c>
      <c r="AC80" s="26">
        <v>46260</v>
      </c>
      <c r="AD80" s="26">
        <v>46267</v>
      </c>
      <c r="AE80" s="23">
        <v>46277</v>
      </c>
      <c r="AF80" s="23">
        <v>46282</v>
      </c>
      <c r="AG80" s="23"/>
      <c r="AH80" s="27">
        <v>0</v>
      </c>
      <c r="AI80" s="24"/>
      <c r="AJ80" s="28"/>
      <c r="AK80" s="28">
        <v>0</v>
      </c>
      <c r="AL80" s="18" t="s">
        <v>345</v>
      </c>
      <c r="AM80" s="18" t="s">
        <v>345</v>
      </c>
      <c r="AN80" s="18" t="s">
        <v>345</v>
      </c>
      <c r="AO80" s="18"/>
      <c r="AP80" s="24" t="s">
        <v>355</v>
      </c>
      <c r="AQ80" s="18" t="s">
        <v>345</v>
      </c>
      <c r="AR80" s="18" t="s">
        <v>345</v>
      </c>
      <c r="AS80" s="28"/>
      <c r="AT80" s="28"/>
      <c r="AU80" s="18" t="s">
        <v>345</v>
      </c>
      <c r="AV80" s="18" t="s">
        <v>345</v>
      </c>
      <c r="AW80" s="18" t="s">
        <v>345</v>
      </c>
      <c r="AX80" s="32"/>
      <c r="AY80" s="18" t="s">
        <v>345</v>
      </c>
      <c r="AZ80" s="18" t="s">
        <v>345</v>
      </c>
      <c r="BA80" s="35" t="s">
        <v>358</v>
      </c>
      <c r="BB80" s="36" t="s">
        <v>359</v>
      </c>
      <c r="BC80" s="112"/>
    </row>
    <row r="81" spans="1:55" ht="76.5" customHeight="1" x14ac:dyDescent="0.25">
      <c r="A81" s="15">
        <v>77</v>
      </c>
      <c r="B81" s="15"/>
      <c r="C81" s="15" t="s">
        <v>626</v>
      </c>
      <c r="D81" s="15" t="s">
        <v>664</v>
      </c>
      <c r="E81" s="15" t="s">
        <v>715</v>
      </c>
      <c r="F81" s="16" t="s">
        <v>105</v>
      </c>
      <c r="G81" s="17">
        <v>0</v>
      </c>
      <c r="H81" s="18" t="s">
        <v>716</v>
      </c>
      <c r="I81" s="18"/>
      <c r="J81" s="18" t="s">
        <v>387</v>
      </c>
      <c r="K81" s="19">
        <v>5</v>
      </c>
      <c r="L81" s="20">
        <v>40</v>
      </c>
      <c r="M81" s="21">
        <v>0</v>
      </c>
      <c r="N81" s="22"/>
      <c r="O81" s="18" t="s">
        <v>349</v>
      </c>
      <c r="P81" s="18" t="s">
        <v>574</v>
      </c>
      <c r="Q81" s="18" t="s">
        <v>667</v>
      </c>
      <c r="R81" s="18" t="s">
        <v>717</v>
      </c>
      <c r="S81" s="18"/>
      <c r="T81" s="22"/>
      <c r="U81" s="23"/>
      <c r="V81" s="22"/>
      <c r="W81" s="23"/>
      <c r="X81" s="24" t="s">
        <v>352</v>
      </c>
      <c r="Y81" s="18"/>
      <c r="Z81" s="18" t="s">
        <v>718</v>
      </c>
      <c r="AA81" s="25">
        <v>46244</v>
      </c>
      <c r="AB81" s="25">
        <v>46248</v>
      </c>
      <c r="AC81" s="26">
        <v>46225</v>
      </c>
      <c r="AD81" s="26">
        <v>46231</v>
      </c>
      <c r="AE81" s="23">
        <v>46241</v>
      </c>
      <c r="AF81" s="23">
        <v>46246</v>
      </c>
      <c r="AG81" s="23"/>
      <c r="AH81" s="27">
        <v>0</v>
      </c>
      <c r="AI81" s="24"/>
      <c r="AJ81" s="28"/>
      <c r="AK81" s="28">
        <v>0</v>
      </c>
      <c r="AL81" s="18" t="s">
        <v>345</v>
      </c>
      <c r="AM81" s="18" t="s">
        <v>345</v>
      </c>
      <c r="AN81" s="18" t="s">
        <v>345</v>
      </c>
      <c r="AO81" s="18"/>
      <c r="AP81" s="24" t="s">
        <v>355</v>
      </c>
      <c r="AQ81" s="18" t="s">
        <v>345</v>
      </c>
      <c r="AR81" s="18" t="s">
        <v>345</v>
      </c>
      <c r="AS81" s="28"/>
      <c r="AT81" s="28"/>
      <c r="AU81" s="18" t="s">
        <v>345</v>
      </c>
      <c r="AV81" s="18" t="s">
        <v>345</v>
      </c>
      <c r="AW81" s="18" t="s">
        <v>345</v>
      </c>
      <c r="AX81" s="32"/>
      <c r="AY81" s="18" t="s">
        <v>345</v>
      </c>
      <c r="AZ81" s="18" t="s">
        <v>345</v>
      </c>
      <c r="BA81" s="35" t="s">
        <v>358</v>
      </c>
      <c r="BB81" s="36" t="s">
        <v>359</v>
      </c>
      <c r="BC81" s="112"/>
    </row>
    <row r="82" spans="1:55" ht="63.75" customHeight="1" x14ac:dyDescent="0.25">
      <c r="A82" s="15">
        <v>78</v>
      </c>
      <c r="B82" s="15"/>
      <c r="C82" s="15" t="s">
        <v>626</v>
      </c>
      <c r="D82" s="15" t="s">
        <v>664</v>
      </c>
      <c r="E82" s="15" t="s">
        <v>719</v>
      </c>
      <c r="F82" s="16" t="s">
        <v>106</v>
      </c>
      <c r="G82" s="17">
        <v>0</v>
      </c>
      <c r="H82" s="18" t="s">
        <v>720</v>
      </c>
      <c r="I82" s="18"/>
      <c r="J82" s="18" t="s">
        <v>387</v>
      </c>
      <c r="K82" s="19">
        <v>11</v>
      </c>
      <c r="L82" s="20">
        <v>88</v>
      </c>
      <c r="M82" s="21">
        <v>0</v>
      </c>
      <c r="N82" s="22"/>
      <c r="O82" s="18" t="s">
        <v>349</v>
      </c>
      <c r="P82" s="18" t="s">
        <v>574</v>
      </c>
      <c r="Q82" s="18" t="s">
        <v>667</v>
      </c>
      <c r="R82" s="18" t="s">
        <v>721</v>
      </c>
      <c r="S82" s="18"/>
      <c r="T82" s="22"/>
      <c r="U82" s="23"/>
      <c r="V82" s="22"/>
      <c r="W82" s="23"/>
      <c r="X82" s="24" t="s">
        <v>352</v>
      </c>
      <c r="Y82" s="18"/>
      <c r="Z82" s="18"/>
      <c r="AA82" s="25">
        <v>46244</v>
      </c>
      <c r="AB82" s="25">
        <v>46248</v>
      </c>
      <c r="AC82" s="26">
        <v>46231</v>
      </c>
      <c r="AD82" s="26">
        <v>46238</v>
      </c>
      <c r="AE82" s="23">
        <v>46248</v>
      </c>
      <c r="AF82" s="23">
        <v>46253</v>
      </c>
      <c r="AG82" s="23"/>
      <c r="AH82" s="27">
        <v>0</v>
      </c>
      <c r="AI82" s="24"/>
      <c r="AJ82" s="28"/>
      <c r="AK82" s="28">
        <v>0</v>
      </c>
      <c r="AL82" s="18" t="s">
        <v>345</v>
      </c>
      <c r="AM82" s="18" t="s">
        <v>345</v>
      </c>
      <c r="AN82" s="18" t="s">
        <v>345</v>
      </c>
      <c r="AO82" s="18"/>
      <c r="AP82" s="24" t="s">
        <v>355</v>
      </c>
      <c r="AQ82" s="18" t="s">
        <v>345</v>
      </c>
      <c r="AR82" s="18" t="s">
        <v>345</v>
      </c>
      <c r="AS82" s="28"/>
      <c r="AT82" s="28"/>
      <c r="AU82" s="18" t="s">
        <v>345</v>
      </c>
      <c r="AV82" s="18" t="s">
        <v>345</v>
      </c>
      <c r="AW82" s="18" t="s">
        <v>345</v>
      </c>
      <c r="AX82" s="32"/>
      <c r="AY82" s="18" t="s">
        <v>345</v>
      </c>
      <c r="AZ82" s="18" t="s">
        <v>345</v>
      </c>
      <c r="BA82" s="35" t="s">
        <v>358</v>
      </c>
      <c r="BB82" s="36" t="s">
        <v>359</v>
      </c>
      <c r="BC82" s="112"/>
    </row>
    <row r="83" spans="1:55" ht="76.5" customHeight="1" x14ac:dyDescent="0.25">
      <c r="A83" s="15">
        <v>79</v>
      </c>
      <c r="B83" s="15"/>
      <c r="C83" s="15" t="s">
        <v>626</v>
      </c>
      <c r="D83" s="15" t="s">
        <v>664</v>
      </c>
      <c r="E83" s="15" t="s">
        <v>722</v>
      </c>
      <c r="F83" s="16" t="s">
        <v>107</v>
      </c>
      <c r="G83" s="17">
        <v>0</v>
      </c>
      <c r="H83" s="18" t="s">
        <v>723</v>
      </c>
      <c r="I83" s="18"/>
      <c r="J83" s="18" t="s">
        <v>387</v>
      </c>
      <c r="K83" s="19">
        <v>9</v>
      </c>
      <c r="L83" s="20">
        <v>72</v>
      </c>
      <c r="M83" s="21">
        <v>0</v>
      </c>
      <c r="N83" s="22"/>
      <c r="O83" s="18" t="s">
        <v>349</v>
      </c>
      <c r="P83" s="18" t="s">
        <v>724</v>
      </c>
      <c r="Q83" s="18" t="s">
        <v>667</v>
      </c>
      <c r="R83" s="18" t="s">
        <v>725</v>
      </c>
      <c r="S83" s="18"/>
      <c r="T83" s="22"/>
      <c r="U83" s="23"/>
      <c r="V83" s="22"/>
      <c r="W83" s="23"/>
      <c r="X83" s="24" t="s">
        <v>352</v>
      </c>
      <c r="Y83" s="18"/>
      <c r="Z83" s="18" t="s">
        <v>726</v>
      </c>
      <c r="AA83" s="25">
        <v>46230</v>
      </c>
      <c r="AB83" s="25">
        <v>46233</v>
      </c>
      <c r="AC83" s="26">
        <v>46230</v>
      </c>
      <c r="AD83" s="26">
        <v>46233</v>
      </c>
      <c r="AE83" s="23">
        <v>46243</v>
      </c>
      <c r="AF83" s="23">
        <v>46248</v>
      </c>
      <c r="AG83" s="23"/>
      <c r="AH83" s="27">
        <v>0</v>
      </c>
      <c r="AI83" s="24"/>
      <c r="AJ83" s="28"/>
      <c r="AK83" s="28">
        <v>0</v>
      </c>
      <c r="AL83" s="18" t="s">
        <v>345</v>
      </c>
      <c r="AM83" s="18" t="s">
        <v>345</v>
      </c>
      <c r="AN83" s="18" t="s">
        <v>345</v>
      </c>
      <c r="AO83" s="18"/>
      <c r="AP83" s="24" t="s">
        <v>355</v>
      </c>
      <c r="AQ83" s="18" t="s">
        <v>345</v>
      </c>
      <c r="AR83" s="18" t="s">
        <v>345</v>
      </c>
      <c r="AS83" s="28"/>
      <c r="AT83" s="28"/>
      <c r="AU83" s="18" t="s">
        <v>345</v>
      </c>
      <c r="AV83" s="18" t="s">
        <v>345</v>
      </c>
      <c r="AW83" s="18" t="s">
        <v>345</v>
      </c>
      <c r="AX83" s="32"/>
      <c r="AY83" s="18" t="s">
        <v>345</v>
      </c>
      <c r="AZ83" s="18" t="s">
        <v>345</v>
      </c>
      <c r="BA83" s="35" t="s">
        <v>358</v>
      </c>
      <c r="BB83" s="36" t="s">
        <v>359</v>
      </c>
      <c r="BC83" s="112"/>
    </row>
    <row r="84" spans="1:55" ht="63.75" customHeight="1" x14ac:dyDescent="0.25">
      <c r="A84" s="15">
        <v>80</v>
      </c>
      <c r="B84" s="15"/>
      <c r="C84" s="15" t="s">
        <v>626</v>
      </c>
      <c r="D84" s="15" t="s">
        <v>664</v>
      </c>
      <c r="E84" s="15" t="s">
        <v>727</v>
      </c>
      <c r="F84" s="16" t="s">
        <v>108</v>
      </c>
      <c r="G84" s="17">
        <v>0</v>
      </c>
      <c r="H84" s="18" t="s">
        <v>728</v>
      </c>
      <c r="I84" s="18"/>
      <c r="J84" s="18" t="s">
        <v>387</v>
      </c>
      <c r="K84" s="19">
        <v>4</v>
      </c>
      <c r="L84" s="20">
        <v>32</v>
      </c>
      <c r="M84" s="21">
        <v>0</v>
      </c>
      <c r="N84" s="22"/>
      <c r="O84" s="18" t="s">
        <v>349</v>
      </c>
      <c r="P84" s="18" t="s">
        <v>729</v>
      </c>
      <c r="Q84" s="18" t="s">
        <v>667</v>
      </c>
      <c r="R84" s="18" t="s">
        <v>730</v>
      </c>
      <c r="S84" s="18"/>
      <c r="T84" s="22"/>
      <c r="U84" s="23"/>
      <c r="V84" s="22"/>
      <c r="W84" s="23"/>
      <c r="X84" s="24" t="s">
        <v>352</v>
      </c>
      <c r="Y84" s="18"/>
      <c r="Z84" s="18" t="s">
        <v>731</v>
      </c>
      <c r="AA84" s="25">
        <v>46217</v>
      </c>
      <c r="AB84" s="25">
        <v>46224</v>
      </c>
      <c r="AC84" s="26">
        <v>46213</v>
      </c>
      <c r="AD84" s="26">
        <v>46220</v>
      </c>
      <c r="AE84" s="23">
        <v>46230</v>
      </c>
      <c r="AF84" s="23">
        <v>46235</v>
      </c>
      <c r="AG84" s="23"/>
      <c r="AH84" s="27">
        <v>0</v>
      </c>
      <c r="AI84" s="24"/>
      <c r="AJ84" s="28"/>
      <c r="AK84" s="28">
        <v>0</v>
      </c>
      <c r="AL84" s="18" t="s">
        <v>345</v>
      </c>
      <c r="AM84" s="18" t="s">
        <v>345</v>
      </c>
      <c r="AN84" s="18" t="s">
        <v>345</v>
      </c>
      <c r="AO84" s="18"/>
      <c r="AP84" s="24" t="s">
        <v>355</v>
      </c>
      <c r="AQ84" s="18" t="s">
        <v>345</v>
      </c>
      <c r="AR84" s="18" t="s">
        <v>345</v>
      </c>
      <c r="AS84" s="28"/>
      <c r="AT84" s="28"/>
      <c r="AU84" s="18" t="s">
        <v>345</v>
      </c>
      <c r="AV84" s="18" t="s">
        <v>345</v>
      </c>
      <c r="AW84" s="18" t="s">
        <v>345</v>
      </c>
      <c r="AX84" s="32"/>
      <c r="AY84" s="18" t="s">
        <v>345</v>
      </c>
      <c r="AZ84" s="18" t="s">
        <v>345</v>
      </c>
      <c r="BA84" s="35" t="s">
        <v>358</v>
      </c>
      <c r="BB84" s="36" t="s">
        <v>359</v>
      </c>
      <c r="BC84" s="112"/>
    </row>
    <row r="85" spans="1:55" ht="76.5" customHeight="1" x14ac:dyDescent="0.25">
      <c r="A85" s="15">
        <v>81</v>
      </c>
      <c r="B85" s="15"/>
      <c r="C85" s="15" t="s">
        <v>626</v>
      </c>
      <c r="D85" s="15" t="s">
        <v>664</v>
      </c>
      <c r="E85" s="15" t="s">
        <v>732</v>
      </c>
      <c r="F85" s="16" t="s">
        <v>109</v>
      </c>
      <c r="G85" s="17">
        <v>0</v>
      </c>
      <c r="H85" s="18" t="s">
        <v>733</v>
      </c>
      <c r="I85" s="18"/>
      <c r="J85" s="18" t="s">
        <v>387</v>
      </c>
      <c r="K85" s="19">
        <v>3</v>
      </c>
      <c r="L85" s="20">
        <v>24</v>
      </c>
      <c r="M85" s="21">
        <v>0</v>
      </c>
      <c r="N85" s="22"/>
      <c r="O85" s="18" t="s">
        <v>349</v>
      </c>
      <c r="P85" s="18" t="s">
        <v>734</v>
      </c>
      <c r="Q85" s="18" t="s">
        <v>735</v>
      </c>
      <c r="R85" s="18"/>
      <c r="S85" s="18"/>
      <c r="T85" s="22"/>
      <c r="U85" s="23"/>
      <c r="V85" s="22"/>
      <c r="W85" s="23"/>
      <c r="X85" s="24" t="s">
        <v>352</v>
      </c>
      <c r="Y85" s="18"/>
      <c r="Z85" s="18" t="s">
        <v>736</v>
      </c>
      <c r="AA85" s="25">
        <v>46226</v>
      </c>
      <c r="AB85" s="25">
        <v>46233</v>
      </c>
      <c r="AC85" s="26">
        <v>46234</v>
      </c>
      <c r="AD85" s="26">
        <v>46241</v>
      </c>
      <c r="AE85" s="23">
        <v>46251</v>
      </c>
      <c r="AF85" s="23">
        <v>46256</v>
      </c>
      <c r="AG85" s="23"/>
      <c r="AH85" s="27">
        <v>0</v>
      </c>
      <c r="AI85" s="24"/>
      <c r="AJ85" s="28"/>
      <c r="AK85" s="28">
        <v>0</v>
      </c>
      <c r="AL85" s="18" t="s">
        <v>345</v>
      </c>
      <c r="AM85" s="18" t="s">
        <v>345</v>
      </c>
      <c r="AN85" s="18" t="s">
        <v>345</v>
      </c>
      <c r="AO85" s="18"/>
      <c r="AP85" s="24" t="s">
        <v>355</v>
      </c>
      <c r="AQ85" s="18" t="s">
        <v>345</v>
      </c>
      <c r="AR85" s="18" t="s">
        <v>345</v>
      </c>
      <c r="AS85" s="28"/>
      <c r="AT85" s="28"/>
      <c r="AU85" s="18" t="s">
        <v>345</v>
      </c>
      <c r="AV85" s="18" t="s">
        <v>345</v>
      </c>
      <c r="AW85" s="18" t="s">
        <v>345</v>
      </c>
      <c r="AX85" s="32"/>
      <c r="AY85" s="18" t="s">
        <v>345</v>
      </c>
      <c r="AZ85" s="18" t="s">
        <v>345</v>
      </c>
      <c r="BA85" s="35" t="s">
        <v>358</v>
      </c>
      <c r="BB85" s="36" t="s">
        <v>359</v>
      </c>
      <c r="BC85" s="112"/>
    </row>
    <row r="86" spans="1:55" ht="76.5" customHeight="1" x14ac:dyDescent="0.25">
      <c r="A86" s="15">
        <v>82</v>
      </c>
      <c r="B86" s="15"/>
      <c r="C86" s="15" t="s">
        <v>626</v>
      </c>
      <c r="D86" s="15" t="s">
        <v>664</v>
      </c>
      <c r="E86" s="15" t="s">
        <v>737</v>
      </c>
      <c r="F86" s="16" t="s">
        <v>110</v>
      </c>
      <c r="G86" s="17">
        <v>0</v>
      </c>
      <c r="H86" s="18" t="s">
        <v>738</v>
      </c>
      <c r="I86" s="18" t="s">
        <v>359</v>
      </c>
      <c r="J86" s="18" t="s">
        <v>387</v>
      </c>
      <c r="K86" s="19">
        <v>12.875</v>
      </c>
      <c r="L86" s="20">
        <v>103</v>
      </c>
      <c r="M86" s="21">
        <v>0.9</v>
      </c>
      <c r="N86" s="22" t="s">
        <v>469</v>
      </c>
      <c r="O86" s="18" t="s">
        <v>349</v>
      </c>
      <c r="P86" s="18" t="s">
        <v>739</v>
      </c>
      <c r="Q86" s="18" t="s">
        <v>667</v>
      </c>
      <c r="R86" s="18" t="s">
        <v>740</v>
      </c>
      <c r="S86" s="18"/>
      <c r="T86" s="22" t="s">
        <v>741</v>
      </c>
      <c r="U86" s="23">
        <v>46211.677941400463</v>
      </c>
      <c r="V86" s="22" t="s">
        <v>742</v>
      </c>
      <c r="W86" s="23">
        <v>46216.503071678242</v>
      </c>
      <c r="X86" s="24" t="s">
        <v>374</v>
      </c>
      <c r="Y86" s="18"/>
      <c r="Z86" s="18"/>
      <c r="AA86" s="25">
        <v>46226</v>
      </c>
      <c r="AB86" s="25">
        <v>46233</v>
      </c>
      <c r="AC86" s="26">
        <v>46192</v>
      </c>
      <c r="AD86" s="26">
        <v>46211.677941400463</v>
      </c>
      <c r="AE86" s="23">
        <v>46221.677941400463</v>
      </c>
      <c r="AF86" s="23">
        <v>46226.677941400463</v>
      </c>
      <c r="AG86" s="23">
        <v>46192</v>
      </c>
      <c r="AH86" s="27">
        <v>0</v>
      </c>
      <c r="AI86" s="24"/>
      <c r="AJ86" s="28"/>
      <c r="AK86" s="28">
        <v>0</v>
      </c>
      <c r="AL86" s="18" t="s">
        <v>345</v>
      </c>
      <c r="AM86" s="18" t="s">
        <v>345</v>
      </c>
      <c r="AN86" s="18" t="s">
        <v>345</v>
      </c>
      <c r="AO86" s="18" t="s">
        <v>354</v>
      </c>
      <c r="AP86" s="24" t="s">
        <v>355</v>
      </c>
      <c r="AQ86" s="18" t="s">
        <v>345</v>
      </c>
      <c r="AR86" s="18" t="s">
        <v>345</v>
      </c>
      <c r="AS86" s="28"/>
      <c r="AT86" s="28" t="s">
        <v>743</v>
      </c>
      <c r="AU86" s="18" t="s">
        <v>345</v>
      </c>
      <c r="AV86" s="18" t="s">
        <v>345</v>
      </c>
      <c r="AW86" s="18" t="s">
        <v>345</v>
      </c>
      <c r="AX86" s="32" t="s">
        <v>545</v>
      </c>
      <c r="AY86" s="18" t="s">
        <v>345</v>
      </c>
      <c r="AZ86" s="18" t="s">
        <v>345</v>
      </c>
      <c r="BA86" s="35" t="s">
        <v>358</v>
      </c>
      <c r="BB86" s="36" t="s">
        <v>359</v>
      </c>
      <c r="BC86" s="112"/>
    </row>
    <row r="87" spans="1:55" ht="76.5" customHeight="1" x14ac:dyDescent="0.25">
      <c r="A87" s="15">
        <v>83</v>
      </c>
      <c r="B87" s="15"/>
      <c r="C87" s="15" t="s">
        <v>626</v>
      </c>
      <c r="D87" s="15" t="s">
        <v>664</v>
      </c>
      <c r="E87" s="15" t="s">
        <v>744</v>
      </c>
      <c r="F87" s="16" t="s">
        <v>111</v>
      </c>
      <c r="G87" s="17">
        <v>0</v>
      </c>
      <c r="H87" s="18" t="s">
        <v>745</v>
      </c>
      <c r="I87" s="18" t="s">
        <v>359</v>
      </c>
      <c r="J87" s="18" t="s">
        <v>387</v>
      </c>
      <c r="K87" s="19">
        <v>6.375</v>
      </c>
      <c r="L87" s="20">
        <v>51</v>
      </c>
      <c r="M87" s="21">
        <v>0.9</v>
      </c>
      <c r="N87" s="22" t="s">
        <v>469</v>
      </c>
      <c r="O87" s="18" t="s">
        <v>349</v>
      </c>
      <c r="P87" s="18" t="s">
        <v>600</v>
      </c>
      <c r="Q87" s="18" t="s">
        <v>667</v>
      </c>
      <c r="R87" s="18" t="s">
        <v>746</v>
      </c>
      <c r="S87" s="18"/>
      <c r="T87" s="22" t="s">
        <v>747</v>
      </c>
      <c r="U87" s="23">
        <v>46210.678921678242</v>
      </c>
      <c r="V87" s="22" t="s">
        <v>471</v>
      </c>
      <c r="W87" s="23">
        <v>46212.497367824071</v>
      </c>
      <c r="X87" s="24" t="s">
        <v>374</v>
      </c>
      <c r="Y87" s="18"/>
      <c r="Z87" s="18"/>
      <c r="AA87" s="25">
        <v>46226</v>
      </c>
      <c r="AB87" s="25">
        <v>46233</v>
      </c>
      <c r="AC87" s="26">
        <v>46204</v>
      </c>
      <c r="AD87" s="26">
        <v>46210.678921678242</v>
      </c>
      <c r="AE87" s="23">
        <v>46220.678921678242</v>
      </c>
      <c r="AF87" s="23">
        <v>46225.678921678242</v>
      </c>
      <c r="AG87" s="23">
        <v>46198</v>
      </c>
      <c r="AH87" s="27">
        <v>0</v>
      </c>
      <c r="AI87" s="24"/>
      <c r="AJ87" s="28"/>
      <c r="AK87" s="28">
        <v>0</v>
      </c>
      <c r="AL87" s="18" t="s">
        <v>345</v>
      </c>
      <c r="AM87" s="18" t="s">
        <v>345</v>
      </c>
      <c r="AN87" s="18" t="s">
        <v>345</v>
      </c>
      <c r="AO87" s="18" t="s">
        <v>354</v>
      </c>
      <c r="AP87" s="24" t="s">
        <v>355</v>
      </c>
      <c r="AQ87" s="18" t="s">
        <v>345</v>
      </c>
      <c r="AR87" s="18" t="s">
        <v>345</v>
      </c>
      <c r="AS87" s="28"/>
      <c r="AT87" s="28" t="s">
        <v>579</v>
      </c>
      <c r="AU87" s="18" t="s">
        <v>345</v>
      </c>
      <c r="AV87" s="18" t="s">
        <v>345</v>
      </c>
      <c r="AW87" s="18" t="s">
        <v>345</v>
      </c>
      <c r="AX87" s="32" t="s">
        <v>545</v>
      </c>
      <c r="AY87" s="18" t="s">
        <v>345</v>
      </c>
      <c r="AZ87" s="18" t="s">
        <v>345</v>
      </c>
      <c r="BA87" s="35" t="s">
        <v>358</v>
      </c>
      <c r="BB87" s="36" t="s">
        <v>359</v>
      </c>
      <c r="BC87" s="112"/>
    </row>
    <row r="88" spans="1:55" ht="76.5" customHeight="1" x14ac:dyDescent="0.25">
      <c r="A88" s="15">
        <v>84</v>
      </c>
      <c r="B88" s="15"/>
      <c r="C88" s="15" t="s">
        <v>626</v>
      </c>
      <c r="D88" s="15" t="s">
        <v>664</v>
      </c>
      <c r="E88" s="15" t="s">
        <v>748</v>
      </c>
      <c r="F88" s="16" t="s">
        <v>112</v>
      </c>
      <c r="G88" s="17">
        <v>0</v>
      </c>
      <c r="H88" s="18" t="s">
        <v>749</v>
      </c>
      <c r="I88" s="18" t="s">
        <v>359</v>
      </c>
      <c r="J88" s="18" t="s">
        <v>387</v>
      </c>
      <c r="K88" s="19">
        <v>7.625</v>
      </c>
      <c r="L88" s="20">
        <v>61</v>
      </c>
      <c r="M88" s="21">
        <v>0.9</v>
      </c>
      <c r="N88" s="22" t="s">
        <v>469</v>
      </c>
      <c r="O88" s="18" t="s">
        <v>349</v>
      </c>
      <c r="P88" s="18" t="s">
        <v>604</v>
      </c>
      <c r="Q88" s="18" t="s">
        <v>667</v>
      </c>
      <c r="R88" s="18" t="s">
        <v>750</v>
      </c>
      <c r="S88" s="18"/>
      <c r="T88" s="22" t="s">
        <v>747</v>
      </c>
      <c r="U88" s="23">
        <v>46210.678922800929</v>
      </c>
      <c r="V88" s="22" t="s">
        <v>471</v>
      </c>
      <c r="W88" s="23">
        <v>46212.499945983793</v>
      </c>
      <c r="X88" s="24" t="s">
        <v>374</v>
      </c>
      <c r="Y88" s="18"/>
      <c r="Z88" s="18"/>
      <c r="AA88" s="25">
        <v>46226</v>
      </c>
      <c r="AB88" s="25">
        <v>46233</v>
      </c>
      <c r="AC88" s="26">
        <v>46204</v>
      </c>
      <c r="AD88" s="26">
        <v>46210.678922800929</v>
      </c>
      <c r="AE88" s="23">
        <v>46220.678922800929</v>
      </c>
      <c r="AF88" s="23">
        <v>46225.678922800929</v>
      </c>
      <c r="AG88" s="23">
        <v>46205</v>
      </c>
      <c r="AH88" s="27">
        <v>0</v>
      </c>
      <c r="AI88" s="24"/>
      <c r="AJ88" s="28"/>
      <c r="AK88" s="28">
        <v>0</v>
      </c>
      <c r="AL88" s="18" t="s">
        <v>345</v>
      </c>
      <c r="AM88" s="18" t="s">
        <v>345</v>
      </c>
      <c r="AN88" s="18" t="s">
        <v>345</v>
      </c>
      <c r="AO88" s="18" t="s">
        <v>354</v>
      </c>
      <c r="AP88" s="24" t="s">
        <v>355</v>
      </c>
      <c r="AQ88" s="18" t="s">
        <v>345</v>
      </c>
      <c r="AR88" s="18" t="s">
        <v>345</v>
      </c>
      <c r="AS88" s="28"/>
      <c r="AT88" s="28" t="s">
        <v>751</v>
      </c>
      <c r="AU88" s="18" t="s">
        <v>345</v>
      </c>
      <c r="AV88" s="18" t="s">
        <v>345</v>
      </c>
      <c r="AW88" s="18" t="s">
        <v>345</v>
      </c>
      <c r="AX88" s="32" t="s">
        <v>545</v>
      </c>
      <c r="AY88" s="18" t="s">
        <v>345</v>
      </c>
      <c r="AZ88" s="18" t="s">
        <v>345</v>
      </c>
      <c r="BA88" s="35" t="s">
        <v>358</v>
      </c>
      <c r="BB88" s="36" t="s">
        <v>359</v>
      </c>
      <c r="BC88" s="112"/>
    </row>
    <row r="89" spans="1:55" ht="76.5" customHeight="1" x14ac:dyDescent="0.25">
      <c r="A89" s="15">
        <v>85</v>
      </c>
      <c r="B89" s="15"/>
      <c r="C89" s="15" t="s">
        <v>626</v>
      </c>
      <c r="D89" s="15" t="s">
        <v>664</v>
      </c>
      <c r="E89" s="15" t="s">
        <v>752</v>
      </c>
      <c r="F89" s="16" t="s">
        <v>113</v>
      </c>
      <c r="G89" s="17">
        <v>0</v>
      </c>
      <c r="H89" s="18" t="s">
        <v>753</v>
      </c>
      <c r="I89" s="18" t="s">
        <v>359</v>
      </c>
      <c r="J89" s="18" t="s">
        <v>387</v>
      </c>
      <c r="K89" s="19">
        <v>8</v>
      </c>
      <c r="L89" s="20">
        <v>64</v>
      </c>
      <c r="M89" s="21">
        <v>0.9</v>
      </c>
      <c r="N89" s="22" t="s">
        <v>469</v>
      </c>
      <c r="O89" s="18" t="s">
        <v>349</v>
      </c>
      <c r="P89" s="18" t="s">
        <v>608</v>
      </c>
      <c r="Q89" s="18" t="s">
        <v>667</v>
      </c>
      <c r="R89" s="18" t="s">
        <v>754</v>
      </c>
      <c r="S89" s="18"/>
      <c r="T89" s="22" t="s">
        <v>747</v>
      </c>
      <c r="U89" s="23">
        <v>46210.678923460648</v>
      </c>
      <c r="V89" s="22" t="s">
        <v>742</v>
      </c>
      <c r="W89" s="23">
        <v>46213.628457256942</v>
      </c>
      <c r="X89" s="24" t="s">
        <v>374</v>
      </c>
      <c r="Y89" s="18"/>
      <c r="Z89" s="18"/>
      <c r="AA89" s="25">
        <v>46226</v>
      </c>
      <c r="AB89" s="25">
        <v>46233</v>
      </c>
      <c r="AC89" s="26">
        <v>46204</v>
      </c>
      <c r="AD89" s="26">
        <v>46210.678923460648</v>
      </c>
      <c r="AE89" s="23">
        <v>46220.678923460648</v>
      </c>
      <c r="AF89" s="23">
        <v>46225.678923460648</v>
      </c>
      <c r="AG89" s="23">
        <v>46196</v>
      </c>
      <c r="AH89" s="27">
        <v>0</v>
      </c>
      <c r="AI89" s="24"/>
      <c r="AJ89" s="28"/>
      <c r="AK89" s="28">
        <v>0</v>
      </c>
      <c r="AL89" s="18" t="s">
        <v>345</v>
      </c>
      <c r="AM89" s="18" t="s">
        <v>345</v>
      </c>
      <c r="AN89" s="18" t="s">
        <v>345</v>
      </c>
      <c r="AO89" s="18" t="s">
        <v>354</v>
      </c>
      <c r="AP89" s="24" t="s">
        <v>355</v>
      </c>
      <c r="AQ89" s="18" t="s">
        <v>345</v>
      </c>
      <c r="AR89" s="18" t="s">
        <v>345</v>
      </c>
      <c r="AS89" s="28"/>
      <c r="AT89" s="28" t="s">
        <v>755</v>
      </c>
      <c r="AU89" s="18" t="s">
        <v>345</v>
      </c>
      <c r="AV89" s="18" t="s">
        <v>345</v>
      </c>
      <c r="AW89" s="18" t="s">
        <v>345</v>
      </c>
      <c r="AX89" s="32" t="s">
        <v>545</v>
      </c>
      <c r="AY89" s="18" t="s">
        <v>345</v>
      </c>
      <c r="AZ89" s="18" t="s">
        <v>345</v>
      </c>
      <c r="BA89" s="35" t="s">
        <v>358</v>
      </c>
      <c r="BB89" s="36" t="s">
        <v>359</v>
      </c>
      <c r="BC89" s="112"/>
    </row>
    <row r="90" spans="1:55" ht="76.5" customHeight="1" x14ac:dyDescent="0.25">
      <c r="A90" s="15">
        <v>86</v>
      </c>
      <c r="B90" s="15"/>
      <c r="C90" s="15" t="s">
        <v>626</v>
      </c>
      <c r="D90" s="15" t="s">
        <v>664</v>
      </c>
      <c r="E90" s="15" t="s">
        <v>756</v>
      </c>
      <c r="F90" s="16" t="s">
        <v>757</v>
      </c>
      <c r="G90" s="17">
        <v>0</v>
      </c>
      <c r="H90" s="18" t="s">
        <v>758</v>
      </c>
      <c r="I90" s="18" t="s">
        <v>359</v>
      </c>
      <c r="J90" s="18" t="s">
        <v>387</v>
      </c>
      <c r="K90" s="19">
        <v>3.5</v>
      </c>
      <c r="L90" s="20">
        <v>28</v>
      </c>
      <c r="M90" s="21">
        <v>0.5</v>
      </c>
      <c r="N90" s="22" t="s">
        <v>469</v>
      </c>
      <c r="O90" s="18" t="s">
        <v>349</v>
      </c>
      <c r="P90" s="18" t="s">
        <v>759</v>
      </c>
      <c r="Q90" s="18" t="s">
        <v>667</v>
      </c>
      <c r="R90" s="18" t="s">
        <v>760</v>
      </c>
      <c r="S90" s="18"/>
      <c r="T90" s="22"/>
      <c r="U90" s="23"/>
      <c r="V90" s="22"/>
      <c r="W90" s="23"/>
      <c r="X90" s="24" t="s">
        <v>374</v>
      </c>
      <c r="Y90" s="18"/>
      <c r="Z90" s="18"/>
      <c r="AA90" s="25"/>
      <c r="AB90" s="25"/>
      <c r="AC90" s="26">
        <v>46211</v>
      </c>
      <c r="AD90" s="26">
        <v>46213</v>
      </c>
      <c r="AE90" s="23">
        <v>46223</v>
      </c>
      <c r="AF90" s="23">
        <v>46228</v>
      </c>
      <c r="AG90" s="23">
        <v>46211</v>
      </c>
      <c r="AH90" s="27">
        <v>0</v>
      </c>
      <c r="AI90" s="24"/>
      <c r="AJ90" s="28"/>
      <c r="AK90" s="28">
        <v>0</v>
      </c>
      <c r="AL90" s="18" t="s">
        <v>345</v>
      </c>
      <c r="AM90" s="18" t="s">
        <v>345</v>
      </c>
      <c r="AN90" s="18" t="s">
        <v>345</v>
      </c>
      <c r="AO90" s="18" t="s">
        <v>354</v>
      </c>
      <c r="AP90" s="24" t="s">
        <v>355</v>
      </c>
      <c r="AQ90" s="18" t="s">
        <v>345</v>
      </c>
      <c r="AR90" s="18" t="s">
        <v>345</v>
      </c>
      <c r="AS90" s="28"/>
      <c r="AT90" s="28" t="s">
        <v>649</v>
      </c>
      <c r="AU90" s="18" t="s">
        <v>345</v>
      </c>
      <c r="AV90" s="18" t="s">
        <v>345</v>
      </c>
      <c r="AW90" s="18" t="s">
        <v>345</v>
      </c>
      <c r="AX90" s="32" t="s">
        <v>545</v>
      </c>
      <c r="AY90" s="18" t="s">
        <v>345</v>
      </c>
      <c r="AZ90" s="18" t="s">
        <v>345</v>
      </c>
      <c r="BA90" s="35" t="s">
        <v>358</v>
      </c>
      <c r="BB90" s="36" t="s">
        <v>359</v>
      </c>
      <c r="BC90" s="112"/>
    </row>
    <row r="91" spans="1:55" ht="76.5" customHeight="1" x14ac:dyDescent="0.25">
      <c r="A91" s="15">
        <v>87</v>
      </c>
      <c r="B91" s="15"/>
      <c r="C91" s="15" t="s">
        <v>626</v>
      </c>
      <c r="D91" s="15" t="s">
        <v>761</v>
      </c>
      <c r="E91" s="15" t="s">
        <v>762</v>
      </c>
      <c r="F91" s="16" t="s">
        <v>114</v>
      </c>
      <c r="G91" s="17">
        <v>0</v>
      </c>
      <c r="H91" s="18" t="s">
        <v>763</v>
      </c>
      <c r="I91" s="18"/>
      <c r="J91" s="18" t="s">
        <v>387</v>
      </c>
      <c r="K91" s="19">
        <v>2</v>
      </c>
      <c r="L91" s="20">
        <v>16</v>
      </c>
      <c r="M91" s="21">
        <v>0</v>
      </c>
      <c r="N91" s="22"/>
      <c r="O91" s="18" t="s">
        <v>349</v>
      </c>
      <c r="P91" s="18" t="s">
        <v>574</v>
      </c>
      <c r="Q91" s="18" t="s">
        <v>764</v>
      </c>
      <c r="R91" s="18" t="s">
        <v>765</v>
      </c>
      <c r="S91" s="18"/>
      <c r="T91" s="22"/>
      <c r="U91" s="23"/>
      <c r="V91" s="22"/>
      <c r="W91" s="23"/>
      <c r="X91" s="24" t="s">
        <v>352</v>
      </c>
      <c r="Y91" s="18"/>
      <c r="Z91" s="18" t="s">
        <v>766</v>
      </c>
      <c r="AA91" s="25">
        <v>46245</v>
      </c>
      <c r="AB91" s="25">
        <v>46252</v>
      </c>
      <c r="AC91" s="26">
        <v>46253</v>
      </c>
      <c r="AD91" s="26">
        <v>46260</v>
      </c>
      <c r="AE91" s="23">
        <v>46270</v>
      </c>
      <c r="AF91" s="23">
        <v>46275</v>
      </c>
      <c r="AG91" s="23"/>
      <c r="AH91" s="27"/>
      <c r="AI91" s="24"/>
      <c r="AJ91" s="28"/>
      <c r="AK91" s="28"/>
      <c r="AL91" s="18" t="s">
        <v>345</v>
      </c>
      <c r="AM91" s="18" t="s">
        <v>345</v>
      </c>
      <c r="AN91" s="18" t="s">
        <v>345</v>
      </c>
      <c r="AO91" s="18"/>
      <c r="AP91" s="24" t="s">
        <v>355</v>
      </c>
      <c r="AQ91" s="18" t="s">
        <v>345</v>
      </c>
      <c r="AR91" s="18" t="s">
        <v>345</v>
      </c>
      <c r="AS91" s="28"/>
      <c r="AT91" s="28"/>
      <c r="AU91" s="18" t="s">
        <v>345</v>
      </c>
      <c r="AV91" s="18" t="s">
        <v>345</v>
      </c>
      <c r="AW91" s="18" t="s">
        <v>345</v>
      </c>
      <c r="AX91" s="32"/>
      <c r="AY91" s="18" t="s">
        <v>345</v>
      </c>
      <c r="AZ91" s="18" t="s">
        <v>345</v>
      </c>
      <c r="BA91" s="35" t="s">
        <v>358</v>
      </c>
      <c r="BB91" s="36" t="s">
        <v>359</v>
      </c>
      <c r="BC91" s="112"/>
    </row>
    <row r="92" spans="1:55" ht="76.5" customHeight="1" x14ac:dyDescent="0.25">
      <c r="A92" s="15">
        <v>88</v>
      </c>
      <c r="B92" s="15"/>
      <c r="C92" s="15" t="s">
        <v>626</v>
      </c>
      <c r="D92" s="15" t="s">
        <v>611</v>
      </c>
      <c r="E92" s="15" t="s">
        <v>767</v>
      </c>
      <c r="F92" s="16" t="s">
        <v>115</v>
      </c>
      <c r="G92" s="17">
        <v>0</v>
      </c>
      <c r="H92" s="18" t="s">
        <v>768</v>
      </c>
      <c r="I92" s="18"/>
      <c r="J92" s="18" t="s">
        <v>387</v>
      </c>
      <c r="K92" s="19">
        <v>0.25</v>
      </c>
      <c r="L92" s="20">
        <v>2</v>
      </c>
      <c r="M92" s="21">
        <v>0</v>
      </c>
      <c r="N92" s="22"/>
      <c r="O92" s="18" t="s">
        <v>349</v>
      </c>
      <c r="P92" s="18" t="s">
        <v>574</v>
      </c>
      <c r="Q92" s="18" t="s">
        <v>769</v>
      </c>
      <c r="R92" s="18" t="s">
        <v>765</v>
      </c>
      <c r="S92" s="18"/>
      <c r="T92" s="22"/>
      <c r="U92" s="23"/>
      <c r="V92" s="22"/>
      <c r="W92" s="23"/>
      <c r="X92" s="24" t="s">
        <v>352</v>
      </c>
      <c r="Y92" s="18"/>
      <c r="Z92" s="18" t="s">
        <v>770</v>
      </c>
      <c r="AA92" s="25">
        <v>46245</v>
      </c>
      <c r="AB92" s="25">
        <v>46247</v>
      </c>
      <c r="AC92" s="26">
        <v>46253</v>
      </c>
      <c r="AD92" s="26">
        <v>46255</v>
      </c>
      <c r="AE92" s="23">
        <v>46265</v>
      </c>
      <c r="AF92" s="23">
        <v>46270</v>
      </c>
      <c r="AG92" s="23"/>
      <c r="AH92" s="27"/>
      <c r="AI92" s="24"/>
      <c r="AJ92" s="28"/>
      <c r="AK92" s="28"/>
      <c r="AL92" s="18" t="s">
        <v>345</v>
      </c>
      <c r="AM92" s="18" t="s">
        <v>345</v>
      </c>
      <c r="AN92" s="18" t="s">
        <v>345</v>
      </c>
      <c r="AO92" s="18"/>
      <c r="AP92" s="24" t="s">
        <v>355</v>
      </c>
      <c r="AQ92" s="18" t="s">
        <v>345</v>
      </c>
      <c r="AR92" s="18" t="s">
        <v>345</v>
      </c>
      <c r="AS92" s="28"/>
      <c r="AT92" s="28"/>
      <c r="AU92" s="18" t="s">
        <v>345</v>
      </c>
      <c r="AV92" s="18" t="s">
        <v>345</v>
      </c>
      <c r="AW92" s="18" t="s">
        <v>345</v>
      </c>
      <c r="AX92" s="32"/>
      <c r="AY92" s="18" t="s">
        <v>345</v>
      </c>
      <c r="AZ92" s="18" t="s">
        <v>345</v>
      </c>
      <c r="BA92" s="35" t="s">
        <v>358</v>
      </c>
      <c r="BB92" s="36" t="s">
        <v>359</v>
      </c>
      <c r="BC92" s="112"/>
    </row>
    <row r="93" spans="1:55" ht="76.5" customHeight="1" x14ac:dyDescent="0.25">
      <c r="A93" s="15">
        <v>89</v>
      </c>
      <c r="B93" s="15"/>
      <c r="C93" s="15" t="s">
        <v>626</v>
      </c>
      <c r="D93" s="15" t="s">
        <v>611</v>
      </c>
      <c r="E93" s="15" t="s">
        <v>771</v>
      </c>
      <c r="F93" s="16" t="s">
        <v>116</v>
      </c>
      <c r="G93" s="17">
        <v>0</v>
      </c>
      <c r="H93" s="18" t="s">
        <v>772</v>
      </c>
      <c r="I93" s="18"/>
      <c r="J93" s="18" t="s">
        <v>387</v>
      </c>
      <c r="K93" s="19">
        <v>3</v>
      </c>
      <c r="L93" s="20">
        <v>24</v>
      </c>
      <c r="M93" s="21">
        <v>0</v>
      </c>
      <c r="N93" s="22"/>
      <c r="O93" s="18" t="s">
        <v>349</v>
      </c>
      <c r="P93" s="18" t="s">
        <v>574</v>
      </c>
      <c r="Q93" s="18" t="s">
        <v>769</v>
      </c>
      <c r="R93" s="18" t="s">
        <v>773</v>
      </c>
      <c r="S93" s="18"/>
      <c r="T93" s="22"/>
      <c r="U93" s="23"/>
      <c r="V93" s="22"/>
      <c r="W93" s="23"/>
      <c r="X93" s="24" t="s">
        <v>352</v>
      </c>
      <c r="Y93" s="18"/>
      <c r="Z93" s="18" t="s">
        <v>774</v>
      </c>
      <c r="AA93" s="25">
        <v>46247</v>
      </c>
      <c r="AB93" s="25">
        <v>46251</v>
      </c>
      <c r="AC93" s="26">
        <v>46255</v>
      </c>
      <c r="AD93" s="26">
        <v>46259</v>
      </c>
      <c r="AE93" s="23">
        <v>46269</v>
      </c>
      <c r="AF93" s="23">
        <v>46274</v>
      </c>
      <c r="AG93" s="23"/>
      <c r="AH93" s="27"/>
      <c r="AI93" s="24"/>
      <c r="AJ93" s="28"/>
      <c r="AK93" s="28"/>
      <c r="AL93" s="18" t="s">
        <v>345</v>
      </c>
      <c r="AM93" s="18" t="s">
        <v>345</v>
      </c>
      <c r="AN93" s="18" t="s">
        <v>345</v>
      </c>
      <c r="AO93" s="18"/>
      <c r="AP93" s="24" t="s">
        <v>355</v>
      </c>
      <c r="AQ93" s="18" t="s">
        <v>345</v>
      </c>
      <c r="AR93" s="18" t="s">
        <v>345</v>
      </c>
      <c r="AS93" s="28"/>
      <c r="AT93" s="28"/>
      <c r="AU93" s="18" t="s">
        <v>345</v>
      </c>
      <c r="AV93" s="18" t="s">
        <v>345</v>
      </c>
      <c r="AW93" s="18" t="s">
        <v>345</v>
      </c>
      <c r="AX93" s="32"/>
      <c r="AY93" s="18" t="s">
        <v>345</v>
      </c>
      <c r="AZ93" s="18" t="s">
        <v>345</v>
      </c>
      <c r="BA93" s="35" t="s">
        <v>358</v>
      </c>
      <c r="BB93" s="36" t="s">
        <v>359</v>
      </c>
      <c r="BC93" s="112"/>
    </row>
    <row r="94" spans="1:55" ht="63.75" customHeight="1" x14ac:dyDescent="0.25">
      <c r="A94" s="15">
        <v>90</v>
      </c>
      <c r="B94" s="15"/>
      <c r="C94" s="15" t="s">
        <v>775</v>
      </c>
      <c r="D94" s="15" t="s">
        <v>580</v>
      </c>
      <c r="E94" s="15" t="s">
        <v>776</v>
      </c>
      <c r="F94" s="16" t="s">
        <v>117</v>
      </c>
      <c r="G94" s="17">
        <v>0</v>
      </c>
      <c r="H94" s="18" t="s">
        <v>777</v>
      </c>
      <c r="I94" s="18" t="s">
        <v>359</v>
      </c>
      <c r="J94" s="18" t="s">
        <v>348</v>
      </c>
      <c r="K94" s="19">
        <v>1</v>
      </c>
      <c r="L94" s="20">
        <v>1</v>
      </c>
      <c r="M94" s="21">
        <v>0.2</v>
      </c>
      <c r="N94" s="22" t="s">
        <v>469</v>
      </c>
      <c r="O94" s="18" t="s">
        <v>349</v>
      </c>
      <c r="P94" s="18" t="s">
        <v>778</v>
      </c>
      <c r="Q94" s="18" t="s">
        <v>779</v>
      </c>
      <c r="R94" s="18" t="s">
        <v>584</v>
      </c>
      <c r="S94" s="18"/>
      <c r="T94" s="22"/>
      <c r="U94" s="23"/>
      <c r="V94" s="22"/>
      <c r="W94" s="23"/>
      <c r="X94" s="24" t="s">
        <v>352</v>
      </c>
      <c r="Y94" s="18"/>
      <c r="Z94" s="18" t="s">
        <v>780</v>
      </c>
      <c r="AA94" s="25">
        <v>46199</v>
      </c>
      <c r="AB94" s="25">
        <v>46203</v>
      </c>
      <c r="AC94" s="26">
        <v>46204</v>
      </c>
      <c r="AD94" s="26">
        <v>46213</v>
      </c>
      <c r="AE94" s="23">
        <v>46223</v>
      </c>
      <c r="AF94" s="23">
        <v>46228</v>
      </c>
      <c r="AG94" s="23">
        <v>46205</v>
      </c>
      <c r="AH94" s="27"/>
      <c r="AI94" s="24"/>
      <c r="AJ94" s="28"/>
      <c r="AK94" s="28"/>
      <c r="AL94" s="18" t="s">
        <v>345</v>
      </c>
      <c r="AM94" s="18" t="s">
        <v>345</v>
      </c>
      <c r="AN94" s="18" t="s">
        <v>345</v>
      </c>
      <c r="AO94" s="18" t="s">
        <v>354</v>
      </c>
      <c r="AP94" s="24" t="s">
        <v>355</v>
      </c>
      <c r="AQ94" s="18" t="s">
        <v>345</v>
      </c>
      <c r="AR94" s="18" t="s">
        <v>345</v>
      </c>
      <c r="AS94" s="28"/>
      <c r="AT94" s="28" t="s">
        <v>356</v>
      </c>
      <c r="AU94" s="18" t="s">
        <v>345</v>
      </c>
      <c r="AV94" s="18" t="s">
        <v>345</v>
      </c>
      <c r="AW94" s="18" t="s">
        <v>345</v>
      </c>
      <c r="AX94" s="32" t="s">
        <v>545</v>
      </c>
      <c r="AY94" s="18" t="s">
        <v>345</v>
      </c>
      <c r="AZ94" s="18" t="s">
        <v>345</v>
      </c>
      <c r="BA94" s="35" t="s">
        <v>358</v>
      </c>
      <c r="BB94" s="36" t="s">
        <v>359</v>
      </c>
      <c r="BC94" s="112"/>
    </row>
    <row r="95" spans="1:55" ht="63.75" customHeight="1" x14ac:dyDescent="0.25">
      <c r="A95" s="15">
        <v>91</v>
      </c>
      <c r="B95" s="15"/>
      <c r="C95" s="15" t="s">
        <v>775</v>
      </c>
      <c r="D95" s="15" t="s">
        <v>580</v>
      </c>
      <c r="E95" s="15" t="s">
        <v>781</v>
      </c>
      <c r="F95" s="16" t="s">
        <v>118</v>
      </c>
      <c r="G95" s="17">
        <v>0</v>
      </c>
      <c r="H95" s="18" t="s">
        <v>782</v>
      </c>
      <c r="I95" s="18" t="s">
        <v>359</v>
      </c>
      <c r="J95" s="18" t="s">
        <v>348</v>
      </c>
      <c r="K95" s="19">
        <v>1</v>
      </c>
      <c r="L95" s="20">
        <v>1</v>
      </c>
      <c r="M95" s="21">
        <v>0.2</v>
      </c>
      <c r="N95" s="22" t="s">
        <v>469</v>
      </c>
      <c r="O95" s="18" t="s">
        <v>349</v>
      </c>
      <c r="P95" s="18" t="s">
        <v>778</v>
      </c>
      <c r="Q95" s="18" t="s">
        <v>783</v>
      </c>
      <c r="R95" s="18" t="s">
        <v>784</v>
      </c>
      <c r="S95" s="18"/>
      <c r="T95" s="22"/>
      <c r="U95" s="23"/>
      <c r="V95" s="22"/>
      <c r="W95" s="23"/>
      <c r="X95" s="24" t="s">
        <v>352</v>
      </c>
      <c r="Y95" s="18"/>
      <c r="Z95" s="18" t="s">
        <v>785</v>
      </c>
      <c r="AA95" s="25">
        <v>46203</v>
      </c>
      <c r="AB95" s="25">
        <v>46205</v>
      </c>
      <c r="AC95" s="26">
        <v>46204</v>
      </c>
      <c r="AD95" s="26">
        <v>46213</v>
      </c>
      <c r="AE95" s="23">
        <v>46223</v>
      </c>
      <c r="AF95" s="23">
        <v>46228</v>
      </c>
      <c r="AG95" s="23">
        <v>46202</v>
      </c>
      <c r="AH95" s="27"/>
      <c r="AI95" s="24"/>
      <c r="AJ95" s="28"/>
      <c r="AK95" s="28"/>
      <c r="AL95" s="18" t="s">
        <v>345</v>
      </c>
      <c r="AM95" s="18" t="s">
        <v>345</v>
      </c>
      <c r="AN95" s="18" t="s">
        <v>345</v>
      </c>
      <c r="AO95" s="18" t="s">
        <v>354</v>
      </c>
      <c r="AP95" s="24" t="s">
        <v>355</v>
      </c>
      <c r="AQ95" s="18" t="s">
        <v>345</v>
      </c>
      <c r="AR95" s="18" t="s">
        <v>345</v>
      </c>
      <c r="AS95" s="28"/>
      <c r="AT95" s="28" t="s">
        <v>755</v>
      </c>
      <c r="AU95" s="18" t="s">
        <v>345</v>
      </c>
      <c r="AV95" s="18" t="s">
        <v>345</v>
      </c>
      <c r="AW95" s="18" t="s">
        <v>345</v>
      </c>
      <c r="AX95" s="32" t="s">
        <v>545</v>
      </c>
      <c r="AY95" s="18" t="s">
        <v>345</v>
      </c>
      <c r="AZ95" s="18" t="s">
        <v>345</v>
      </c>
      <c r="BA95" s="35" t="s">
        <v>358</v>
      </c>
      <c r="BB95" s="36" t="s">
        <v>359</v>
      </c>
      <c r="BC95" s="112"/>
    </row>
    <row r="96" spans="1:55" ht="76.5" customHeight="1" x14ac:dyDescent="0.25">
      <c r="A96" s="15">
        <v>92</v>
      </c>
      <c r="B96" s="15"/>
      <c r="C96" s="15" t="s">
        <v>775</v>
      </c>
      <c r="D96" s="15" t="s">
        <v>664</v>
      </c>
      <c r="E96" s="15" t="s">
        <v>786</v>
      </c>
      <c r="F96" s="16" t="s">
        <v>119</v>
      </c>
      <c r="G96" s="17">
        <v>0</v>
      </c>
      <c r="H96" s="18" t="s">
        <v>787</v>
      </c>
      <c r="I96" s="18"/>
      <c r="J96" s="18" t="s">
        <v>387</v>
      </c>
      <c r="K96" s="19">
        <v>3</v>
      </c>
      <c r="L96" s="20">
        <v>24</v>
      </c>
      <c r="M96" s="21">
        <v>0</v>
      </c>
      <c r="N96" s="22"/>
      <c r="O96" s="18" t="s">
        <v>349</v>
      </c>
      <c r="P96" s="18" t="s">
        <v>778</v>
      </c>
      <c r="Q96" s="18" t="s">
        <v>788</v>
      </c>
      <c r="R96" s="18" t="s">
        <v>789</v>
      </c>
      <c r="S96" s="18"/>
      <c r="T96" s="22"/>
      <c r="U96" s="23"/>
      <c r="V96" s="22"/>
      <c r="W96" s="23"/>
      <c r="X96" s="24" t="s">
        <v>352</v>
      </c>
      <c r="Y96" s="18"/>
      <c r="Z96" s="18" t="s">
        <v>790</v>
      </c>
      <c r="AA96" s="25">
        <v>46212</v>
      </c>
      <c r="AB96" s="25">
        <v>46219</v>
      </c>
      <c r="AC96" s="26">
        <v>46220</v>
      </c>
      <c r="AD96" s="26">
        <v>46227</v>
      </c>
      <c r="AE96" s="23">
        <v>46237</v>
      </c>
      <c r="AF96" s="23">
        <v>46242</v>
      </c>
      <c r="AG96" s="23"/>
      <c r="AH96" s="27"/>
      <c r="AI96" s="24"/>
      <c r="AJ96" s="28"/>
      <c r="AK96" s="28"/>
      <c r="AL96" s="18" t="s">
        <v>345</v>
      </c>
      <c r="AM96" s="18" t="s">
        <v>345</v>
      </c>
      <c r="AN96" s="18" t="s">
        <v>345</v>
      </c>
      <c r="AO96" s="18"/>
      <c r="AP96" s="24" t="s">
        <v>355</v>
      </c>
      <c r="AQ96" s="18" t="s">
        <v>345</v>
      </c>
      <c r="AR96" s="18" t="s">
        <v>345</v>
      </c>
      <c r="AS96" s="28"/>
      <c r="AT96" s="28"/>
      <c r="AU96" s="18" t="s">
        <v>345</v>
      </c>
      <c r="AV96" s="18" t="s">
        <v>345</v>
      </c>
      <c r="AW96" s="18" t="s">
        <v>345</v>
      </c>
      <c r="AX96" s="32"/>
      <c r="AY96" s="18" t="s">
        <v>345</v>
      </c>
      <c r="AZ96" s="18" t="s">
        <v>345</v>
      </c>
      <c r="BA96" s="35" t="s">
        <v>358</v>
      </c>
      <c r="BB96" s="36" t="s">
        <v>359</v>
      </c>
      <c r="BC96" s="112"/>
    </row>
    <row r="97" spans="1:55" ht="63.75" customHeight="1" x14ac:dyDescent="0.25">
      <c r="A97" s="15">
        <v>93</v>
      </c>
      <c r="B97" s="15"/>
      <c r="C97" s="15" t="s">
        <v>775</v>
      </c>
      <c r="D97" s="15" t="s">
        <v>664</v>
      </c>
      <c r="E97" s="15" t="s">
        <v>791</v>
      </c>
      <c r="F97" s="16" t="s">
        <v>120</v>
      </c>
      <c r="G97" s="17">
        <v>0</v>
      </c>
      <c r="H97" s="18" t="s">
        <v>792</v>
      </c>
      <c r="I97" s="18"/>
      <c r="J97" s="18" t="s">
        <v>387</v>
      </c>
      <c r="K97" s="19">
        <v>2.5</v>
      </c>
      <c r="L97" s="20">
        <v>20</v>
      </c>
      <c r="M97" s="21">
        <v>0</v>
      </c>
      <c r="N97" s="22"/>
      <c r="O97" s="18" t="s">
        <v>349</v>
      </c>
      <c r="P97" s="18" t="s">
        <v>778</v>
      </c>
      <c r="Q97" s="18" t="s">
        <v>793</v>
      </c>
      <c r="R97" s="18" t="s">
        <v>789</v>
      </c>
      <c r="S97" s="18"/>
      <c r="T97" s="22"/>
      <c r="U97" s="23"/>
      <c r="V97" s="22"/>
      <c r="W97" s="23"/>
      <c r="X97" s="24" t="s">
        <v>352</v>
      </c>
      <c r="Y97" s="18"/>
      <c r="Z97" s="18" t="s">
        <v>794</v>
      </c>
      <c r="AA97" s="25">
        <v>46219</v>
      </c>
      <c r="AB97" s="25">
        <v>46226</v>
      </c>
      <c r="AC97" s="26">
        <v>46227</v>
      </c>
      <c r="AD97" s="26">
        <v>46234</v>
      </c>
      <c r="AE97" s="23">
        <v>46244</v>
      </c>
      <c r="AF97" s="23">
        <v>46249</v>
      </c>
      <c r="AG97" s="23"/>
      <c r="AH97" s="27"/>
      <c r="AI97" s="24"/>
      <c r="AJ97" s="28"/>
      <c r="AK97" s="28"/>
      <c r="AL97" s="18" t="s">
        <v>345</v>
      </c>
      <c r="AM97" s="18" t="s">
        <v>345</v>
      </c>
      <c r="AN97" s="18" t="s">
        <v>345</v>
      </c>
      <c r="AO97" s="18"/>
      <c r="AP97" s="24" t="s">
        <v>355</v>
      </c>
      <c r="AQ97" s="18" t="s">
        <v>345</v>
      </c>
      <c r="AR97" s="18" t="s">
        <v>345</v>
      </c>
      <c r="AS97" s="28"/>
      <c r="AT97" s="28"/>
      <c r="AU97" s="18" t="s">
        <v>345</v>
      </c>
      <c r="AV97" s="18" t="s">
        <v>345</v>
      </c>
      <c r="AW97" s="18" t="s">
        <v>345</v>
      </c>
      <c r="AX97" s="32"/>
      <c r="AY97" s="18" t="s">
        <v>345</v>
      </c>
      <c r="AZ97" s="18" t="s">
        <v>345</v>
      </c>
      <c r="BA97" s="35" t="s">
        <v>358</v>
      </c>
      <c r="BB97" s="36" t="s">
        <v>359</v>
      </c>
      <c r="BC97" s="112"/>
    </row>
    <row r="98" spans="1:55" ht="63.75" customHeight="1" x14ac:dyDescent="0.25">
      <c r="A98" s="15">
        <v>94</v>
      </c>
      <c r="B98" s="15"/>
      <c r="C98" s="15" t="s">
        <v>775</v>
      </c>
      <c r="D98" s="15" t="s">
        <v>664</v>
      </c>
      <c r="E98" s="15" t="s">
        <v>795</v>
      </c>
      <c r="F98" s="16" t="s">
        <v>121</v>
      </c>
      <c r="G98" s="17">
        <v>0</v>
      </c>
      <c r="H98" s="18" t="s">
        <v>796</v>
      </c>
      <c r="I98" s="18"/>
      <c r="J98" s="18" t="s">
        <v>387</v>
      </c>
      <c r="K98" s="19">
        <v>6</v>
      </c>
      <c r="L98" s="20">
        <v>48</v>
      </c>
      <c r="M98" s="21">
        <v>0</v>
      </c>
      <c r="N98" s="22"/>
      <c r="O98" s="18" t="s">
        <v>349</v>
      </c>
      <c r="P98" s="18" t="s">
        <v>574</v>
      </c>
      <c r="Q98" s="18" t="s">
        <v>793</v>
      </c>
      <c r="R98" s="18" t="s">
        <v>789</v>
      </c>
      <c r="S98" s="18"/>
      <c r="T98" s="22"/>
      <c r="U98" s="23"/>
      <c r="V98" s="22"/>
      <c r="W98" s="23"/>
      <c r="X98" s="24" t="s">
        <v>352</v>
      </c>
      <c r="Y98" s="18"/>
      <c r="Z98" s="18" t="s">
        <v>797</v>
      </c>
      <c r="AA98" s="25">
        <v>46253</v>
      </c>
      <c r="AB98" s="25">
        <v>46260</v>
      </c>
      <c r="AC98" s="26">
        <v>46253</v>
      </c>
      <c r="AD98" s="26">
        <v>46260</v>
      </c>
      <c r="AE98" s="23">
        <v>46270</v>
      </c>
      <c r="AF98" s="23">
        <v>46275</v>
      </c>
      <c r="AG98" s="23"/>
      <c r="AH98" s="27"/>
      <c r="AI98" s="24"/>
      <c r="AJ98" s="28"/>
      <c r="AK98" s="28"/>
      <c r="AL98" s="18" t="s">
        <v>345</v>
      </c>
      <c r="AM98" s="18" t="s">
        <v>345</v>
      </c>
      <c r="AN98" s="18" t="s">
        <v>345</v>
      </c>
      <c r="AO98" s="18"/>
      <c r="AP98" s="24" t="s">
        <v>355</v>
      </c>
      <c r="AQ98" s="18" t="s">
        <v>345</v>
      </c>
      <c r="AR98" s="18" t="s">
        <v>345</v>
      </c>
      <c r="AS98" s="28"/>
      <c r="AT98" s="28"/>
      <c r="AU98" s="18" t="s">
        <v>345</v>
      </c>
      <c r="AV98" s="18" t="s">
        <v>345</v>
      </c>
      <c r="AW98" s="18" t="s">
        <v>345</v>
      </c>
      <c r="AX98" s="32"/>
      <c r="AY98" s="18" t="s">
        <v>345</v>
      </c>
      <c r="AZ98" s="18" t="s">
        <v>345</v>
      </c>
      <c r="BA98" s="35" t="s">
        <v>358</v>
      </c>
      <c r="BB98" s="36" t="s">
        <v>359</v>
      </c>
      <c r="BC98" s="112"/>
    </row>
    <row r="99" spans="1:55" ht="76.5" customHeight="1" x14ac:dyDescent="0.25">
      <c r="A99" s="15">
        <v>95</v>
      </c>
      <c r="B99" s="15"/>
      <c r="C99" s="15" t="s">
        <v>775</v>
      </c>
      <c r="D99" s="15" t="s">
        <v>664</v>
      </c>
      <c r="E99" s="15" t="s">
        <v>798</v>
      </c>
      <c r="F99" s="16" t="s">
        <v>122</v>
      </c>
      <c r="G99" s="17">
        <v>0</v>
      </c>
      <c r="H99" s="18" t="s">
        <v>799</v>
      </c>
      <c r="I99" s="18"/>
      <c r="J99" s="18" t="s">
        <v>387</v>
      </c>
      <c r="K99" s="19">
        <v>3</v>
      </c>
      <c r="L99" s="20">
        <v>24</v>
      </c>
      <c r="M99" s="21">
        <v>0</v>
      </c>
      <c r="N99" s="22"/>
      <c r="O99" s="18" t="s">
        <v>349</v>
      </c>
      <c r="P99" s="18" t="s">
        <v>574</v>
      </c>
      <c r="Q99" s="18" t="s">
        <v>788</v>
      </c>
      <c r="R99" s="18" t="s">
        <v>789</v>
      </c>
      <c r="S99" s="18"/>
      <c r="T99" s="22"/>
      <c r="U99" s="23"/>
      <c r="V99" s="22"/>
      <c r="W99" s="23"/>
      <c r="X99" s="24" t="s">
        <v>352</v>
      </c>
      <c r="Y99" s="18"/>
      <c r="Z99" s="18" t="s">
        <v>800</v>
      </c>
      <c r="AA99" s="25">
        <v>46239</v>
      </c>
      <c r="AB99" s="25">
        <v>46246</v>
      </c>
      <c r="AC99" s="26">
        <v>46239</v>
      </c>
      <c r="AD99" s="26">
        <v>46246</v>
      </c>
      <c r="AE99" s="23">
        <v>46256</v>
      </c>
      <c r="AF99" s="23">
        <v>46261</v>
      </c>
      <c r="AG99" s="23"/>
      <c r="AH99" s="27"/>
      <c r="AI99" s="24"/>
      <c r="AJ99" s="28"/>
      <c r="AK99" s="28"/>
      <c r="AL99" s="18" t="s">
        <v>345</v>
      </c>
      <c r="AM99" s="18" t="s">
        <v>345</v>
      </c>
      <c r="AN99" s="18" t="s">
        <v>345</v>
      </c>
      <c r="AO99" s="18"/>
      <c r="AP99" s="24" t="s">
        <v>355</v>
      </c>
      <c r="AQ99" s="18" t="s">
        <v>345</v>
      </c>
      <c r="AR99" s="18" t="s">
        <v>345</v>
      </c>
      <c r="AS99" s="28"/>
      <c r="AT99" s="28"/>
      <c r="AU99" s="18" t="s">
        <v>345</v>
      </c>
      <c r="AV99" s="18" t="s">
        <v>345</v>
      </c>
      <c r="AW99" s="18" t="s">
        <v>345</v>
      </c>
      <c r="AX99" s="32"/>
      <c r="AY99" s="18" t="s">
        <v>345</v>
      </c>
      <c r="AZ99" s="18" t="s">
        <v>345</v>
      </c>
      <c r="BA99" s="35" t="s">
        <v>358</v>
      </c>
      <c r="BB99" s="36" t="s">
        <v>359</v>
      </c>
      <c r="BC99" s="112"/>
    </row>
    <row r="100" spans="1:55" ht="63.75" customHeight="1" x14ac:dyDescent="0.25">
      <c r="A100" s="15">
        <v>96</v>
      </c>
      <c r="B100" s="15"/>
      <c r="C100" s="15" t="s">
        <v>775</v>
      </c>
      <c r="D100" s="15" t="s">
        <v>664</v>
      </c>
      <c r="E100" s="15" t="s">
        <v>801</v>
      </c>
      <c r="F100" s="16" t="s">
        <v>123</v>
      </c>
      <c r="G100" s="17">
        <v>0</v>
      </c>
      <c r="H100" s="18" t="s">
        <v>802</v>
      </c>
      <c r="I100" s="18"/>
      <c r="J100" s="18" t="s">
        <v>387</v>
      </c>
      <c r="K100" s="19">
        <v>3</v>
      </c>
      <c r="L100" s="20">
        <v>24</v>
      </c>
      <c r="M100" s="21">
        <v>0</v>
      </c>
      <c r="N100" s="22"/>
      <c r="O100" s="18" t="s">
        <v>349</v>
      </c>
      <c r="P100" s="18" t="s">
        <v>574</v>
      </c>
      <c r="Q100" s="18" t="s">
        <v>803</v>
      </c>
      <c r="R100" s="18" t="s">
        <v>789</v>
      </c>
      <c r="S100" s="18"/>
      <c r="T100" s="22"/>
      <c r="U100" s="23"/>
      <c r="V100" s="22"/>
      <c r="W100" s="23"/>
      <c r="X100" s="24" t="s">
        <v>352</v>
      </c>
      <c r="Y100" s="18"/>
      <c r="Z100" s="18" t="s">
        <v>804</v>
      </c>
      <c r="AA100" s="25">
        <v>46246</v>
      </c>
      <c r="AB100" s="25">
        <v>46253</v>
      </c>
      <c r="AC100" s="26">
        <v>46246</v>
      </c>
      <c r="AD100" s="26">
        <v>46253</v>
      </c>
      <c r="AE100" s="23">
        <v>46263</v>
      </c>
      <c r="AF100" s="23">
        <v>46268</v>
      </c>
      <c r="AG100" s="23"/>
      <c r="AH100" s="27"/>
      <c r="AI100" s="24"/>
      <c r="AJ100" s="28"/>
      <c r="AK100" s="28"/>
      <c r="AL100" s="18" t="s">
        <v>345</v>
      </c>
      <c r="AM100" s="18" t="s">
        <v>345</v>
      </c>
      <c r="AN100" s="18" t="s">
        <v>345</v>
      </c>
      <c r="AO100" s="18"/>
      <c r="AP100" s="24" t="s">
        <v>355</v>
      </c>
      <c r="AQ100" s="18" t="s">
        <v>345</v>
      </c>
      <c r="AR100" s="18" t="s">
        <v>345</v>
      </c>
      <c r="AS100" s="28"/>
      <c r="AT100" s="28"/>
      <c r="AU100" s="18" t="s">
        <v>345</v>
      </c>
      <c r="AV100" s="18" t="s">
        <v>345</v>
      </c>
      <c r="AW100" s="18" t="s">
        <v>345</v>
      </c>
      <c r="AX100" s="32"/>
      <c r="AY100" s="18" t="s">
        <v>345</v>
      </c>
      <c r="AZ100" s="18" t="s">
        <v>345</v>
      </c>
      <c r="BA100" s="35" t="s">
        <v>358</v>
      </c>
      <c r="BB100" s="36" t="s">
        <v>359</v>
      </c>
      <c r="BC100" s="112"/>
    </row>
    <row r="101" spans="1:55" ht="63.75" customHeight="1" x14ac:dyDescent="0.25">
      <c r="A101" s="15">
        <v>97</v>
      </c>
      <c r="B101" s="15"/>
      <c r="C101" s="15" t="s">
        <v>775</v>
      </c>
      <c r="D101" s="15" t="s">
        <v>664</v>
      </c>
      <c r="E101" s="15" t="s">
        <v>805</v>
      </c>
      <c r="F101" s="16" t="s">
        <v>124</v>
      </c>
      <c r="G101" s="17">
        <v>0</v>
      </c>
      <c r="H101" s="18" t="s">
        <v>806</v>
      </c>
      <c r="I101" s="18"/>
      <c r="J101" s="18" t="s">
        <v>387</v>
      </c>
      <c r="K101" s="19">
        <v>6</v>
      </c>
      <c r="L101" s="20">
        <v>48</v>
      </c>
      <c r="M101" s="21">
        <v>0</v>
      </c>
      <c r="N101" s="22"/>
      <c r="O101" s="18" t="s">
        <v>349</v>
      </c>
      <c r="P101" s="18" t="s">
        <v>807</v>
      </c>
      <c r="Q101" s="18" t="s">
        <v>808</v>
      </c>
      <c r="R101" s="18" t="s">
        <v>809</v>
      </c>
      <c r="S101" s="18"/>
      <c r="T101" s="22"/>
      <c r="U101" s="23"/>
      <c r="V101" s="22"/>
      <c r="W101" s="23"/>
      <c r="X101" s="24" t="s">
        <v>352</v>
      </c>
      <c r="Y101" s="18"/>
      <c r="Z101" s="18" t="s">
        <v>810</v>
      </c>
      <c r="AA101" s="25">
        <v>46232</v>
      </c>
      <c r="AB101" s="25">
        <v>46240</v>
      </c>
      <c r="AC101" s="26">
        <v>46232</v>
      </c>
      <c r="AD101" s="26">
        <v>46240</v>
      </c>
      <c r="AE101" s="23">
        <v>46250</v>
      </c>
      <c r="AF101" s="23">
        <v>46255</v>
      </c>
      <c r="AG101" s="23"/>
      <c r="AH101" s="27"/>
      <c r="AI101" s="24"/>
      <c r="AJ101" s="28"/>
      <c r="AK101" s="28"/>
      <c r="AL101" s="18" t="s">
        <v>345</v>
      </c>
      <c r="AM101" s="18" t="s">
        <v>345</v>
      </c>
      <c r="AN101" s="18" t="s">
        <v>345</v>
      </c>
      <c r="AO101" s="18"/>
      <c r="AP101" s="24" t="s">
        <v>355</v>
      </c>
      <c r="AQ101" s="18" t="s">
        <v>345</v>
      </c>
      <c r="AR101" s="18" t="s">
        <v>345</v>
      </c>
      <c r="AS101" s="28"/>
      <c r="AT101" s="28"/>
      <c r="AU101" s="18" t="s">
        <v>345</v>
      </c>
      <c r="AV101" s="18" t="s">
        <v>345</v>
      </c>
      <c r="AW101" s="18" t="s">
        <v>345</v>
      </c>
      <c r="AX101" s="32"/>
      <c r="AY101" s="18" t="s">
        <v>345</v>
      </c>
      <c r="AZ101" s="18" t="s">
        <v>345</v>
      </c>
      <c r="BA101" s="35" t="s">
        <v>358</v>
      </c>
      <c r="BB101" s="36" t="s">
        <v>359</v>
      </c>
      <c r="BC101" s="112"/>
    </row>
    <row r="102" spans="1:55" ht="63.75" customHeight="1" x14ac:dyDescent="0.25">
      <c r="A102" s="15">
        <v>98</v>
      </c>
      <c r="B102" s="15"/>
      <c r="C102" s="15" t="s">
        <v>775</v>
      </c>
      <c r="D102" s="15" t="s">
        <v>611</v>
      </c>
      <c r="E102" s="15" t="s">
        <v>811</v>
      </c>
      <c r="F102" s="16" t="s">
        <v>125</v>
      </c>
      <c r="G102" s="17">
        <v>0</v>
      </c>
      <c r="H102" s="18" t="s">
        <v>812</v>
      </c>
      <c r="I102" s="18"/>
      <c r="J102" s="18" t="s">
        <v>387</v>
      </c>
      <c r="K102" s="19">
        <v>2.5</v>
      </c>
      <c r="L102" s="20">
        <v>20</v>
      </c>
      <c r="M102" s="21">
        <v>0</v>
      </c>
      <c r="N102" s="22"/>
      <c r="O102" s="18" t="s">
        <v>349</v>
      </c>
      <c r="P102" s="18" t="s">
        <v>574</v>
      </c>
      <c r="Q102" s="18" t="s">
        <v>769</v>
      </c>
      <c r="R102" s="18" t="s">
        <v>813</v>
      </c>
      <c r="S102" s="18"/>
      <c r="T102" s="22"/>
      <c r="U102" s="23"/>
      <c r="V102" s="22"/>
      <c r="W102" s="23"/>
      <c r="X102" s="24" t="s">
        <v>352</v>
      </c>
      <c r="Y102" s="18"/>
      <c r="Z102" s="18" t="s">
        <v>814</v>
      </c>
      <c r="AA102" s="25">
        <v>46253</v>
      </c>
      <c r="AB102" s="25">
        <v>46258</v>
      </c>
      <c r="AC102" s="26">
        <v>46253</v>
      </c>
      <c r="AD102" s="26">
        <v>46258</v>
      </c>
      <c r="AE102" s="23">
        <v>46268</v>
      </c>
      <c r="AF102" s="23">
        <v>46273</v>
      </c>
      <c r="AG102" s="23"/>
      <c r="AH102" s="27"/>
      <c r="AI102" s="24"/>
      <c r="AJ102" s="28"/>
      <c r="AK102" s="28"/>
      <c r="AL102" s="18" t="s">
        <v>345</v>
      </c>
      <c r="AM102" s="18" t="s">
        <v>345</v>
      </c>
      <c r="AN102" s="18" t="s">
        <v>345</v>
      </c>
      <c r="AO102" s="18"/>
      <c r="AP102" s="24" t="s">
        <v>355</v>
      </c>
      <c r="AQ102" s="18" t="s">
        <v>345</v>
      </c>
      <c r="AR102" s="18" t="s">
        <v>345</v>
      </c>
      <c r="AS102" s="28"/>
      <c r="AT102" s="28"/>
      <c r="AU102" s="18" t="s">
        <v>345</v>
      </c>
      <c r="AV102" s="18" t="s">
        <v>345</v>
      </c>
      <c r="AW102" s="18" t="s">
        <v>345</v>
      </c>
      <c r="AX102" s="32"/>
      <c r="AY102" s="18" t="s">
        <v>345</v>
      </c>
      <c r="AZ102" s="18" t="s">
        <v>345</v>
      </c>
      <c r="BA102" s="35" t="s">
        <v>358</v>
      </c>
      <c r="BB102" s="36" t="s">
        <v>359</v>
      </c>
      <c r="BC102" s="112"/>
    </row>
    <row r="103" spans="1:55" ht="76.5" customHeight="1" x14ac:dyDescent="0.25">
      <c r="A103" s="15">
        <v>99</v>
      </c>
      <c r="B103" s="15"/>
      <c r="C103" s="15" t="s">
        <v>775</v>
      </c>
      <c r="D103" s="15" t="s">
        <v>611</v>
      </c>
      <c r="E103" s="15" t="s">
        <v>815</v>
      </c>
      <c r="F103" s="16" t="s">
        <v>126</v>
      </c>
      <c r="G103" s="17">
        <v>0</v>
      </c>
      <c r="H103" s="18" t="s">
        <v>816</v>
      </c>
      <c r="I103" s="18"/>
      <c r="J103" s="18" t="s">
        <v>387</v>
      </c>
      <c r="K103" s="19">
        <v>0.375</v>
      </c>
      <c r="L103" s="20">
        <v>3</v>
      </c>
      <c r="M103" s="21">
        <v>0</v>
      </c>
      <c r="N103" s="22"/>
      <c r="O103" s="18" t="s">
        <v>349</v>
      </c>
      <c r="P103" s="18" t="s">
        <v>574</v>
      </c>
      <c r="Q103" s="18" t="s">
        <v>817</v>
      </c>
      <c r="R103" s="18" t="s">
        <v>818</v>
      </c>
      <c r="S103" s="18"/>
      <c r="T103" s="22"/>
      <c r="U103" s="23"/>
      <c r="V103" s="22"/>
      <c r="W103" s="23"/>
      <c r="X103" s="24" t="s">
        <v>352</v>
      </c>
      <c r="Y103" s="18"/>
      <c r="Z103" s="18" t="s">
        <v>819</v>
      </c>
      <c r="AA103" s="25">
        <v>46258</v>
      </c>
      <c r="AB103" s="25">
        <v>46261</v>
      </c>
      <c r="AC103" s="26">
        <v>46258</v>
      </c>
      <c r="AD103" s="26">
        <v>46261</v>
      </c>
      <c r="AE103" s="23">
        <v>46271</v>
      </c>
      <c r="AF103" s="23">
        <v>46276</v>
      </c>
      <c r="AG103" s="23"/>
      <c r="AH103" s="27"/>
      <c r="AI103" s="24"/>
      <c r="AJ103" s="28"/>
      <c r="AK103" s="28"/>
      <c r="AL103" s="18" t="s">
        <v>345</v>
      </c>
      <c r="AM103" s="18" t="s">
        <v>345</v>
      </c>
      <c r="AN103" s="18" t="s">
        <v>345</v>
      </c>
      <c r="AO103" s="18"/>
      <c r="AP103" s="24" t="s">
        <v>355</v>
      </c>
      <c r="AQ103" s="18" t="s">
        <v>345</v>
      </c>
      <c r="AR103" s="18" t="s">
        <v>345</v>
      </c>
      <c r="AS103" s="28"/>
      <c r="AT103" s="28"/>
      <c r="AU103" s="18" t="s">
        <v>345</v>
      </c>
      <c r="AV103" s="18" t="s">
        <v>345</v>
      </c>
      <c r="AW103" s="18" t="s">
        <v>345</v>
      </c>
      <c r="AX103" s="32"/>
      <c r="AY103" s="18" t="s">
        <v>345</v>
      </c>
      <c r="AZ103" s="18" t="s">
        <v>345</v>
      </c>
      <c r="BA103" s="35" t="s">
        <v>358</v>
      </c>
      <c r="BB103" s="36" t="s">
        <v>359</v>
      </c>
      <c r="BC103" s="112"/>
    </row>
    <row r="104" spans="1:55" ht="76.5" customHeight="1" x14ac:dyDescent="0.25">
      <c r="A104" s="15">
        <v>100</v>
      </c>
      <c r="B104" s="15"/>
      <c r="C104" s="15" t="s">
        <v>820</v>
      </c>
      <c r="D104" s="15" t="s">
        <v>821</v>
      </c>
      <c r="E104" s="15" t="s">
        <v>822</v>
      </c>
      <c r="F104" s="16" t="s">
        <v>129</v>
      </c>
      <c r="G104" s="17">
        <v>1</v>
      </c>
      <c r="H104" s="18" t="s">
        <v>823</v>
      </c>
      <c r="I104" s="18" t="s">
        <v>824</v>
      </c>
      <c r="J104" s="18" t="s">
        <v>387</v>
      </c>
      <c r="K104" s="19">
        <v>0.75</v>
      </c>
      <c r="L104" s="20">
        <v>6</v>
      </c>
      <c r="M104" s="21">
        <v>1</v>
      </c>
      <c r="N104" s="22" t="s">
        <v>573</v>
      </c>
      <c r="O104" s="18" t="s">
        <v>349</v>
      </c>
      <c r="P104" s="18" t="s">
        <v>574</v>
      </c>
      <c r="Q104" s="18" t="s">
        <v>825</v>
      </c>
      <c r="R104" s="18"/>
      <c r="S104" s="18"/>
      <c r="T104" s="22" t="s">
        <v>826</v>
      </c>
      <c r="U104" s="23">
        <v>46204.700379363429</v>
      </c>
      <c r="V104" s="22" t="s">
        <v>419</v>
      </c>
      <c r="W104" s="23">
        <v>46205.485891585653</v>
      </c>
      <c r="X104" s="24" t="s">
        <v>352</v>
      </c>
      <c r="Y104" s="18"/>
      <c r="Z104" s="18" t="s">
        <v>827</v>
      </c>
      <c r="AA104" s="25">
        <v>46182</v>
      </c>
      <c r="AB104" s="25">
        <v>46192</v>
      </c>
      <c r="AC104" s="26"/>
      <c r="AD104" s="26">
        <v>46204.700379363429</v>
      </c>
      <c r="AE104" s="23">
        <v>46204.700379363429</v>
      </c>
      <c r="AF104" s="23">
        <v>46204.700379363429</v>
      </c>
      <c r="AG104" s="23"/>
      <c r="AH104" s="27"/>
      <c r="AI104" s="24"/>
      <c r="AJ104" s="28"/>
      <c r="AK104" s="28">
        <v>0</v>
      </c>
      <c r="AL104" s="18" t="s">
        <v>345</v>
      </c>
      <c r="AM104" s="18" t="s">
        <v>345</v>
      </c>
      <c r="AN104" s="18" t="s">
        <v>345</v>
      </c>
      <c r="AO104" s="18" t="s">
        <v>354</v>
      </c>
      <c r="AP104" s="24" t="s">
        <v>355</v>
      </c>
      <c r="AQ104" s="18" t="s">
        <v>345</v>
      </c>
      <c r="AR104" s="18" t="s">
        <v>345</v>
      </c>
      <c r="AS104" s="28"/>
      <c r="AT104" s="28"/>
      <c r="AU104" s="18" t="s">
        <v>345</v>
      </c>
      <c r="AV104" s="18" t="s">
        <v>345</v>
      </c>
      <c r="AW104" s="18" t="s">
        <v>345</v>
      </c>
      <c r="AX104" s="32" t="s">
        <v>545</v>
      </c>
      <c r="AY104" s="18" t="s">
        <v>345</v>
      </c>
      <c r="AZ104" s="18" t="s">
        <v>345</v>
      </c>
      <c r="BA104" s="35" t="s">
        <v>358</v>
      </c>
      <c r="BB104" s="36" t="s">
        <v>359</v>
      </c>
      <c r="BC104" s="111">
        <v>46206</v>
      </c>
    </row>
    <row r="105" spans="1:55" ht="63.75" customHeight="1" x14ac:dyDescent="0.25">
      <c r="A105" s="15">
        <v>101</v>
      </c>
      <c r="B105" s="15"/>
      <c r="C105" s="15" t="s">
        <v>828</v>
      </c>
      <c r="D105" s="15" t="s">
        <v>829</v>
      </c>
      <c r="E105" s="15" t="s">
        <v>830</v>
      </c>
      <c r="F105" s="16" t="s">
        <v>130</v>
      </c>
      <c r="G105" s="17">
        <v>0</v>
      </c>
      <c r="H105" s="18" t="s">
        <v>831</v>
      </c>
      <c r="I105" s="18"/>
      <c r="J105" s="18" t="s">
        <v>610</v>
      </c>
      <c r="K105" s="19"/>
      <c r="L105" s="20"/>
      <c r="M105" s="21">
        <v>0</v>
      </c>
      <c r="N105" s="22"/>
      <c r="O105" s="18" t="s">
        <v>349</v>
      </c>
      <c r="P105" s="18" t="s">
        <v>574</v>
      </c>
      <c r="Q105" s="18" t="s">
        <v>832</v>
      </c>
      <c r="R105" s="18"/>
      <c r="S105" s="18"/>
      <c r="T105" s="22"/>
      <c r="U105" s="23"/>
      <c r="V105" s="22"/>
      <c r="W105" s="23"/>
      <c r="X105" s="24" t="s">
        <v>374</v>
      </c>
      <c r="Y105" s="18"/>
      <c r="Z105" s="18"/>
      <c r="AA105" s="25"/>
      <c r="AB105" s="25"/>
      <c r="AC105" s="26">
        <v>46230</v>
      </c>
      <c r="AD105" s="26">
        <v>46230</v>
      </c>
      <c r="AE105" s="23">
        <v>46240</v>
      </c>
      <c r="AF105" s="23">
        <v>46245</v>
      </c>
      <c r="AG105" s="23"/>
      <c r="AH105" s="27">
        <v>0</v>
      </c>
      <c r="AI105" s="24"/>
      <c r="AJ105" s="28"/>
      <c r="AK105" s="28">
        <v>0</v>
      </c>
      <c r="AL105" s="18" t="s">
        <v>345</v>
      </c>
      <c r="AM105" s="18" t="s">
        <v>345</v>
      </c>
      <c r="AN105" s="18" t="s">
        <v>345</v>
      </c>
      <c r="AO105" s="18"/>
      <c r="AP105" s="24" t="s">
        <v>355</v>
      </c>
      <c r="AQ105" s="18" t="s">
        <v>345</v>
      </c>
      <c r="AR105" s="18" t="s">
        <v>345</v>
      </c>
      <c r="AS105" s="28"/>
      <c r="AT105" s="28"/>
      <c r="AU105" s="18" t="s">
        <v>345</v>
      </c>
      <c r="AV105" s="18" t="s">
        <v>345</v>
      </c>
      <c r="AW105" s="18" t="s">
        <v>345</v>
      </c>
      <c r="AX105" s="32"/>
      <c r="AY105" s="18" t="s">
        <v>345</v>
      </c>
      <c r="AZ105" s="18" t="s">
        <v>345</v>
      </c>
      <c r="BA105" s="35" t="s">
        <v>610</v>
      </c>
      <c r="BB105" s="36" t="s">
        <v>359</v>
      </c>
      <c r="BC105" s="112"/>
    </row>
    <row r="106" spans="1:55" ht="63.75" customHeight="1" x14ac:dyDescent="0.25">
      <c r="A106" s="15">
        <v>102</v>
      </c>
      <c r="B106" s="15"/>
      <c r="C106" s="15" t="s">
        <v>828</v>
      </c>
      <c r="D106" s="15" t="s">
        <v>620</v>
      </c>
      <c r="E106" s="15" t="s">
        <v>833</v>
      </c>
      <c r="F106" s="16" t="s">
        <v>131</v>
      </c>
      <c r="G106" s="17">
        <v>0</v>
      </c>
      <c r="H106" s="18" t="s">
        <v>834</v>
      </c>
      <c r="I106" s="18" t="s">
        <v>359</v>
      </c>
      <c r="J106" s="18" t="s">
        <v>387</v>
      </c>
      <c r="K106" s="19">
        <v>3</v>
      </c>
      <c r="L106" s="20">
        <v>24</v>
      </c>
      <c r="M106" s="21">
        <v>0.9</v>
      </c>
      <c r="N106" s="22" t="s">
        <v>835</v>
      </c>
      <c r="O106" s="18" t="s">
        <v>349</v>
      </c>
      <c r="P106" s="18" t="s">
        <v>574</v>
      </c>
      <c r="Q106" s="18" t="s">
        <v>836</v>
      </c>
      <c r="R106" s="18"/>
      <c r="S106" s="18"/>
      <c r="T106" s="22" t="s">
        <v>837</v>
      </c>
      <c r="U106" s="23">
        <v>46193.521099305559</v>
      </c>
      <c r="V106" s="22" t="s">
        <v>742</v>
      </c>
      <c r="W106" s="23">
        <v>46204.477128668979</v>
      </c>
      <c r="X106" s="24" t="s">
        <v>352</v>
      </c>
      <c r="Y106" s="18"/>
      <c r="Z106" s="18" t="s">
        <v>838</v>
      </c>
      <c r="AA106" s="25">
        <v>46171</v>
      </c>
      <c r="AB106" s="25">
        <v>46192</v>
      </c>
      <c r="AC106" s="26">
        <v>46171</v>
      </c>
      <c r="AD106" s="26">
        <v>46193.521099305559</v>
      </c>
      <c r="AE106" s="23">
        <v>46193.521099305559</v>
      </c>
      <c r="AF106" s="23">
        <v>46193.521099305559</v>
      </c>
      <c r="AG106" s="23">
        <v>46191</v>
      </c>
      <c r="AH106" s="27">
        <v>0</v>
      </c>
      <c r="AI106" s="24"/>
      <c r="AJ106" s="28"/>
      <c r="AK106" s="28">
        <v>0</v>
      </c>
      <c r="AL106" s="18" t="s">
        <v>345</v>
      </c>
      <c r="AM106" s="18" t="s">
        <v>345</v>
      </c>
      <c r="AN106" s="18" t="s">
        <v>345</v>
      </c>
      <c r="AO106" s="18" t="s">
        <v>354</v>
      </c>
      <c r="AP106" s="24" t="s">
        <v>355</v>
      </c>
      <c r="AQ106" s="18" t="s">
        <v>345</v>
      </c>
      <c r="AR106" s="18" t="s">
        <v>345</v>
      </c>
      <c r="AS106" s="28"/>
      <c r="AT106" s="28" t="s">
        <v>839</v>
      </c>
      <c r="AU106" s="18" t="s">
        <v>345</v>
      </c>
      <c r="AV106" s="18" t="s">
        <v>345</v>
      </c>
      <c r="AW106" s="18" t="s">
        <v>345</v>
      </c>
      <c r="AX106" s="32"/>
      <c r="AY106" s="18" t="s">
        <v>345</v>
      </c>
      <c r="AZ106" s="18" t="s">
        <v>345</v>
      </c>
      <c r="BA106" s="35" t="s">
        <v>358</v>
      </c>
      <c r="BB106" s="36" t="s">
        <v>359</v>
      </c>
      <c r="BC106" s="112"/>
    </row>
    <row r="107" spans="1:55" ht="63.75" customHeight="1" x14ac:dyDescent="0.25">
      <c r="A107" s="15">
        <v>103</v>
      </c>
      <c r="B107" s="15"/>
      <c r="C107" s="15" t="s">
        <v>828</v>
      </c>
      <c r="D107" s="15" t="s">
        <v>620</v>
      </c>
      <c r="E107" s="15" t="s">
        <v>840</v>
      </c>
      <c r="F107" s="16" t="s">
        <v>132</v>
      </c>
      <c r="G107" s="17">
        <v>0</v>
      </c>
      <c r="H107" s="18" t="s">
        <v>841</v>
      </c>
      <c r="I107" s="18" t="s">
        <v>842</v>
      </c>
      <c r="J107" s="18" t="s">
        <v>387</v>
      </c>
      <c r="K107" s="19">
        <v>1.5</v>
      </c>
      <c r="L107" s="20">
        <v>12</v>
      </c>
      <c r="M107" s="21">
        <v>0</v>
      </c>
      <c r="N107" s="22" t="s">
        <v>469</v>
      </c>
      <c r="O107" s="18" t="s">
        <v>349</v>
      </c>
      <c r="P107" s="18" t="s">
        <v>574</v>
      </c>
      <c r="Q107" s="18" t="s">
        <v>843</v>
      </c>
      <c r="R107" s="18"/>
      <c r="S107" s="18"/>
      <c r="T107" s="22"/>
      <c r="U107" s="23"/>
      <c r="V107" s="22"/>
      <c r="W107" s="23"/>
      <c r="X107" s="24" t="s">
        <v>352</v>
      </c>
      <c r="Y107" s="18"/>
      <c r="Z107" s="18" t="s">
        <v>844</v>
      </c>
      <c r="AA107" s="25">
        <v>46267</v>
      </c>
      <c r="AB107" s="25">
        <v>46275</v>
      </c>
      <c r="AC107" s="26">
        <v>46267</v>
      </c>
      <c r="AD107" s="26">
        <v>46275</v>
      </c>
      <c r="AE107" s="23">
        <v>46285</v>
      </c>
      <c r="AF107" s="23">
        <v>46290</v>
      </c>
      <c r="AG107" s="23"/>
      <c r="AH107" s="27">
        <v>0</v>
      </c>
      <c r="AI107" s="24"/>
      <c r="AJ107" s="28"/>
      <c r="AK107" s="28">
        <v>0</v>
      </c>
      <c r="AL107" s="18" t="s">
        <v>345</v>
      </c>
      <c r="AM107" s="18" t="s">
        <v>345</v>
      </c>
      <c r="AN107" s="18" t="s">
        <v>345</v>
      </c>
      <c r="AO107" s="18" t="s">
        <v>354</v>
      </c>
      <c r="AP107" s="24" t="s">
        <v>355</v>
      </c>
      <c r="AQ107" s="18" t="s">
        <v>345</v>
      </c>
      <c r="AR107" s="18" t="s">
        <v>345</v>
      </c>
      <c r="AS107" s="28"/>
      <c r="AT107" s="28"/>
      <c r="AU107" s="18" t="s">
        <v>345</v>
      </c>
      <c r="AV107" s="18" t="s">
        <v>345</v>
      </c>
      <c r="AW107" s="18" t="s">
        <v>345</v>
      </c>
      <c r="AX107" s="32"/>
      <c r="AY107" s="18" t="s">
        <v>345</v>
      </c>
      <c r="AZ107" s="18" t="s">
        <v>345</v>
      </c>
      <c r="BA107" s="35" t="s">
        <v>358</v>
      </c>
      <c r="BB107" s="36" t="s">
        <v>359</v>
      </c>
      <c r="BC107" s="112"/>
    </row>
    <row r="108" spans="1:55" ht="63.75" customHeight="1" x14ac:dyDescent="0.25">
      <c r="A108" s="15">
        <v>104</v>
      </c>
      <c r="B108" s="15"/>
      <c r="C108" s="15" t="s">
        <v>828</v>
      </c>
      <c r="D108" s="15" t="s">
        <v>620</v>
      </c>
      <c r="E108" s="15" t="s">
        <v>845</v>
      </c>
      <c r="F108" s="16" t="s">
        <v>133</v>
      </c>
      <c r="G108" s="17">
        <v>1</v>
      </c>
      <c r="H108" s="18" t="s">
        <v>846</v>
      </c>
      <c r="I108" s="18" t="s">
        <v>824</v>
      </c>
      <c r="J108" s="18" t="s">
        <v>387</v>
      </c>
      <c r="K108" s="19">
        <v>1.125</v>
      </c>
      <c r="L108" s="20">
        <v>9</v>
      </c>
      <c r="M108" s="21">
        <v>1</v>
      </c>
      <c r="N108" s="22" t="s">
        <v>573</v>
      </c>
      <c r="O108" s="18" t="s">
        <v>349</v>
      </c>
      <c r="P108" s="18" t="s">
        <v>574</v>
      </c>
      <c r="Q108" s="18" t="s">
        <v>847</v>
      </c>
      <c r="R108" s="18"/>
      <c r="S108" s="18"/>
      <c r="T108" s="22" t="s">
        <v>848</v>
      </c>
      <c r="U108" s="23">
        <v>46212.676366701387</v>
      </c>
      <c r="V108" s="22" t="s">
        <v>419</v>
      </c>
      <c r="W108" s="23">
        <v>46213.699135034723</v>
      </c>
      <c r="X108" s="24" t="s">
        <v>374</v>
      </c>
      <c r="Y108" s="18"/>
      <c r="Z108" s="18"/>
      <c r="AA108" s="25">
        <v>46171</v>
      </c>
      <c r="AB108" s="25">
        <v>46192</v>
      </c>
      <c r="AC108" s="26"/>
      <c r="AD108" s="26">
        <v>46212.676366701387</v>
      </c>
      <c r="AE108" s="23">
        <v>46212.676366701387</v>
      </c>
      <c r="AF108" s="23">
        <v>46212.676366701387</v>
      </c>
      <c r="AG108" s="23">
        <v>46191</v>
      </c>
      <c r="AH108" s="27">
        <v>0</v>
      </c>
      <c r="AI108" s="24"/>
      <c r="AJ108" s="28"/>
      <c r="AK108" s="28">
        <v>0</v>
      </c>
      <c r="AL108" s="18" t="s">
        <v>345</v>
      </c>
      <c r="AM108" s="18" t="s">
        <v>345</v>
      </c>
      <c r="AN108" s="18" t="s">
        <v>345</v>
      </c>
      <c r="AO108" s="18" t="s">
        <v>354</v>
      </c>
      <c r="AP108" s="24" t="s">
        <v>355</v>
      </c>
      <c r="AQ108" s="18" t="s">
        <v>345</v>
      </c>
      <c r="AR108" s="18" t="s">
        <v>345</v>
      </c>
      <c r="AS108" s="28"/>
      <c r="AT108" s="28" t="s">
        <v>676</v>
      </c>
      <c r="AU108" s="18" t="s">
        <v>345</v>
      </c>
      <c r="AV108" s="18" t="s">
        <v>345</v>
      </c>
      <c r="AW108" s="18" t="s">
        <v>345</v>
      </c>
      <c r="AX108" s="32"/>
      <c r="AY108" s="18" t="s">
        <v>345</v>
      </c>
      <c r="AZ108" s="18" t="s">
        <v>345</v>
      </c>
      <c r="BA108" s="35" t="s">
        <v>358</v>
      </c>
      <c r="BB108" s="36" t="s">
        <v>359</v>
      </c>
      <c r="BC108" s="112"/>
    </row>
    <row r="109" spans="1:55" ht="76.5" customHeight="1" x14ac:dyDescent="0.25">
      <c r="A109" s="15">
        <v>105</v>
      </c>
      <c r="B109" s="15"/>
      <c r="C109" s="15" t="s">
        <v>849</v>
      </c>
      <c r="D109" s="15" t="s">
        <v>850</v>
      </c>
      <c r="E109" s="15" t="s">
        <v>851</v>
      </c>
      <c r="F109" s="16" t="s">
        <v>134</v>
      </c>
      <c r="G109" s="17">
        <v>0</v>
      </c>
      <c r="H109" s="18" t="s">
        <v>852</v>
      </c>
      <c r="I109" s="18" t="s">
        <v>359</v>
      </c>
      <c r="J109" s="18" t="s">
        <v>853</v>
      </c>
      <c r="K109" s="19">
        <v>2</v>
      </c>
      <c r="L109" s="20">
        <v>1</v>
      </c>
      <c r="M109" s="21">
        <v>0.9</v>
      </c>
      <c r="N109" s="22" t="s">
        <v>469</v>
      </c>
      <c r="O109" s="18" t="s">
        <v>349</v>
      </c>
      <c r="P109" s="18" t="s">
        <v>854</v>
      </c>
      <c r="Q109" s="18" t="s">
        <v>855</v>
      </c>
      <c r="R109" s="18"/>
      <c r="S109" s="18"/>
      <c r="T109" s="22" t="s">
        <v>856</v>
      </c>
      <c r="U109" s="23">
        <v>46199.69948116898</v>
      </c>
      <c r="V109" s="22" t="s">
        <v>742</v>
      </c>
      <c r="W109" s="23">
        <v>46204.64638903935</v>
      </c>
      <c r="X109" s="24" t="s">
        <v>352</v>
      </c>
      <c r="Y109" s="18"/>
      <c r="Z109" s="18" t="s">
        <v>857</v>
      </c>
      <c r="AA109" s="25">
        <v>46192</v>
      </c>
      <c r="AB109" s="25">
        <v>46199</v>
      </c>
      <c r="AC109" s="26">
        <v>46192</v>
      </c>
      <c r="AD109" s="26">
        <v>46199.69948116898</v>
      </c>
      <c r="AE109" s="23">
        <v>46209.69948116898</v>
      </c>
      <c r="AF109" s="23">
        <v>46214.69948116898</v>
      </c>
      <c r="AG109" s="23">
        <v>46188</v>
      </c>
      <c r="AH109" s="27">
        <v>0</v>
      </c>
      <c r="AI109" s="24"/>
      <c r="AJ109" s="28"/>
      <c r="AK109" s="28">
        <v>0</v>
      </c>
      <c r="AL109" s="18" t="s">
        <v>345</v>
      </c>
      <c r="AM109" s="18" t="s">
        <v>345</v>
      </c>
      <c r="AN109" s="18" t="s">
        <v>345</v>
      </c>
      <c r="AO109" s="18" t="s">
        <v>354</v>
      </c>
      <c r="AP109" s="24" t="s">
        <v>355</v>
      </c>
      <c r="AQ109" s="18" t="s">
        <v>345</v>
      </c>
      <c r="AR109" s="18" t="s">
        <v>345</v>
      </c>
      <c r="AS109" s="28"/>
      <c r="AT109" s="28" t="s">
        <v>858</v>
      </c>
      <c r="AU109" s="18" t="s">
        <v>345</v>
      </c>
      <c r="AV109" s="18" t="s">
        <v>345</v>
      </c>
      <c r="AW109" s="18" t="s">
        <v>345</v>
      </c>
      <c r="AX109" s="32"/>
      <c r="AY109" s="18" t="s">
        <v>345</v>
      </c>
      <c r="AZ109" s="18" t="s">
        <v>345</v>
      </c>
      <c r="BA109" s="35" t="s">
        <v>358</v>
      </c>
      <c r="BB109" s="36" t="s">
        <v>359</v>
      </c>
      <c r="BC109" s="111">
        <v>46212</v>
      </c>
    </row>
    <row r="110" spans="1:55" ht="63.75" customHeight="1" x14ac:dyDescent="0.25">
      <c r="A110" s="15">
        <v>106</v>
      </c>
      <c r="B110" s="15"/>
      <c r="C110" s="15" t="s">
        <v>849</v>
      </c>
      <c r="D110" s="15" t="s">
        <v>850</v>
      </c>
      <c r="E110" s="15" t="s">
        <v>859</v>
      </c>
      <c r="F110" s="16" t="s">
        <v>135</v>
      </c>
      <c r="G110" s="17">
        <v>0</v>
      </c>
      <c r="H110" s="18" t="s">
        <v>860</v>
      </c>
      <c r="I110" s="18" t="s">
        <v>359</v>
      </c>
      <c r="J110" s="18" t="s">
        <v>348</v>
      </c>
      <c r="K110" s="19">
        <v>1</v>
      </c>
      <c r="L110" s="20">
        <v>1</v>
      </c>
      <c r="M110" s="21">
        <v>0.8</v>
      </c>
      <c r="N110" s="22" t="s">
        <v>469</v>
      </c>
      <c r="O110" s="18" t="s">
        <v>349</v>
      </c>
      <c r="P110" s="18" t="s">
        <v>861</v>
      </c>
      <c r="Q110" s="18" t="s">
        <v>862</v>
      </c>
      <c r="R110" s="18"/>
      <c r="S110" s="18"/>
      <c r="T110" s="22" t="s">
        <v>863</v>
      </c>
      <c r="U110" s="23">
        <v>46209.706576273151</v>
      </c>
      <c r="V110" s="22"/>
      <c r="W110" s="23"/>
      <c r="X110" s="24" t="s">
        <v>352</v>
      </c>
      <c r="Y110" s="18"/>
      <c r="Z110" s="18" t="s">
        <v>864</v>
      </c>
      <c r="AA110" s="25">
        <v>46199</v>
      </c>
      <c r="AB110" s="25">
        <v>46206</v>
      </c>
      <c r="AC110" s="26">
        <v>46199</v>
      </c>
      <c r="AD110" s="26">
        <v>46209.706576273151</v>
      </c>
      <c r="AE110" s="23">
        <v>46219.706576273151</v>
      </c>
      <c r="AF110" s="23">
        <v>46224.706576273151</v>
      </c>
      <c r="AG110" s="23">
        <v>46191</v>
      </c>
      <c r="AH110" s="27">
        <v>0</v>
      </c>
      <c r="AI110" s="24"/>
      <c r="AJ110" s="28"/>
      <c r="AK110" s="28">
        <v>0</v>
      </c>
      <c r="AL110" s="18" t="s">
        <v>345</v>
      </c>
      <c r="AM110" s="18" t="s">
        <v>345</v>
      </c>
      <c r="AN110" s="18" t="s">
        <v>345</v>
      </c>
      <c r="AO110" s="18" t="s">
        <v>354</v>
      </c>
      <c r="AP110" s="24" t="s">
        <v>355</v>
      </c>
      <c r="AQ110" s="18" t="s">
        <v>345</v>
      </c>
      <c r="AR110" s="18" t="s">
        <v>345</v>
      </c>
      <c r="AS110" s="28"/>
      <c r="AT110" s="28" t="s">
        <v>676</v>
      </c>
      <c r="AU110" s="18" t="s">
        <v>345</v>
      </c>
      <c r="AV110" s="18" t="s">
        <v>345</v>
      </c>
      <c r="AW110" s="18" t="s">
        <v>345</v>
      </c>
      <c r="AX110" s="32"/>
      <c r="AY110" s="18" t="s">
        <v>345</v>
      </c>
      <c r="AZ110" s="18" t="s">
        <v>345</v>
      </c>
      <c r="BA110" s="35" t="s">
        <v>358</v>
      </c>
      <c r="BB110" s="36" t="s">
        <v>359</v>
      </c>
      <c r="BC110" s="112"/>
    </row>
    <row r="111" spans="1:55" ht="63.75" customHeight="1" x14ac:dyDescent="0.25">
      <c r="A111" s="15">
        <v>107</v>
      </c>
      <c r="B111" s="15"/>
      <c r="C111" s="15" t="s">
        <v>849</v>
      </c>
      <c r="D111" s="15" t="s">
        <v>850</v>
      </c>
      <c r="E111" s="15" t="s">
        <v>865</v>
      </c>
      <c r="F111" s="16" t="s">
        <v>136</v>
      </c>
      <c r="G111" s="17">
        <v>0</v>
      </c>
      <c r="H111" s="18" t="s">
        <v>866</v>
      </c>
      <c r="I111" s="18" t="s">
        <v>359</v>
      </c>
      <c r="J111" s="18" t="s">
        <v>348</v>
      </c>
      <c r="K111" s="19">
        <v>1</v>
      </c>
      <c r="L111" s="20">
        <v>1</v>
      </c>
      <c r="M111" s="21">
        <v>0.9</v>
      </c>
      <c r="N111" s="22" t="s">
        <v>469</v>
      </c>
      <c r="O111" s="18" t="s">
        <v>349</v>
      </c>
      <c r="P111" s="18" t="s">
        <v>861</v>
      </c>
      <c r="Q111" s="18" t="s">
        <v>862</v>
      </c>
      <c r="R111" s="18" t="s">
        <v>867</v>
      </c>
      <c r="S111" s="18"/>
      <c r="T111" s="22" t="s">
        <v>868</v>
      </c>
      <c r="U111" s="23">
        <v>46212.676169131948</v>
      </c>
      <c r="V111" s="22" t="s">
        <v>742</v>
      </c>
      <c r="W111" s="23">
        <v>46213.653990243052</v>
      </c>
      <c r="X111" s="24" t="s">
        <v>352</v>
      </c>
      <c r="Y111" s="18"/>
      <c r="Z111" s="18" t="s">
        <v>869</v>
      </c>
      <c r="AA111" s="25">
        <v>46206</v>
      </c>
      <c r="AB111" s="25">
        <v>46213</v>
      </c>
      <c r="AC111" s="26">
        <v>46206</v>
      </c>
      <c r="AD111" s="26">
        <v>46212.676169131948</v>
      </c>
      <c r="AE111" s="23">
        <v>46222.676169131948</v>
      </c>
      <c r="AF111" s="23">
        <v>46227.676169131948</v>
      </c>
      <c r="AG111" s="23">
        <v>46191</v>
      </c>
      <c r="AH111" s="27">
        <v>0</v>
      </c>
      <c r="AI111" s="24"/>
      <c r="AJ111" s="28"/>
      <c r="AK111" s="28">
        <v>0</v>
      </c>
      <c r="AL111" s="18" t="s">
        <v>345</v>
      </c>
      <c r="AM111" s="18" t="s">
        <v>345</v>
      </c>
      <c r="AN111" s="18" t="s">
        <v>345</v>
      </c>
      <c r="AO111" s="18" t="s">
        <v>354</v>
      </c>
      <c r="AP111" s="24" t="s">
        <v>355</v>
      </c>
      <c r="AQ111" s="18" t="s">
        <v>345</v>
      </c>
      <c r="AR111" s="18" t="s">
        <v>345</v>
      </c>
      <c r="AS111" s="28"/>
      <c r="AT111" s="28" t="s">
        <v>485</v>
      </c>
      <c r="AU111" s="18" t="s">
        <v>345</v>
      </c>
      <c r="AV111" s="18" t="s">
        <v>345</v>
      </c>
      <c r="AW111" s="18" t="s">
        <v>345</v>
      </c>
      <c r="AX111" s="32"/>
      <c r="AY111" s="18" t="s">
        <v>345</v>
      </c>
      <c r="AZ111" s="18" t="s">
        <v>345</v>
      </c>
      <c r="BA111" s="35" t="s">
        <v>358</v>
      </c>
      <c r="BB111" s="36" t="s">
        <v>359</v>
      </c>
      <c r="BC111" s="111">
        <v>46216</v>
      </c>
    </row>
    <row r="112" spans="1:55" ht="63.75" customHeight="1" x14ac:dyDescent="0.25">
      <c r="A112" s="15">
        <v>108</v>
      </c>
      <c r="B112" s="15"/>
      <c r="C112" s="15" t="s">
        <v>849</v>
      </c>
      <c r="D112" s="15" t="s">
        <v>850</v>
      </c>
      <c r="E112" s="15" t="s">
        <v>870</v>
      </c>
      <c r="F112" s="16" t="s">
        <v>137</v>
      </c>
      <c r="G112" s="17">
        <v>0</v>
      </c>
      <c r="H112" s="18" t="s">
        <v>871</v>
      </c>
      <c r="I112" s="18"/>
      <c r="J112" s="18" t="s">
        <v>348</v>
      </c>
      <c r="K112" s="19">
        <v>1</v>
      </c>
      <c r="L112" s="20">
        <v>1</v>
      </c>
      <c r="M112" s="21">
        <v>0.2</v>
      </c>
      <c r="N112" s="22"/>
      <c r="O112" s="18" t="s">
        <v>349</v>
      </c>
      <c r="P112" s="18" t="s">
        <v>583</v>
      </c>
      <c r="Q112" s="18" t="s">
        <v>872</v>
      </c>
      <c r="R112" s="18"/>
      <c r="S112" s="18"/>
      <c r="T112" s="22"/>
      <c r="U112" s="23"/>
      <c r="V112" s="22"/>
      <c r="W112" s="23"/>
      <c r="X112" s="24" t="s">
        <v>352</v>
      </c>
      <c r="Y112" s="18"/>
      <c r="Z112" s="18" t="s">
        <v>873</v>
      </c>
      <c r="AA112" s="25">
        <v>46213</v>
      </c>
      <c r="AB112" s="25">
        <v>46225</v>
      </c>
      <c r="AC112" s="26">
        <v>46213</v>
      </c>
      <c r="AD112" s="26">
        <v>46225</v>
      </c>
      <c r="AE112" s="23">
        <v>46235</v>
      </c>
      <c r="AF112" s="23">
        <v>46240</v>
      </c>
      <c r="AG112" s="23">
        <v>46191</v>
      </c>
      <c r="AH112" s="27">
        <v>0</v>
      </c>
      <c r="AI112" s="24"/>
      <c r="AJ112" s="28"/>
      <c r="AK112" s="28">
        <v>0</v>
      </c>
      <c r="AL112" s="18" t="s">
        <v>345</v>
      </c>
      <c r="AM112" s="18" t="s">
        <v>345</v>
      </c>
      <c r="AN112" s="18" t="s">
        <v>345</v>
      </c>
      <c r="AO112" s="18" t="s">
        <v>354</v>
      </c>
      <c r="AP112" s="24" t="s">
        <v>355</v>
      </c>
      <c r="AQ112" s="18" t="s">
        <v>345</v>
      </c>
      <c r="AR112" s="18" t="s">
        <v>345</v>
      </c>
      <c r="AS112" s="28"/>
      <c r="AT112" s="28" t="s">
        <v>874</v>
      </c>
      <c r="AU112" s="18" t="s">
        <v>345</v>
      </c>
      <c r="AV112" s="18" t="s">
        <v>345</v>
      </c>
      <c r="AW112" s="18" t="s">
        <v>345</v>
      </c>
      <c r="AX112" s="32"/>
      <c r="AY112" s="18" t="s">
        <v>345</v>
      </c>
      <c r="AZ112" s="18" t="s">
        <v>345</v>
      </c>
      <c r="BA112" s="35" t="s">
        <v>358</v>
      </c>
      <c r="BB112" s="36" t="s">
        <v>359</v>
      </c>
      <c r="BC112" s="112"/>
    </row>
    <row r="113" spans="1:55" ht="63.75" customHeight="1" x14ac:dyDescent="0.25">
      <c r="A113" s="15">
        <v>109</v>
      </c>
      <c r="B113" s="15"/>
      <c r="C113" s="15" t="s">
        <v>849</v>
      </c>
      <c r="D113" s="15" t="s">
        <v>850</v>
      </c>
      <c r="E113" s="15" t="s">
        <v>875</v>
      </c>
      <c r="F113" s="16" t="s">
        <v>138</v>
      </c>
      <c r="G113" s="17">
        <v>0</v>
      </c>
      <c r="H113" s="18" t="s">
        <v>876</v>
      </c>
      <c r="I113" s="18"/>
      <c r="J113" s="18" t="s">
        <v>348</v>
      </c>
      <c r="K113" s="19">
        <v>1</v>
      </c>
      <c r="L113" s="20">
        <v>1</v>
      </c>
      <c r="M113" s="21">
        <v>0.2</v>
      </c>
      <c r="N113" s="22"/>
      <c r="O113" s="18" t="s">
        <v>349</v>
      </c>
      <c r="P113" s="18" t="s">
        <v>583</v>
      </c>
      <c r="Q113" s="18" t="s">
        <v>872</v>
      </c>
      <c r="R113" s="18"/>
      <c r="S113" s="18"/>
      <c r="T113" s="22"/>
      <c r="U113" s="23"/>
      <c r="V113" s="22"/>
      <c r="W113" s="23"/>
      <c r="X113" s="24" t="s">
        <v>352</v>
      </c>
      <c r="Y113" s="18"/>
      <c r="Z113" s="18" t="s">
        <v>877</v>
      </c>
      <c r="AA113" s="25">
        <v>46213</v>
      </c>
      <c r="AB113" s="25">
        <v>46225</v>
      </c>
      <c r="AC113" s="26">
        <v>46213</v>
      </c>
      <c r="AD113" s="26">
        <v>46225</v>
      </c>
      <c r="AE113" s="23">
        <v>46235</v>
      </c>
      <c r="AF113" s="23">
        <v>46240</v>
      </c>
      <c r="AG113" s="23">
        <v>46191</v>
      </c>
      <c r="AH113" s="27">
        <v>0</v>
      </c>
      <c r="AI113" s="24"/>
      <c r="AJ113" s="28"/>
      <c r="AK113" s="28">
        <v>0</v>
      </c>
      <c r="AL113" s="18" t="s">
        <v>345</v>
      </c>
      <c r="AM113" s="18" t="s">
        <v>345</v>
      </c>
      <c r="AN113" s="18" t="s">
        <v>345</v>
      </c>
      <c r="AO113" s="18" t="s">
        <v>354</v>
      </c>
      <c r="AP113" s="24" t="s">
        <v>355</v>
      </c>
      <c r="AQ113" s="18" t="s">
        <v>345</v>
      </c>
      <c r="AR113" s="18" t="s">
        <v>345</v>
      </c>
      <c r="AS113" s="28"/>
      <c r="AT113" s="28" t="s">
        <v>878</v>
      </c>
      <c r="AU113" s="18" t="s">
        <v>345</v>
      </c>
      <c r="AV113" s="18" t="s">
        <v>345</v>
      </c>
      <c r="AW113" s="18" t="s">
        <v>345</v>
      </c>
      <c r="AX113" s="32"/>
      <c r="AY113" s="18" t="s">
        <v>345</v>
      </c>
      <c r="AZ113" s="18" t="s">
        <v>345</v>
      </c>
      <c r="BA113" s="35" t="s">
        <v>358</v>
      </c>
      <c r="BB113" s="36" t="s">
        <v>359</v>
      </c>
      <c r="BC113" s="112"/>
    </row>
    <row r="114" spans="1:55" ht="63.75" customHeight="1" x14ac:dyDescent="0.25">
      <c r="A114" s="15">
        <v>110</v>
      </c>
      <c r="B114" s="15"/>
      <c r="C114" s="15" t="s">
        <v>849</v>
      </c>
      <c r="D114" s="15" t="s">
        <v>850</v>
      </c>
      <c r="E114" s="15" t="s">
        <v>879</v>
      </c>
      <c r="F114" s="16" t="s">
        <v>139</v>
      </c>
      <c r="G114" s="17">
        <v>0</v>
      </c>
      <c r="H114" s="18" t="s">
        <v>880</v>
      </c>
      <c r="I114" s="18"/>
      <c r="J114" s="18" t="s">
        <v>348</v>
      </c>
      <c r="K114" s="19">
        <v>1</v>
      </c>
      <c r="L114" s="20">
        <v>1</v>
      </c>
      <c r="M114" s="21">
        <v>0.2</v>
      </c>
      <c r="N114" s="22"/>
      <c r="O114" s="18" t="s">
        <v>349</v>
      </c>
      <c r="P114" s="18" t="s">
        <v>583</v>
      </c>
      <c r="Q114" s="18" t="s">
        <v>872</v>
      </c>
      <c r="R114" s="18"/>
      <c r="S114" s="18"/>
      <c r="T114" s="22"/>
      <c r="U114" s="23"/>
      <c r="V114" s="22"/>
      <c r="W114" s="23"/>
      <c r="X114" s="24" t="s">
        <v>352</v>
      </c>
      <c r="Y114" s="18"/>
      <c r="Z114" s="18" t="s">
        <v>881</v>
      </c>
      <c r="AA114" s="25">
        <v>46213</v>
      </c>
      <c r="AB114" s="25">
        <v>46225</v>
      </c>
      <c r="AC114" s="26">
        <v>46213</v>
      </c>
      <c r="AD114" s="26">
        <v>46225</v>
      </c>
      <c r="AE114" s="23">
        <v>46235</v>
      </c>
      <c r="AF114" s="23">
        <v>46240</v>
      </c>
      <c r="AG114" s="23">
        <v>46191</v>
      </c>
      <c r="AH114" s="27">
        <v>0</v>
      </c>
      <c r="AI114" s="24"/>
      <c r="AJ114" s="28"/>
      <c r="AK114" s="28">
        <v>0</v>
      </c>
      <c r="AL114" s="18" t="s">
        <v>345</v>
      </c>
      <c r="AM114" s="18" t="s">
        <v>345</v>
      </c>
      <c r="AN114" s="18" t="s">
        <v>345</v>
      </c>
      <c r="AO114" s="18" t="s">
        <v>354</v>
      </c>
      <c r="AP114" s="24" t="s">
        <v>355</v>
      </c>
      <c r="AQ114" s="18" t="s">
        <v>345</v>
      </c>
      <c r="AR114" s="18" t="s">
        <v>345</v>
      </c>
      <c r="AS114" s="28"/>
      <c r="AT114" s="28" t="s">
        <v>878</v>
      </c>
      <c r="AU114" s="18" t="s">
        <v>345</v>
      </c>
      <c r="AV114" s="18" t="s">
        <v>345</v>
      </c>
      <c r="AW114" s="18" t="s">
        <v>345</v>
      </c>
      <c r="AX114" s="32"/>
      <c r="AY114" s="18" t="s">
        <v>345</v>
      </c>
      <c r="AZ114" s="18" t="s">
        <v>345</v>
      </c>
      <c r="BA114" s="35" t="s">
        <v>358</v>
      </c>
      <c r="BB114" s="36" t="s">
        <v>359</v>
      </c>
      <c r="BC114" s="112"/>
    </row>
    <row r="115" spans="1:55" ht="63.75" customHeight="1" x14ac:dyDescent="0.25">
      <c r="A115" s="15">
        <v>111</v>
      </c>
      <c r="B115" s="15"/>
      <c r="C115" s="15" t="s">
        <v>849</v>
      </c>
      <c r="D115" s="15" t="s">
        <v>850</v>
      </c>
      <c r="E115" s="15" t="s">
        <v>882</v>
      </c>
      <c r="F115" s="16" t="s">
        <v>140</v>
      </c>
      <c r="G115" s="17">
        <v>0</v>
      </c>
      <c r="H115" s="18" t="s">
        <v>883</v>
      </c>
      <c r="I115" s="18"/>
      <c r="J115" s="18" t="s">
        <v>348</v>
      </c>
      <c r="K115" s="19">
        <v>1</v>
      </c>
      <c r="L115" s="20">
        <v>1</v>
      </c>
      <c r="M115" s="21">
        <v>0.2</v>
      </c>
      <c r="N115" s="22"/>
      <c r="O115" s="18" t="s">
        <v>349</v>
      </c>
      <c r="P115" s="18" t="s">
        <v>588</v>
      </c>
      <c r="Q115" s="18" t="s">
        <v>884</v>
      </c>
      <c r="R115" s="18"/>
      <c r="S115" s="18"/>
      <c r="T115" s="22"/>
      <c r="U115" s="23"/>
      <c r="V115" s="22"/>
      <c r="W115" s="23"/>
      <c r="X115" s="24" t="s">
        <v>352</v>
      </c>
      <c r="Y115" s="18"/>
      <c r="Z115" s="18" t="s">
        <v>885</v>
      </c>
      <c r="AA115" s="25">
        <v>46225</v>
      </c>
      <c r="AB115" s="25">
        <v>46237</v>
      </c>
      <c r="AC115" s="26">
        <v>46225</v>
      </c>
      <c r="AD115" s="26">
        <v>46237</v>
      </c>
      <c r="AE115" s="23">
        <v>46247</v>
      </c>
      <c r="AF115" s="23">
        <v>46252</v>
      </c>
      <c r="AG115" s="23">
        <v>46191</v>
      </c>
      <c r="AH115" s="27">
        <v>0</v>
      </c>
      <c r="AI115" s="24"/>
      <c r="AJ115" s="28"/>
      <c r="AK115" s="28">
        <v>0</v>
      </c>
      <c r="AL115" s="18" t="s">
        <v>345</v>
      </c>
      <c r="AM115" s="18" t="s">
        <v>345</v>
      </c>
      <c r="AN115" s="18" t="s">
        <v>345</v>
      </c>
      <c r="AO115" s="18" t="s">
        <v>354</v>
      </c>
      <c r="AP115" s="24" t="s">
        <v>355</v>
      </c>
      <c r="AQ115" s="18" t="s">
        <v>345</v>
      </c>
      <c r="AR115" s="18" t="s">
        <v>345</v>
      </c>
      <c r="AS115" s="28"/>
      <c r="AT115" s="28" t="s">
        <v>878</v>
      </c>
      <c r="AU115" s="18" t="s">
        <v>345</v>
      </c>
      <c r="AV115" s="18" t="s">
        <v>345</v>
      </c>
      <c r="AW115" s="18" t="s">
        <v>345</v>
      </c>
      <c r="AX115" s="32"/>
      <c r="AY115" s="18" t="s">
        <v>345</v>
      </c>
      <c r="AZ115" s="18" t="s">
        <v>345</v>
      </c>
      <c r="BA115" s="35" t="s">
        <v>358</v>
      </c>
      <c r="BB115" s="36" t="s">
        <v>359</v>
      </c>
      <c r="BC115" s="112"/>
    </row>
    <row r="116" spans="1:55" ht="63.75" customHeight="1" x14ac:dyDescent="0.25">
      <c r="A116" s="15">
        <v>112</v>
      </c>
      <c r="B116" s="15"/>
      <c r="C116" s="15" t="s">
        <v>849</v>
      </c>
      <c r="D116" s="15" t="s">
        <v>850</v>
      </c>
      <c r="E116" s="15" t="s">
        <v>886</v>
      </c>
      <c r="F116" s="16" t="s">
        <v>141</v>
      </c>
      <c r="G116" s="17">
        <v>0</v>
      </c>
      <c r="H116" s="18" t="s">
        <v>887</v>
      </c>
      <c r="I116" s="18"/>
      <c r="J116" s="18" t="s">
        <v>348</v>
      </c>
      <c r="K116" s="19">
        <v>1</v>
      </c>
      <c r="L116" s="20">
        <v>1</v>
      </c>
      <c r="M116" s="21">
        <v>0.2</v>
      </c>
      <c r="N116" s="22"/>
      <c r="O116" s="18" t="s">
        <v>349</v>
      </c>
      <c r="P116" s="18" t="s">
        <v>588</v>
      </c>
      <c r="Q116" s="18" t="s">
        <v>884</v>
      </c>
      <c r="R116" s="18"/>
      <c r="S116" s="18"/>
      <c r="T116" s="22"/>
      <c r="U116" s="23"/>
      <c r="V116" s="22"/>
      <c r="W116" s="23"/>
      <c r="X116" s="24" t="s">
        <v>352</v>
      </c>
      <c r="Y116" s="18"/>
      <c r="Z116" s="18" t="s">
        <v>888</v>
      </c>
      <c r="AA116" s="25">
        <v>46225</v>
      </c>
      <c r="AB116" s="25">
        <v>46237</v>
      </c>
      <c r="AC116" s="26">
        <v>46225</v>
      </c>
      <c r="AD116" s="26">
        <v>46237</v>
      </c>
      <c r="AE116" s="23">
        <v>46247</v>
      </c>
      <c r="AF116" s="23">
        <v>46252</v>
      </c>
      <c r="AG116" s="23">
        <v>46191</v>
      </c>
      <c r="AH116" s="27">
        <v>0</v>
      </c>
      <c r="AI116" s="24"/>
      <c r="AJ116" s="28"/>
      <c r="AK116" s="28">
        <v>0</v>
      </c>
      <c r="AL116" s="18" t="s">
        <v>345</v>
      </c>
      <c r="AM116" s="18" t="s">
        <v>345</v>
      </c>
      <c r="AN116" s="18" t="s">
        <v>345</v>
      </c>
      <c r="AO116" s="18" t="s">
        <v>354</v>
      </c>
      <c r="AP116" s="24" t="s">
        <v>355</v>
      </c>
      <c r="AQ116" s="18" t="s">
        <v>345</v>
      </c>
      <c r="AR116" s="18" t="s">
        <v>345</v>
      </c>
      <c r="AS116" s="28"/>
      <c r="AT116" s="28" t="s">
        <v>878</v>
      </c>
      <c r="AU116" s="18" t="s">
        <v>345</v>
      </c>
      <c r="AV116" s="18" t="s">
        <v>345</v>
      </c>
      <c r="AW116" s="18" t="s">
        <v>345</v>
      </c>
      <c r="AX116" s="32"/>
      <c r="AY116" s="18" t="s">
        <v>345</v>
      </c>
      <c r="AZ116" s="18" t="s">
        <v>345</v>
      </c>
      <c r="BA116" s="35" t="s">
        <v>358</v>
      </c>
      <c r="BB116" s="36" t="s">
        <v>359</v>
      </c>
      <c r="BC116" s="112"/>
    </row>
    <row r="117" spans="1:55" ht="76.5" customHeight="1" x14ac:dyDescent="0.25">
      <c r="A117" s="15">
        <v>113</v>
      </c>
      <c r="B117" s="15"/>
      <c r="C117" s="15" t="s">
        <v>849</v>
      </c>
      <c r="D117" s="15" t="s">
        <v>850</v>
      </c>
      <c r="E117" s="15" t="s">
        <v>889</v>
      </c>
      <c r="F117" s="16" t="s">
        <v>142</v>
      </c>
      <c r="G117" s="17">
        <v>0</v>
      </c>
      <c r="H117" s="18" t="s">
        <v>890</v>
      </c>
      <c r="I117" s="18"/>
      <c r="J117" s="18" t="s">
        <v>348</v>
      </c>
      <c r="K117" s="19">
        <v>1</v>
      </c>
      <c r="L117" s="20">
        <v>1</v>
      </c>
      <c r="M117" s="21">
        <v>0.2</v>
      </c>
      <c r="N117" s="22"/>
      <c r="O117" s="18" t="s">
        <v>349</v>
      </c>
      <c r="P117" s="18" t="s">
        <v>588</v>
      </c>
      <c r="Q117" s="18" t="s">
        <v>884</v>
      </c>
      <c r="R117" s="18"/>
      <c r="S117" s="18"/>
      <c r="T117" s="22"/>
      <c r="U117" s="23"/>
      <c r="V117" s="22"/>
      <c r="W117" s="23"/>
      <c r="X117" s="24" t="s">
        <v>352</v>
      </c>
      <c r="Y117" s="18"/>
      <c r="Z117" s="18" t="s">
        <v>891</v>
      </c>
      <c r="AA117" s="25">
        <v>46225</v>
      </c>
      <c r="AB117" s="25">
        <v>46237</v>
      </c>
      <c r="AC117" s="26">
        <v>46225</v>
      </c>
      <c r="AD117" s="26">
        <v>46237</v>
      </c>
      <c r="AE117" s="23">
        <v>46247</v>
      </c>
      <c r="AF117" s="23">
        <v>46252</v>
      </c>
      <c r="AG117" s="23">
        <v>46192</v>
      </c>
      <c r="AH117" s="27">
        <v>0</v>
      </c>
      <c r="AI117" s="24"/>
      <c r="AJ117" s="28"/>
      <c r="AK117" s="28">
        <v>0</v>
      </c>
      <c r="AL117" s="18" t="s">
        <v>345</v>
      </c>
      <c r="AM117" s="18" t="s">
        <v>345</v>
      </c>
      <c r="AN117" s="18" t="s">
        <v>345</v>
      </c>
      <c r="AO117" s="18" t="s">
        <v>354</v>
      </c>
      <c r="AP117" s="24" t="s">
        <v>355</v>
      </c>
      <c r="AQ117" s="18" t="s">
        <v>345</v>
      </c>
      <c r="AR117" s="18" t="s">
        <v>345</v>
      </c>
      <c r="AS117" s="28"/>
      <c r="AT117" s="28" t="s">
        <v>878</v>
      </c>
      <c r="AU117" s="18" t="s">
        <v>345</v>
      </c>
      <c r="AV117" s="18" t="s">
        <v>345</v>
      </c>
      <c r="AW117" s="18" t="s">
        <v>345</v>
      </c>
      <c r="AX117" s="32"/>
      <c r="AY117" s="18" t="s">
        <v>345</v>
      </c>
      <c r="AZ117" s="18" t="s">
        <v>345</v>
      </c>
      <c r="BA117" s="35" t="s">
        <v>358</v>
      </c>
      <c r="BB117" s="36" t="s">
        <v>359</v>
      </c>
      <c r="BC117" s="112"/>
    </row>
    <row r="118" spans="1:55" ht="63.75" customHeight="1" x14ac:dyDescent="0.25">
      <c r="A118" s="15">
        <v>114</v>
      </c>
      <c r="B118" s="15"/>
      <c r="C118" s="15" t="s">
        <v>849</v>
      </c>
      <c r="D118" s="15" t="s">
        <v>850</v>
      </c>
      <c r="E118" s="15" t="s">
        <v>892</v>
      </c>
      <c r="F118" s="16" t="s">
        <v>143</v>
      </c>
      <c r="G118" s="17">
        <v>0</v>
      </c>
      <c r="H118" s="18" t="s">
        <v>893</v>
      </c>
      <c r="I118" s="18"/>
      <c r="J118" s="18" t="s">
        <v>348</v>
      </c>
      <c r="K118" s="19">
        <v>1</v>
      </c>
      <c r="L118" s="20">
        <v>1</v>
      </c>
      <c r="M118" s="21">
        <v>0.2</v>
      </c>
      <c r="N118" s="22"/>
      <c r="O118" s="18" t="s">
        <v>349</v>
      </c>
      <c r="P118" s="18" t="s">
        <v>592</v>
      </c>
      <c r="Q118" s="18" t="s">
        <v>894</v>
      </c>
      <c r="R118" s="18"/>
      <c r="S118" s="18"/>
      <c r="T118" s="22"/>
      <c r="U118" s="23"/>
      <c r="V118" s="22"/>
      <c r="W118" s="23"/>
      <c r="X118" s="24" t="s">
        <v>352</v>
      </c>
      <c r="Y118" s="18"/>
      <c r="Z118" s="18" t="s">
        <v>895</v>
      </c>
      <c r="AA118" s="25">
        <v>46237</v>
      </c>
      <c r="AB118" s="25">
        <v>46247</v>
      </c>
      <c r="AC118" s="26">
        <v>46237</v>
      </c>
      <c r="AD118" s="26">
        <v>46247</v>
      </c>
      <c r="AE118" s="23">
        <v>46257</v>
      </c>
      <c r="AF118" s="23">
        <v>46262</v>
      </c>
      <c r="AG118" s="23">
        <v>46192</v>
      </c>
      <c r="AH118" s="27">
        <v>0</v>
      </c>
      <c r="AI118" s="24"/>
      <c r="AJ118" s="28"/>
      <c r="AK118" s="28">
        <v>0</v>
      </c>
      <c r="AL118" s="18" t="s">
        <v>345</v>
      </c>
      <c r="AM118" s="18" t="s">
        <v>345</v>
      </c>
      <c r="AN118" s="18" t="s">
        <v>345</v>
      </c>
      <c r="AO118" s="18" t="s">
        <v>354</v>
      </c>
      <c r="AP118" s="24" t="s">
        <v>355</v>
      </c>
      <c r="AQ118" s="18" t="s">
        <v>345</v>
      </c>
      <c r="AR118" s="18" t="s">
        <v>345</v>
      </c>
      <c r="AS118" s="28"/>
      <c r="AT118" s="28" t="s">
        <v>878</v>
      </c>
      <c r="AU118" s="18" t="s">
        <v>345</v>
      </c>
      <c r="AV118" s="18" t="s">
        <v>345</v>
      </c>
      <c r="AW118" s="18" t="s">
        <v>345</v>
      </c>
      <c r="AX118" s="32"/>
      <c r="AY118" s="18" t="s">
        <v>345</v>
      </c>
      <c r="AZ118" s="18" t="s">
        <v>345</v>
      </c>
      <c r="BA118" s="35" t="s">
        <v>358</v>
      </c>
      <c r="BB118" s="36" t="s">
        <v>359</v>
      </c>
      <c r="BC118" s="112"/>
    </row>
    <row r="119" spans="1:55" ht="76.5" customHeight="1" x14ac:dyDescent="0.25">
      <c r="A119" s="15">
        <v>115</v>
      </c>
      <c r="B119" s="15"/>
      <c r="C119" s="15" t="s">
        <v>849</v>
      </c>
      <c r="D119" s="15" t="s">
        <v>850</v>
      </c>
      <c r="E119" s="15" t="s">
        <v>896</v>
      </c>
      <c r="F119" s="16" t="s">
        <v>144</v>
      </c>
      <c r="G119" s="17">
        <v>0</v>
      </c>
      <c r="H119" s="18" t="s">
        <v>897</v>
      </c>
      <c r="I119" s="18"/>
      <c r="J119" s="18" t="s">
        <v>348</v>
      </c>
      <c r="K119" s="19">
        <v>1</v>
      </c>
      <c r="L119" s="20">
        <v>1</v>
      </c>
      <c r="M119" s="21">
        <v>0.2</v>
      </c>
      <c r="N119" s="22"/>
      <c r="O119" s="18" t="s">
        <v>349</v>
      </c>
      <c r="P119" s="18" t="s">
        <v>592</v>
      </c>
      <c r="Q119" s="18" t="s">
        <v>894</v>
      </c>
      <c r="R119" s="18"/>
      <c r="S119" s="18"/>
      <c r="T119" s="22"/>
      <c r="U119" s="23"/>
      <c r="V119" s="22"/>
      <c r="W119" s="23"/>
      <c r="X119" s="24" t="s">
        <v>352</v>
      </c>
      <c r="Y119" s="18"/>
      <c r="Z119" s="18" t="s">
        <v>898</v>
      </c>
      <c r="AA119" s="25">
        <v>46237</v>
      </c>
      <c r="AB119" s="25">
        <v>46247</v>
      </c>
      <c r="AC119" s="26">
        <v>46237</v>
      </c>
      <c r="AD119" s="26">
        <v>46247</v>
      </c>
      <c r="AE119" s="23">
        <v>46257</v>
      </c>
      <c r="AF119" s="23">
        <v>46262</v>
      </c>
      <c r="AG119" s="23">
        <v>46192</v>
      </c>
      <c r="AH119" s="27">
        <v>0</v>
      </c>
      <c r="AI119" s="24"/>
      <c r="AJ119" s="28"/>
      <c r="AK119" s="28">
        <v>0</v>
      </c>
      <c r="AL119" s="18" t="s">
        <v>345</v>
      </c>
      <c r="AM119" s="18" t="s">
        <v>345</v>
      </c>
      <c r="AN119" s="18" t="s">
        <v>345</v>
      </c>
      <c r="AO119" s="18" t="s">
        <v>354</v>
      </c>
      <c r="AP119" s="24" t="s">
        <v>355</v>
      </c>
      <c r="AQ119" s="18" t="s">
        <v>345</v>
      </c>
      <c r="AR119" s="18" t="s">
        <v>345</v>
      </c>
      <c r="AS119" s="28"/>
      <c r="AT119" s="28" t="s">
        <v>485</v>
      </c>
      <c r="AU119" s="18" t="s">
        <v>345</v>
      </c>
      <c r="AV119" s="18" t="s">
        <v>345</v>
      </c>
      <c r="AW119" s="18" t="s">
        <v>345</v>
      </c>
      <c r="AX119" s="32"/>
      <c r="AY119" s="18" t="s">
        <v>345</v>
      </c>
      <c r="AZ119" s="18" t="s">
        <v>345</v>
      </c>
      <c r="BA119" s="35" t="s">
        <v>358</v>
      </c>
      <c r="BB119" s="36" t="s">
        <v>359</v>
      </c>
      <c r="BC119" s="112"/>
    </row>
    <row r="120" spans="1:55" ht="63.75" customHeight="1" x14ac:dyDescent="0.25">
      <c r="A120" s="15">
        <v>116</v>
      </c>
      <c r="B120" s="15"/>
      <c r="C120" s="15" t="s">
        <v>849</v>
      </c>
      <c r="D120" s="15" t="s">
        <v>850</v>
      </c>
      <c r="E120" s="15" t="s">
        <v>899</v>
      </c>
      <c r="F120" s="16" t="s">
        <v>145</v>
      </c>
      <c r="G120" s="17">
        <v>0</v>
      </c>
      <c r="H120" s="18" t="s">
        <v>900</v>
      </c>
      <c r="I120" s="18"/>
      <c r="J120" s="18" t="s">
        <v>348</v>
      </c>
      <c r="K120" s="19">
        <v>1</v>
      </c>
      <c r="L120" s="20">
        <v>1</v>
      </c>
      <c r="M120" s="21">
        <v>0.2</v>
      </c>
      <c r="N120" s="22"/>
      <c r="O120" s="18" t="s">
        <v>349</v>
      </c>
      <c r="P120" s="18" t="s">
        <v>592</v>
      </c>
      <c r="Q120" s="18" t="s">
        <v>894</v>
      </c>
      <c r="R120" s="18"/>
      <c r="S120" s="18"/>
      <c r="T120" s="22"/>
      <c r="U120" s="23"/>
      <c r="V120" s="22"/>
      <c r="W120" s="23"/>
      <c r="X120" s="24" t="s">
        <v>352</v>
      </c>
      <c r="Y120" s="18"/>
      <c r="Z120" s="18" t="s">
        <v>901</v>
      </c>
      <c r="AA120" s="25">
        <v>46237</v>
      </c>
      <c r="AB120" s="25">
        <v>46247</v>
      </c>
      <c r="AC120" s="26">
        <v>46237</v>
      </c>
      <c r="AD120" s="26">
        <v>46247</v>
      </c>
      <c r="AE120" s="23">
        <v>46257</v>
      </c>
      <c r="AF120" s="23">
        <v>46262</v>
      </c>
      <c r="AG120" s="23">
        <v>46192</v>
      </c>
      <c r="AH120" s="27">
        <v>0</v>
      </c>
      <c r="AI120" s="24"/>
      <c r="AJ120" s="28"/>
      <c r="AK120" s="28">
        <v>0</v>
      </c>
      <c r="AL120" s="18" t="s">
        <v>345</v>
      </c>
      <c r="AM120" s="18" t="s">
        <v>345</v>
      </c>
      <c r="AN120" s="18" t="s">
        <v>345</v>
      </c>
      <c r="AO120" s="18" t="s">
        <v>354</v>
      </c>
      <c r="AP120" s="24" t="s">
        <v>355</v>
      </c>
      <c r="AQ120" s="18" t="s">
        <v>345</v>
      </c>
      <c r="AR120" s="18" t="s">
        <v>345</v>
      </c>
      <c r="AS120" s="28"/>
      <c r="AT120" s="28" t="s">
        <v>878</v>
      </c>
      <c r="AU120" s="18" t="s">
        <v>345</v>
      </c>
      <c r="AV120" s="18" t="s">
        <v>345</v>
      </c>
      <c r="AW120" s="18" t="s">
        <v>345</v>
      </c>
      <c r="AX120" s="32"/>
      <c r="AY120" s="18" t="s">
        <v>345</v>
      </c>
      <c r="AZ120" s="18" t="s">
        <v>345</v>
      </c>
      <c r="BA120" s="35" t="s">
        <v>358</v>
      </c>
      <c r="BB120" s="36" t="s">
        <v>359</v>
      </c>
      <c r="BC120" s="112"/>
    </row>
    <row r="121" spans="1:55" ht="63.75" customHeight="1" x14ac:dyDescent="0.25">
      <c r="A121" s="15">
        <v>117</v>
      </c>
      <c r="B121" s="15"/>
      <c r="C121" s="15" t="s">
        <v>849</v>
      </c>
      <c r="D121" s="15" t="s">
        <v>902</v>
      </c>
      <c r="E121" s="15" t="s">
        <v>903</v>
      </c>
      <c r="F121" s="16" t="s">
        <v>147</v>
      </c>
      <c r="G121" s="17">
        <v>0</v>
      </c>
      <c r="H121" s="18" t="s">
        <v>904</v>
      </c>
      <c r="I121" s="18" t="s">
        <v>359</v>
      </c>
      <c r="J121" s="18" t="s">
        <v>387</v>
      </c>
      <c r="K121" s="19">
        <v>4.875</v>
      </c>
      <c r="L121" s="20">
        <v>39</v>
      </c>
      <c r="M121" s="21">
        <v>0.9</v>
      </c>
      <c r="N121" s="22" t="s">
        <v>469</v>
      </c>
      <c r="O121" s="18" t="s">
        <v>349</v>
      </c>
      <c r="P121" s="18" t="s">
        <v>854</v>
      </c>
      <c r="Q121" s="18" t="s">
        <v>905</v>
      </c>
      <c r="R121" s="18"/>
      <c r="S121" s="18"/>
      <c r="T121" s="22" t="s">
        <v>906</v>
      </c>
      <c r="U121" s="23">
        <v>46193.521463460653</v>
      </c>
      <c r="V121" s="22" t="s">
        <v>742</v>
      </c>
      <c r="W121" s="23">
        <v>46204.495983761582</v>
      </c>
      <c r="X121" s="24" t="s">
        <v>352</v>
      </c>
      <c r="Y121" s="18"/>
      <c r="Z121" s="18" t="s">
        <v>907</v>
      </c>
      <c r="AA121" s="25">
        <v>46189</v>
      </c>
      <c r="AB121" s="25">
        <v>46192</v>
      </c>
      <c r="AC121" s="26">
        <v>46189</v>
      </c>
      <c r="AD121" s="26">
        <v>46193.521463460653</v>
      </c>
      <c r="AE121" s="23">
        <v>46203.521463460653</v>
      </c>
      <c r="AF121" s="23">
        <v>46208.521463460653</v>
      </c>
      <c r="AG121" s="23">
        <v>46185</v>
      </c>
      <c r="AH121" s="27"/>
      <c r="AI121" s="24"/>
      <c r="AJ121" s="28"/>
      <c r="AK121" s="28"/>
      <c r="AL121" s="18" t="s">
        <v>345</v>
      </c>
      <c r="AM121" s="18" t="s">
        <v>345</v>
      </c>
      <c r="AN121" s="18" t="s">
        <v>345</v>
      </c>
      <c r="AO121" s="18" t="s">
        <v>354</v>
      </c>
      <c r="AP121" s="24" t="s">
        <v>355</v>
      </c>
      <c r="AQ121" s="18" t="s">
        <v>345</v>
      </c>
      <c r="AR121" s="18" t="s">
        <v>345</v>
      </c>
      <c r="AS121" s="28"/>
      <c r="AT121" s="28" t="s">
        <v>908</v>
      </c>
      <c r="AU121" s="18" t="s">
        <v>345</v>
      </c>
      <c r="AV121" s="18" t="s">
        <v>345</v>
      </c>
      <c r="AW121" s="18" t="s">
        <v>345</v>
      </c>
      <c r="AX121" s="32" t="s">
        <v>545</v>
      </c>
      <c r="AY121" s="18" t="s">
        <v>345</v>
      </c>
      <c r="AZ121" s="18" t="s">
        <v>345</v>
      </c>
      <c r="BA121" s="35" t="s">
        <v>358</v>
      </c>
      <c r="BB121" s="36" t="s">
        <v>359</v>
      </c>
      <c r="BC121" s="111">
        <v>46212</v>
      </c>
    </row>
    <row r="122" spans="1:55" ht="63.75" customHeight="1" x14ac:dyDescent="0.25">
      <c r="A122" s="15">
        <v>118</v>
      </c>
      <c r="B122" s="15"/>
      <c r="C122" s="15" t="s">
        <v>849</v>
      </c>
      <c r="D122" s="15" t="s">
        <v>902</v>
      </c>
      <c r="E122" s="15" t="s">
        <v>909</v>
      </c>
      <c r="F122" s="16" t="s">
        <v>148</v>
      </c>
      <c r="G122" s="17">
        <v>0</v>
      </c>
      <c r="H122" s="18" t="s">
        <v>910</v>
      </c>
      <c r="I122" s="18"/>
      <c r="J122" s="18" t="s">
        <v>387</v>
      </c>
      <c r="K122" s="19">
        <v>0.75</v>
      </c>
      <c r="L122" s="20">
        <v>6</v>
      </c>
      <c r="M122" s="21">
        <v>0</v>
      </c>
      <c r="N122" s="22"/>
      <c r="O122" s="18" t="s">
        <v>349</v>
      </c>
      <c r="P122" s="18" t="s">
        <v>911</v>
      </c>
      <c r="Q122" s="18" t="s">
        <v>905</v>
      </c>
      <c r="R122" s="18"/>
      <c r="S122" s="18"/>
      <c r="T122" s="22"/>
      <c r="U122" s="23"/>
      <c r="V122" s="22"/>
      <c r="W122" s="23"/>
      <c r="X122" s="24" t="s">
        <v>352</v>
      </c>
      <c r="Y122" s="18"/>
      <c r="Z122" s="18" t="s">
        <v>912</v>
      </c>
      <c r="AA122" s="25">
        <v>46239</v>
      </c>
      <c r="AB122" s="25">
        <v>46244</v>
      </c>
      <c r="AC122" s="26">
        <v>46247</v>
      </c>
      <c r="AD122" s="26">
        <v>46252</v>
      </c>
      <c r="AE122" s="23">
        <v>46262</v>
      </c>
      <c r="AF122" s="23">
        <v>46267</v>
      </c>
      <c r="AG122" s="23"/>
      <c r="AH122" s="27"/>
      <c r="AI122" s="24"/>
      <c r="AJ122" s="28"/>
      <c r="AK122" s="28"/>
      <c r="AL122" s="18" t="s">
        <v>345</v>
      </c>
      <c r="AM122" s="18" t="s">
        <v>345</v>
      </c>
      <c r="AN122" s="18" t="s">
        <v>345</v>
      </c>
      <c r="AO122" s="18" t="s">
        <v>354</v>
      </c>
      <c r="AP122" s="24" t="s">
        <v>355</v>
      </c>
      <c r="AQ122" s="18" t="s">
        <v>345</v>
      </c>
      <c r="AR122" s="18" t="s">
        <v>345</v>
      </c>
      <c r="AS122" s="28"/>
      <c r="AT122" s="28"/>
      <c r="AU122" s="18" t="s">
        <v>345</v>
      </c>
      <c r="AV122" s="18" t="s">
        <v>345</v>
      </c>
      <c r="AW122" s="18" t="s">
        <v>345</v>
      </c>
      <c r="AX122" s="32" t="s">
        <v>545</v>
      </c>
      <c r="AY122" s="18" t="s">
        <v>345</v>
      </c>
      <c r="AZ122" s="18" t="s">
        <v>345</v>
      </c>
      <c r="BA122" s="35" t="s">
        <v>358</v>
      </c>
      <c r="BB122" s="36" t="s">
        <v>359</v>
      </c>
      <c r="BC122" s="112"/>
    </row>
    <row r="123" spans="1:55" ht="76.5" customHeight="1" x14ac:dyDescent="0.25">
      <c r="A123" s="15">
        <v>119</v>
      </c>
      <c r="B123" s="15"/>
      <c r="C123" s="15" t="s">
        <v>849</v>
      </c>
      <c r="D123" s="15" t="s">
        <v>384</v>
      </c>
      <c r="E123" s="15" t="s">
        <v>913</v>
      </c>
      <c r="F123" s="16" t="s">
        <v>149</v>
      </c>
      <c r="G123" s="17">
        <v>0</v>
      </c>
      <c r="H123" s="18" t="s">
        <v>914</v>
      </c>
      <c r="I123" s="18"/>
      <c r="J123" s="18" t="s">
        <v>387</v>
      </c>
      <c r="K123" s="19">
        <v>2.5</v>
      </c>
      <c r="L123" s="20">
        <v>20</v>
      </c>
      <c r="M123" s="21">
        <v>0</v>
      </c>
      <c r="N123" s="22"/>
      <c r="O123" s="18" t="s">
        <v>349</v>
      </c>
      <c r="P123" s="18" t="s">
        <v>915</v>
      </c>
      <c r="Q123" s="18" t="s">
        <v>916</v>
      </c>
      <c r="R123" s="18"/>
      <c r="S123" s="18"/>
      <c r="T123" s="22"/>
      <c r="U123" s="23"/>
      <c r="V123" s="22"/>
      <c r="W123" s="23"/>
      <c r="X123" s="24" t="s">
        <v>352</v>
      </c>
      <c r="Y123" s="18"/>
      <c r="Z123" s="18" t="s">
        <v>917</v>
      </c>
      <c r="AA123" s="25">
        <v>46259</v>
      </c>
      <c r="AB123" s="25">
        <v>46262</v>
      </c>
      <c r="AC123" s="26">
        <v>46259</v>
      </c>
      <c r="AD123" s="26">
        <v>46262</v>
      </c>
      <c r="AE123" s="23">
        <v>46272</v>
      </c>
      <c r="AF123" s="23">
        <v>46277</v>
      </c>
      <c r="AG123" s="23"/>
      <c r="AH123" s="27"/>
      <c r="AI123" s="24"/>
      <c r="AJ123" s="28"/>
      <c r="AK123" s="28"/>
      <c r="AL123" s="18" t="s">
        <v>345</v>
      </c>
      <c r="AM123" s="18" t="s">
        <v>345</v>
      </c>
      <c r="AN123" s="18" t="s">
        <v>345</v>
      </c>
      <c r="AO123" s="18" t="s">
        <v>354</v>
      </c>
      <c r="AP123" s="24" t="s">
        <v>355</v>
      </c>
      <c r="AQ123" s="18" t="s">
        <v>345</v>
      </c>
      <c r="AR123" s="18" t="s">
        <v>345</v>
      </c>
      <c r="AS123" s="28"/>
      <c r="AT123" s="28"/>
      <c r="AU123" s="18" t="s">
        <v>345</v>
      </c>
      <c r="AV123" s="18" t="s">
        <v>345</v>
      </c>
      <c r="AW123" s="18" t="s">
        <v>345</v>
      </c>
      <c r="AX123" s="32" t="s">
        <v>545</v>
      </c>
      <c r="AY123" s="18" t="s">
        <v>345</v>
      </c>
      <c r="AZ123" s="18" t="s">
        <v>345</v>
      </c>
      <c r="BA123" s="35" t="s">
        <v>358</v>
      </c>
      <c r="BB123" s="36" t="s">
        <v>359</v>
      </c>
      <c r="BC123" s="112"/>
    </row>
    <row r="124" spans="1:55" ht="63.75" customHeight="1" x14ac:dyDescent="0.25">
      <c r="A124" s="15">
        <v>120</v>
      </c>
      <c r="B124" s="15"/>
      <c r="C124" s="15" t="s">
        <v>849</v>
      </c>
      <c r="D124" s="15" t="s">
        <v>384</v>
      </c>
      <c r="E124" s="15" t="s">
        <v>918</v>
      </c>
      <c r="F124" s="16" t="s">
        <v>150</v>
      </c>
      <c r="G124" s="17">
        <v>0</v>
      </c>
      <c r="H124" s="18" t="s">
        <v>919</v>
      </c>
      <c r="I124" s="18"/>
      <c r="J124" s="18" t="s">
        <v>387</v>
      </c>
      <c r="K124" s="19">
        <v>2.5</v>
      </c>
      <c r="L124" s="20">
        <v>20</v>
      </c>
      <c r="M124" s="21">
        <v>0</v>
      </c>
      <c r="N124" s="22"/>
      <c r="O124" s="18" t="s">
        <v>349</v>
      </c>
      <c r="P124" s="18" t="s">
        <v>920</v>
      </c>
      <c r="Q124" s="18" t="s">
        <v>921</v>
      </c>
      <c r="R124" s="18"/>
      <c r="S124" s="18"/>
      <c r="T124" s="22"/>
      <c r="U124" s="23"/>
      <c r="V124" s="22"/>
      <c r="W124" s="23"/>
      <c r="X124" s="24" t="s">
        <v>352</v>
      </c>
      <c r="Y124" s="18"/>
      <c r="Z124" s="18" t="s">
        <v>922</v>
      </c>
      <c r="AA124" s="25">
        <v>46262</v>
      </c>
      <c r="AB124" s="25">
        <v>46268</v>
      </c>
      <c r="AC124" s="26">
        <v>46262</v>
      </c>
      <c r="AD124" s="26">
        <v>46268</v>
      </c>
      <c r="AE124" s="23">
        <v>46278</v>
      </c>
      <c r="AF124" s="23">
        <v>46283</v>
      </c>
      <c r="AG124" s="23"/>
      <c r="AH124" s="27"/>
      <c r="AI124" s="24"/>
      <c r="AJ124" s="28"/>
      <c r="AK124" s="28"/>
      <c r="AL124" s="18" t="s">
        <v>345</v>
      </c>
      <c r="AM124" s="18" t="s">
        <v>345</v>
      </c>
      <c r="AN124" s="18" t="s">
        <v>345</v>
      </c>
      <c r="AO124" s="18" t="s">
        <v>354</v>
      </c>
      <c r="AP124" s="24" t="s">
        <v>355</v>
      </c>
      <c r="AQ124" s="18" t="s">
        <v>345</v>
      </c>
      <c r="AR124" s="18" t="s">
        <v>345</v>
      </c>
      <c r="AS124" s="28"/>
      <c r="AT124" s="28"/>
      <c r="AU124" s="18" t="s">
        <v>345</v>
      </c>
      <c r="AV124" s="18" t="s">
        <v>345</v>
      </c>
      <c r="AW124" s="18" t="s">
        <v>345</v>
      </c>
      <c r="AX124" s="32" t="s">
        <v>545</v>
      </c>
      <c r="AY124" s="18" t="s">
        <v>345</v>
      </c>
      <c r="AZ124" s="18" t="s">
        <v>345</v>
      </c>
      <c r="BA124" s="35" t="s">
        <v>358</v>
      </c>
      <c r="BB124" s="36" t="s">
        <v>359</v>
      </c>
      <c r="BC124" s="112"/>
    </row>
    <row r="125" spans="1:55" ht="76.5" customHeight="1" x14ac:dyDescent="0.25">
      <c r="A125" s="15">
        <v>121</v>
      </c>
      <c r="B125" s="15"/>
      <c r="C125" s="15" t="s">
        <v>849</v>
      </c>
      <c r="D125" s="15" t="s">
        <v>403</v>
      </c>
      <c r="E125" s="15" t="s">
        <v>923</v>
      </c>
      <c r="F125" s="16" t="s">
        <v>151</v>
      </c>
      <c r="G125" s="17">
        <v>0</v>
      </c>
      <c r="H125" s="18" t="s">
        <v>924</v>
      </c>
      <c r="I125" s="18"/>
      <c r="J125" s="18" t="s">
        <v>387</v>
      </c>
      <c r="K125" s="19">
        <v>1</v>
      </c>
      <c r="L125" s="20">
        <v>8</v>
      </c>
      <c r="M125" s="21">
        <v>0</v>
      </c>
      <c r="N125" s="22"/>
      <c r="O125" s="18" t="s">
        <v>349</v>
      </c>
      <c r="P125" s="18" t="s">
        <v>925</v>
      </c>
      <c r="Q125" s="18" t="s">
        <v>406</v>
      </c>
      <c r="R125" s="18" t="s">
        <v>926</v>
      </c>
      <c r="S125" s="18"/>
      <c r="T125" s="22"/>
      <c r="U125" s="23"/>
      <c r="V125" s="22"/>
      <c r="W125" s="23"/>
      <c r="X125" s="24" t="s">
        <v>352</v>
      </c>
      <c r="Y125" s="18"/>
      <c r="Z125" s="18" t="s">
        <v>927</v>
      </c>
      <c r="AA125" s="25">
        <v>46213</v>
      </c>
      <c r="AB125" s="25">
        <v>46218</v>
      </c>
      <c r="AC125" s="26">
        <v>46213</v>
      </c>
      <c r="AD125" s="26">
        <v>46218</v>
      </c>
      <c r="AE125" s="23">
        <v>46228</v>
      </c>
      <c r="AF125" s="23">
        <v>46233</v>
      </c>
      <c r="AG125" s="23"/>
      <c r="AH125" s="27"/>
      <c r="AI125" s="24"/>
      <c r="AJ125" s="28"/>
      <c r="AK125" s="28"/>
      <c r="AL125" s="18" t="s">
        <v>345</v>
      </c>
      <c r="AM125" s="18" t="s">
        <v>345</v>
      </c>
      <c r="AN125" s="18" t="s">
        <v>345</v>
      </c>
      <c r="AO125" s="18" t="s">
        <v>354</v>
      </c>
      <c r="AP125" s="24" t="s">
        <v>355</v>
      </c>
      <c r="AQ125" s="18" t="s">
        <v>345</v>
      </c>
      <c r="AR125" s="18" t="s">
        <v>345</v>
      </c>
      <c r="AS125" s="28"/>
      <c r="AT125" s="28"/>
      <c r="AU125" s="18" t="s">
        <v>345</v>
      </c>
      <c r="AV125" s="18" t="s">
        <v>345</v>
      </c>
      <c r="AW125" s="18" t="s">
        <v>345</v>
      </c>
      <c r="AX125" s="32" t="s">
        <v>357</v>
      </c>
      <c r="AY125" s="18" t="s">
        <v>345</v>
      </c>
      <c r="AZ125" s="18" t="s">
        <v>345</v>
      </c>
      <c r="BA125" s="35" t="s">
        <v>358</v>
      </c>
      <c r="BB125" s="36" t="s">
        <v>359</v>
      </c>
      <c r="BC125" s="112"/>
    </row>
    <row r="126" spans="1:55" ht="76.5" customHeight="1" x14ac:dyDescent="0.25">
      <c r="A126" s="15">
        <v>122</v>
      </c>
      <c r="B126" s="15"/>
      <c r="C126" s="15" t="s">
        <v>849</v>
      </c>
      <c r="D126" s="15" t="s">
        <v>403</v>
      </c>
      <c r="E126" s="15" t="s">
        <v>928</v>
      </c>
      <c r="F126" s="16" t="s">
        <v>152</v>
      </c>
      <c r="G126" s="17">
        <v>0</v>
      </c>
      <c r="H126" s="18" t="s">
        <v>929</v>
      </c>
      <c r="I126" s="18" t="s">
        <v>456</v>
      </c>
      <c r="J126" s="18" t="s">
        <v>387</v>
      </c>
      <c r="K126" s="19">
        <v>0.875</v>
      </c>
      <c r="L126" s="20">
        <v>7</v>
      </c>
      <c r="M126" s="21">
        <v>1</v>
      </c>
      <c r="N126" s="22" t="s">
        <v>457</v>
      </c>
      <c r="O126" s="18" t="s">
        <v>349</v>
      </c>
      <c r="P126" s="18" t="s">
        <v>925</v>
      </c>
      <c r="Q126" s="18" t="s">
        <v>406</v>
      </c>
      <c r="R126" s="18" t="s">
        <v>930</v>
      </c>
      <c r="S126" s="18"/>
      <c r="T126" s="22" t="s">
        <v>868</v>
      </c>
      <c r="U126" s="23">
        <v>46212.676171412037</v>
      </c>
      <c r="V126" s="22" t="s">
        <v>477</v>
      </c>
      <c r="W126" s="23">
        <v>46213.660067627323</v>
      </c>
      <c r="X126" s="24" t="s">
        <v>352</v>
      </c>
      <c r="Y126" s="18"/>
      <c r="Z126" s="18" t="s">
        <v>931</v>
      </c>
      <c r="AA126" s="25">
        <v>46210</v>
      </c>
      <c r="AB126" s="25">
        <v>46213</v>
      </c>
      <c r="AC126" s="26">
        <v>46235</v>
      </c>
      <c r="AD126" s="26">
        <v>46212.676171412037</v>
      </c>
      <c r="AE126" s="23">
        <v>46212.676171412037</v>
      </c>
      <c r="AF126" s="23">
        <v>46212.676171412037</v>
      </c>
      <c r="AG126" s="23">
        <v>46210</v>
      </c>
      <c r="AH126" s="27"/>
      <c r="AI126" s="24"/>
      <c r="AJ126" s="28"/>
      <c r="AK126" s="28"/>
      <c r="AL126" s="18" t="s">
        <v>345</v>
      </c>
      <c r="AM126" s="18" t="s">
        <v>345</v>
      </c>
      <c r="AN126" s="18" t="s">
        <v>345</v>
      </c>
      <c r="AO126" s="18" t="s">
        <v>354</v>
      </c>
      <c r="AP126" s="24" t="s">
        <v>355</v>
      </c>
      <c r="AQ126" s="18" t="s">
        <v>345</v>
      </c>
      <c r="AR126" s="18" t="s">
        <v>345</v>
      </c>
      <c r="AS126" s="28"/>
      <c r="AT126" s="28" t="s">
        <v>932</v>
      </c>
      <c r="AU126" s="18" t="s">
        <v>345</v>
      </c>
      <c r="AV126" s="18" t="s">
        <v>345</v>
      </c>
      <c r="AW126" s="18" t="s">
        <v>345</v>
      </c>
      <c r="AX126" s="32" t="s">
        <v>357</v>
      </c>
      <c r="AY126" s="18" t="s">
        <v>345</v>
      </c>
      <c r="AZ126" s="18" t="s">
        <v>345</v>
      </c>
      <c r="BA126" s="35" t="s">
        <v>358</v>
      </c>
      <c r="BB126" s="36" t="s">
        <v>359</v>
      </c>
      <c r="BC126" s="112"/>
    </row>
    <row r="127" spans="1:55" ht="63.75" customHeight="1" x14ac:dyDescent="0.25">
      <c r="A127" s="15">
        <v>123</v>
      </c>
      <c r="B127" s="15"/>
      <c r="C127" s="15" t="s">
        <v>849</v>
      </c>
      <c r="D127" s="15" t="s">
        <v>403</v>
      </c>
      <c r="E127" s="15" t="s">
        <v>933</v>
      </c>
      <c r="F127" s="16" t="s">
        <v>153</v>
      </c>
      <c r="G127" s="17">
        <v>0</v>
      </c>
      <c r="H127" s="18" t="s">
        <v>934</v>
      </c>
      <c r="I127" s="18"/>
      <c r="J127" s="18" t="s">
        <v>387</v>
      </c>
      <c r="K127" s="19">
        <v>4</v>
      </c>
      <c r="L127" s="20">
        <v>32</v>
      </c>
      <c r="M127" s="21">
        <v>0</v>
      </c>
      <c r="N127" s="22"/>
      <c r="O127" s="18" t="s">
        <v>349</v>
      </c>
      <c r="P127" s="18" t="s">
        <v>854</v>
      </c>
      <c r="Q127" s="18" t="s">
        <v>406</v>
      </c>
      <c r="R127" s="18" t="s">
        <v>935</v>
      </c>
      <c r="S127" s="18"/>
      <c r="T127" s="22"/>
      <c r="U127" s="23"/>
      <c r="V127" s="22"/>
      <c r="W127" s="23"/>
      <c r="X127" s="24" t="s">
        <v>352</v>
      </c>
      <c r="Y127" s="18"/>
      <c r="Z127" s="18" t="s">
        <v>936</v>
      </c>
      <c r="AA127" s="25">
        <v>46213</v>
      </c>
      <c r="AB127" s="25">
        <v>46218</v>
      </c>
      <c r="AC127" s="26">
        <v>46218</v>
      </c>
      <c r="AD127" s="26">
        <v>46223</v>
      </c>
      <c r="AE127" s="23">
        <v>46233</v>
      </c>
      <c r="AF127" s="23">
        <v>46238</v>
      </c>
      <c r="AG127" s="23"/>
      <c r="AH127" s="27"/>
      <c r="AI127" s="24"/>
      <c r="AJ127" s="28"/>
      <c r="AK127" s="28"/>
      <c r="AL127" s="18" t="s">
        <v>345</v>
      </c>
      <c r="AM127" s="18" t="s">
        <v>345</v>
      </c>
      <c r="AN127" s="18" t="s">
        <v>345</v>
      </c>
      <c r="AO127" s="18" t="s">
        <v>354</v>
      </c>
      <c r="AP127" s="24" t="s">
        <v>355</v>
      </c>
      <c r="AQ127" s="18" t="s">
        <v>345</v>
      </c>
      <c r="AR127" s="18" t="s">
        <v>345</v>
      </c>
      <c r="AS127" s="28"/>
      <c r="AT127" s="28"/>
      <c r="AU127" s="18" t="s">
        <v>345</v>
      </c>
      <c r="AV127" s="18" t="s">
        <v>345</v>
      </c>
      <c r="AW127" s="18" t="s">
        <v>345</v>
      </c>
      <c r="AX127" s="32" t="s">
        <v>357</v>
      </c>
      <c r="AY127" s="18" t="s">
        <v>345</v>
      </c>
      <c r="AZ127" s="18" t="s">
        <v>345</v>
      </c>
      <c r="BA127" s="35" t="s">
        <v>358</v>
      </c>
      <c r="BB127" s="36" t="s">
        <v>359</v>
      </c>
      <c r="BC127" s="112"/>
    </row>
    <row r="128" spans="1:55" ht="76.5" customHeight="1" x14ac:dyDescent="0.25">
      <c r="A128" s="15">
        <v>124</v>
      </c>
      <c r="B128" s="15"/>
      <c r="C128" s="15" t="s">
        <v>849</v>
      </c>
      <c r="D128" s="15" t="s">
        <v>403</v>
      </c>
      <c r="E128" s="15" t="s">
        <v>937</v>
      </c>
      <c r="F128" s="16" t="s">
        <v>154</v>
      </c>
      <c r="G128" s="17">
        <v>0</v>
      </c>
      <c r="H128" s="18" t="s">
        <v>938</v>
      </c>
      <c r="I128" s="18"/>
      <c r="J128" s="18" t="s">
        <v>387</v>
      </c>
      <c r="K128" s="19">
        <v>1</v>
      </c>
      <c r="L128" s="20">
        <v>8</v>
      </c>
      <c r="M128" s="21">
        <v>0</v>
      </c>
      <c r="N128" s="22"/>
      <c r="O128" s="18" t="s">
        <v>349</v>
      </c>
      <c r="P128" s="18" t="s">
        <v>854</v>
      </c>
      <c r="Q128" s="18" t="s">
        <v>406</v>
      </c>
      <c r="R128" s="18" t="s">
        <v>939</v>
      </c>
      <c r="S128" s="18"/>
      <c r="T128" s="22"/>
      <c r="U128" s="23"/>
      <c r="V128" s="22"/>
      <c r="W128" s="23"/>
      <c r="X128" s="24" t="s">
        <v>352</v>
      </c>
      <c r="Y128" s="18"/>
      <c r="Z128" s="18" t="s">
        <v>940</v>
      </c>
      <c r="AA128" s="25">
        <v>46218</v>
      </c>
      <c r="AB128" s="25">
        <v>46223</v>
      </c>
      <c r="AC128" s="26">
        <v>46223</v>
      </c>
      <c r="AD128" s="26">
        <v>46226</v>
      </c>
      <c r="AE128" s="23">
        <v>46236</v>
      </c>
      <c r="AF128" s="23">
        <v>46241</v>
      </c>
      <c r="AG128" s="23"/>
      <c r="AH128" s="27"/>
      <c r="AI128" s="24"/>
      <c r="AJ128" s="28"/>
      <c r="AK128" s="28"/>
      <c r="AL128" s="18" t="s">
        <v>345</v>
      </c>
      <c r="AM128" s="18" t="s">
        <v>345</v>
      </c>
      <c r="AN128" s="18" t="s">
        <v>345</v>
      </c>
      <c r="AO128" s="18" t="s">
        <v>354</v>
      </c>
      <c r="AP128" s="24" t="s">
        <v>355</v>
      </c>
      <c r="AQ128" s="18" t="s">
        <v>345</v>
      </c>
      <c r="AR128" s="18" t="s">
        <v>345</v>
      </c>
      <c r="AS128" s="28"/>
      <c r="AT128" s="28"/>
      <c r="AU128" s="18" t="s">
        <v>345</v>
      </c>
      <c r="AV128" s="18" t="s">
        <v>345</v>
      </c>
      <c r="AW128" s="18" t="s">
        <v>345</v>
      </c>
      <c r="AX128" s="32" t="s">
        <v>357</v>
      </c>
      <c r="AY128" s="18" t="s">
        <v>345</v>
      </c>
      <c r="AZ128" s="18" t="s">
        <v>345</v>
      </c>
      <c r="BA128" s="35" t="s">
        <v>358</v>
      </c>
      <c r="BB128" s="36" t="s">
        <v>359</v>
      </c>
      <c r="BC128" s="112"/>
    </row>
    <row r="129" spans="1:55" ht="63.75" customHeight="1" x14ac:dyDescent="0.25">
      <c r="A129" s="15">
        <v>125</v>
      </c>
      <c r="B129" s="15"/>
      <c r="C129" s="15" t="s">
        <v>849</v>
      </c>
      <c r="D129" s="15" t="s">
        <v>403</v>
      </c>
      <c r="E129" s="15" t="s">
        <v>941</v>
      </c>
      <c r="F129" s="16" t="s">
        <v>155</v>
      </c>
      <c r="G129" s="17">
        <v>0</v>
      </c>
      <c r="H129" s="18" t="s">
        <v>942</v>
      </c>
      <c r="I129" s="18"/>
      <c r="J129" s="18" t="s">
        <v>387</v>
      </c>
      <c r="K129" s="19">
        <v>1</v>
      </c>
      <c r="L129" s="20">
        <v>8</v>
      </c>
      <c r="M129" s="21">
        <v>0</v>
      </c>
      <c r="N129" s="22"/>
      <c r="O129" s="18" t="s">
        <v>349</v>
      </c>
      <c r="P129" s="18" t="s">
        <v>943</v>
      </c>
      <c r="Q129" s="18" t="s">
        <v>406</v>
      </c>
      <c r="R129" s="18" t="s">
        <v>944</v>
      </c>
      <c r="S129" s="18"/>
      <c r="T129" s="22"/>
      <c r="U129" s="23"/>
      <c r="V129" s="22"/>
      <c r="W129" s="23"/>
      <c r="X129" s="24" t="s">
        <v>352</v>
      </c>
      <c r="Y129" s="18"/>
      <c r="Z129" s="18" t="s">
        <v>945</v>
      </c>
      <c r="AA129" s="25">
        <v>46223</v>
      </c>
      <c r="AB129" s="25">
        <v>46226</v>
      </c>
      <c r="AC129" s="26">
        <v>46226</v>
      </c>
      <c r="AD129" s="26">
        <v>46231</v>
      </c>
      <c r="AE129" s="23">
        <v>46241</v>
      </c>
      <c r="AF129" s="23">
        <v>46246</v>
      </c>
      <c r="AG129" s="23"/>
      <c r="AH129" s="27"/>
      <c r="AI129" s="24"/>
      <c r="AJ129" s="28"/>
      <c r="AK129" s="28"/>
      <c r="AL129" s="18" t="s">
        <v>345</v>
      </c>
      <c r="AM129" s="18" t="s">
        <v>345</v>
      </c>
      <c r="AN129" s="18" t="s">
        <v>345</v>
      </c>
      <c r="AO129" s="18" t="s">
        <v>354</v>
      </c>
      <c r="AP129" s="24" t="s">
        <v>355</v>
      </c>
      <c r="AQ129" s="18" t="s">
        <v>345</v>
      </c>
      <c r="AR129" s="18" t="s">
        <v>345</v>
      </c>
      <c r="AS129" s="28"/>
      <c r="AT129" s="28"/>
      <c r="AU129" s="18" t="s">
        <v>345</v>
      </c>
      <c r="AV129" s="18" t="s">
        <v>345</v>
      </c>
      <c r="AW129" s="18" t="s">
        <v>345</v>
      </c>
      <c r="AX129" s="32" t="s">
        <v>357</v>
      </c>
      <c r="AY129" s="18" t="s">
        <v>345</v>
      </c>
      <c r="AZ129" s="18" t="s">
        <v>345</v>
      </c>
      <c r="BA129" s="35" t="s">
        <v>358</v>
      </c>
      <c r="BB129" s="36" t="s">
        <v>359</v>
      </c>
      <c r="BC129" s="112"/>
    </row>
    <row r="130" spans="1:55" ht="76.5" customHeight="1" x14ac:dyDescent="0.25">
      <c r="A130" s="15">
        <v>126</v>
      </c>
      <c r="B130" s="15"/>
      <c r="C130" s="15" t="s">
        <v>849</v>
      </c>
      <c r="D130" s="15" t="s">
        <v>403</v>
      </c>
      <c r="E130" s="15" t="s">
        <v>946</v>
      </c>
      <c r="F130" s="16" t="s">
        <v>156</v>
      </c>
      <c r="G130" s="17">
        <v>0</v>
      </c>
      <c r="H130" s="18" t="s">
        <v>947</v>
      </c>
      <c r="I130" s="18"/>
      <c r="J130" s="18" t="s">
        <v>387</v>
      </c>
      <c r="K130" s="19">
        <v>1</v>
      </c>
      <c r="L130" s="20">
        <v>8</v>
      </c>
      <c r="M130" s="21">
        <v>0</v>
      </c>
      <c r="N130" s="22"/>
      <c r="O130" s="18" t="s">
        <v>349</v>
      </c>
      <c r="P130" s="18" t="s">
        <v>854</v>
      </c>
      <c r="Q130" s="18" t="s">
        <v>406</v>
      </c>
      <c r="R130" s="18" t="s">
        <v>948</v>
      </c>
      <c r="S130" s="18"/>
      <c r="T130" s="22"/>
      <c r="U130" s="23"/>
      <c r="V130" s="22"/>
      <c r="W130" s="23"/>
      <c r="X130" s="24" t="s">
        <v>352</v>
      </c>
      <c r="Y130" s="18"/>
      <c r="Z130" s="18" t="s">
        <v>949</v>
      </c>
      <c r="AA130" s="25">
        <v>46223</v>
      </c>
      <c r="AB130" s="25">
        <v>46226</v>
      </c>
      <c r="AC130" s="26">
        <v>46226</v>
      </c>
      <c r="AD130" s="26">
        <v>46231</v>
      </c>
      <c r="AE130" s="23">
        <v>46241</v>
      </c>
      <c r="AF130" s="23">
        <v>46246</v>
      </c>
      <c r="AG130" s="23"/>
      <c r="AH130" s="27"/>
      <c r="AI130" s="24"/>
      <c r="AJ130" s="28"/>
      <c r="AK130" s="28"/>
      <c r="AL130" s="18" t="s">
        <v>345</v>
      </c>
      <c r="AM130" s="18" t="s">
        <v>345</v>
      </c>
      <c r="AN130" s="18" t="s">
        <v>345</v>
      </c>
      <c r="AO130" s="18" t="s">
        <v>354</v>
      </c>
      <c r="AP130" s="24" t="s">
        <v>355</v>
      </c>
      <c r="AQ130" s="18" t="s">
        <v>345</v>
      </c>
      <c r="AR130" s="18" t="s">
        <v>345</v>
      </c>
      <c r="AS130" s="28"/>
      <c r="AT130" s="28"/>
      <c r="AU130" s="18" t="s">
        <v>345</v>
      </c>
      <c r="AV130" s="18" t="s">
        <v>345</v>
      </c>
      <c r="AW130" s="18" t="s">
        <v>345</v>
      </c>
      <c r="AX130" s="32" t="s">
        <v>357</v>
      </c>
      <c r="AY130" s="18" t="s">
        <v>345</v>
      </c>
      <c r="AZ130" s="18" t="s">
        <v>345</v>
      </c>
      <c r="BA130" s="35" t="s">
        <v>358</v>
      </c>
      <c r="BB130" s="36" t="s">
        <v>359</v>
      </c>
      <c r="BC130" s="112"/>
    </row>
    <row r="131" spans="1:55" ht="76.5" customHeight="1" x14ac:dyDescent="0.25">
      <c r="A131" s="15">
        <v>127</v>
      </c>
      <c r="B131" s="15"/>
      <c r="C131" s="15" t="s">
        <v>849</v>
      </c>
      <c r="D131" s="15" t="s">
        <v>403</v>
      </c>
      <c r="E131" s="15" t="s">
        <v>950</v>
      </c>
      <c r="F131" s="16" t="s">
        <v>157</v>
      </c>
      <c r="G131" s="17">
        <v>0</v>
      </c>
      <c r="H131" s="18" t="s">
        <v>951</v>
      </c>
      <c r="I131" s="18"/>
      <c r="J131" s="18" t="s">
        <v>387</v>
      </c>
      <c r="K131" s="19">
        <v>1</v>
      </c>
      <c r="L131" s="20">
        <v>8</v>
      </c>
      <c r="M131" s="21">
        <v>0</v>
      </c>
      <c r="N131" s="22"/>
      <c r="O131" s="18" t="s">
        <v>349</v>
      </c>
      <c r="P131" s="18" t="s">
        <v>854</v>
      </c>
      <c r="Q131" s="18" t="s">
        <v>406</v>
      </c>
      <c r="R131" s="18" t="s">
        <v>952</v>
      </c>
      <c r="S131" s="18"/>
      <c r="T131" s="22"/>
      <c r="U131" s="23"/>
      <c r="V131" s="22"/>
      <c r="W131" s="23"/>
      <c r="X131" s="24" t="s">
        <v>352</v>
      </c>
      <c r="Y131" s="18"/>
      <c r="Z131" s="18" t="s">
        <v>953</v>
      </c>
      <c r="AA131" s="25">
        <v>46226</v>
      </c>
      <c r="AB131" s="25">
        <v>46230</v>
      </c>
      <c r="AC131" s="26">
        <v>46231</v>
      </c>
      <c r="AD131" s="26">
        <v>46233</v>
      </c>
      <c r="AE131" s="23">
        <v>46243</v>
      </c>
      <c r="AF131" s="23">
        <v>46248</v>
      </c>
      <c r="AG131" s="23"/>
      <c r="AH131" s="27"/>
      <c r="AI131" s="24"/>
      <c r="AJ131" s="28"/>
      <c r="AK131" s="28"/>
      <c r="AL131" s="18" t="s">
        <v>345</v>
      </c>
      <c r="AM131" s="18" t="s">
        <v>345</v>
      </c>
      <c r="AN131" s="18" t="s">
        <v>345</v>
      </c>
      <c r="AO131" s="18" t="s">
        <v>354</v>
      </c>
      <c r="AP131" s="24" t="s">
        <v>355</v>
      </c>
      <c r="AQ131" s="18" t="s">
        <v>345</v>
      </c>
      <c r="AR131" s="18" t="s">
        <v>345</v>
      </c>
      <c r="AS131" s="28"/>
      <c r="AT131" s="28"/>
      <c r="AU131" s="18" t="s">
        <v>345</v>
      </c>
      <c r="AV131" s="18" t="s">
        <v>345</v>
      </c>
      <c r="AW131" s="18" t="s">
        <v>345</v>
      </c>
      <c r="AX131" s="32" t="s">
        <v>357</v>
      </c>
      <c r="AY131" s="18" t="s">
        <v>345</v>
      </c>
      <c r="AZ131" s="18" t="s">
        <v>345</v>
      </c>
      <c r="BA131" s="35" t="s">
        <v>358</v>
      </c>
      <c r="BB131" s="36" t="s">
        <v>359</v>
      </c>
      <c r="BC131" s="112"/>
    </row>
    <row r="132" spans="1:55" ht="63.75" customHeight="1" x14ac:dyDescent="0.25">
      <c r="A132" s="15">
        <v>128</v>
      </c>
      <c r="B132" s="15"/>
      <c r="C132" s="15" t="s">
        <v>849</v>
      </c>
      <c r="D132" s="15" t="s">
        <v>403</v>
      </c>
      <c r="E132" s="15" t="s">
        <v>954</v>
      </c>
      <c r="F132" s="16" t="s">
        <v>158</v>
      </c>
      <c r="G132" s="17">
        <v>0</v>
      </c>
      <c r="H132" s="18" t="s">
        <v>955</v>
      </c>
      <c r="I132" s="18"/>
      <c r="J132" s="18" t="s">
        <v>387</v>
      </c>
      <c r="K132" s="19">
        <v>1</v>
      </c>
      <c r="L132" s="20">
        <v>8</v>
      </c>
      <c r="M132" s="21">
        <v>0</v>
      </c>
      <c r="N132" s="22"/>
      <c r="O132" s="18" t="s">
        <v>349</v>
      </c>
      <c r="P132" s="18" t="s">
        <v>854</v>
      </c>
      <c r="Q132" s="18" t="s">
        <v>406</v>
      </c>
      <c r="R132" s="18" t="s">
        <v>956</v>
      </c>
      <c r="S132" s="18"/>
      <c r="T132" s="22"/>
      <c r="U132" s="23"/>
      <c r="V132" s="22"/>
      <c r="W132" s="23"/>
      <c r="X132" s="24" t="s">
        <v>352</v>
      </c>
      <c r="Y132" s="18"/>
      <c r="Z132" s="18" t="s">
        <v>957</v>
      </c>
      <c r="AA132" s="25">
        <v>46225</v>
      </c>
      <c r="AB132" s="25">
        <v>46230</v>
      </c>
      <c r="AC132" s="26">
        <v>46230</v>
      </c>
      <c r="AD132" s="26">
        <v>46233</v>
      </c>
      <c r="AE132" s="23">
        <v>46243</v>
      </c>
      <c r="AF132" s="23">
        <v>46248</v>
      </c>
      <c r="AG132" s="23"/>
      <c r="AH132" s="27"/>
      <c r="AI132" s="24"/>
      <c r="AJ132" s="28"/>
      <c r="AK132" s="28"/>
      <c r="AL132" s="18" t="s">
        <v>345</v>
      </c>
      <c r="AM132" s="18" t="s">
        <v>345</v>
      </c>
      <c r="AN132" s="18" t="s">
        <v>345</v>
      </c>
      <c r="AO132" s="18" t="s">
        <v>354</v>
      </c>
      <c r="AP132" s="24" t="s">
        <v>355</v>
      </c>
      <c r="AQ132" s="18" t="s">
        <v>345</v>
      </c>
      <c r="AR132" s="18" t="s">
        <v>345</v>
      </c>
      <c r="AS132" s="28"/>
      <c r="AT132" s="28"/>
      <c r="AU132" s="18" t="s">
        <v>345</v>
      </c>
      <c r="AV132" s="18" t="s">
        <v>345</v>
      </c>
      <c r="AW132" s="18" t="s">
        <v>345</v>
      </c>
      <c r="AX132" s="32" t="s">
        <v>357</v>
      </c>
      <c r="AY132" s="18" t="s">
        <v>345</v>
      </c>
      <c r="AZ132" s="18" t="s">
        <v>345</v>
      </c>
      <c r="BA132" s="35" t="s">
        <v>358</v>
      </c>
      <c r="BB132" s="36" t="s">
        <v>359</v>
      </c>
      <c r="BC132" s="112"/>
    </row>
    <row r="133" spans="1:55" ht="76.5" customHeight="1" x14ac:dyDescent="0.25">
      <c r="A133" s="15">
        <v>129</v>
      </c>
      <c r="B133" s="15"/>
      <c r="C133" s="15" t="s">
        <v>849</v>
      </c>
      <c r="D133" s="15" t="s">
        <v>403</v>
      </c>
      <c r="E133" s="15" t="s">
        <v>958</v>
      </c>
      <c r="F133" s="16" t="s">
        <v>159</v>
      </c>
      <c r="G133" s="17">
        <v>0</v>
      </c>
      <c r="H133" s="18" t="s">
        <v>959</v>
      </c>
      <c r="I133" s="18"/>
      <c r="J133" s="18" t="s">
        <v>387</v>
      </c>
      <c r="K133" s="19">
        <v>1</v>
      </c>
      <c r="L133" s="20">
        <v>8</v>
      </c>
      <c r="M133" s="21">
        <v>0</v>
      </c>
      <c r="N133" s="22"/>
      <c r="O133" s="18" t="s">
        <v>349</v>
      </c>
      <c r="P133" s="18" t="s">
        <v>854</v>
      </c>
      <c r="Q133" s="18" t="s">
        <v>406</v>
      </c>
      <c r="R133" s="18" t="s">
        <v>960</v>
      </c>
      <c r="S133" s="18"/>
      <c r="T133" s="22"/>
      <c r="U133" s="23"/>
      <c r="V133" s="22"/>
      <c r="W133" s="23"/>
      <c r="X133" s="24" t="s">
        <v>352</v>
      </c>
      <c r="Y133" s="18"/>
      <c r="Z133" s="18" t="s">
        <v>961</v>
      </c>
      <c r="AA133" s="25">
        <v>46230</v>
      </c>
      <c r="AB133" s="25">
        <v>46233</v>
      </c>
      <c r="AC133" s="26">
        <v>46233</v>
      </c>
      <c r="AD133" s="26">
        <v>46238</v>
      </c>
      <c r="AE133" s="23">
        <v>46248</v>
      </c>
      <c r="AF133" s="23">
        <v>46253</v>
      </c>
      <c r="AG133" s="23"/>
      <c r="AH133" s="27"/>
      <c r="AI133" s="24"/>
      <c r="AJ133" s="28"/>
      <c r="AK133" s="28"/>
      <c r="AL133" s="18" t="s">
        <v>345</v>
      </c>
      <c r="AM133" s="18" t="s">
        <v>345</v>
      </c>
      <c r="AN133" s="18" t="s">
        <v>345</v>
      </c>
      <c r="AO133" s="18" t="s">
        <v>354</v>
      </c>
      <c r="AP133" s="24" t="s">
        <v>355</v>
      </c>
      <c r="AQ133" s="18" t="s">
        <v>345</v>
      </c>
      <c r="AR133" s="18" t="s">
        <v>345</v>
      </c>
      <c r="AS133" s="28"/>
      <c r="AT133" s="28"/>
      <c r="AU133" s="18" t="s">
        <v>345</v>
      </c>
      <c r="AV133" s="18" t="s">
        <v>345</v>
      </c>
      <c r="AW133" s="18" t="s">
        <v>345</v>
      </c>
      <c r="AX133" s="32" t="s">
        <v>357</v>
      </c>
      <c r="AY133" s="18" t="s">
        <v>345</v>
      </c>
      <c r="AZ133" s="18" t="s">
        <v>345</v>
      </c>
      <c r="BA133" s="35" t="s">
        <v>358</v>
      </c>
      <c r="BB133" s="36" t="s">
        <v>359</v>
      </c>
      <c r="BC133" s="112"/>
    </row>
    <row r="134" spans="1:55" ht="63.75" customHeight="1" x14ac:dyDescent="0.25">
      <c r="A134" s="15">
        <v>130</v>
      </c>
      <c r="B134" s="15"/>
      <c r="C134" s="15" t="s">
        <v>849</v>
      </c>
      <c r="D134" s="15" t="s">
        <v>403</v>
      </c>
      <c r="E134" s="15" t="s">
        <v>962</v>
      </c>
      <c r="F134" s="16" t="s">
        <v>160</v>
      </c>
      <c r="G134" s="17">
        <v>0</v>
      </c>
      <c r="H134" s="18" t="s">
        <v>963</v>
      </c>
      <c r="I134" s="18"/>
      <c r="J134" s="18" t="s">
        <v>387</v>
      </c>
      <c r="K134" s="19">
        <v>1</v>
      </c>
      <c r="L134" s="20">
        <v>8</v>
      </c>
      <c r="M134" s="21">
        <v>0</v>
      </c>
      <c r="N134" s="22"/>
      <c r="O134" s="18" t="s">
        <v>349</v>
      </c>
      <c r="P134" s="18" t="s">
        <v>854</v>
      </c>
      <c r="Q134" s="18" t="s">
        <v>406</v>
      </c>
      <c r="R134" s="18" t="s">
        <v>964</v>
      </c>
      <c r="S134" s="18"/>
      <c r="T134" s="22"/>
      <c r="U134" s="23"/>
      <c r="V134" s="22"/>
      <c r="W134" s="23"/>
      <c r="X134" s="24" t="s">
        <v>352</v>
      </c>
      <c r="Y134" s="18"/>
      <c r="Z134" s="18" t="s">
        <v>965</v>
      </c>
      <c r="AA134" s="25">
        <v>46230</v>
      </c>
      <c r="AB134" s="25">
        <v>46233</v>
      </c>
      <c r="AC134" s="26">
        <v>46233</v>
      </c>
      <c r="AD134" s="26">
        <v>46238</v>
      </c>
      <c r="AE134" s="23">
        <v>46248</v>
      </c>
      <c r="AF134" s="23">
        <v>46253</v>
      </c>
      <c r="AG134" s="23"/>
      <c r="AH134" s="27"/>
      <c r="AI134" s="24"/>
      <c r="AJ134" s="28"/>
      <c r="AK134" s="28"/>
      <c r="AL134" s="18" t="s">
        <v>345</v>
      </c>
      <c r="AM134" s="18" t="s">
        <v>345</v>
      </c>
      <c r="AN134" s="18" t="s">
        <v>345</v>
      </c>
      <c r="AO134" s="18" t="s">
        <v>354</v>
      </c>
      <c r="AP134" s="24" t="s">
        <v>355</v>
      </c>
      <c r="AQ134" s="18" t="s">
        <v>345</v>
      </c>
      <c r="AR134" s="18" t="s">
        <v>345</v>
      </c>
      <c r="AS134" s="28"/>
      <c r="AT134" s="28"/>
      <c r="AU134" s="18" t="s">
        <v>345</v>
      </c>
      <c r="AV134" s="18" t="s">
        <v>345</v>
      </c>
      <c r="AW134" s="18" t="s">
        <v>345</v>
      </c>
      <c r="AX134" s="32" t="s">
        <v>357</v>
      </c>
      <c r="AY134" s="18" t="s">
        <v>345</v>
      </c>
      <c r="AZ134" s="18" t="s">
        <v>345</v>
      </c>
      <c r="BA134" s="35" t="s">
        <v>358</v>
      </c>
      <c r="BB134" s="36" t="s">
        <v>359</v>
      </c>
      <c r="BC134" s="112"/>
    </row>
    <row r="135" spans="1:55" ht="76.5" customHeight="1" x14ac:dyDescent="0.25">
      <c r="A135" s="15">
        <v>131</v>
      </c>
      <c r="B135" s="15"/>
      <c r="C135" s="15" t="s">
        <v>849</v>
      </c>
      <c r="D135" s="15" t="s">
        <v>403</v>
      </c>
      <c r="E135" s="15" t="s">
        <v>966</v>
      </c>
      <c r="F135" s="16" t="s">
        <v>161</v>
      </c>
      <c r="G135" s="17">
        <v>0</v>
      </c>
      <c r="H135" s="18" t="s">
        <v>967</v>
      </c>
      <c r="I135" s="18"/>
      <c r="J135" s="18" t="s">
        <v>387</v>
      </c>
      <c r="K135" s="19">
        <v>0.125</v>
      </c>
      <c r="L135" s="20">
        <v>1</v>
      </c>
      <c r="M135" s="21">
        <v>0</v>
      </c>
      <c r="N135" s="22"/>
      <c r="O135" s="18" t="s">
        <v>349</v>
      </c>
      <c r="P135" s="18" t="s">
        <v>854</v>
      </c>
      <c r="Q135" s="18" t="s">
        <v>406</v>
      </c>
      <c r="R135" s="18" t="s">
        <v>968</v>
      </c>
      <c r="S135" s="18"/>
      <c r="T135" s="22"/>
      <c r="U135" s="23"/>
      <c r="V135" s="22"/>
      <c r="W135" s="23"/>
      <c r="X135" s="24" t="s">
        <v>352</v>
      </c>
      <c r="Y135" s="18"/>
      <c r="Z135" s="18" t="s">
        <v>969</v>
      </c>
      <c r="AA135" s="25">
        <v>46233</v>
      </c>
      <c r="AB135" s="25">
        <v>46238</v>
      </c>
      <c r="AC135" s="26">
        <v>46238</v>
      </c>
      <c r="AD135" s="26">
        <v>46241</v>
      </c>
      <c r="AE135" s="23">
        <v>46251</v>
      </c>
      <c r="AF135" s="23">
        <v>46256</v>
      </c>
      <c r="AG135" s="23"/>
      <c r="AH135" s="27"/>
      <c r="AI135" s="24"/>
      <c r="AJ135" s="28"/>
      <c r="AK135" s="28"/>
      <c r="AL135" s="18" t="s">
        <v>345</v>
      </c>
      <c r="AM135" s="18" t="s">
        <v>345</v>
      </c>
      <c r="AN135" s="18" t="s">
        <v>345</v>
      </c>
      <c r="AO135" s="18" t="s">
        <v>354</v>
      </c>
      <c r="AP135" s="24" t="s">
        <v>355</v>
      </c>
      <c r="AQ135" s="18" t="s">
        <v>345</v>
      </c>
      <c r="AR135" s="18" t="s">
        <v>345</v>
      </c>
      <c r="AS135" s="28"/>
      <c r="AT135" s="28"/>
      <c r="AU135" s="18" t="s">
        <v>345</v>
      </c>
      <c r="AV135" s="18" t="s">
        <v>345</v>
      </c>
      <c r="AW135" s="18" t="s">
        <v>345</v>
      </c>
      <c r="AX135" s="32" t="s">
        <v>357</v>
      </c>
      <c r="AY135" s="18" t="s">
        <v>345</v>
      </c>
      <c r="AZ135" s="18" t="s">
        <v>345</v>
      </c>
      <c r="BA135" s="35" t="s">
        <v>358</v>
      </c>
      <c r="BB135" s="36" t="s">
        <v>359</v>
      </c>
      <c r="BC135" s="112"/>
    </row>
    <row r="136" spans="1:55" ht="76.5" customHeight="1" x14ac:dyDescent="0.25">
      <c r="A136" s="15">
        <v>132</v>
      </c>
      <c r="B136" s="15"/>
      <c r="C136" s="15" t="s">
        <v>849</v>
      </c>
      <c r="D136" s="15" t="s">
        <v>403</v>
      </c>
      <c r="E136" s="15" t="s">
        <v>970</v>
      </c>
      <c r="F136" s="16" t="s">
        <v>162</v>
      </c>
      <c r="G136" s="17">
        <v>0</v>
      </c>
      <c r="H136" s="18" t="s">
        <v>971</v>
      </c>
      <c r="I136" s="18"/>
      <c r="J136" s="18" t="s">
        <v>387</v>
      </c>
      <c r="K136" s="19">
        <v>1</v>
      </c>
      <c r="L136" s="20">
        <v>8</v>
      </c>
      <c r="M136" s="21">
        <v>0</v>
      </c>
      <c r="N136" s="22"/>
      <c r="O136" s="18" t="s">
        <v>349</v>
      </c>
      <c r="P136" s="18" t="s">
        <v>854</v>
      </c>
      <c r="Q136" s="18" t="s">
        <v>406</v>
      </c>
      <c r="R136" s="18" t="s">
        <v>972</v>
      </c>
      <c r="S136" s="18"/>
      <c r="T136" s="22"/>
      <c r="U136" s="23"/>
      <c r="V136" s="22"/>
      <c r="W136" s="23"/>
      <c r="X136" s="24" t="s">
        <v>352</v>
      </c>
      <c r="Y136" s="18"/>
      <c r="Z136" s="18" t="s">
        <v>973</v>
      </c>
      <c r="AA136" s="25">
        <v>46233</v>
      </c>
      <c r="AB136" s="25">
        <v>46238</v>
      </c>
      <c r="AC136" s="26">
        <v>46238</v>
      </c>
      <c r="AD136" s="26">
        <v>46241</v>
      </c>
      <c r="AE136" s="23">
        <v>46251</v>
      </c>
      <c r="AF136" s="23">
        <v>46256</v>
      </c>
      <c r="AG136" s="23"/>
      <c r="AH136" s="27"/>
      <c r="AI136" s="24"/>
      <c r="AJ136" s="28"/>
      <c r="AK136" s="28"/>
      <c r="AL136" s="18" t="s">
        <v>345</v>
      </c>
      <c r="AM136" s="18" t="s">
        <v>345</v>
      </c>
      <c r="AN136" s="18" t="s">
        <v>345</v>
      </c>
      <c r="AO136" s="18" t="s">
        <v>354</v>
      </c>
      <c r="AP136" s="24" t="s">
        <v>355</v>
      </c>
      <c r="AQ136" s="18" t="s">
        <v>345</v>
      </c>
      <c r="AR136" s="18" t="s">
        <v>345</v>
      </c>
      <c r="AS136" s="28"/>
      <c r="AT136" s="28"/>
      <c r="AU136" s="18" t="s">
        <v>345</v>
      </c>
      <c r="AV136" s="18" t="s">
        <v>345</v>
      </c>
      <c r="AW136" s="18" t="s">
        <v>345</v>
      </c>
      <c r="AX136" s="32" t="s">
        <v>357</v>
      </c>
      <c r="AY136" s="18" t="s">
        <v>345</v>
      </c>
      <c r="AZ136" s="18" t="s">
        <v>345</v>
      </c>
      <c r="BA136" s="35" t="s">
        <v>358</v>
      </c>
      <c r="BB136" s="36" t="s">
        <v>359</v>
      </c>
      <c r="BC136" s="112"/>
    </row>
    <row r="137" spans="1:55" ht="63.75" customHeight="1" x14ac:dyDescent="0.25">
      <c r="A137" s="15">
        <v>133</v>
      </c>
      <c r="B137" s="15"/>
      <c r="C137" s="15" t="s">
        <v>849</v>
      </c>
      <c r="D137" s="15" t="s">
        <v>403</v>
      </c>
      <c r="E137" s="15" t="s">
        <v>974</v>
      </c>
      <c r="F137" s="16" t="s">
        <v>163</v>
      </c>
      <c r="G137" s="17">
        <v>0</v>
      </c>
      <c r="H137" s="18" t="s">
        <v>975</v>
      </c>
      <c r="I137" s="18"/>
      <c r="J137" s="18" t="s">
        <v>387</v>
      </c>
      <c r="K137" s="19">
        <v>1</v>
      </c>
      <c r="L137" s="20">
        <v>8</v>
      </c>
      <c r="M137" s="21">
        <v>0</v>
      </c>
      <c r="N137" s="22"/>
      <c r="O137" s="18" t="s">
        <v>349</v>
      </c>
      <c r="P137" s="18" t="s">
        <v>854</v>
      </c>
      <c r="Q137" s="18" t="s">
        <v>406</v>
      </c>
      <c r="R137" s="18" t="s">
        <v>976</v>
      </c>
      <c r="S137" s="18"/>
      <c r="T137" s="22"/>
      <c r="U137" s="23"/>
      <c r="V137" s="22"/>
      <c r="W137" s="23"/>
      <c r="X137" s="24" t="s">
        <v>352</v>
      </c>
      <c r="Y137" s="18"/>
      <c r="Z137" s="18" t="s">
        <v>977</v>
      </c>
      <c r="AA137" s="25">
        <v>46238</v>
      </c>
      <c r="AB137" s="25">
        <v>46241</v>
      </c>
      <c r="AC137" s="26">
        <v>46241</v>
      </c>
      <c r="AD137" s="26">
        <v>46246</v>
      </c>
      <c r="AE137" s="23">
        <v>46256</v>
      </c>
      <c r="AF137" s="23">
        <v>46261</v>
      </c>
      <c r="AG137" s="23"/>
      <c r="AH137" s="27"/>
      <c r="AI137" s="24"/>
      <c r="AJ137" s="28"/>
      <c r="AK137" s="28"/>
      <c r="AL137" s="18" t="s">
        <v>345</v>
      </c>
      <c r="AM137" s="18" t="s">
        <v>345</v>
      </c>
      <c r="AN137" s="18" t="s">
        <v>345</v>
      </c>
      <c r="AO137" s="18" t="s">
        <v>354</v>
      </c>
      <c r="AP137" s="24" t="s">
        <v>355</v>
      </c>
      <c r="AQ137" s="18" t="s">
        <v>345</v>
      </c>
      <c r="AR137" s="18" t="s">
        <v>345</v>
      </c>
      <c r="AS137" s="28"/>
      <c r="AT137" s="28"/>
      <c r="AU137" s="18" t="s">
        <v>345</v>
      </c>
      <c r="AV137" s="18" t="s">
        <v>345</v>
      </c>
      <c r="AW137" s="18" t="s">
        <v>345</v>
      </c>
      <c r="AX137" s="32" t="s">
        <v>357</v>
      </c>
      <c r="AY137" s="18" t="s">
        <v>345</v>
      </c>
      <c r="AZ137" s="18" t="s">
        <v>345</v>
      </c>
      <c r="BA137" s="35" t="s">
        <v>358</v>
      </c>
      <c r="BB137" s="36" t="s">
        <v>359</v>
      </c>
      <c r="BC137" s="112"/>
    </row>
    <row r="138" spans="1:55" ht="76.5" customHeight="1" x14ac:dyDescent="0.25">
      <c r="A138" s="15">
        <v>134</v>
      </c>
      <c r="B138" s="15"/>
      <c r="C138" s="15" t="s">
        <v>849</v>
      </c>
      <c r="D138" s="15" t="s">
        <v>403</v>
      </c>
      <c r="E138" s="15" t="s">
        <v>978</v>
      </c>
      <c r="F138" s="16" t="s">
        <v>164</v>
      </c>
      <c r="G138" s="17">
        <v>0</v>
      </c>
      <c r="H138" s="18" t="s">
        <v>979</v>
      </c>
      <c r="I138" s="18"/>
      <c r="J138" s="18" t="s">
        <v>387</v>
      </c>
      <c r="K138" s="19">
        <v>1</v>
      </c>
      <c r="L138" s="20">
        <v>8</v>
      </c>
      <c r="M138" s="21">
        <v>0</v>
      </c>
      <c r="N138" s="22"/>
      <c r="O138" s="18" t="s">
        <v>349</v>
      </c>
      <c r="P138" s="18" t="s">
        <v>854</v>
      </c>
      <c r="Q138" s="18" t="s">
        <v>406</v>
      </c>
      <c r="R138" s="18" t="s">
        <v>980</v>
      </c>
      <c r="S138" s="18"/>
      <c r="T138" s="22"/>
      <c r="U138" s="23"/>
      <c r="V138" s="22"/>
      <c r="W138" s="23"/>
      <c r="X138" s="24" t="s">
        <v>352</v>
      </c>
      <c r="Y138" s="18"/>
      <c r="Z138" s="18" t="s">
        <v>981</v>
      </c>
      <c r="AA138" s="25">
        <v>46238</v>
      </c>
      <c r="AB138" s="25">
        <v>46241</v>
      </c>
      <c r="AC138" s="26">
        <v>46241</v>
      </c>
      <c r="AD138" s="26">
        <v>46246</v>
      </c>
      <c r="AE138" s="23">
        <v>46256</v>
      </c>
      <c r="AF138" s="23">
        <v>46261</v>
      </c>
      <c r="AG138" s="23"/>
      <c r="AH138" s="27"/>
      <c r="AI138" s="24"/>
      <c r="AJ138" s="28"/>
      <c r="AK138" s="28"/>
      <c r="AL138" s="18" t="s">
        <v>345</v>
      </c>
      <c r="AM138" s="18" t="s">
        <v>345</v>
      </c>
      <c r="AN138" s="18" t="s">
        <v>345</v>
      </c>
      <c r="AO138" s="18" t="s">
        <v>354</v>
      </c>
      <c r="AP138" s="24" t="s">
        <v>355</v>
      </c>
      <c r="AQ138" s="18" t="s">
        <v>345</v>
      </c>
      <c r="AR138" s="18" t="s">
        <v>345</v>
      </c>
      <c r="AS138" s="28"/>
      <c r="AT138" s="28"/>
      <c r="AU138" s="18" t="s">
        <v>345</v>
      </c>
      <c r="AV138" s="18" t="s">
        <v>345</v>
      </c>
      <c r="AW138" s="18" t="s">
        <v>345</v>
      </c>
      <c r="AX138" s="32" t="s">
        <v>357</v>
      </c>
      <c r="AY138" s="18" t="s">
        <v>345</v>
      </c>
      <c r="AZ138" s="18" t="s">
        <v>345</v>
      </c>
      <c r="BA138" s="35" t="s">
        <v>358</v>
      </c>
      <c r="BB138" s="36" t="s">
        <v>359</v>
      </c>
      <c r="BC138" s="112"/>
    </row>
    <row r="139" spans="1:55" ht="76.5" customHeight="1" x14ac:dyDescent="0.25">
      <c r="A139" s="15">
        <v>135</v>
      </c>
      <c r="B139" s="15"/>
      <c r="C139" s="15" t="s">
        <v>849</v>
      </c>
      <c r="D139" s="15" t="s">
        <v>403</v>
      </c>
      <c r="E139" s="15" t="s">
        <v>982</v>
      </c>
      <c r="F139" s="16" t="s">
        <v>165</v>
      </c>
      <c r="G139" s="17">
        <v>0</v>
      </c>
      <c r="H139" s="18" t="s">
        <v>983</v>
      </c>
      <c r="I139" s="18"/>
      <c r="J139" s="18" t="s">
        <v>387</v>
      </c>
      <c r="K139" s="19">
        <v>1</v>
      </c>
      <c r="L139" s="20">
        <v>8</v>
      </c>
      <c r="M139" s="21">
        <v>0</v>
      </c>
      <c r="N139" s="22"/>
      <c r="O139" s="18" t="s">
        <v>349</v>
      </c>
      <c r="P139" s="18" t="s">
        <v>854</v>
      </c>
      <c r="Q139" s="18" t="s">
        <v>406</v>
      </c>
      <c r="R139" s="18" t="s">
        <v>984</v>
      </c>
      <c r="S139" s="18"/>
      <c r="T139" s="22"/>
      <c r="U139" s="23"/>
      <c r="V139" s="22"/>
      <c r="W139" s="23"/>
      <c r="X139" s="24" t="s">
        <v>352</v>
      </c>
      <c r="Y139" s="18"/>
      <c r="Z139" s="18" t="s">
        <v>985</v>
      </c>
      <c r="AA139" s="25">
        <v>46241</v>
      </c>
      <c r="AB139" s="25">
        <v>46246</v>
      </c>
      <c r="AC139" s="26">
        <v>46241</v>
      </c>
      <c r="AD139" s="26">
        <v>46246</v>
      </c>
      <c r="AE139" s="23">
        <v>46256</v>
      </c>
      <c r="AF139" s="23">
        <v>46261</v>
      </c>
      <c r="AG139" s="23"/>
      <c r="AH139" s="27"/>
      <c r="AI139" s="24"/>
      <c r="AJ139" s="28"/>
      <c r="AK139" s="28"/>
      <c r="AL139" s="18" t="s">
        <v>345</v>
      </c>
      <c r="AM139" s="18" t="s">
        <v>345</v>
      </c>
      <c r="AN139" s="18" t="s">
        <v>345</v>
      </c>
      <c r="AO139" s="18" t="s">
        <v>354</v>
      </c>
      <c r="AP139" s="24" t="s">
        <v>355</v>
      </c>
      <c r="AQ139" s="18" t="s">
        <v>345</v>
      </c>
      <c r="AR139" s="18" t="s">
        <v>345</v>
      </c>
      <c r="AS139" s="28"/>
      <c r="AT139" s="28"/>
      <c r="AU139" s="18" t="s">
        <v>345</v>
      </c>
      <c r="AV139" s="18" t="s">
        <v>345</v>
      </c>
      <c r="AW139" s="18" t="s">
        <v>345</v>
      </c>
      <c r="AX139" s="32" t="s">
        <v>357</v>
      </c>
      <c r="AY139" s="18" t="s">
        <v>345</v>
      </c>
      <c r="AZ139" s="18" t="s">
        <v>345</v>
      </c>
      <c r="BA139" s="35" t="s">
        <v>358</v>
      </c>
      <c r="BB139" s="36" t="s">
        <v>359</v>
      </c>
      <c r="BC139" s="112"/>
    </row>
    <row r="140" spans="1:55" ht="76.5" customHeight="1" x14ac:dyDescent="0.25">
      <c r="A140" s="15">
        <v>136</v>
      </c>
      <c r="B140" s="15"/>
      <c r="C140" s="15" t="s">
        <v>849</v>
      </c>
      <c r="D140" s="15" t="s">
        <v>403</v>
      </c>
      <c r="E140" s="15" t="s">
        <v>986</v>
      </c>
      <c r="F140" s="16" t="s">
        <v>166</v>
      </c>
      <c r="G140" s="17">
        <v>0</v>
      </c>
      <c r="H140" s="18" t="s">
        <v>987</v>
      </c>
      <c r="I140" s="18"/>
      <c r="J140" s="18" t="s">
        <v>387</v>
      </c>
      <c r="K140" s="19">
        <v>1</v>
      </c>
      <c r="L140" s="20">
        <v>8</v>
      </c>
      <c r="M140" s="21">
        <v>0</v>
      </c>
      <c r="N140" s="22"/>
      <c r="O140" s="18" t="s">
        <v>349</v>
      </c>
      <c r="P140" s="18" t="s">
        <v>854</v>
      </c>
      <c r="Q140" s="18" t="s">
        <v>406</v>
      </c>
      <c r="R140" s="18" t="s">
        <v>988</v>
      </c>
      <c r="S140" s="18"/>
      <c r="T140" s="22"/>
      <c r="U140" s="23"/>
      <c r="V140" s="22"/>
      <c r="W140" s="23"/>
      <c r="X140" s="24" t="s">
        <v>352</v>
      </c>
      <c r="Y140" s="18"/>
      <c r="Z140" s="18" t="s">
        <v>989</v>
      </c>
      <c r="AA140" s="25">
        <v>46241</v>
      </c>
      <c r="AB140" s="25">
        <v>46246</v>
      </c>
      <c r="AC140" s="26">
        <v>46241</v>
      </c>
      <c r="AD140" s="26">
        <v>46246</v>
      </c>
      <c r="AE140" s="23">
        <v>46256</v>
      </c>
      <c r="AF140" s="23">
        <v>46261</v>
      </c>
      <c r="AG140" s="23"/>
      <c r="AH140" s="27"/>
      <c r="AI140" s="24"/>
      <c r="AJ140" s="28"/>
      <c r="AK140" s="28"/>
      <c r="AL140" s="18" t="s">
        <v>345</v>
      </c>
      <c r="AM140" s="18" t="s">
        <v>345</v>
      </c>
      <c r="AN140" s="18" t="s">
        <v>345</v>
      </c>
      <c r="AO140" s="18" t="s">
        <v>354</v>
      </c>
      <c r="AP140" s="24" t="s">
        <v>355</v>
      </c>
      <c r="AQ140" s="18" t="s">
        <v>345</v>
      </c>
      <c r="AR140" s="18" t="s">
        <v>345</v>
      </c>
      <c r="AS140" s="28"/>
      <c r="AT140" s="28"/>
      <c r="AU140" s="18" t="s">
        <v>345</v>
      </c>
      <c r="AV140" s="18" t="s">
        <v>345</v>
      </c>
      <c r="AW140" s="18" t="s">
        <v>345</v>
      </c>
      <c r="AX140" s="32" t="s">
        <v>357</v>
      </c>
      <c r="AY140" s="18" t="s">
        <v>345</v>
      </c>
      <c r="AZ140" s="18" t="s">
        <v>345</v>
      </c>
      <c r="BA140" s="35" t="s">
        <v>358</v>
      </c>
      <c r="BB140" s="36" t="s">
        <v>359</v>
      </c>
      <c r="BC140" s="112"/>
    </row>
    <row r="141" spans="1:55" ht="76.5" customHeight="1" x14ac:dyDescent="0.25">
      <c r="A141" s="15">
        <v>137</v>
      </c>
      <c r="B141" s="15"/>
      <c r="C141" s="15" t="s">
        <v>849</v>
      </c>
      <c r="D141" s="15" t="s">
        <v>403</v>
      </c>
      <c r="E141" s="15" t="s">
        <v>990</v>
      </c>
      <c r="F141" s="16" t="s">
        <v>991</v>
      </c>
      <c r="G141" s="17">
        <v>0</v>
      </c>
      <c r="H141" s="18" t="s">
        <v>992</v>
      </c>
      <c r="I141" s="18"/>
      <c r="J141" s="18" t="s">
        <v>387</v>
      </c>
      <c r="K141" s="19">
        <v>1</v>
      </c>
      <c r="L141" s="20">
        <v>8</v>
      </c>
      <c r="M141" s="21">
        <v>0</v>
      </c>
      <c r="N141" s="22"/>
      <c r="O141" s="18" t="s">
        <v>349</v>
      </c>
      <c r="P141" s="18" t="s">
        <v>854</v>
      </c>
      <c r="Q141" s="18" t="s">
        <v>406</v>
      </c>
      <c r="R141" s="18" t="s">
        <v>930</v>
      </c>
      <c r="S141" s="18"/>
      <c r="T141" s="22"/>
      <c r="U141" s="23"/>
      <c r="V141" s="22"/>
      <c r="W141" s="23"/>
      <c r="X141" s="24" t="s">
        <v>374</v>
      </c>
      <c r="Y141" s="18"/>
      <c r="Z141" s="18"/>
      <c r="AA141" s="25"/>
      <c r="AB141" s="25"/>
      <c r="AC141" s="26">
        <v>46244</v>
      </c>
      <c r="AD141" s="26">
        <v>46248</v>
      </c>
      <c r="AE141" s="23"/>
      <c r="AF141" s="23"/>
      <c r="AG141" s="23"/>
      <c r="AH141" s="27">
        <v>0</v>
      </c>
      <c r="AI141" s="24"/>
      <c r="AJ141" s="28"/>
      <c r="AK141" s="28">
        <v>0</v>
      </c>
      <c r="AL141" s="18" t="s">
        <v>345</v>
      </c>
      <c r="AM141" s="18" t="s">
        <v>345</v>
      </c>
      <c r="AN141" s="18" t="s">
        <v>345</v>
      </c>
      <c r="AO141" s="18" t="s">
        <v>354</v>
      </c>
      <c r="AP141" s="24" t="s">
        <v>355</v>
      </c>
      <c r="AQ141" s="18" t="s">
        <v>345</v>
      </c>
      <c r="AR141" s="18" t="s">
        <v>345</v>
      </c>
      <c r="AS141" s="28"/>
      <c r="AT141" s="28"/>
      <c r="AU141" s="18" t="s">
        <v>345</v>
      </c>
      <c r="AV141" s="18" t="s">
        <v>345</v>
      </c>
      <c r="AW141" s="18" t="s">
        <v>345</v>
      </c>
      <c r="AX141" s="32" t="s">
        <v>545</v>
      </c>
      <c r="AY141" s="18" t="s">
        <v>345</v>
      </c>
      <c r="AZ141" s="18" t="s">
        <v>345</v>
      </c>
      <c r="BA141" s="35" t="s">
        <v>358</v>
      </c>
      <c r="BB141" s="36" t="s">
        <v>359</v>
      </c>
      <c r="BC141" s="112"/>
    </row>
    <row r="142" spans="1:55" ht="63.75" customHeight="1" x14ac:dyDescent="0.25">
      <c r="A142" s="15">
        <v>138</v>
      </c>
      <c r="B142" s="15"/>
      <c r="C142" s="15" t="s">
        <v>849</v>
      </c>
      <c r="D142" s="15" t="s">
        <v>546</v>
      </c>
      <c r="E142" s="15" t="s">
        <v>993</v>
      </c>
      <c r="F142" s="16" t="s">
        <v>167</v>
      </c>
      <c r="G142" s="17">
        <v>0</v>
      </c>
      <c r="H142" s="18" t="s">
        <v>994</v>
      </c>
      <c r="I142" s="18"/>
      <c r="J142" s="18" t="s">
        <v>387</v>
      </c>
      <c r="K142" s="19">
        <v>0.5</v>
      </c>
      <c r="L142" s="20">
        <v>4</v>
      </c>
      <c r="M142" s="21">
        <v>0</v>
      </c>
      <c r="N142" s="22"/>
      <c r="O142" s="18" t="s">
        <v>349</v>
      </c>
      <c r="P142" s="18" t="s">
        <v>854</v>
      </c>
      <c r="Q142" s="18" t="s">
        <v>995</v>
      </c>
      <c r="R142" s="18"/>
      <c r="S142" s="18"/>
      <c r="T142" s="22"/>
      <c r="U142" s="23"/>
      <c r="V142" s="22"/>
      <c r="W142" s="23"/>
      <c r="X142" s="24" t="s">
        <v>352</v>
      </c>
      <c r="Y142" s="18"/>
      <c r="Z142" s="18" t="s">
        <v>996</v>
      </c>
      <c r="AA142" s="25">
        <v>46247</v>
      </c>
      <c r="AB142" s="25">
        <v>46252</v>
      </c>
      <c r="AC142" s="26">
        <v>46247</v>
      </c>
      <c r="AD142" s="26">
        <v>46252</v>
      </c>
      <c r="AE142" s="23">
        <v>46262</v>
      </c>
      <c r="AF142" s="23">
        <v>46267</v>
      </c>
      <c r="AG142" s="23"/>
      <c r="AH142" s="27"/>
      <c r="AI142" s="24"/>
      <c r="AJ142" s="28"/>
      <c r="AK142" s="28"/>
      <c r="AL142" s="18" t="s">
        <v>345</v>
      </c>
      <c r="AM142" s="18" t="s">
        <v>345</v>
      </c>
      <c r="AN142" s="18" t="s">
        <v>345</v>
      </c>
      <c r="AO142" s="18" t="s">
        <v>354</v>
      </c>
      <c r="AP142" s="24" t="s">
        <v>355</v>
      </c>
      <c r="AQ142" s="18" t="s">
        <v>345</v>
      </c>
      <c r="AR142" s="18" t="s">
        <v>345</v>
      </c>
      <c r="AS142" s="28"/>
      <c r="AT142" s="28"/>
      <c r="AU142" s="18" t="s">
        <v>345</v>
      </c>
      <c r="AV142" s="18" t="s">
        <v>345</v>
      </c>
      <c r="AW142" s="18" t="s">
        <v>345</v>
      </c>
      <c r="AX142" s="32" t="s">
        <v>357</v>
      </c>
      <c r="AY142" s="18" t="s">
        <v>345</v>
      </c>
      <c r="AZ142" s="18" t="s">
        <v>345</v>
      </c>
      <c r="BA142" s="35" t="s">
        <v>358</v>
      </c>
      <c r="BB142" s="36" t="s">
        <v>359</v>
      </c>
      <c r="BC142" s="112"/>
    </row>
    <row r="143" spans="1:55" ht="76.5" customHeight="1" x14ac:dyDescent="0.25">
      <c r="A143" s="15">
        <v>139</v>
      </c>
      <c r="B143" s="15"/>
      <c r="C143" s="15" t="s">
        <v>849</v>
      </c>
      <c r="D143" s="15" t="s">
        <v>546</v>
      </c>
      <c r="E143" s="15" t="s">
        <v>997</v>
      </c>
      <c r="F143" s="16" t="s">
        <v>168</v>
      </c>
      <c r="G143" s="17">
        <v>0</v>
      </c>
      <c r="H143" s="18" t="s">
        <v>998</v>
      </c>
      <c r="I143" s="18"/>
      <c r="J143" s="18" t="s">
        <v>387</v>
      </c>
      <c r="K143" s="19">
        <v>0.5</v>
      </c>
      <c r="L143" s="20">
        <v>4</v>
      </c>
      <c r="M143" s="21">
        <v>0</v>
      </c>
      <c r="N143" s="22"/>
      <c r="O143" s="18" t="s">
        <v>349</v>
      </c>
      <c r="P143" s="18" t="s">
        <v>911</v>
      </c>
      <c r="Q143" s="18" t="s">
        <v>995</v>
      </c>
      <c r="R143" s="18"/>
      <c r="S143" s="18"/>
      <c r="T143" s="22"/>
      <c r="U143" s="23"/>
      <c r="V143" s="22"/>
      <c r="W143" s="23"/>
      <c r="X143" s="24" t="s">
        <v>352</v>
      </c>
      <c r="Y143" s="18"/>
      <c r="Z143" s="18" t="s">
        <v>999</v>
      </c>
      <c r="AA143" s="25">
        <v>46244</v>
      </c>
      <c r="AB143" s="25">
        <v>46248</v>
      </c>
      <c r="AC143" s="26">
        <v>46252</v>
      </c>
      <c r="AD143" s="26">
        <v>46258</v>
      </c>
      <c r="AE143" s="23">
        <v>46268</v>
      </c>
      <c r="AF143" s="23">
        <v>46273</v>
      </c>
      <c r="AG143" s="23"/>
      <c r="AH143" s="27"/>
      <c r="AI143" s="24"/>
      <c r="AJ143" s="28"/>
      <c r="AK143" s="28"/>
      <c r="AL143" s="18" t="s">
        <v>345</v>
      </c>
      <c r="AM143" s="18" t="s">
        <v>345</v>
      </c>
      <c r="AN143" s="18" t="s">
        <v>345</v>
      </c>
      <c r="AO143" s="18" t="s">
        <v>354</v>
      </c>
      <c r="AP143" s="24" t="s">
        <v>355</v>
      </c>
      <c r="AQ143" s="18" t="s">
        <v>345</v>
      </c>
      <c r="AR143" s="18" t="s">
        <v>345</v>
      </c>
      <c r="AS143" s="28"/>
      <c r="AT143" s="28"/>
      <c r="AU143" s="18" t="s">
        <v>345</v>
      </c>
      <c r="AV143" s="18" t="s">
        <v>345</v>
      </c>
      <c r="AW143" s="18" t="s">
        <v>345</v>
      </c>
      <c r="AX143" s="32" t="s">
        <v>357</v>
      </c>
      <c r="AY143" s="18" t="s">
        <v>345</v>
      </c>
      <c r="AZ143" s="18" t="s">
        <v>345</v>
      </c>
      <c r="BA143" s="35" t="s">
        <v>358</v>
      </c>
      <c r="BB143" s="36" t="s">
        <v>359</v>
      </c>
      <c r="BC143" s="112"/>
    </row>
    <row r="144" spans="1:55" ht="76.5" customHeight="1" x14ac:dyDescent="0.25">
      <c r="A144" s="15">
        <v>140</v>
      </c>
      <c r="B144" s="15"/>
      <c r="C144" s="15" t="s">
        <v>849</v>
      </c>
      <c r="D144" s="15" t="s">
        <v>1000</v>
      </c>
      <c r="E144" s="15" t="s">
        <v>1001</v>
      </c>
      <c r="F144" s="16" t="s">
        <v>169</v>
      </c>
      <c r="G144" s="17">
        <v>0</v>
      </c>
      <c r="H144" s="18" t="s">
        <v>1002</v>
      </c>
      <c r="I144" s="18"/>
      <c r="J144" s="18" t="s">
        <v>387</v>
      </c>
      <c r="K144" s="19">
        <v>5</v>
      </c>
      <c r="L144" s="20">
        <v>40</v>
      </c>
      <c r="M144" s="21">
        <v>0</v>
      </c>
      <c r="N144" s="22"/>
      <c r="O144" s="18" t="s">
        <v>349</v>
      </c>
      <c r="P144" s="18" t="s">
        <v>854</v>
      </c>
      <c r="Q144" s="18" t="s">
        <v>1003</v>
      </c>
      <c r="R144" s="18"/>
      <c r="S144" s="18"/>
      <c r="T144" s="22"/>
      <c r="U144" s="23"/>
      <c r="V144" s="22"/>
      <c r="W144" s="23"/>
      <c r="X144" s="24" t="s">
        <v>352</v>
      </c>
      <c r="Y144" s="18"/>
      <c r="Z144" s="18"/>
      <c r="AA144" s="25">
        <v>46244</v>
      </c>
      <c r="AB144" s="25">
        <v>46248</v>
      </c>
      <c r="AC144" s="26">
        <v>46246</v>
      </c>
      <c r="AD144" s="26">
        <v>46251</v>
      </c>
      <c r="AE144" s="23">
        <v>46261</v>
      </c>
      <c r="AF144" s="23">
        <v>46266</v>
      </c>
      <c r="AG144" s="23"/>
      <c r="AH144" s="27"/>
      <c r="AI144" s="24"/>
      <c r="AJ144" s="28"/>
      <c r="AK144" s="28"/>
      <c r="AL144" s="18" t="s">
        <v>345</v>
      </c>
      <c r="AM144" s="18" t="s">
        <v>345</v>
      </c>
      <c r="AN144" s="18" t="s">
        <v>345</v>
      </c>
      <c r="AO144" s="18" t="s">
        <v>354</v>
      </c>
      <c r="AP144" s="24" t="s">
        <v>355</v>
      </c>
      <c r="AQ144" s="18" t="s">
        <v>345</v>
      </c>
      <c r="AR144" s="18" t="s">
        <v>345</v>
      </c>
      <c r="AS144" s="28"/>
      <c r="AT144" s="28"/>
      <c r="AU144" s="18" t="s">
        <v>345</v>
      </c>
      <c r="AV144" s="18" t="s">
        <v>345</v>
      </c>
      <c r="AW144" s="18" t="s">
        <v>345</v>
      </c>
      <c r="AX144" s="32" t="s">
        <v>357</v>
      </c>
      <c r="AY144" s="18" t="s">
        <v>345</v>
      </c>
      <c r="AZ144" s="18" t="s">
        <v>345</v>
      </c>
      <c r="BA144" s="35" t="s">
        <v>358</v>
      </c>
      <c r="BB144" s="36" t="s">
        <v>359</v>
      </c>
      <c r="BC144" s="112"/>
    </row>
    <row r="145" spans="1:55" ht="63.75" customHeight="1" x14ac:dyDescent="0.25">
      <c r="A145" s="15">
        <v>141</v>
      </c>
      <c r="B145" s="15"/>
      <c r="C145" s="15" t="s">
        <v>849</v>
      </c>
      <c r="D145" s="15" t="s">
        <v>1000</v>
      </c>
      <c r="E145" s="15" t="s">
        <v>1004</v>
      </c>
      <c r="F145" s="16" t="s">
        <v>170</v>
      </c>
      <c r="G145" s="17">
        <v>0</v>
      </c>
      <c r="H145" s="18" t="s">
        <v>1005</v>
      </c>
      <c r="I145" s="18"/>
      <c r="J145" s="18" t="s">
        <v>387</v>
      </c>
      <c r="K145" s="19">
        <v>0.75</v>
      </c>
      <c r="L145" s="20">
        <v>6</v>
      </c>
      <c r="M145" s="21">
        <v>0</v>
      </c>
      <c r="N145" s="22"/>
      <c r="O145" s="18" t="s">
        <v>349</v>
      </c>
      <c r="P145" s="18" t="s">
        <v>911</v>
      </c>
      <c r="Q145" s="18" t="s">
        <v>1003</v>
      </c>
      <c r="R145" s="18"/>
      <c r="S145" s="18"/>
      <c r="T145" s="22"/>
      <c r="U145" s="23"/>
      <c r="V145" s="22"/>
      <c r="W145" s="23"/>
      <c r="X145" s="24" t="s">
        <v>352</v>
      </c>
      <c r="Y145" s="18"/>
      <c r="Z145" s="18" t="s">
        <v>1006</v>
      </c>
      <c r="AA145" s="25">
        <v>46254</v>
      </c>
      <c r="AB145" s="25">
        <v>46259</v>
      </c>
      <c r="AC145" s="26">
        <v>46262</v>
      </c>
      <c r="AD145" s="26">
        <v>46267</v>
      </c>
      <c r="AE145" s="23">
        <v>46277</v>
      </c>
      <c r="AF145" s="23">
        <v>46282</v>
      </c>
      <c r="AG145" s="23"/>
      <c r="AH145" s="27"/>
      <c r="AI145" s="24"/>
      <c r="AJ145" s="28"/>
      <c r="AK145" s="28"/>
      <c r="AL145" s="18" t="s">
        <v>345</v>
      </c>
      <c r="AM145" s="18" t="s">
        <v>345</v>
      </c>
      <c r="AN145" s="18" t="s">
        <v>345</v>
      </c>
      <c r="AO145" s="18" t="s">
        <v>354</v>
      </c>
      <c r="AP145" s="24" t="s">
        <v>355</v>
      </c>
      <c r="AQ145" s="18" t="s">
        <v>345</v>
      </c>
      <c r="AR145" s="18" t="s">
        <v>345</v>
      </c>
      <c r="AS145" s="28"/>
      <c r="AT145" s="28"/>
      <c r="AU145" s="18" t="s">
        <v>345</v>
      </c>
      <c r="AV145" s="18" t="s">
        <v>345</v>
      </c>
      <c r="AW145" s="18" t="s">
        <v>345</v>
      </c>
      <c r="AX145" s="32" t="s">
        <v>357</v>
      </c>
      <c r="AY145" s="18" t="s">
        <v>345</v>
      </c>
      <c r="AZ145" s="18" t="s">
        <v>345</v>
      </c>
      <c r="BA145" s="35" t="s">
        <v>358</v>
      </c>
      <c r="BB145" s="36" t="s">
        <v>359</v>
      </c>
      <c r="BC145" s="112"/>
    </row>
    <row r="146" spans="1:55" ht="76.5" customHeight="1" x14ac:dyDescent="0.25">
      <c r="A146" s="15">
        <v>142</v>
      </c>
      <c r="B146" s="15"/>
      <c r="C146" s="15" t="s">
        <v>849</v>
      </c>
      <c r="D146" s="15" t="s">
        <v>664</v>
      </c>
      <c r="E146" s="15" t="s">
        <v>1007</v>
      </c>
      <c r="F146" s="16" t="s">
        <v>171</v>
      </c>
      <c r="G146" s="17">
        <v>0</v>
      </c>
      <c r="H146" s="18" t="s">
        <v>1008</v>
      </c>
      <c r="I146" s="18"/>
      <c r="J146" s="18" t="s">
        <v>387</v>
      </c>
      <c r="K146" s="19">
        <v>3.75</v>
      </c>
      <c r="L146" s="20">
        <v>30</v>
      </c>
      <c r="M146" s="21">
        <v>0</v>
      </c>
      <c r="N146" s="22"/>
      <c r="O146" s="18" t="s">
        <v>349</v>
      </c>
      <c r="P146" s="18" t="s">
        <v>854</v>
      </c>
      <c r="Q146" s="18" t="s">
        <v>1009</v>
      </c>
      <c r="R146" s="18"/>
      <c r="S146" s="18"/>
      <c r="T146" s="22"/>
      <c r="U146" s="23"/>
      <c r="V146" s="22"/>
      <c r="W146" s="23"/>
      <c r="X146" s="24" t="s">
        <v>352</v>
      </c>
      <c r="Y146" s="18"/>
      <c r="Z146" s="18" t="s">
        <v>1010</v>
      </c>
      <c r="AA146" s="25">
        <v>46246</v>
      </c>
      <c r="AB146" s="25">
        <v>46251</v>
      </c>
      <c r="AC146" s="26">
        <v>46246</v>
      </c>
      <c r="AD146" s="26">
        <v>46251</v>
      </c>
      <c r="AE146" s="23">
        <v>46261</v>
      </c>
      <c r="AF146" s="23">
        <v>46266</v>
      </c>
      <c r="AG146" s="23"/>
      <c r="AH146" s="27"/>
      <c r="AI146" s="24"/>
      <c r="AJ146" s="28"/>
      <c r="AK146" s="28"/>
      <c r="AL146" s="18" t="s">
        <v>345</v>
      </c>
      <c r="AM146" s="18" t="s">
        <v>345</v>
      </c>
      <c r="AN146" s="18" t="s">
        <v>345</v>
      </c>
      <c r="AO146" s="18" t="s">
        <v>354</v>
      </c>
      <c r="AP146" s="24" t="s">
        <v>355</v>
      </c>
      <c r="AQ146" s="18" t="s">
        <v>345</v>
      </c>
      <c r="AR146" s="18" t="s">
        <v>345</v>
      </c>
      <c r="AS146" s="28"/>
      <c r="AT146" s="28"/>
      <c r="AU146" s="18" t="s">
        <v>345</v>
      </c>
      <c r="AV146" s="18" t="s">
        <v>345</v>
      </c>
      <c r="AW146" s="18" t="s">
        <v>345</v>
      </c>
      <c r="AX146" s="32" t="s">
        <v>357</v>
      </c>
      <c r="AY146" s="18" t="s">
        <v>345</v>
      </c>
      <c r="AZ146" s="18" t="s">
        <v>345</v>
      </c>
      <c r="BA146" s="35" t="s">
        <v>358</v>
      </c>
      <c r="BB146" s="36" t="s">
        <v>359</v>
      </c>
      <c r="BC146" s="112"/>
    </row>
    <row r="147" spans="1:55" ht="63.75" customHeight="1" x14ac:dyDescent="0.25">
      <c r="A147" s="15">
        <v>143</v>
      </c>
      <c r="B147" s="15"/>
      <c r="C147" s="15" t="s">
        <v>849</v>
      </c>
      <c r="D147" s="15" t="s">
        <v>664</v>
      </c>
      <c r="E147" s="15" t="s">
        <v>1011</v>
      </c>
      <c r="F147" s="16" t="s">
        <v>172</v>
      </c>
      <c r="G147" s="17">
        <v>0</v>
      </c>
      <c r="H147" s="18" t="s">
        <v>1012</v>
      </c>
      <c r="I147" s="18"/>
      <c r="J147" s="18" t="s">
        <v>387</v>
      </c>
      <c r="K147" s="19">
        <v>5</v>
      </c>
      <c r="L147" s="20">
        <v>40</v>
      </c>
      <c r="M147" s="21">
        <v>0</v>
      </c>
      <c r="N147" s="22"/>
      <c r="O147" s="18" t="s">
        <v>349</v>
      </c>
      <c r="P147" s="18" t="s">
        <v>854</v>
      </c>
      <c r="Q147" s="18" t="s">
        <v>1013</v>
      </c>
      <c r="R147" s="18"/>
      <c r="S147" s="18"/>
      <c r="T147" s="22"/>
      <c r="U147" s="23"/>
      <c r="V147" s="22"/>
      <c r="W147" s="23"/>
      <c r="X147" s="24" t="s">
        <v>352</v>
      </c>
      <c r="Y147" s="18"/>
      <c r="Z147" s="18" t="s">
        <v>1014</v>
      </c>
      <c r="AA147" s="25">
        <v>46251</v>
      </c>
      <c r="AB147" s="25">
        <v>46254</v>
      </c>
      <c r="AC147" s="26">
        <v>46251</v>
      </c>
      <c r="AD147" s="26">
        <v>46254</v>
      </c>
      <c r="AE147" s="23">
        <v>46264</v>
      </c>
      <c r="AF147" s="23">
        <v>46269</v>
      </c>
      <c r="AG147" s="23"/>
      <c r="AH147" s="27"/>
      <c r="AI147" s="24"/>
      <c r="AJ147" s="28"/>
      <c r="AK147" s="28"/>
      <c r="AL147" s="18" t="s">
        <v>345</v>
      </c>
      <c r="AM147" s="18" t="s">
        <v>345</v>
      </c>
      <c r="AN147" s="18" t="s">
        <v>345</v>
      </c>
      <c r="AO147" s="18" t="s">
        <v>354</v>
      </c>
      <c r="AP147" s="24" t="s">
        <v>355</v>
      </c>
      <c r="AQ147" s="18" t="s">
        <v>345</v>
      </c>
      <c r="AR147" s="18" t="s">
        <v>345</v>
      </c>
      <c r="AS147" s="28"/>
      <c r="AT147" s="28"/>
      <c r="AU147" s="18" t="s">
        <v>345</v>
      </c>
      <c r="AV147" s="18" t="s">
        <v>345</v>
      </c>
      <c r="AW147" s="18" t="s">
        <v>345</v>
      </c>
      <c r="AX147" s="32" t="s">
        <v>357</v>
      </c>
      <c r="AY147" s="18" t="s">
        <v>345</v>
      </c>
      <c r="AZ147" s="18" t="s">
        <v>345</v>
      </c>
      <c r="BA147" s="35" t="s">
        <v>358</v>
      </c>
      <c r="BB147" s="36" t="s">
        <v>359</v>
      </c>
      <c r="BC147" s="112"/>
    </row>
    <row r="148" spans="1:55" ht="63.75" customHeight="1" x14ac:dyDescent="0.25">
      <c r="A148" s="15">
        <v>144</v>
      </c>
      <c r="B148" s="15"/>
      <c r="C148" s="15" t="s">
        <v>849</v>
      </c>
      <c r="D148" s="15" t="s">
        <v>664</v>
      </c>
      <c r="E148" s="15" t="s">
        <v>1015</v>
      </c>
      <c r="F148" s="16" t="s">
        <v>173</v>
      </c>
      <c r="G148" s="17">
        <v>0</v>
      </c>
      <c r="H148" s="18" t="s">
        <v>1016</v>
      </c>
      <c r="I148" s="18"/>
      <c r="J148" s="18" t="s">
        <v>387</v>
      </c>
      <c r="K148" s="19">
        <v>0.75</v>
      </c>
      <c r="L148" s="20">
        <v>6</v>
      </c>
      <c r="M148" s="21">
        <v>0</v>
      </c>
      <c r="N148" s="22"/>
      <c r="O148" s="18" t="s">
        <v>349</v>
      </c>
      <c r="P148" s="18" t="s">
        <v>911</v>
      </c>
      <c r="Q148" s="18" t="s">
        <v>1017</v>
      </c>
      <c r="R148" s="18"/>
      <c r="S148" s="18"/>
      <c r="T148" s="22"/>
      <c r="U148" s="23"/>
      <c r="V148" s="22"/>
      <c r="W148" s="23"/>
      <c r="X148" s="24" t="s">
        <v>352</v>
      </c>
      <c r="Y148" s="18"/>
      <c r="Z148" s="18" t="s">
        <v>1018</v>
      </c>
      <c r="AA148" s="25">
        <v>46248</v>
      </c>
      <c r="AB148" s="25">
        <v>46254</v>
      </c>
      <c r="AC148" s="26">
        <v>46258</v>
      </c>
      <c r="AD148" s="26">
        <v>46262</v>
      </c>
      <c r="AE148" s="23">
        <v>46272</v>
      </c>
      <c r="AF148" s="23">
        <v>46277</v>
      </c>
      <c r="AG148" s="23"/>
      <c r="AH148" s="27"/>
      <c r="AI148" s="24"/>
      <c r="AJ148" s="28"/>
      <c r="AK148" s="28"/>
      <c r="AL148" s="18" t="s">
        <v>345</v>
      </c>
      <c r="AM148" s="18" t="s">
        <v>345</v>
      </c>
      <c r="AN148" s="18" t="s">
        <v>345</v>
      </c>
      <c r="AO148" s="18" t="s">
        <v>354</v>
      </c>
      <c r="AP148" s="24" t="s">
        <v>355</v>
      </c>
      <c r="AQ148" s="18" t="s">
        <v>345</v>
      </c>
      <c r="AR148" s="18" t="s">
        <v>345</v>
      </c>
      <c r="AS148" s="28"/>
      <c r="AT148" s="28"/>
      <c r="AU148" s="18" t="s">
        <v>345</v>
      </c>
      <c r="AV148" s="18" t="s">
        <v>345</v>
      </c>
      <c r="AW148" s="18" t="s">
        <v>345</v>
      </c>
      <c r="AX148" s="32" t="s">
        <v>357</v>
      </c>
      <c r="AY148" s="18" t="s">
        <v>345</v>
      </c>
      <c r="AZ148" s="18" t="s">
        <v>345</v>
      </c>
      <c r="BA148" s="35" t="s">
        <v>358</v>
      </c>
      <c r="BB148" s="36" t="s">
        <v>359</v>
      </c>
      <c r="BC148" s="112"/>
    </row>
    <row r="149" spans="1:55" ht="63.75" customHeight="1" x14ac:dyDescent="0.25">
      <c r="A149" s="15">
        <v>145</v>
      </c>
      <c r="B149" s="15"/>
      <c r="C149" s="15" t="s">
        <v>849</v>
      </c>
      <c r="D149" s="15" t="s">
        <v>664</v>
      </c>
      <c r="E149" s="15" t="s">
        <v>1019</v>
      </c>
      <c r="F149" s="16" t="s">
        <v>174</v>
      </c>
      <c r="G149" s="17">
        <v>0</v>
      </c>
      <c r="H149" s="18" t="s">
        <v>1020</v>
      </c>
      <c r="I149" s="18"/>
      <c r="J149" s="18" t="s">
        <v>387</v>
      </c>
      <c r="K149" s="19">
        <v>2</v>
      </c>
      <c r="L149" s="20">
        <v>16</v>
      </c>
      <c r="M149" s="21">
        <v>0</v>
      </c>
      <c r="N149" s="22"/>
      <c r="O149" s="18" t="s">
        <v>349</v>
      </c>
      <c r="P149" s="18" t="s">
        <v>350</v>
      </c>
      <c r="Q149" s="18" t="s">
        <v>1021</v>
      </c>
      <c r="R149" s="18"/>
      <c r="S149" s="18"/>
      <c r="T149" s="22"/>
      <c r="U149" s="23"/>
      <c r="V149" s="22"/>
      <c r="W149" s="23"/>
      <c r="X149" s="24" t="s">
        <v>352</v>
      </c>
      <c r="Y149" s="18"/>
      <c r="Z149" s="18" t="s">
        <v>1022</v>
      </c>
      <c r="AA149" s="25">
        <v>46254</v>
      </c>
      <c r="AB149" s="25">
        <v>46259</v>
      </c>
      <c r="AC149" s="26">
        <v>46254</v>
      </c>
      <c r="AD149" s="26">
        <v>46259</v>
      </c>
      <c r="AE149" s="23">
        <v>46269</v>
      </c>
      <c r="AF149" s="23">
        <v>46274</v>
      </c>
      <c r="AG149" s="23"/>
      <c r="AH149" s="27">
        <v>0</v>
      </c>
      <c r="AI149" s="24"/>
      <c r="AJ149" s="28"/>
      <c r="AK149" s="28">
        <v>0</v>
      </c>
      <c r="AL149" s="18" t="s">
        <v>345</v>
      </c>
      <c r="AM149" s="18" t="s">
        <v>345</v>
      </c>
      <c r="AN149" s="18" t="s">
        <v>345</v>
      </c>
      <c r="AO149" s="18"/>
      <c r="AP149" s="24" t="s">
        <v>355</v>
      </c>
      <c r="AQ149" s="18" t="s">
        <v>345</v>
      </c>
      <c r="AR149" s="18" t="s">
        <v>345</v>
      </c>
      <c r="AS149" s="28"/>
      <c r="AT149" s="28"/>
      <c r="AU149" s="18" t="s">
        <v>345</v>
      </c>
      <c r="AV149" s="18" t="s">
        <v>345</v>
      </c>
      <c r="AW149" s="18" t="s">
        <v>345</v>
      </c>
      <c r="AX149" s="32"/>
      <c r="AY149" s="18" t="s">
        <v>345</v>
      </c>
      <c r="AZ149" s="18" t="s">
        <v>345</v>
      </c>
      <c r="BA149" s="35" t="s">
        <v>358</v>
      </c>
      <c r="BB149" s="36" t="s">
        <v>359</v>
      </c>
      <c r="BC149" s="112"/>
    </row>
    <row r="150" spans="1:55" ht="63.75" customHeight="1" x14ac:dyDescent="0.25">
      <c r="A150" s="15">
        <v>146</v>
      </c>
      <c r="B150" s="15"/>
      <c r="C150" s="15" t="s">
        <v>849</v>
      </c>
      <c r="D150" s="15" t="s">
        <v>761</v>
      </c>
      <c r="E150" s="15" t="s">
        <v>1023</v>
      </c>
      <c r="F150" s="16" t="s">
        <v>175</v>
      </c>
      <c r="G150" s="17">
        <v>0</v>
      </c>
      <c r="H150" s="18" t="s">
        <v>1024</v>
      </c>
      <c r="I150" s="18"/>
      <c r="J150" s="18" t="s">
        <v>387</v>
      </c>
      <c r="K150" s="19">
        <v>4</v>
      </c>
      <c r="L150" s="20">
        <v>32</v>
      </c>
      <c r="M150" s="21">
        <v>0</v>
      </c>
      <c r="N150" s="22"/>
      <c r="O150" s="18" t="s">
        <v>349</v>
      </c>
      <c r="P150" s="18" t="s">
        <v>854</v>
      </c>
      <c r="Q150" s="18" t="s">
        <v>1025</v>
      </c>
      <c r="R150" s="18"/>
      <c r="S150" s="18"/>
      <c r="T150" s="22"/>
      <c r="U150" s="23"/>
      <c r="V150" s="22"/>
      <c r="W150" s="23"/>
      <c r="X150" s="24" t="s">
        <v>352</v>
      </c>
      <c r="Y150" s="18"/>
      <c r="Z150" s="18" t="s">
        <v>1026</v>
      </c>
      <c r="AA150" s="25">
        <v>46268</v>
      </c>
      <c r="AB150" s="25">
        <v>46273</v>
      </c>
      <c r="AC150" s="26">
        <v>46268</v>
      </c>
      <c r="AD150" s="26">
        <v>46273</v>
      </c>
      <c r="AE150" s="23">
        <v>46283</v>
      </c>
      <c r="AF150" s="23">
        <v>46288</v>
      </c>
      <c r="AG150" s="23"/>
      <c r="AH150" s="27"/>
      <c r="AI150" s="24"/>
      <c r="AJ150" s="28"/>
      <c r="AK150" s="28"/>
      <c r="AL150" s="18" t="s">
        <v>345</v>
      </c>
      <c r="AM150" s="18" t="s">
        <v>345</v>
      </c>
      <c r="AN150" s="18" t="s">
        <v>345</v>
      </c>
      <c r="AO150" s="18" t="s">
        <v>354</v>
      </c>
      <c r="AP150" s="24" t="s">
        <v>355</v>
      </c>
      <c r="AQ150" s="18" t="s">
        <v>345</v>
      </c>
      <c r="AR150" s="18" t="s">
        <v>345</v>
      </c>
      <c r="AS150" s="28"/>
      <c r="AT150" s="28"/>
      <c r="AU150" s="18" t="s">
        <v>345</v>
      </c>
      <c r="AV150" s="18" t="s">
        <v>345</v>
      </c>
      <c r="AW150" s="18" t="s">
        <v>345</v>
      </c>
      <c r="AX150" s="32" t="s">
        <v>357</v>
      </c>
      <c r="AY150" s="18" t="s">
        <v>345</v>
      </c>
      <c r="AZ150" s="18" t="s">
        <v>345</v>
      </c>
      <c r="BA150" s="35" t="s">
        <v>358</v>
      </c>
      <c r="BB150" s="36" t="s">
        <v>359</v>
      </c>
      <c r="BC150" s="112"/>
    </row>
    <row r="151" spans="1:55" ht="76.5" customHeight="1" x14ac:dyDescent="0.25">
      <c r="A151" s="15">
        <v>147</v>
      </c>
      <c r="B151" s="15"/>
      <c r="C151" s="15" t="s">
        <v>849</v>
      </c>
      <c r="D151" s="15" t="s">
        <v>761</v>
      </c>
      <c r="E151" s="15" t="s">
        <v>1027</v>
      </c>
      <c r="F151" s="16" t="s">
        <v>176</v>
      </c>
      <c r="G151" s="17">
        <v>0</v>
      </c>
      <c r="H151" s="18" t="s">
        <v>1028</v>
      </c>
      <c r="I151" s="18"/>
      <c r="J151" s="18" t="s">
        <v>387</v>
      </c>
      <c r="K151" s="19">
        <v>1</v>
      </c>
      <c r="L151" s="20">
        <v>8</v>
      </c>
      <c r="M151" s="21">
        <v>0</v>
      </c>
      <c r="N151" s="22"/>
      <c r="O151" s="18" t="s">
        <v>349</v>
      </c>
      <c r="P151" s="18" t="s">
        <v>911</v>
      </c>
      <c r="Q151" s="18" t="s">
        <v>1025</v>
      </c>
      <c r="R151" s="18"/>
      <c r="S151" s="18"/>
      <c r="T151" s="22"/>
      <c r="U151" s="23"/>
      <c r="V151" s="22"/>
      <c r="W151" s="23"/>
      <c r="X151" s="24" t="s">
        <v>352</v>
      </c>
      <c r="Y151" s="18"/>
      <c r="Z151" s="18" t="s">
        <v>1029</v>
      </c>
      <c r="AA151" s="25">
        <v>46259</v>
      </c>
      <c r="AB151" s="25">
        <v>46265</v>
      </c>
      <c r="AC151" s="26">
        <v>46267</v>
      </c>
      <c r="AD151" s="26">
        <v>46273</v>
      </c>
      <c r="AE151" s="23">
        <v>46283</v>
      </c>
      <c r="AF151" s="23">
        <v>46288</v>
      </c>
      <c r="AG151" s="23"/>
      <c r="AH151" s="27"/>
      <c r="AI151" s="24"/>
      <c r="AJ151" s="28"/>
      <c r="AK151" s="28"/>
      <c r="AL151" s="18" t="s">
        <v>345</v>
      </c>
      <c r="AM151" s="18" t="s">
        <v>345</v>
      </c>
      <c r="AN151" s="18" t="s">
        <v>345</v>
      </c>
      <c r="AO151" s="18" t="s">
        <v>354</v>
      </c>
      <c r="AP151" s="24" t="s">
        <v>355</v>
      </c>
      <c r="AQ151" s="18" t="s">
        <v>345</v>
      </c>
      <c r="AR151" s="18" t="s">
        <v>345</v>
      </c>
      <c r="AS151" s="28"/>
      <c r="AT151" s="28"/>
      <c r="AU151" s="18" t="s">
        <v>345</v>
      </c>
      <c r="AV151" s="18" t="s">
        <v>345</v>
      </c>
      <c r="AW151" s="18" t="s">
        <v>345</v>
      </c>
      <c r="AX151" s="32" t="s">
        <v>357</v>
      </c>
      <c r="AY151" s="18" t="s">
        <v>345</v>
      </c>
      <c r="AZ151" s="18" t="s">
        <v>345</v>
      </c>
      <c r="BA151" s="35" t="s">
        <v>358</v>
      </c>
      <c r="BB151" s="36" t="s">
        <v>359</v>
      </c>
      <c r="BC151" s="112"/>
    </row>
    <row r="152" spans="1:55" ht="63.75" customHeight="1" x14ac:dyDescent="0.25">
      <c r="A152" s="15">
        <v>148</v>
      </c>
      <c r="B152" s="15"/>
      <c r="C152" s="15" t="s">
        <v>849</v>
      </c>
      <c r="D152" s="15" t="s">
        <v>611</v>
      </c>
      <c r="E152" s="15" t="s">
        <v>1030</v>
      </c>
      <c r="F152" s="16" t="s">
        <v>177</v>
      </c>
      <c r="G152" s="17">
        <v>0</v>
      </c>
      <c r="H152" s="18" t="s">
        <v>1031</v>
      </c>
      <c r="I152" s="18"/>
      <c r="J152" s="18" t="s">
        <v>387</v>
      </c>
      <c r="K152" s="19">
        <v>2</v>
      </c>
      <c r="L152" s="20">
        <v>16</v>
      </c>
      <c r="M152" s="21">
        <v>0</v>
      </c>
      <c r="N152" s="22"/>
      <c r="O152" s="18" t="s">
        <v>349</v>
      </c>
      <c r="P152" s="18" t="s">
        <v>854</v>
      </c>
      <c r="Q152" s="18" t="s">
        <v>1032</v>
      </c>
      <c r="R152" s="18"/>
      <c r="S152" s="18"/>
      <c r="T152" s="22"/>
      <c r="U152" s="23"/>
      <c r="V152" s="22"/>
      <c r="W152" s="23"/>
      <c r="X152" s="24" t="s">
        <v>352</v>
      </c>
      <c r="Y152" s="18"/>
      <c r="Z152" s="18" t="s">
        <v>1033</v>
      </c>
      <c r="AA152" s="25">
        <v>46273</v>
      </c>
      <c r="AB152" s="25">
        <v>46275</v>
      </c>
      <c r="AC152" s="26">
        <v>46273</v>
      </c>
      <c r="AD152" s="26">
        <v>46275</v>
      </c>
      <c r="AE152" s="23">
        <v>46285</v>
      </c>
      <c r="AF152" s="23">
        <v>46290</v>
      </c>
      <c r="AG152" s="23"/>
      <c r="AH152" s="27"/>
      <c r="AI152" s="24"/>
      <c r="AJ152" s="28"/>
      <c r="AK152" s="28"/>
      <c r="AL152" s="18" t="s">
        <v>345</v>
      </c>
      <c r="AM152" s="18" t="s">
        <v>345</v>
      </c>
      <c r="AN152" s="18" t="s">
        <v>345</v>
      </c>
      <c r="AO152" s="18" t="s">
        <v>354</v>
      </c>
      <c r="AP152" s="24" t="s">
        <v>355</v>
      </c>
      <c r="AQ152" s="18" t="s">
        <v>345</v>
      </c>
      <c r="AR152" s="18" t="s">
        <v>345</v>
      </c>
      <c r="AS152" s="28"/>
      <c r="AT152" s="28"/>
      <c r="AU152" s="18" t="s">
        <v>345</v>
      </c>
      <c r="AV152" s="18" t="s">
        <v>345</v>
      </c>
      <c r="AW152" s="18" t="s">
        <v>345</v>
      </c>
      <c r="AX152" s="32" t="s">
        <v>357</v>
      </c>
      <c r="AY152" s="18" t="s">
        <v>345</v>
      </c>
      <c r="AZ152" s="18" t="s">
        <v>345</v>
      </c>
      <c r="BA152" s="35" t="s">
        <v>358</v>
      </c>
      <c r="BB152" s="36" t="s">
        <v>359</v>
      </c>
      <c r="BC152" s="112"/>
    </row>
    <row r="153" spans="1:55" ht="63.75" customHeight="1" x14ac:dyDescent="0.25">
      <c r="A153" s="15">
        <v>149</v>
      </c>
      <c r="B153" s="15"/>
      <c r="C153" s="15" t="s">
        <v>849</v>
      </c>
      <c r="D153" s="15" t="s">
        <v>611</v>
      </c>
      <c r="E153" s="15" t="s">
        <v>1034</v>
      </c>
      <c r="F153" s="16" t="s">
        <v>178</v>
      </c>
      <c r="G153" s="17">
        <v>0</v>
      </c>
      <c r="H153" s="18" t="s">
        <v>1035</v>
      </c>
      <c r="I153" s="18"/>
      <c r="J153" s="18" t="s">
        <v>387</v>
      </c>
      <c r="K153" s="19">
        <v>1</v>
      </c>
      <c r="L153" s="20">
        <v>8</v>
      </c>
      <c r="M153" s="21">
        <v>0</v>
      </c>
      <c r="N153" s="22"/>
      <c r="O153" s="18" t="s">
        <v>349</v>
      </c>
      <c r="P153" s="18" t="s">
        <v>911</v>
      </c>
      <c r="Q153" s="18" t="s">
        <v>1032</v>
      </c>
      <c r="R153" s="18"/>
      <c r="S153" s="18"/>
      <c r="T153" s="22"/>
      <c r="U153" s="23"/>
      <c r="V153" s="22"/>
      <c r="W153" s="23"/>
      <c r="X153" s="24" t="s">
        <v>352</v>
      </c>
      <c r="Y153" s="18"/>
      <c r="Z153" s="18" t="s">
        <v>1036</v>
      </c>
      <c r="AA153" s="25">
        <v>46265</v>
      </c>
      <c r="AB153" s="25">
        <v>46268</v>
      </c>
      <c r="AC153" s="26">
        <v>46273</v>
      </c>
      <c r="AD153" s="26">
        <v>46275</v>
      </c>
      <c r="AE153" s="23">
        <v>46285</v>
      </c>
      <c r="AF153" s="23">
        <v>46290</v>
      </c>
      <c r="AG153" s="23"/>
      <c r="AH153" s="27"/>
      <c r="AI153" s="24"/>
      <c r="AJ153" s="28"/>
      <c r="AK153" s="28"/>
      <c r="AL153" s="18" t="s">
        <v>345</v>
      </c>
      <c r="AM153" s="18" t="s">
        <v>345</v>
      </c>
      <c r="AN153" s="18" t="s">
        <v>345</v>
      </c>
      <c r="AO153" s="18" t="s">
        <v>354</v>
      </c>
      <c r="AP153" s="24" t="s">
        <v>355</v>
      </c>
      <c r="AQ153" s="18" t="s">
        <v>345</v>
      </c>
      <c r="AR153" s="18" t="s">
        <v>345</v>
      </c>
      <c r="AS153" s="28"/>
      <c r="AT153" s="28"/>
      <c r="AU153" s="18" t="s">
        <v>345</v>
      </c>
      <c r="AV153" s="18" t="s">
        <v>345</v>
      </c>
      <c r="AW153" s="18" t="s">
        <v>345</v>
      </c>
      <c r="AX153" s="32" t="s">
        <v>357</v>
      </c>
      <c r="AY153" s="18" t="s">
        <v>345</v>
      </c>
      <c r="AZ153" s="18" t="s">
        <v>345</v>
      </c>
      <c r="BA153" s="35" t="s">
        <v>358</v>
      </c>
      <c r="BB153" s="36" t="s">
        <v>359</v>
      </c>
      <c r="BC153" s="112"/>
    </row>
    <row r="154" spans="1:55" ht="76.5" customHeight="1" x14ac:dyDescent="0.25">
      <c r="A154" s="15">
        <v>150</v>
      </c>
      <c r="B154" s="15"/>
      <c r="C154" s="15" t="s">
        <v>1037</v>
      </c>
      <c r="D154" s="15" t="s">
        <v>664</v>
      </c>
      <c r="E154" s="15" t="s">
        <v>1038</v>
      </c>
      <c r="F154" s="16" t="s">
        <v>180</v>
      </c>
      <c r="G154" s="17">
        <v>0</v>
      </c>
      <c r="H154" s="18" t="s">
        <v>1039</v>
      </c>
      <c r="I154" s="18"/>
      <c r="J154" s="18" t="s">
        <v>387</v>
      </c>
      <c r="K154" s="19">
        <v>2</v>
      </c>
      <c r="L154" s="20">
        <v>16</v>
      </c>
      <c r="M154" s="21">
        <v>0.2</v>
      </c>
      <c r="N154" s="22"/>
      <c r="O154" s="18" t="s">
        <v>349</v>
      </c>
      <c r="P154" s="18" t="s">
        <v>583</v>
      </c>
      <c r="Q154" s="18" t="s">
        <v>667</v>
      </c>
      <c r="R154" s="18" t="s">
        <v>1040</v>
      </c>
      <c r="S154" s="18"/>
      <c r="T154" s="22"/>
      <c r="U154" s="23"/>
      <c r="V154" s="22"/>
      <c r="W154" s="23"/>
      <c r="X154" s="24" t="s">
        <v>352</v>
      </c>
      <c r="Y154" s="18"/>
      <c r="Z154" s="18" t="s">
        <v>1041</v>
      </c>
      <c r="AA154" s="25">
        <v>46227</v>
      </c>
      <c r="AB154" s="25">
        <v>46234</v>
      </c>
      <c r="AC154" s="26">
        <v>46230</v>
      </c>
      <c r="AD154" s="26">
        <v>46237</v>
      </c>
      <c r="AE154" s="23">
        <v>46247</v>
      </c>
      <c r="AF154" s="23">
        <v>46252</v>
      </c>
      <c r="AG154" s="23">
        <v>46197</v>
      </c>
      <c r="AH154" s="27">
        <v>0</v>
      </c>
      <c r="AI154" s="24"/>
      <c r="AJ154" s="28"/>
      <c r="AK154" s="28">
        <v>0</v>
      </c>
      <c r="AL154" s="18" t="s">
        <v>345</v>
      </c>
      <c r="AM154" s="18" t="s">
        <v>345</v>
      </c>
      <c r="AN154" s="18" t="s">
        <v>345</v>
      </c>
      <c r="AO154" s="18" t="s">
        <v>354</v>
      </c>
      <c r="AP154" s="24" t="s">
        <v>355</v>
      </c>
      <c r="AQ154" s="18" t="s">
        <v>345</v>
      </c>
      <c r="AR154" s="18" t="s">
        <v>345</v>
      </c>
      <c r="AS154" s="28"/>
      <c r="AT154" s="28" t="s">
        <v>1042</v>
      </c>
      <c r="AU154" s="18" t="s">
        <v>345</v>
      </c>
      <c r="AV154" s="18" t="s">
        <v>345</v>
      </c>
      <c r="AW154" s="18" t="s">
        <v>345</v>
      </c>
      <c r="AX154" s="32"/>
      <c r="AY154" s="18" t="s">
        <v>345</v>
      </c>
      <c r="AZ154" s="18" t="s">
        <v>345</v>
      </c>
      <c r="BA154" s="35" t="s">
        <v>358</v>
      </c>
      <c r="BB154" s="36" t="s">
        <v>359</v>
      </c>
      <c r="BC154" s="112"/>
    </row>
    <row r="155" spans="1:55" ht="63.75" customHeight="1" x14ac:dyDescent="0.25">
      <c r="A155" s="15">
        <v>151</v>
      </c>
      <c r="B155" s="15"/>
      <c r="C155" s="15" t="s">
        <v>1037</v>
      </c>
      <c r="D155" s="15" t="s">
        <v>664</v>
      </c>
      <c r="E155" s="15" t="s">
        <v>1043</v>
      </c>
      <c r="F155" s="16" t="s">
        <v>181</v>
      </c>
      <c r="G155" s="17">
        <v>0</v>
      </c>
      <c r="H155" s="18" t="s">
        <v>1044</v>
      </c>
      <c r="I155" s="18"/>
      <c r="J155" s="18" t="s">
        <v>387</v>
      </c>
      <c r="K155" s="19">
        <v>2</v>
      </c>
      <c r="L155" s="20">
        <v>16</v>
      </c>
      <c r="M155" s="21">
        <v>0</v>
      </c>
      <c r="N155" s="22"/>
      <c r="O155" s="18" t="s">
        <v>349</v>
      </c>
      <c r="P155" s="18" t="s">
        <v>588</v>
      </c>
      <c r="Q155" s="18" t="s">
        <v>667</v>
      </c>
      <c r="R155" s="18" t="s">
        <v>1040</v>
      </c>
      <c r="S155" s="18"/>
      <c r="T155" s="22"/>
      <c r="U155" s="23"/>
      <c r="V155" s="22"/>
      <c r="W155" s="23"/>
      <c r="X155" s="24" t="s">
        <v>352</v>
      </c>
      <c r="Y155" s="18"/>
      <c r="Z155" s="18" t="s">
        <v>1045</v>
      </c>
      <c r="AA155" s="25">
        <v>46239</v>
      </c>
      <c r="AB155" s="25">
        <v>46245</v>
      </c>
      <c r="AC155" s="26">
        <v>46230</v>
      </c>
      <c r="AD155" s="26">
        <v>46234</v>
      </c>
      <c r="AE155" s="23">
        <v>46244</v>
      </c>
      <c r="AF155" s="23">
        <v>46249</v>
      </c>
      <c r="AG155" s="23"/>
      <c r="AH155" s="27">
        <v>0</v>
      </c>
      <c r="AI155" s="24"/>
      <c r="AJ155" s="28"/>
      <c r="AK155" s="28">
        <v>0</v>
      </c>
      <c r="AL155" s="18" t="s">
        <v>345</v>
      </c>
      <c r="AM155" s="18" t="s">
        <v>345</v>
      </c>
      <c r="AN155" s="18" t="s">
        <v>345</v>
      </c>
      <c r="AO155" s="18" t="s">
        <v>354</v>
      </c>
      <c r="AP155" s="24" t="s">
        <v>355</v>
      </c>
      <c r="AQ155" s="18" t="s">
        <v>345</v>
      </c>
      <c r="AR155" s="18" t="s">
        <v>345</v>
      </c>
      <c r="AS155" s="28"/>
      <c r="AT155" s="28"/>
      <c r="AU155" s="18" t="s">
        <v>345</v>
      </c>
      <c r="AV155" s="18" t="s">
        <v>345</v>
      </c>
      <c r="AW155" s="18" t="s">
        <v>345</v>
      </c>
      <c r="AX155" s="32"/>
      <c r="AY155" s="18" t="s">
        <v>345</v>
      </c>
      <c r="AZ155" s="18" t="s">
        <v>345</v>
      </c>
      <c r="BA155" s="35" t="s">
        <v>358</v>
      </c>
      <c r="BB155" s="36" t="s">
        <v>359</v>
      </c>
      <c r="BC155" s="112"/>
    </row>
    <row r="156" spans="1:55" ht="76.5" customHeight="1" x14ac:dyDescent="0.25">
      <c r="A156" s="15">
        <v>152</v>
      </c>
      <c r="B156" s="15"/>
      <c r="C156" s="15" t="s">
        <v>1037</v>
      </c>
      <c r="D156" s="15" t="s">
        <v>664</v>
      </c>
      <c r="E156" s="15" t="s">
        <v>1046</v>
      </c>
      <c r="F156" s="16" t="s">
        <v>182</v>
      </c>
      <c r="G156" s="17">
        <v>0</v>
      </c>
      <c r="H156" s="18" t="s">
        <v>1047</v>
      </c>
      <c r="I156" s="18"/>
      <c r="J156" s="18" t="s">
        <v>387</v>
      </c>
      <c r="K156" s="19">
        <v>2</v>
      </c>
      <c r="L156" s="20">
        <v>16</v>
      </c>
      <c r="M156" s="21">
        <v>0.2</v>
      </c>
      <c r="N156" s="22"/>
      <c r="O156" s="18" t="s">
        <v>349</v>
      </c>
      <c r="P156" s="18" t="s">
        <v>592</v>
      </c>
      <c r="Q156" s="18" t="s">
        <v>667</v>
      </c>
      <c r="R156" s="18" t="s">
        <v>1040</v>
      </c>
      <c r="S156" s="18"/>
      <c r="T156" s="22"/>
      <c r="U156" s="23"/>
      <c r="V156" s="22"/>
      <c r="W156" s="23"/>
      <c r="X156" s="24" t="s">
        <v>352</v>
      </c>
      <c r="Y156" s="18"/>
      <c r="Z156" s="18" t="s">
        <v>1048</v>
      </c>
      <c r="AA156" s="25">
        <v>46251</v>
      </c>
      <c r="AB156" s="25">
        <v>46254</v>
      </c>
      <c r="AC156" s="26">
        <v>46230</v>
      </c>
      <c r="AD156" s="26">
        <v>46233</v>
      </c>
      <c r="AE156" s="23">
        <v>46243</v>
      </c>
      <c r="AF156" s="23">
        <v>46248</v>
      </c>
      <c r="AG156" s="23">
        <v>46198</v>
      </c>
      <c r="AH156" s="27">
        <v>0</v>
      </c>
      <c r="AI156" s="24"/>
      <c r="AJ156" s="28"/>
      <c r="AK156" s="28">
        <v>0</v>
      </c>
      <c r="AL156" s="18" t="s">
        <v>345</v>
      </c>
      <c r="AM156" s="18" t="s">
        <v>345</v>
      </c>
      <c r="AN156" s="18" t="s">
        <v>345</v>
      </c>
      <c r="AO156" s="18" t="s">
        <v>354</v>
      </c>
      <c r="AP156" s="24" t="s">
        <v>355</v>
      </c>
      <c r="AQ156" s="18" t="s">
        <v>345</v>
      </c>
      <c r="AR156" s="18" t="s">
        <v>345</v>
      </c>
      <c r="AS156" s="28"/>
      <c r="AT156" s="28" t="s">
        <v>932</v>
      </c>
      <c r="AU156" s="18" t="s">
        <v>345</v>
      </c>
      <c r="AV156" s="18" t="s">
        <v>345</v>
      </c>
      <c r="AW156" s="18" t="s">
        <v>345</v>
      </c>
      <c r="AX156" s="32"/>
      <c r="AY156" s="18" t="s">
        <v>345</v>
      </c>
      <c r="AZ156" s="18" t="s">
        <v>345</v>
      </c>
      <c r="BA156" s="35" t="s">
        <v>358</v>
      </c>
      <c r="BB156" s="36" t="s">
        <v>359</v>
      </c>
      <c r="BC156" s="112"/>
    </row>
    <row r="157" spans="1:55" ht="63.75" customHeight="1" x14ac:dyDescent="0.25">
      <c r="A157" s="15">
        <v>153</v>
      </c>
      <c r="B157" s="15"/>
      <c r="C157" s="15" t="s">
        <v>1037</v>
      </c>
      <c r="D157" s="15" t="s">
        <v>664</v>
      </c>
      <c r="E157" s="15" t="s">
        <v>1049</v>
      </c>
      <c r="F157" s="16" t="s">
        <v>184</v>
      </c>
      <c r="G157" s="17">
        <v>0</v>
      </c>
      <c r="H157" s="18" t="s">
        <v>1050</v>
      </c>
      <c r="I157" s="18" t="s">
        <v>359</v>
      </c>
      <c r="J157" s="18" t="s">
        <v>387</v>
      </c>
      <c r="K157" s="19">
        <v>15</v>
      </c>
      <c r="L157" s="20">
        <v>120</v>
      </c>
      <c r="M157" s="21">
        <v>0</v>
      </c>
      <c r="N157" s="22" t="s">
        <v>469</v>
      </c>
      <c r="O157" s="18" t="s">
        <v>349</v>
      </c>
      <c r="P157" s="18" t="s">
        <v>701</v>
      </c>
      <c r="Q157" s="18" t="s">
        <v>1051</v>
      </c>
      <c r="R157" s="18"/>
      <c r="S157" s="18"/>
      <c r="T157" s="22"/>
      <c r="U157" s="23"/>
      <c r="V157" s="22"/>
      <c r="W157" s="23"/>
      <c r="X157" s="24" t="s">
        <v>352</v>
      </c>
      <c r="Y157" s="18"/>
      <c r="Z157" s="18" t="s">
        <v>1052</v>
      </c>
      <c r="AA157" s="25">
        <v>46198</v>
      </c>
      <c r="AB157" s="25">
        <v>46205</v>
      </c>
      <c r="AC157" s="26">
        <v>46206</v>
      </c>
      <c r="AD157" s="26">
        <v>46213</v>
      </c>
      <c r="AE157" s="23">
        <v>46223</v>
      </c>
      <c r="AF157" s="23">
        <v>46228</v>
      </c>
      <c r="AG157" s="23"/>
      <c r="AH157" s="27">
        <v>0</v>
      </c>
      <c r="AI157" s="24"/>
      <c r="AJ157" s="28"/>
      <c r="AK157" s="28">
        <v>0</v>
      </c>
      <c r="AL157" s="18" t="s">
        <v>345</v>
      </c>
      <c r="AM157" s="18" t="s">
        <v>345</v>
      </c>
      <c r="AN157" s="18" t="s">
        <v>345</v>
      </c>
      <c r="AO157" s="18" t="s">
        <v>354</v>
      </c>
      <c r="AP157" s="24" t="s">
        <v>355</v>
      </c>
      <c r="AQ157" s="18" t="s">
        <v>345</v>
      </c>
      <c r="AR157" s="18" t="s">
        <v>345</v>
      </c>
      <c r="AS157" s="28"/>
      <c r="AT157" s="28"/>
      <c r="AU157" s="18" t="s">
        <v>345</v>
      </c>
      <c r="AV157" s="18" t="s">
        <v>345</v>
      </c>
      <c r="AW157" s="18" t="s">
        <v>345</v>
      </c>
      <c r="AX157" s="32"/>
      <c r="AY157" s="18" t="s">
        <v>345</v>
      </c>
      <c r="AZ157" s="18" t="s">
        <v>345</v>
      </c>
      <c r="BA157" s="35" t="s">
        <v>358</v>
      </c>
      <c r="BB157" s="36" t="s">
        <v>359</v>
      </c>
      <c r="BC157" s="112"/>
    </row>
    <row r="158" spans="1:55" ht="63.75" customHeight="1" x14ac:dyDescent="0.25">
      <c r="A158" s="15">
        <v>154</v>
      </c>
      <c r="B158" s="15"/>
      <c r="C158" s="15" t="s">
        <v>1037</v>
      </c>
      <c r="D158" s="15" t="s">
        <v>664</v>
      </c>
      <c r="E158" s="15" t="s">
        <v>1053</v>
      </c>
      <c r="F158" s="16" t="s">
        <v>185</v>
      </c>
      <c r="G158" s="17">
        <v>0</v>
      </c>
      <c r="H158" s="18" t="s">
        <v>1054</v>
      </c>
      <c r="I158" s="18"/>
      <c r="J158" s="18" t="s">
        <v>387</v>
      </c>
      <c r="K158" s="19">
        <v>3</v>
      </c>
      <c r="L158" s="20">
        <v>24</v>
      </c>
      <c r="M158" s="21">
        <v>0</v>
      </c>
      <c r="N158" s="22"/>
      <c r="O158" s="18" t="s">
        <v>349</v>
      </c>
      <c r="P158" s="18" t="s">
        <v>1055</v>
      </c>
      <c r="Q158" s="18" t="s">
        <v>1056</v>
      </c>
      <c r="R158" s="18"/>
      <c r="S158" s="18"/>
      <c r="T158" s="22"/>
      <c r="U158" s="23"/>
      <c r="V158" s="22"/>
      <c r="W158" s="23"/>
      <c r="X158" s="24" t="s">
        <v>352</v>
      </c>
      <c r="Y158" s="18"/>
      <c r="Z158" s="18" t="s">
        <v>1057</v>
      </c>
      <c r="AA158" s="25">
        <v>46205</v>
      </c>
      <c r="AB158" s="25">
        <v>46210</v>
      </c>
      <c r="AC158" s="26">
        <v>46213</v>
      </c>
      <c r="AD158" s="26">
        <v>46218</v>
      </c>
      <c r="AE158" s="23">
        <v>46228</v>
      </c>
      <c r="AF158" s="23">
        <v>46233</v>
      </c>
      <c r="AG158" s="23"/>
      <c r="AH158" s="27">
        <v>0</v>
      </c>
      <c r="AI158" s="24"/>
      <c r="AJ158" s="28"/>
      <c r="AK158" s="28">
        <v>0</v>
      </c>
      <c r="AL158" s="18" t="s">
        <v>345</v>
      </c>
      <c r="AM158" s="18" t="s">
        <v>345</v>
      </c>
      <c r="AN158" s="18" t="s">
        <v>345</v>
      </c>
      <c r="AO158" s="18" t="s">
        <v>354</v>
      </c>
      <c r="AP158" s="24" t="s">
        <v>355</v>
      </c>
      <c r="AQ158" s="18" t="s">
        <v>345</v>
      </c>
      <c r="AR158" s="18" t="s">
        <v>345</v>
      </c>
      <c r="AS158" s="28"/>
      <c r="AT158" s="28"/>
      <c r="AU158" s="18" t="s">
        <v>345</v>
      </c>
      <c r="AV158" s="18" t="s">
        <v>345</v>
      </c>
      <c r="AW158" s="18" t="s">
        <v>345</v>
      </c>
      <c r="AX158" s="32"/>
      <c r="AY158" s="18" t="s">
        <v>345</v>
      </c>
      <c r="AZ158" s="18" t="s">
        <v>345</v>
      </c>
      <c r="BA158" s="35" t="s">
        <v>358</v>
      </c>
      <c r="BB158" s="36" t="s">
        <v>359</v>
      </c>
      <c r="BC158" s="112"/>
    </row>
    <row r="159" spans="1:55" ht="76.5" customHeight="1" x14ac:dyDescent="0.25">
      <c r="A159" s="15">
        <v>155</v>
      </c>
      <c r="B159" s="15"/>
      <c r="C159" s="15" t="s">
        <v>1037</v>
      </c>
      <c r="D159" s="15" t="s">
        <v>664</v>
      </c>
      <c r="E159" s="15" t="s">
        <v>1058</v>
      </c>
      <c r="F159" s="16" t="s">
        <v>186</v>
      </c>
      <c r="G159" s="17">
        <v>0</v>
      </c>
      <c r="H159" s="18" t="s">
        <v>1059</v>
      </c>
      <c r="I159" s="18"/>
      <c r="J159" s="18" t="s">
        <v>387</v>
      </c>
      <c r="K159" s="19">
        <v>12</v>
      </c>
      <c r="L159" s="20">
        <v>96</v>
      </c>
      <c r="M159" s="21">
        <v>0</v>
      </c>
      <c r="N159" s="22"/>
      <c r="O159" s="18" t="s">
        <v>349</v>
      </c>
      <c r="P159" s="18" t="s">
        <v>1060</v>
      </c>
      <c r="Q159" s="18" t="s">
        <v>1061</v>
      </c>
      <c r="R159" s="18"/>
      <c r="S159" s="18"/>
      <c r="T159" s="22"/>
      <c r="U159" s="23"/>
      <c r="V159" s="22"/>
      <c r="W159" s="23"/>
      <c r="X159" s="24" t="s">
        <v>352</v>
      </c>
      <c r="Y159" s="18"/>
      <c r="Z159" s="18" t="s">
        <v>1062</v>
      </c>
      <c r="AA159" s="25">
        <v>46241</v>
      </c>
      <c r="AB159" s="25">
        <v>46247</v>
      </c>
      <c r="AC159" s="26">
        <v>46237</v>
      </c>
      <c r="AD159" s="26">
        <v>46241</v>
      </c>
      <c r="AE159" s="23">
        <v>46251</v>
      </c>
      <c r="AF159" s="23">
        <v>46256</v>
      </c>
      <c r="AG159" s="23"/>
      <c r="AH159" s="27">
        <v>0</v>
      </c>
      <c r="AI159" s="24"/>
      <c r="AJ159" s="28"/>
      <c r="AK159" s="28">
        <v>0</v>
      </c>
      <c r="AL159" s="18" t="s">
        <v>345</v>
      </c>
      <c r="AM159" s="18" t="s">
        <v>345</v>
      </c>
      <c r="AN159" s="18" t="s">
        <v>345</v>
      </c>
      <c r="AO159" s="18" t="s">
        <v>354</v>
      </c>
      <c r="AP159" s="24" t="s">
        <v>355</v>
      </c>
      <c r="AQ159" s="18" t="s">
        <v>345</v>
      </c>
      <c r="AR159" s="18" t="s">
        <v>345</v>
      </c>
      <c r="AS159" s="28"/>
      <c r="AT159" s="28"/>
      <c r="AU159" s="18" t="s">
        <v>345</v>
      </c>
      <c r="AV159" s="18" t="s">
        <v>345</v>
      </c>
      <c r="AW159" s="18" t="s">
        <v>345</v>
      </c>
      <c r="AX159" s="32"/>
      <c r="AY159" s="18" t="s">
        <v>345</v>
      </c>
      <c r="AZ159" s="18" t="s">
        <v>345</v>
      </c>
      <c r="BA159" s="35" t="s">
        <v>358</v>
      </c>
      <c r="BB159" s="36" t="s">
        <v>359</v>
      </c>
      <c r="BC159" s="112"/>
    </row>
    <row r="160" spans="1:55" ht="63.75" customHeight="1" x14ac:dyDescent="0.25">
      <c r="A160" s="15">
        <v>156</v>
      </c>
      <c r="B160" s="15"/>
      <c r="C160" s="15" t="s">
        <v>1037</v>
      </c>
      <c r="D160" s="15" t="s">
        <v>664</v>
      </c>
      <c r="E160" s="15" t="s">
        <v>1063</v>
      </c>
      <c r="F160" s="16" t="s">
        <v>189</v>
      </c>
      <c r="G160" s="17">
        <v>0</v>
      </c>
      <c r="H160" s="18" t="s">
        <v>1064</v>
      </c>
      <c r="I160" s="18"/>
      <c r="J160" s="18" t="s">
        <v>387</v>
      </c>
      <c r="K160" s="19">
        <v>8</v>
      </c>
      <c r="L160" s="20">
        <v>64</v>
      </c>
      <c r="M160" s="21">
        <v>0.2</v>
      </c>
      <c r="N160" s="22"/>
      <c r="O160" s="18" t="s">
        <v>349</v>
      </c>
      <c r="P160" s="18" t="s">
        <v>1065</v>
      </c>
      <c r="Q160" s="18" t="s">
        <v>1066</v>
      </c>
      <c r="R160" s="18"/>
      <c r="S160" s="18"/>
      <c r="T160" s="22"/>
      <c r="U160" s="23"/>
      <c r="V160" s="22"/>
      <c r="W160" s="23"/>
      <c r="X160" s="24" t="s">
        <v>352</v>
      </c>
      <c r="Y160" s="18"/>
      <c r="Z160" s="18" t="s">
        <v>1067</v>
      </c>
      <c r="AA160" s="25">
        <v>46253</v>
      </c>
      <c r="AB160" s="25">
        <v>46260</v>
      </c>
      <c r="AC160" s="26">
        <v>46253</v>
      </c>
      <c r="AD160" s="26">
        <v>46260</v>
      </c>
      <c r="AE160" s="23">
        <v>46270</v>
      </c>
      <c r="AF160" s="23">
        <v>46275</v>
      </c>
      <c r="AG160" s="23">
        <v>46209</v>
      </c>
      <c r="AH160" s="27">
        <v>0</v>
      </c>
      <c r="AI160" s="24"/>
      <c r="AJ160" s="28"/>
      <c r="AK160" s="28">
        <v>0</v>
      </c>
      <c r="AL160" s="18" t="s">
        <v>345</v>
      </c>
      <c r="AM160" s="18" t="s">
        <v>345</v>
      </c>
      <c r="AN160" s="18" t="s">
        <v>345</v>
      </c>
      <c r="AO160" s="18" t="s">
        <v>354</v>
      </c>
      <c r="AP160" s="24" t="s">
        <v>355</v>
      </c>
      <c r="AQ160" s="18" t="s">
        <v>345</v>
      </c>
      <c r="AR160" s="18" t="s">
        <v>345</v>
      </c>
      <c r="AS160" s="28"/>
      <c r="AT160" s="28" t="s">
        <v>466</v>
      </c>
      <c r="AU160" s="18" t="s">
        <v>345</v>
      </c>
      <c r="AV160" s="18" t="s">
        <v>345</v>
      </c>
      <c r="AW160" s="18" t="s">
        <v>345</v>
      </c>
      <c r="AX160" s="32"/>
      <c r="AY160" s="18" t="s">
        <v>345</v>
      </c>
      <c r="AZ160" s="18" t="s">
        <v>345</v>
      </c>
      <c r="BA160" s="35" t="s">
        <v>358</v>
      </c>
      <c r="BB160" s="36" t="s">
        <v>359</v>
      </c>
      <c r="BC160" s="112"/>
    </row>
    <row r="161" spans="1:55" ht="76.5" customHeight="1" x14ac:dyDescent="0.25">
      <c r="A161" s="15">
        <v>157</v>
      </c>
      <c r="B161" s="15"/>
      <c r="C161" s="15" t="s">
        <v>1037</v>
      </c>
      <c r="D161" s="15" t="s">
        <v>664</v>
      </c>
      <c r="E161" s="15" t="s">
        <v>1068</v>
      </c>
      <c r="F161" s="16" t="s">
        <v>190</v>
      </c>
      <c r="G161" s="17">
        <v>0</v>
      </c>
      <c r="H161" s="18" t="s">
        <v>1069</v>
      </c>
      <c r="I161" s="18"/>
      <c r="J161" s="18" t="s">
        <v>387</v>
      </c>
      <c r="K161" s="19">
        <v>4</v>
      </c>
      <c r="L161" s="20">
        <v>32</v>
      </c>
      <c r="M161" s="21">
        <v>0.2</v>
      </c>
      <c r="N161" s="22"/>
      <c r="O161" s="18" t="s">
        <v>349</v>
      </c>
      <c r="P161" s="18" t="s">
        <v>1070</v>
      </c>
      <c r="Q161" s="18" t="s">
        <v>667</v>
      </c>
      <c r="R161" s="18" t="s">
        <v>1071</v>
      </c>
      <c r="S161" s="18"/>
      <c r="T161" s="22"/>
      <c r="U161" s="23"/>
      <c r="V161" s="22"/>
      <c r="W161" s="23"/>
      <c r="X161" s="24" t="s">
        <v>352</v>
      </c>
      <c r="Y161" s="18"/>
      <c r="Z161" s="18" t="s">
        <v>1072</v>
      </c>
      <c r="AA161" s="25">
        <v>46206</v>
      </c>
      <c r="AB161" s="25">
        <v>46212</v>
      </c>
      <c r="AC161" s="26">
        <v>46209</v>
      </c>
      <c r="AD161" s="26">
        <v>46213</v>
      </c>
      <c r="AE161" s="23">
        <v>46223</v>
      </c>
      <c r="AF161" s="23">
        <v>46228</v>
      </c>
      <c r="AG161" s="23">
        <v>46204</v>
      </c>
      <c r="AH161" s="27">
        <v>0</v>
      </c>
      <c r="AI161" s="24"/>
      <c r="AJ161" s="28"/>
      <c r="AK161" s="28">
        <v>0</v>
      </c>
      <c r="AL161" s="18" t="s">
        <v>345</v>
      </c>
      <c r="AM161" s="18" t="s">
        <v>345</v>
      </c>
      <c r="AN161" s="18" t="s">
        <v>345</v>
      </c>
      <c r="AO161" s="18" t="s">
        <v>354</v>
      </c>
      <c r="AP161" s="24" t="s">
        <v>355</v>
      </c>
      <c r="AQ161" s="18" t="s">
        <v>345</v>
      </c>
      <c r="AR161" s="18" t="s">
        <v>345</v>
      </c>
      <c r="AS161" s="28"/>
      <c r="AT161" s="28" t="s">
        <v>1073</v>
      </c>
      <c r="AU161" s="18" t="s">
        <v>345</v>
      </c>
      <c r="AV161" s="18" t="s">
        <v>345</v>
      </c>
      <c r="AW161" s="18" t="s">
        <v>345</v>
      </c>
      <c r="AX161" s="32"/>
      <c r="AY161" s="18" t="s">
        <v>345</v>
      </c>
      <c r="AZ161" s="18" t="s">
        <v>345</v>
      </c>
      <c r="BA161" s="35" t="s">
        <v>358</v>
      </c>
      <c r="BB161" s="36" t="s">
        <v>359</v>
      </c>
      <c r="BC161" s="112"/>
    </row>
    <row r="162" spans="1:55" ht="63.75" customHeight="1" x14ac:dyDescent="0.25">
      <c r="A162" s="15">
        <v>158</v>
      </c>
      <c r="B162" s="15"/>
      <c r="C162" s="15" t="s">
        <v>1037</v>
      </c>
      <c r="D162" s="15" t="s">
        <v>664</v>
      </c>
      <c r="E162" s="15" t="s">
        <v>1074</v>
      </c>
      <c r="F162" s="16" t="s">
        <v>191</v>
      </c>
      <c r="G162" s="17">
        <v>0</v>
      </c>
      <c r="H162" s="18" t="s">
        <v>1075</v>
      </c>
      <c r="I162" s="18" t="s">
        <v>359</v>
      </c>
      <c r="J162" s="18" t="s">
        <v>387</v>
      </c>
      <c r="K162" s="19">
        <v>5.75</v>
      </c>
      <c r="L162" s="20">
        <v>46</v>
      </c>
      <c r="M162" s="21">
        <v>0.9</v>
      </c>
      <c r="N162" s="22" t="s">
        <v>469</v>
      </c>
      <c r="O162" s="18" t="s">
        <v>1076</v>
      </c>
      <c r="P162" s="18" t="s">
        <v>1077</v>
      </c>
      <c r="Q162" s="18" t="s">
        <v>1078</v>
      </c>
      <c r="R162" s="18" t="s">
        <v>1079</v>
      </c>
      <c r="S162" s="18"/>
      <c r="T162" s="22" t="s">
        <v>1080</v>
      </c>
      <c r="U162" s="23">
        <v>46202.5380540162</v>
      </c>
      <c r="V162" s="22" t="s">
        <v>742</v>
      </c>
      <c r="W162" s="23">
        <v>46205.400029942131</v>
      </c>
      <c r="X162" s="24" t="s">
        <v>374</v>
      </c>
      <c r="Y162" s="18"/>
      <c r="Z162" s="18"/>
      <c r="AA162" s="25"/>
      <c r="AB162" s="25"/>
      <c r="AC162" s="26">
        <v>46216</v>
      </c>
      <c r="AD162" s="26">
        <v>46202.5380540162</v>
      </c>
      <c r="AE162" s="23">
        <v>46212.5380540162</v>
      </c>
      <c r="AF162" s="23">
        <v>46217.5380540162</v>
      </c>
      <c r="AG162" s="23">
        <v>46199</v>
      </c>
      <c r="AH162" s="27">
        <v>0</v>
      </c>
      <c r="AI162" s="24"/>
      <c r="AJ162" s="28"/>
      <c r="AK162" s="28">
        <v>0</v>
      </c>
      <c r="AL162" s="18" t="s">
        <v>345</v>
      </c>
      <c r="AM162" s="18" t="s">
        <v>345</v>
      </c>
      <c r="AN162" s="18" t="s">
        <v>345</v>
      </c>
      <c r="AO162" s="18" t="s">
        <v>354</v>
      </c>
      <c r="AP162" s="24" t="s">
        <v>355</v>
      </c>
      <c r="AQ162" s="18" t="s">
        <v>345</v>
      </c>
      <c r="AR162" s="18" t="s">
        <v>345</v>
      </c>
      <c r="AS162" s="28"/>
      <c r="AT162" s="28" t="s">
        <v>1081</v>
      </c>
      <c r="AU162" s="18" t="s">
        <v>345</v>
      </c>
      <c r="AV162" s="18" t="s">
        <v>345</v>
      </c>
      <c r="AW162" s="18" t="s">
        <v>345</v>
      </c>
      <c r="AX162" s="32"/>
      <c r="AY162" s="18" t="s">
        <v>345</v>
      </c>
      <c r="AZ162" s="18" t="s">
        <v>345</v>
      </c>
      <c r="BA162" s="35" t="s">
        <v>358</v>
      </c>
      <c r="BB162" s="36" t="s">
        <v>359</v>
      </c>
      <c r="BC162" s="112"/>
    </row>
    <row r="163" spans="1:55" ht="63.75" customHeight="1" x14ac:dyDescent="0.25">
      <c r="A163" s="15">
        <v>159</v>
      </c>
      <c r="B163" s="15"/>
      <c r="C163" s="15" t="s">
        <v>1037</v>
      </c>
      <c r="D163" s="15" t="s">
        <v>664</v>
      </c>
      <c r="E163" s="15" t="s">
        <v>1082</v>
      </c>
      <c r="F163" s="16" t="s">
        <v>192</v>
      </c>
      <c r="G163" s="17">
        <v>0</v>
      </c>
      <c r="H163" s="18" t="s">
        <v>1083</v>
      </c>
      <c r="I163" s="18" t="s">
        <v>359</v>
      </c>
      <c r="J163" s="18" t="s">
        <v>387</v>
      </c>
      <c r="K163" s="19">
        <v>4.75</v>
      </c>
      <c r="L163" s="20">
        <v>38</v>
      </c>
      <c r="M163" s="21">
        <v>0.9</v>
      </c>
      <c r="N163" s="22" t="s">
        <v>469</v>
      </c>
      <c r="O163" s="18" t="s">
        <v>1076</v>
      </c>
      <c r="P163" s="18" t="s">
        <v>600</v>
      </c>
      <c r="Q163" s="18" t="s">
        <v>1078</v>
      </c>
      <c r="R163" s="18" t="s">
        <v>1084</v>
      </c>
      <c r="S163" s="18"/>
      <c r="T163" s="22" t="s">
        <v>1085</v>
      </c>
      <c r="U163" s="23">
        <v>46204.519203321761</v>
      </c>
      <c r="V163" s="22" t="s">
        <v>471</v>
      </c>
      <c r="W163" s="23">
        <v>46205.449777083333</v>
      </c>
      <c r="X163" s="24" t="s">
        <v>374</v>
      </c>
      <c r="Y163" s="18"/>
      <c r="Z163" s="18"/>
      <c r="AA163" s="25"/>
      <c r="AB163" s="25"/>
      <c r="AC163" s="26">
        <v>46202</v>
      </c>
      <c r="AD163" s="26">
        <v>46204.519203321761</v>
      </c>
      <c r="AE163" s="23">
        <v>46214.519203321761</v>
      </c>
      <c r="AF163" s="23">
        <v>46219.519203321761</v>
      </c>
      <c r="AG163" s="23">
        <v>46202</v>
      </c>
      <c r="AH163" s="27">
        <v>0</v>
      </c>
      <c r="AI163" s="24"/>
      <c r="AJ163" s="28"/>
      <c r="AK163" s="28">
        <v>0</v>
      </c>
      <c r="AL163" s="18" t="s">
        <v>345</v>
      </c>
      <c r="AM163" s="18" t="s">
        <v>345</v>
      </c>
      <c r="AN163" s="18" t="s">
        <v>345</v>
      </c>
      <c r="AO163" s="18" t="s">
        <v>354</v>
      </c>
      <c r="AP163" s="24" t="s">
        <v>355</v>
      </c>
      <c r="AQ163" s="18" t="s">
        <v>345</v>
      </c>
      <c r="AR163" s="18" t="s">
        <v>345</v>
      </c>
      <c r="AS163" s="28"/>
      <c r="AT163" s="28" t="s">
        <v>649</v>
      </c>
      <c r="AU163" s="18" t="s">
        <v>345</v>
      </c>
      <c r="AV163" s="18" t="s">
        <v>345</v>
      </c>
      <c r="AW163" s="18" t="s">
        <v>345</v>
      </c>
      <c r="AX163" s="32" t="s">
        <v>545</v>
      </c>
      <c r="AY163" s="18" t="s">
        <v>345</v>
      </c>
      <c r="AZ163" s="18" t="s">
        <v>345</v>
      </c>
      <c r="BA163" s="35" t="s">
        <v>358</v>
      </c>
      <c r="BB163" s="36" t="s">
        <v>359</v>
      </c>
      <c r="BC163" s="112"/>
    </row>
    <row r="164" spans="1:55" ht="63.75" customHeight="1" x14ac:dyDescent="0.25">
      <c r="A164" s="15">
        <v>160</v>
      </c>
      <c r="B164" s="15"/>
      <c r="C164" s="15" t="s">
        <v>1037</v>
      </c>
      <c r="D164" s="15" t="s">
        <v>664</v>
      </c>
      <c r="E164" s="15" t="s">
        <v>1086</v>
      </c>
      <c r="F164" s="16" t="s">
        <v>193</v>
      </c>
      <c r="G164" s="17">
        <v>0</v>
      </c>
      <c r="H164" s="18" t="s">
        <v>1087</v>
      </c>
      <c r="I164" s="18" t="s">
        <v>359</v>
      </c>
      <c r="J164" s="18" t="s">
        <v>387</v>
      </c>
      <c r="K164" s="19">
        <v>4.75</v>
      </c>
      <c r="L164" s="20">
        <v>38</v>
      </c>
      <c r="M164" s="21">
        <v>0.9</v>
      </c>
      <c r="N164" s="22" t="s">
        <v>469</v>
      </c>
      <c r="O164" s="18" t="s">
        <v>1076</v>
      </c>
      <c r="P164" s="18" t="s">
        <v>604</v>
      </c>
      <c r="Q164" s="18" t="s">
        <v>1078</v>
      </c>
      <c r="R164" s="18" t="s">
        <v>1088</v>
      </c>
      <c r="S164" s="18"/>
      <c r="T164" s="22" t="s">
        <v>1085</v>
      </c>
      <c r="U164" s="23">
        <v>46204.519204976852</v>
      </c>
      <c r="V164" s="22" t="s">
        <v>471</v>
      </c>
      <c r="W164" s="23">
        <v>46205.480170868053</v>
      </c>
      <c r="X164" s="24" t="s">
        <v>374</v>
      </c>
      <c r="Y164" s="18"/>
      <c r="Z164" s="18"/>
      <c r="AA164" s="25"/>
      <c r="AB164" s="25"/>
      <c r="AC164" s="26">
        <v>46202</v>
      </c>
      <c r="AD164" s="26">
        <v>46204.519204976852</v>
      </c>
      <c r="AE164" s="23">
        <v>46214.519204976852</v>
      </c>
      <c r="AF164" s="23">
        <v>46219.519204976852</v>
      </c>
      <c r="AG164" s="23">
        <v>46202</v>
      </c>
      <c r="AH164" s="27">
        <v>0</v>
      </c>
      <c r="AI164" s="24"/>
      <c r="AJ164" s="28"/>
      <c r="AK164" s="28">
        <v>0</v>
      </c>
      <c r="AL164" s="18" t="s">
        <v>345</v>
      </c>
      <c r="AM164" s="18" t="s">
        <v>345</v>
      </c>
      <c r="AN164" s="18" t="s">
        <v>345</v>
      </c>
      <c r="AO164" s="18" t="s">
        <v>354</v>
      </c>
      <c r="AP164" s="24" t="s">
        <v>355</v>
      </c>
      <c r="AQ164" s="18" t="s">
        <v>345</v>
      </c>
      <c r="AR164" s="18" t="s">
        <v>345</v>
      </c>
      <c r="AS164" s="28"/>
      <c r="AT164" s="28" t="s">
        <v>356</v>
      </c>
      <c r="AU164" s="18" t="s">
        <v>345</v>
      </c>
      <c r="AV164" s="18" t="s">
        <v>345</v>
      </c>
      <c r="AW164" s="18" t="s">
        <v>345</v>
      </c>
      <c r="AX164" s="32" t="s">
        <v>545</v>
      </c>
      <c r="AY164" s="18" t="s">
        <v>345</v>
      </c>
      <c r="AZ164" s="18" t="s">
        <v>345</v>
      </c>
      <c r="BA164" s="35" t="s">
        <v>358</v>
      </c>
      <c r="BB164" s="36" t="s">
        <v>359</v>
      </c>
      <c r="BC164" s="112"/>
    </row>
    <row r="165" spans="1:55" ht="63.75" customHeight="1" x14ac:dyDescent="0.25">
      <c r="A165" s="15">
        <v>161</v>
      </c>
      <c r="B165" s="15"/>
      <c r="C165" s="15" t="s">
        <v>1037</v>
      </c>
      <c r="D165" s="15" t="s">
        <v>664</v>
      </c>
      <c r="E165" s="15" t="s">
        <v>1089</v>
      </c>
      <c r="F165" s="16" t="s">
        <v>194</v>
      </c>
      <c r="G165" s="17">
        <v>0</v>
      </c>
      <c r="H165" s="18" t="s">
        <v>1090</v>
      </c>
      <c r="I165" s="18" t="s">
        <v>359</v>
      </c>
      <c r="J165" s="18" t="s">
        <v>387</v>
      </c>
      <c r="K165" s="19">
        <v>4.875</v>
      </c>
      <c r="L165" s="20">
        <v>39</v>
      </c>
      <c r="M165" s="21">
        <v>0.9</v>
      </c>
      <c r="N165" s="22" t="s">
        <v>469</v>
      </c>
      <c r="O165" s="18" t="s">
        <v>1076</v>
      </c>
      <c r="P165" s="18" t="s">
        <v>1091</v>
      </c>
      <c r="Q165" s="18" t="s">
        <v>1078</v>
      </c>
      <c r="R165" s="18" t="s">
        <v>1092</v>
      </c>
      <c r="S165" s="18"/>
      <c r="T165" s="22" t="s">
        <v>1093</v>
      </c>
      <c r="U165" s="23">
        <v>46204.700839467587</v>
      </c>
      <c r="V165" s="22" t="s">
        <v>471</v>
      </c>
      <c r="W165" s="23">
        <v>46209.573631134263</v>
      </c>
      <c r="X165" s="24" t="s">
        <v>374</v>
      </c>
      <c r="Y165" s="18"/>
      <c r="Z165" s="18"/>
      <c r="AA165" s="25"/>
      <c r="AB165" s="25"/>
      <c r="AC165" s="26">
        <v>46202</v>
      </c>
      <c r="AD165" s="26">
        <v>46204.700839467587</v>
      </c>
      <c r="AE165" s="23">
        <v>46214.700839467587</v>
      </c>
      <c r="AF165" s="23">
        <v>46219.700839467587</v>
      </c>
      <c r="AG165" s="23">
        <v>46203</v>
      </c>
      <c r="AH165" s="27">
        <v>0</v>
      </c>
      <c r="AI165" s="24"/>
      <c r="AJ165" s="28"/>
      <c r="AK165" s="28">
        <v>0</v>
      </c>
      <c r="AL165" s="18" t="s">
        <v>345</v>
      </c>
      <c r="AM165" s="18" t="s">
        <v>345</v>
      </c>
      <c r="AN165" s="18" t="s">
        <v>345</v>
      </c>
      <c r="AO165" s="18" t="s">
        <v>354</v>
      </c>
      <c r="AP165" s="24" t="s">
        <v>355</v>
      </c>
      <c r="AQ165" s="18" t="s">
        <v>345</v>
      </c>
      <c r="AR165" s="18" t="s">
        <v>345</v>
      </c>
      <c r="AS165" s="28"/>
      <c r="AT165" s="28" t="s">
        <v>356</v>
      </c>
      <c r="AU165" s="18" t="s">
        <v>345</v>
      </c>
      <c r="AV165" s="18" t="s">
        <v>345</v>
      </c>
      <c r="AW165" s="18" t="s">
        <v>345</v>
      </c>
      <c r="AX165" s="32" t="s">
        <v>545</v>
      </c>
      <c r="AY165" s="18" t="s">
        <v>345</v>
      </c>
      <c r="AZ165" s="18" t="s">
        <v>345</v>
      </c>
      <c r="BA165" s="35" t="s">
        <v>358</v>
      </c>
      <c r="BB165" s="36" t="s">
        <v>359</v>
      </c>
      <c r="BC165" s="111">
        <v>46216</v>
      </c>
    </row>
    <row r="166" spans="1:55" ht="76.5" customHeight="1" x14ac:dyDescent="0.25">
      <c r="A166" s="15">
        <v>162</v>
      </c>
      <c r="B166" s="15"/>
      <c r="C166" s="15" t="s">
        <v>1037</v>
      </c>
      <c r="D166" s="15" t="s">
        <v>664</v>
      </c>
      <c r="E166" s="15" t="s">
        <v>1094</v>
      </c>
      <c r="F166" s="16" t="s">
        <v>195</v>
      </c>
      <c r="G166" s="17">
        <v>0</v>
      </c>
      <c r="H166" s="18" t="s">
        <v>1095</v>
      </c>
      <c r="I166" s="18" t="s">
        <v>359</v>
      </c>
      <c r="J166" s="18" t="s">
        <v>387</v>
      </c>
      <c r="K166" s="19">
        <v>4</v>
      </c>
      <c r="L166" s="20">
        <v>32</v>
      </c>
      <c r="M166" s="21">
        <v>0.9</v>
      </c>
      <c r="N166" s="22" t="s">
        <v>469</v>
      </c>
      <c r="O166" s="18" t="s">
        <v>1076</v>
      </c>
      <c r="P166" s="18" t="s">
        <v>1096</v>
      </c>
      <c r="Q166" s="18" t="s">
        <v>1078</v>
      </c>
      <c r="R166" s="18" t="s">
        <v>1097</v>
      </c>
      <c r="S166" s="18"/>
      <c r="T166" s="22" t="s">
        <v>1098</v>
      </c>
      <c r="U166" s="23">
        <v>46204.72341875</v>
      </c>
      <c r="V166" s="22" t="s">
        <v>471</v>
      </c>
      <c r="W166" s="23">
        <v>46209.576741666657</v>
      </c>
      <c r="X166" s="24" t="s">
        <v>374</v>
      </c>
      <c r="Y166" s="18"/>
      <c r="Z166" s="18"/>
      <c r="AA166" s="25"/>
      <c r="AB166" s="25"/>
      <c r="AC166" s="26">
        <v>46202</v>
      </c>
      <c r="AD166" s="26">
        <v>46204.72341875</v>
      </c>
      <c r="AE166" s="23">
        <v>46214.72341875</v>
      </c>
      <c r="AF166" s="23">
        <v>46219.72341875</v>
      </c>
      <c r="AG166" s="23"/>
      <c r="AH166" s="27">
        <v>0</v>
      </c>
      <c r="AI166" s="24"/>
      <c r="AJ166" s="28"/>
      <c r="AK166" s="28">
        <v>0</v>
      </c>
      <c r="AL166" s="18" t="s">
        <v>345</v>
      </c>
      <c r="AM166" s="18" t="s">
        <v>345</v>
      </c>
      <c r="AN166" s="18" t="s">
        <v>345</v>
      </c>
      <c r="AO166" s="18" t="s">
        <v>354</v>
      </c>
      <c r="AP166" s="24" t="s">
        <v>355</v>
      </c>
      <c r="AQ166" s="18" t="s">
        <v>345</v>
      </c>
      <c r="AR166" s="18" t="s">
        <v>345</v>
      </c>
      <c r="AS166" s="28"/>
      <c r="AT166" s="28"/>
      <c r="AU166" s="18" t="s">
        <v>345</v>
      </c>
      <c r="AV166" s="18" t="s">
        <v>345</v>
      </c>
      <c r="AW166" s="18" t="s">
        <v>345</v>
      </c>
      <c r="AX166" s="32"/>
      <c r="AY166" s="18" t="s">
        <v>345</v>
      </c>
      <c r="AZ166" s="18" t="s">
        <v>345</v>
      </c>
      <c r="BA166" s="35" t="s">
        <v>358</v>
      </c>
      <c r="BB166" s="36" t="s">
        <v>359</v>
      </c>
      <c r="BC166" s="111">
        <v>46216</v>
      </c>
    </row>
    <row r="167" spans="1:55" ht="76.5" customHeight="1" x14ac:dyDescent="0.25">
      <c r="A167" s="15">
        <v>163</v>
      </c>
      <c r="B167" s="15"/>
      <c r="C167" s="15" t="s">
        <v>1037</v>
      </c>
      <c r="D167" s="15" t="s">
        <v>611</v>
      </c>
      <c r="E167" s="15" t="s">
        <v>1099</v>
      </c>
      <c r="F167" s="16" t="s">
        <v>197</v>
      </c>
      <c r="G167" s="17">
        <v>0</v>
      </c>
      <c r="H167" s="18" t="s">
        <v>1100</v>
      </c>
      <c r="I167" s="18"/>
      <c r="J167" s="18" t="s">
        <v>387</v>
      </c>
      <c r="K167" s="19">
        <v>0.75</v>
      </c>
      <c r="L167" s="20">
        <v>6</v>
      </c>
      <c r="M167" s="21">
        <v>0</v>
      </c>
      <c r="N167" s="22"/>
      <c r="O167" s="18" t="s">
        <v>349</v>
      </c>
      <c r="P167" s="18" t="s">
        <v>1070</v>
      </c>
      <c r="Q167" s="18" t="s">
        <v>769</v>
      </c>
      <c r="R167" s="18" t="s">
        <v>1101</v>
      </c>
      <c r="S167" s="18"/>
      <c r="T167" s="22"/>
      <c r="U167" s="23"/>
      <c r="V167" s="22"/>
      <c r="W167" s="23"/>
      <c r="X167" s="24" t="s">
        <v>352</v>
      </c>
      <c r="Y167" s="18"/>
      <c r="Z167" s="18" t="s">
        <v>1102</v>
      </c>
      <c r="AA167" s="25">
        <v>46230</v>
      </c>
      <c r="AB167" s="25">
        <v>46234</v>
      </c>
      <c r="AC167" s="26">
        <v>46231</v>
      </c>
      <c r="AD167" s="26">
        <v>46237</v>
      </c>
      <c r="AE167" s="23">
        <v>46247</v>
      </c>
      <c r="AF167" s="23">
        <v>46252</v>
      </c>
      <c r="AG167" s="23"/>
      <c r="AH167" s="27">
        <v>0</v>
      </c>
      <c r="AI167" s="24"/>
      <c r="AJ167" s="28"/>
      <c r="AK167" s="28">
        <v>0</v>
      </c>
      <c r="AL167" s="18" t="s">
        <v>345</v>
      </c>
      <c r="AM167" s="18" t="s">
        <v>345</v>
      </c>
      <c r="AN167" s="18" t="s">
        <v>345</v>
      </c>
      <c r="AO167" s="18"/>
      <c r="AP167" s="24" t="s">
        <v>355</v>
      </c>
      <c r="AQ167" s="18" t="s">
        <v>345</v>
      </c>
      <c r="AR167" s="18" t="s">
        <v>345</v>
      </c>
      <c r="AS167" s="28"/>
      <c r="AT167" s="28"/>
      <c r="AU167" s="18" t="s">
        <v>345</v>
      </c>
      <c r="AV167" s="18" t="s">
        <v>345</v>
      </c>
      <c r="AW167" s="18" t="s">
        <v>345</v>
      </c>
      <c r="AX167" s="32"/>
      <c r="AY167" s="18" t="s">
        <v>345</v>
      </c>
      <c r="AZ167" s="18" t="s">
        <v>345</v>
      </c>
      <c r="BA167" s="35" t="s">
        <v>358</v>
      </c>
      <c r="BB167" s="36" t="s">
        <v>359</v>
      </c>
      <c r="BC167" s="112"/>
    </row>
    <row r="168" spans="1:55" ht="76.5" customHeight="1" x14ac:dyDescent="0.25">
      <c r="A168" s="15">
        <v>164</v>
      </c>
      <c r="B168" s="15"/>
      <c r="C168" s="15" t="s">
        <v>1037</v>
      </c>
      <c r="D168" s="15" t="s">
        <v>611</v>
      </c>
      <c r="E168" s="15" t="s">
        <v>1103</v>
      </c>
      <c r="F168" s="16" t="s">
        <v>198</v>
      </c>
      <c r="G168" s="17">
        <v>0</v>
      </c>
      <c r="H168" s="18" t="s">
        <v>1104</v>
      </c>
      <c r="I168" s="18"/>
      <c r="J168" s="18" t="s">
        <v>387</v>
      </c>
      <c r="K168" s="19">
        <v>6</v>
      </c>
      <c r="L168" s="20">
        <v>48</v>
      </c>
      <c r="M168" s="21">
        <v>0</v>
      </c>
      <c r="N168" s="22"/>
      <c r="O168" s="18" t="s">
        <v>349</v>
      </c>
      <c r="P168" s="18" t="s">
        <v>1105</v>
      </c>
      <c r="Q168" s="18" t="s">
        <v>769</v>
      </c>
      <c r="R168" s="18" t="s">
        <v>1101</v>
      </c>
      <c r="S168" s="18"/>
      <c r="T168" s="22"/>
      <c r="U168" s="23"/>
      <c r="V168" s="22"/>
      <c r="W168" s="23"/>
      <c r="X168" s="24" t="s">
        <v>352</v>
      </c>
      <c r="Y168" s="18"/>
      <c r="Z168" s="18" t="s">
        <v>1106</v>
      </c>
      <c r="AA168" s="25">
        <v>46238</v>
      </c>
      <c r="AB168" s="25">
        <v>46247</v>
      </c>
      <c r="AC168" s="26">
        <v>46238</v>
      </c>
      <c r="AD168" s="26">
        <v>46247</v>
      </c>
      <c r="AE168" s="23">
        <v>46257</v>
      </c>
      <c r="AF168" s="23">
        <v>46262</v>
      </c>
      <c r="AG168" s="23"/>
      <c r="AH168" s="27">
        <v>0</v>
      </c>
      <c r="AI168" s="24"/>
      <c r="AJ168" s="28"/>
      <c r="AK168" s="28">
        <v>0</v>
      </c>
      <c r="AL168" s="18" t="s">
        <v>345</v>
      </c>
      <c r="AM168" s="18" t="s">
        <v>345</v>
      </c>
      <c r="AN168" s="18" t="s">
        <v>345</v>
      </c>
      <c r="AO168" s="18"/>
      <c r="AP168" s="24" t="s">
        <v>355</v>
      </c>
      <c r="AQ168" s="18" t="s">
        <v>345</v>
      </c>
      <c r="AR168" s="18" t="s">
        <v>345</v>
      </c>
      <c r="AS168" s="28"/>
      <c r="AT168" s="28"/>
      <c r="AU168" s="18" t="s">
        <v>345</v>
      </c>
      <c r="AV168" s="18" t="s">
        <v>345</v>
      </c>
      <c r="AW168" s="18" t="s">
        <v>345</v>
      </c>
      <c r="AX168" s="32"/>
      <c r="AY168" s="18" t="s">
        <v>345</v>
      </c>
      <c r="AZ168" s="18" t="s">
        <v>345</v>
      </c>
      <c r="BA168" s="35" t="s">
        <v>358</v>
      </c>
      <c r="BB168" s="36" t="s">
        <v>359</v>
      </c>
      <c r="BC168" s="112"/>
    </row>
    <row r="169" spans="1:55" ht="63.75" customHeight="1" x14ac:dyDescent="0.25">
      <c r="A169" s="15">
        <v>165</v>
      </c>
      <c r="B169" s="15"/>
      <c r="C169" s="15" t="s">
        <v>1107</v>
      </c>
      <c r="D169" s="15" t="s">
        <v>1108</v>
      </c>
      <c r="E169" s="15" t="s">
        <v>1109</v>
      </c>
      <c r="F169" s="16" t="s">
        <v>200</v>
      </c>
      <c r="G169" s="17">
        <v>1</v>
      </c>
      <c r="H169" s="18" t="s">
        <v>1110</v>
      </c>
      <c r="I169" s="18" t="s">
        <v>824</v>
      </c>
      <c r="J169" s="18" t="s">
        <v>387</v>
      </c>
      <c r="K169" s="19">
        <v>1</v>
      </c>
      <c r="L169" s="20">
        <v>8</v>
      </c>
      <c r="M169" s="21">
        <v>1</v>
      </c>
      <c r="N169" s="22" t="s">
        <v>573</v>
      </c>
      <c r="O169" s="18" t="s">
        <v>349</v>
      </c>
      <c r="P169" s="18" t="s">
        <v>574</v>
      </c>
      <c r="Q169" s="18" t="s">
        <v>1111</v>
      </c>
      <c r="R169" s="18" t="s">
        <v>1112</v>
      </c>
      <c r="S169" s="18" t="s">
        <v>576</v>
      </c>
      <c r="T169" s="22" t="s">
        <v>577</v>
      </c>
      <c r="U169" s="23">
        <v>46213.699656909717</v>
      </c>
      <c r="V169" s="22" t="s">
        <v>419</v>
      </c>
      <c r="W169" s="23">
        <v>46216.486942557873</v>
      </c>
      <c r="X169" s="24" t="s">
        <v>374</v>
      </c>
      <c r="Y169" s="18"/>
      <c r="Z169" s="18"/>
      <c r="AA169" s="25"/>
      <c r="AB169" s="25"/>
      <c r="AC169" s="26"/>
      <c r="AD169" s="26">
        <v>46213.699656909717</v>
      </c>
      <c r="AE169" s="23">
        <v>46213.699656909717</v>
      </c>
      <c r="AF169" s="23">
        <v>46213.699656909717</v>
      </c>
      <c r="AG169" s="23">
        <v>46203</v>
      </c>
      <c r="AH169" s="27"/>
      <c r="AI169" s="24"/>
      <c r="AJ169" s="28"/>
      <c r="AK169" s="28">
        <v>0</v>
      </c>
      <c r="AL169" s="18" t="s">
        <v>345</v>
      </c>
      <c r="AM169" s="18" t="s">
        <v>345</v>
      </c>
      <c r="AN169" s="18" t="s">
        <v>345</v>
      </c>
      <c r="AO169" s="18" t="s">
        <v>354</v>
      </c>
      <c r="AP169" s="24" t="s">
        <v>355</v>
      </c>
      <c r="AQ169" s="18" t="s">
        <v>345</v>
      </c>
      <c r="AR169" s="18" t="s">
        <v>345</v>
      </c>
      <c r="AS169" s="28"/>
      <c r="AT169" s="28" t="s">
        <v>552</v>
      </c>
      <c r="AU169" s="18" t="s">
        <v>345</v>
      </c>
      <c r="AV169" s="18" t="s">
        <v>345</v>
      </c>
      <c r="AW169" s="18" t="s">
        <v>345</v>
      </c>
      <c r="AX169" s="32" t="s">
        <v>545</v>
      </c>
      <c r="AY169" s="18" t="s">
        <v>345</v>
      </c>
      <c r="AZ169" s="18" t="s">
        <v>345</v>
      </c>
      <c r="BA169" s="35" t="s">
        <v>358</v>
      </c>
      <c r="BB169" s="36" t="s">
        <v>359</v>
      </c>
      <c r="BC169" s="112"/>
    </row>
    <row r="170" spans="1:55" ht="76.5" customHeight="1" x14ac:dyDescent="0.25">
      <c r="A170" s="15">
        <v>166</v>
      </c>
      <c r="B170" s="15"/>
      <c r="C170" s="15" t="s">
        <v>1107</v>
      </c>
      <c r="D170" s="15" t="s">
        <v>1108</v>
      </c>
      <c r="E170" s="15" t="s">
        <v>1113</v>
      </c>
      <c r="F170" s="16" t="s">
        <v>201</v>
      </c>
      <c r="G170" s="17">
        <v>0</v>
      </c>
      <c r="H170" s="18" t="s">
        <v>1114</v>
      </c>
      <c r="I170" s="18" t="s">
        <v>359</v>
      </c>
      <c r="J170" s="18" t="s">
        <v>387</v>
      </c>
      <c r="K170" s="19">
        <v>1.125</v>
      </c>
      <c r="L170" s="20">
        <v>9</v>
      </c>
      <c r="M170" s="21">
        <v>0.9</v>
      </c>
      <c r="N170" s="22" t="s">
        <v>469</v>
      </c>
      <c r="O170" s="18" t="s">
        <v>349</v>
      </c>
      <c r="P170" s="18" t="s">
        <v>574</v>
      </c>
      <c r="Q170" s="18" t="s">
        <v>1111</v>
      </c>
      <c r="R170" s="18" t="s">
        <v>1115</v>
      </c>
      <c r="S170" s="18"/>
      <c r="T170" s="22" t="s">
        <v>1116</v>
      </c>
      <c r="U170" s="23">
        <v>46204.51934540509</v>
      </c>
      <c r="V170" s="22" t="s">
        <v>742</v>
      </c>
      <c r="W170" s="23">
        <v>46213.598301238417</v>
      </c>
      <c r="X170" s="24" t="s">
        <v>374</v>
      </c>
      <c r="Y170" s="18"/>
      <c r="Z170" s="18"/>
      <c r="AA170" s="25"/>
      <c r="AB170" s="25"/>
      <c r="AC170" s="26">
        <v>46238</v>
      </c>
      <c r="AD170" s="26">
        <v>46204.51934540509</v>
      </c>
      <c r="AE170" s="23">
        <v>46214.51934540509</v>
      </c>
      <c r="AF170" s="23">
        <v>46219.51934540509</v>
      </c>
      <c r="AG170" s="23">
        <v>46204</v>
      </c>
      <c r="AH170" s="27">
        <v>0</v>
      </c>
      <c r="AI170" s="24"/>
      <c r="AJ170" s="28"/>
      <c r="AK170" s="28">
        <v>0</v>
      </c>
      <c r="AL170" s="18" t="s">
        <v>345</v>
      </c>
      <c r="AM170" s="18" t="s">
        <v>345</v>
      </c>
      <c r="AN170" s="18" t="s">
        <v>345</v>
      </c>
      <c r="AO170" s="18"/>
      <c r="AP170" s="24" t="s">
        <v>355</v>
      </c>
      <c r="AQ170" s="18" t="s">
        <v>345</v>
      </c>
      <c r="AR170" s="18" t="s">
        <v>345</v>
      </c>
      <c r="AS170" s="28"/>
      <c r="AT170" s="28" t="s">
        <v>466</v>
      </c>
      <c r="AU170" s="18" t="s">
        <v>345</v>
      </c>
      <c r="AV170" s="18" t="s">
        <v>345</v>
      </c>
      <c r="AW170" s="18" t="s">
        <v>345</v>
      </c>
      <c r="AX170" s="32" t="s">
        <v>545</v>
      </c>
      <c r="AY170" s="18" t="s">
        <v>345</v>
      </c>
      <c r="AZ170" s="18" t="s">
        <v>345</v>
      </c>
      <c r="BA170" s="35" t="s">
        <v>358</v>
      </c>
      <c r="BB170" s="36" t="s">
        <v>359</v>
      </c>
      <c r="BC170" s="112"/>
    </row>
    <row r="171" spans="1:55" ht="63.75" customHeight="1" x14ac:dyDescent="0.25">
      <c r="A171" s="15">
        <v>167</v>
      </c>
      <c r="B171" s="15"/>
      <c r="C171" s="15" t="s">
        <v>1107</v>
      </c>
      <c r="D171" s="15" t="s">
        <v>1108</v>
      </c>
      <c r="E171" s="15" t="s">
        <v>1117</v>
      </c>
      <c r="F171" s="16" t="s">
        <v>202</v>
      </c>
      <c r="G171" s="17">
        <v>0</v>
      </c>
      <c r="H171" s="18" t="s">
        <v>1118</v>
      </c>
      <c r="I171" s="18" t="s">
        <v>359</v>
      </c>
      <c r="J171" s="18" t="s">
        <v>387</v>
      </c>
      <c r="K171" s="19">
        <v>0.875</v>
      </c>
      <c r="L171" s="20">
        <v>7</v>
      </c>
      <c r="M171" s="21">
        <v>0.9</v>
      </c>
      <c r="N171" s="22" t="s">
        <v>469</v>
      </c>
      <c r="O171" s="18" t="s">
        <v>349</v>
      </c>
      <c r="P171" s="18" t="s">
        <v>574</v>
      </c>
      <c r="Q171" s="18" t="s">
        <v>1111</v>
      </c>
      <c r="R171" s="18" t="s">
        <v>1119</v>
      </c>
      <c r="S171" s="18" t="s">
        <v>789</v>
      </c>
      <c r="T171" s="22" t="s">
        <v>1120</v>
      </c>
      <c r="U171" s="23">
        <v>46204.58374707176</v>
      </c>
      <c r="V171" s="22" t="s">
        <v>419</v>
      </c>
      <c r="W171" s="23">
        <v>46213.599122453707</v>
      </c>
      <c r="X171" s="24" t="s">
        <v>374</v>
      </c>
      <c r="Y171" s="18"/>
      <c r="Z171" s="18"/>
      <c r="AA171" s="25"/>
      <c r="AB171" s="25"/>
      <c r="AC171" s="26">
        <v>46238</v>
      </c>
      <c r="AD171" s="26">
        <v>46204.58374707176</v>
      </c>
      <c r="AE171" s="23">
        <v>46214.58374707176</v>
      </c>
      <c r="AF171" s="23">
        <v>46219.58374707176</v>
      </c>
      <c r="AG171" s="23"/>
      <c r="AH171" s="27">
        <v>0</v>
      </c>
      <c r="AI171" s="24"/>
      <c r="AJ171" s="28"/>
      <c r="AK171" s="28">
        <v>0</v>
      </c>
      <c r="AL171" s="18" t="s">
        <v>345</v>
      </c>
      <c r="AM171" s="18" t="s">
        <v>345</v>
      </c>
      <c r="AN171" s="18" t="s">
        <v>345</v>
      </c>
      <c r="AO171" s="18" t="s">
        <v>354</v>
      </c>
      <c r="AP171" s="24" t="s">
        <v>355</v>
      </c>
      <c r="AQ171" s="18" t="s">
        <v>345</v>
      </c>
      <c r="AR171" s="18" t="s">
        <v>345</v>
      </c>
      <c r="AS171" s="28"/>
      <c r="AT171" s="28"/>
      <c r="AU171" s="18" t="s">
        <v>345</v>
      </c>
      <c r="AV171" s="18" t="s">
        <v>345</v>
      </c>
      <c r="AW171" s="18" t="s">
        <v>345</v>
      </c>
      <c r="AX171" s="32" t="s">
        <v>545</v>
      </c>
      <c r="AY171" s="18" t="s">
        <v>345</v>
      </c>
      <c r="AZ171" s="18" t="s">
        <v>345</v>
      </c>
      <c r="BA171" s="35" t="s">
        <v>358</v>
      </c>
      <c r="BB171" s="36" t="s">
        <v>359</v>
      </c>
      <c r="BC171" s="112"/>
    </row>
    <row r="172" spans="1:55" ht="76.5" customHeight="1" x14ac:dyDescent="0.25">
      <c r="A172" s="15">
        <v>168</v>
      </c>
      <c r="B172" s="15"/>
      <c r="C172" s="15" t="s">
        <v>1107</v>
      </c>
      <c r="D172" s="15" t="s">
        <v>1108</v>
      </c>
      <c r="E172" s="15" t="s">
        <v>1121</v>
      </c>
      <c r="F172" s="16" t="s">
        <v>203</v>
      </c>
      <c r="G172" s="17">
        <v>0</v>
      </c>
      <c r="H172" s="18" t="s">
        <v>1122</v>
      </c>
      <c r="I172" s="18" t="s">
        <v>359</v>
      </c>
      <c r="J172" s="18" t="s">
        <v>387</v>
      </c>
      <c r="K172" s="19">
        <v>0.75</v>
      </c>
      <c r="L172" s="20">
        <v>6</v>
      </c>
      <c r="M172" s="21">
        <v>0.9</v>
      </c>
      <c r="N172" s="22" t="s">
        <v>469</v>
      </c>
      <c r="O172" s="18" t="s">
        <v>349</v>
      </c>
      <c r="P172" s="18" t="s">
        <v>574</v>
      </c>
      <c r="Q172" s="18" t="s">
        <v>1111</v>
      </c>
      <c r="R172" s="18" t="s">
        <v>1123</v>
      </c>
      <c r="S172" s="18" t="s">
        <v>1124</v>
      </c>
      <c r="T172" s="22" t="s">
        <v>1125</v>
      </c>
      <c r="U172" s="23">
        <v>46210.679090196762</v>
      </c>
      <c r="V172" s="22" t="s">
        <v>742</v>
      </c>
      <c r="W172" s="23">
        <v>46213.5970241088</v>
      </c>
      <c r="X172" s="24" t="s">
        <v>374</v>
      </c>
      <c r="Y172" s="18"/>
      <c r="Z172" s="18"/>
      <c r="AA172" s="25"/>
      <c r="AB172" s="25"/>
      <c r="AC172" s="26">
        <v>46288</v>
      </c>
      <c r="AD172" s="26">
        <v>46210.679090196762</v>
      </c>
      <c r="AE172" s="23">
        <v>46220.679090196762</v>
      </c>
      <c r="AF172" s="23">
        <v>46225.679090196762</v>
      </c>
      <c r="AG172" s="23"/>
      <c r="AH172" s="27">
        <v>0</v>
      </c>
      <c r="AI172" s="24"/>
      <c r="AJ172" s="28"/>
      <c r="AK172" s="28">
        <v>0</v>
      </c>
      <c r="AL172" s="18" t="s">
        <v>345</v>
      </c>
      <c r="AM172" s="18" t="s">
        <v>345</v>
      </c>
      <c r="AN172" s="18" t="s">
        <v>345</v>
      </c>
      <c r="AO172" s="18" t="s">
        <v>354</v>
      </c>
      <c r="AP172" s="24" t="s">
        <v>355</v>
      </c>
      <c r="AQ172" s="18" t="s">
        <v>345</v>
      </c>
      <c r="AR172" s="18" t="s">
        <v>345</v>
      </c>
      <c r="AS172" s="28"/>
      <c r="AT172" s="28"/>
      <c r="AU172" s="18" t="s">
        <v>345</v>
      </c>
      <c r="AV172" s="18" t="s">
        <v>345</v>
      </c>
      <c r="AW172" s="18" t="s">
        <v>345</v>
      </c>
      <c r="AX172" s="32" t="s">
        <v>545</v>
      </c>
      <c r="AY172" s="18" t="s">
        <v>345</v>
      </c>
      <c r="AZ172" s="18" t="s">
        <v>345</v>
      </c>
      <c r="BA172" s="35" t="s">
        <v>358</v>
      </c>
      <c r="BB172" s="36" t="s">
        <v>359</v>
      </c>
      <c r="BC172" s="112"/>
    </row>
    <row r="173" spans="1:55" ht="76.5" customHeight="1" x14ac:dyDescent="0.25">
      <c r="A173" s="15">
        <v>169</v>
      </c>
      <c r="B173" s="15"/>
      <c r="C173" s="15" t="s">
        <v>1107</v>
      </c>
      <c r="D173" s="15" t="s">
        <v>1108</v>
      </c>
      <c r="E173" s="15" t="s">
        <v>1126</v>
      </c>
      <c r="F173" s="16" t="s">
        <v>204</v>
      </c>
      <c r="G173" s="17">
        <v>0</v>
      </c>
      <c r="H173" s="18" t="s">
        <v>1127</v>
      </c>
      <c r="I173" s="18"/>
      <c r="J173" s="18" t="s">
        <v>387</v>
      </c>
      <c r="K173" s="19">
        <v>1</v>
      </c>
      <c r="L173" s="20">
        <v>8</v>
      </c>
      <c r="M173" s="21">
        <v>0</v>
      </c>
      <c r="N173" s="22"/>
      <c r="O173" s="18" t="s">
        <v>349</v>
      </c>
      <c r="P173" s="18" t="s">
        <v>574</v>
      </c>
      <c r="Q173" s="18" t="s">
        <v>1111</v>
      </c>
      <c r="R173" s="18" t="s">
        <v>1128</v>
      </c>
      <c r="S173" s="18"/>
      <c r="T173" s="22"/>
      <c r="U173" s="23"/>
      <c r="V173" s="22"/>
      <c r="W173" s="23"/>
      <c r="X173" s="24" t="s">
        <v>374</v>
      </c>
      <c r="Y173" s="18"/>
      <c r="Z173" s="18"/>
      <c r="AA173" s="25"/>
      <c r="AB173" s="25"/>
      <c r="AC173" s="26">
        <v>46288</v>
      </c>
      <c r="AD173" s="26">
        <v>46288</v>
      </c>
      <c r="AE173" s="23">
        <v>46298</v>
      </c>
      <c r="AF173" s="23">
        <v>46303</v>
      </c>
      <c r="AG173" s="23"/>
      <c r="AH173" s="27">
        <v>0</v>
      </c>
      <c r="AI173" s="24"/>
      <c r="AJ173" s="28"/>
      <c r="AK173" s="28">
        <v>0</v>
      </c>
      <c r="AL173" s="18" t="s">
        <v>345</v>
      </c>
      <c r="AM173" s="18" t="s">
        <v>345</v>
      </c>
      <c r="AN173" s="18" t="s">
        <v>345</v>
      </c>
      <c r="AO173" s="18"/>
      <c r="AP173" s="24" t="s">
        <v>355</v>
      </c>
      <c r="AQ173" s="18" t="s">
        <v>345</v>
      </c>
      <c r="AR173" s="18" t="s">
        <v>345</v>
      </c>
      <c r="AS173" s="28"/>
      <c r="AT173" s="28"/>
      <c r="AU173" s="18" t="s">
        <v>345</v>
      </c>
      <c r="AV173" s="18" t="s">
        <v>345</v>
      </c>
      <c r="AW173" s="18" t="s">
        <v>345</v>
      </c>
      <c r="AX173" s="32"/>
      <c r="AY173" s="18" t="s">
        <v>345</v>
      </c>
      <c r="AZ173" s="18" t="s">
        <v>345</v>
      </c>
      <c r="BA173" s="35" t="s">
        <v>358</v>
      </c>
      <c r="BB173" s="36" t="s">
        <v>359</v>
      </c>
      <c r="BC173" s="112"/>
    </row>
    <row r="174" spans="1:55" ht="76.5" customHeight="1" x14ac:dyDescent="0.25">
      <c r="A174" s="15">
        <v>170</v>
      </c>
      <c r="B174" s="15"/>
      <c r="C174" s="15" t="s">
        <v>1107</v>
      </c>
      <c r="D174" s="15" t="s">
        <v>1108</v>
      </c>
      <c r="E174" s="15" t="s">
        <v>1129</v>
      </c>
      <c r="F174" s="16" t="s">
        <v>205</v>
      </c>
      <c r="G174" s="17">
        <v>0</v>
      </c>
      <c r="H174" s="18" t="s">
        <v>1130</v>
      </c>
      <c r="I174" s="18"/>
      <c r="J174" s="18" t="s">
        <v>387</v>
      </c>
      <c r="K174" s="19">
        <v>1</v>
      </c>
      <c r="L174" s="20">
        <v>8</v>
      </c>
      <c r="M174" s="21">
        <v>0</v>
      </c>
      <c r="N174" s="22"/>
      <c r="O174" s="18" t="s">
        <v>349</v>
      </c>
      <c r="P174" s="18" t="s">
        <v>574</v>
      </c>
      <c r="Q174" s="18" t="s">
        <v>1111</v>
      </c>
      <c r="R174" s="18" t="s">
        <v>1128</v>
      </c>
      <c r="S174" s="18"/>
      <c r="T174" s="22"/>
      <c r="U174" s="23"/>
      <c r="V174" s="22"/>
      <c r="W174" s="23"/>
      <c r="X174" s="24" t="s">
        <v>374</v>
      </c>
      <c r="Y174" s="18"/>
      <c r="Z174" s="18"/>
      <c r="AA174" s="25"/>
      <c r="AB174" s="25"/>
      <c r="AC174" s="26">
        <v>46288</v>
      </c>
      <c r="AD174" s="26">
        <v>46288</v>
      </c>
      <c r="AE174" s="23">
        <v>46298</v>
      </c>
      <c r="AF174" s="23">
        <v>46303</v>
      </c>
      <c r="AG174" s="23"/>
      <c r="AH174" s="27">
        <v>0</v>
      </c>
      <c r="AI174" s="24"/>
      <c r="AJ174" s="28"/>
      <c r="AK174" s="28">
        <v>0</v>
      </c>
      <c r="AL174" s="18" t="s">
        <v>345</v>
      </c>
      <c r="AM174" s="18" t="s">
        <v>345</v>
      </c>
      <c r="AN174" s="18" t="s">
        <v>345</v>
      </c>
      <c r="AO174" s="18"/>
      <c r="AP174" s="24" t="s">
        <v>355</v>
      </c>
      <c r="AQ174" s="18" t="s">
        <v>345</v>
      </c>
      <c r="AR174" s="18" t="s">
        <v>345</v>
      </c>
      <c r="AS174" s="28"/>
      <c r="AT174" s="28"/>
      <c r="AU174" s="18" t="s">
        <v>345</v>
      </c>
      <c r="AV174" s="18" t="s">
        <v>345</v>
      </c>
      <c r="AW174" s="18" t="s">
        <v>345</v>
      </c>
      <c r="AX174" s="32"/>
      <c r="AY174" s="18" t="s">
        <v>345</v>
      </c>
      <c r="AZ174" s="18" t="s">
        <v>345</v>
      </c>
      <c r="BA174" s="35" t="s">
        <v>358</v>
      </c>
      <c r="BB174" s="36" t="s">
        <v>359</v>
      </c>
      <c r="BC174" s="112"/>
    </row>
    <row r="175" spans="1:55" ht="63.75" customHeight="1" x14ac:dyDescent="0.25">
      <c r="A175" s="15">
        <v>171</v>
      </c>
      <c r="B175" s="15"/>
      <c r="C175" s="15" t="s">
        <v>1107</v>
      </c>
      <c r="D175" s="15" t="s">
        <v>1108</v>
      </c>
      <c r="E175" s="15" t="s">
        <v>1131</v>
      </c>
      <c r="F175" s="16" t="s">
        <v>206</v>
      </c>
      <c r="G175" s="17">
        <v>0</v>
      </c>
      <c r="H175" s="18" t="s">
        <v>1132</v>
      </c>
      <c r="I175" s="18"/>
      <c r="J175" s="18" t="s">
        <v>387</v>
      </c>
      <c r="K175" s="19">
        <v>1</v>
      </c>
      <c r="L175" s="20">
        <v>8</v>
      </c>
      <c r="M175" s="21">
        <v>0</v>
      </c>
      <c r="N175" s="22"/>
      <c r="O175" s="18" t="s">
        <v>349</v>
      </c>
      <c r="P175" s="18" t="s">
        <v>574</v>
      </c>
      <c r="Q175" s="18" t="s">
        <v>1111</v>
      </c>
      <c r="R175" s="18" t="s">
        <v>1128</v>
      </c>
      <c r="S175" s="18"/>
      <c r="T175" s="22"/>
      <c r="U175" s="23"/>
      <c r="V175" s="22"/>
      <c r="W175" s="23"/>
      <c r="X175" s="24" t="s">
        <v>374</v>
      </c>
      <c r="Y175" s="18"/>
      <c r="Z175" s="18"/>
      <c r="AA175" s="25"/>
      <c r="AB175" s="25"/>
      <c r="AC175" s="26">
        <v>46288</v>
      </c>
      <c r="AD175" s="26">
        <v>46288</v>
      </c>
      <c r="AE175" s="23">
        <v>46298</v>
      </c>
      <c r="AF175" s="23">
        <v>46303</v>
      </c>
      <c r="AG175" s="23"/>
      <c r="AH175" s="27">
        <v>0</v>
      </c>
      <c r="AI175" s="24"/>
      <c r="AJ175" s="28"/>
      <c r="AK175" s="28">
        <v>0</v>
      </c>
      <c r="AL175" s="18" t="s">
        <v>345</v>
      </c>
      <c r="AM175" s="18" t="s">
        <v>345</v>
      </c>
      <c r="AN175" s="18" t="s">
        <v>345</v>
      </c>
      <c r="AO175" s="18"/>
      <c r="AP175" s="24" t="s">
        <v>355</v>
      </c>
      <c r="AQ175" s="18" t="s">
        <v>345</v>
      </c>
      <c r="AR175" s="18" t="s">
        <v>345</v>
      </c>
      <c r="AS175" s="28"/>
      <c r="AT175" s="28"/>
      <c r="AU175" s="18" t="s">
        <v>345</v>
      </c>
      <c r="AV175" s="18" t="s">
        <v>345</v>
      </c>
      <c r="AW175" s="18" t="s">
        <v>345</v>
      </c>
      <c r="AX175" s="32"/>
      <c r="AY175" s="18" t="s">
        <v>345</v>
      </c>
      <c r="AZ175" s="18" t="s">
        <v>345</v>
      </c>
      <c r="BA175" s="35" t="s">
        <v>358</v>
      </c>
      <c r="BB175" s="36" t="s">
        <v>359</v>
      </c>
      <c r="BC175" s="112"/>
    </row>
    <row r="176" spans="1:55" ht="63.75" customHeight="1" x14ac:dyDescent="0.25">
      <c r="A176" s="15">
        <v>172</v>
      </c>
      <c r="B176" s="15"/>
      <c r="C176" s="15" t="s">
        <v>1107</v>
      </c>
      <c r="D176" s="15" t="s">
        <v>1108</v>
      </c>
      <c r="E176" s="15" t="s">
        <v>1133</v>
      </c>
      <c r="F176" s="16" t="s">
        <v>207</v>
      </c>
      <c r="G176" s="17">
        <v>0</v>
      </c>
      <c r="H176" s="18" t="s">
        <v>1134</v>
      </c>
      <c r="I176" s="18"/>
      <c r="J176" s="18" t="s">
        <v>387</v>
      </c>
      <c r="K176" s="19">
        <v>1</v>
      </c>
      <c r="L176" s="20">
        <v>8</v>
      </c>
      <c r="M176" s="21">
        <v>0</v>
      </c>
      <c r="N176" s="22"/>
      <c r="O176" s="18" t="s">
        <v>349</v>
      </c>
      <c r="P176" s="18" t="s">
        <v>574</v>
      </c>
      <c r="Q176" s="18" t="s">
        <v>1111</v>
      </c>
      <c r="R176" s="18" t="s">
        <v>1128</v>
      </c>
      <c r="S176" s="18"/>
      <c r="T176" s="22"/>
      <c r="U176" s="23"/>
      <c r="V176" s="22"/>
      <c r="W176" s="23"/>
      <c r="X176" s="24" t="s">
        <v>374</v>
      </c>
      <c r="Y176" s="18"/>
      <c r="Z176" s="18"/>
      <c r="AA176" s="25"/>
      <c r="AB176" s="25"/>
      <c r="AC176" s="26">
        <v>46288</v>
      </c>
      <c r="AD176" s="26">
        <v>46288</v>
      </c>
      <c r="AE176" s="23">
        <v>46298</v>
      </c>
      <c r="AF176" s="23">
        <v>46303</v>
      </c>
      <c r="AG176" s="23"/>
      <c r="AH176" s="27">
        <v>0</v>
      </c>
      <c r="AI176" s="24"/>
      <c r="AJ176" s="28"/>
      <c r="AK176" s="28">
        <v>0</v>
      </c>
      <c r="AL176" s="18" t="s">
        <v>345</v>
      </c>
      <c r="AM176" s="18" t="s">
        <v>345</v>
      </c>
      <c r="AN176" s="18" t="s">
        <v>345</v>
      </c>
      <c r="AO176" s="18"/>
      <c r="AP176" s="24" t="s">
        <v>355</v>
      </c>
      <c r="AQ176" s="18" t="s">
        <v>345</v>
      </c>
      <c r="AR176" s="18" t="s">
        <v>345</v>
      </c>
      <c r="AS176" s="28"/>
      <c r="AT176" s="28"/>
      <c r="AU176" s="18" t="s">
        <v>345</v>
      </c>
      <c r="AV176" s="18" t="s">
        <v>345</v>
      </c>
      <c r="AW176" s="18" t="s">
        <v>345</v>
      </c>
      <c r="AX176" s="32"/>
      <c r="AY176" s="18" t="s">
        <v>345</v>
      </c>
      <c r="AZ176" s="18" t="s">
        <v>345</v>
      </c>
      <c r="BA176" s="35" t="s">
        <v>358</v>
      </c>
      <c r="BB176" s="36" t="s">
        <v>359</v>
      </c>
      <c r="BC176" s="112"/>
    </row>
    <row r="177" spans="1:55" ht="63.75" customHeight="1" x14ac:dyDescent="0.25">
      <c r="A177" s="15">
        <v>173</v>
      </c>
      <c r="B177" s="15"/>
      <c r="C177" s="15" t="s">
        <v>1107</v>
      </c>
      <c r="D177" s="15" t="s">
        <v>1108</v>
      </c>
      <c r="E177" s="15" t="s">
        <v>1135</v>
      </c>
      <c r="F177" s="16" t="s">
        <v>208</v>
      </c>
      <c r="G177" s="17">
        <v>0</v>
      </c>
      <c r="H177" s="18" t="s">
        <v>1136</v>
      </c>
      <c r="I177" s="18"/>
      <c r="J177" s="18" t="s">
        <v>387</v>
      </c>
      <c r="K177" s="19">
        <v>1</v>
      </c>
      <c r="L177" s="20">
        <v>8</v>
      </c>
      <c r="M177" s="21">
        <v>0</v>
      </c>
      <c r="N177" s="22"/>
      <c r="O177" s="18" t="s">
        <v>349</v>
      </c>
      <c r="P177" s="18" t="s">
        <v>574</v>
      </c>
      <c r="Q177" s="18" t="s">
        <v>1111</v>
      </c>
      <c r="R177" s="18" t="s">
        <v>1128</v>
      </c>
      <c r="S177" s="18"/>
      <c r="T177" s="22"/>
      <c r="U177" s="23"/>
      <c r="V177" s="22"/>
      <c r="W177" s="23"/>
      <c r="X177" s="24" t="s">
        <v>374</v>
      </c>
      <c r="Y177" s="18"/>
      <c r="Z177" s="18"/>
      <c r="AA177" s="25"/>
      <c r="AB177" s="25"/>
      <c r="AC177" s="26">
        <v>46288</v>
      </c>
      <c r="AD177" s="26">
        <v>46288</v>
      </c>
      <c r="AE177" s="23">
        <v>46298</v>
      </c>
      <c r="AF177" s="23">
        <v>46303</v>
      </c>
      <c r="AG177" s="23"/>
      <c r="AH177" s="27">
        <v>0</v>
      </c>
      <c r="AI177" s="24"/>
      <c r="AJ177" s="28"/>
      <c r="AK177" s="28">
        <v>0</v>
      </c>
      <c r="AL177" s="18" t="s">
        <v>345</v>
      </c>
      <c r="AM177" s="18" t="s">
        <v>345</v>
      </c>
      <c r="AN177" s="18" t="s">
        <v>345</v>
      </c>
      <c r="AO177" s="18"/>
      <c r="AP177" s="24" t="s">
        <v>355</v>
      </c>
      <c r="AQ177" s="18" t="s">
        <v>345</v>
      </c>
      <c r="AR177" s="18" t="s">
        <v>345</v>
      </c>
      <c r="AS177" s="28"/>
      <c r="AT177" s="28"/>
      <c r="AU177" s="18" t="s">
        <v>345</v>
      </c>
      <c r="AV177" s="18" t="s">
        <v>345</v>
      </c>
      <c r="AW177" s="18" t="s">
        <v>345</v>
      </c>
      <c r="AX177" s="32"/>
      <c r="AY177" s="18" t="s">
        <v>345</v>
      </c>
      <c r="AZ177" s="18" t="s">
        <v>345</v>
      </c>
      <c r="BA177" s="35" t="s">
        <v>358</v>
      </c>
      <c r="BB177" s="36" t="s">
        <v>359</v>
      </c>
      <c r="BC177" s="112"/>
    </row>
    <row r="178" spans="1:55" ht="63.75" customHeight="1" x14ac:dyDescent="0.25">
      <c r="A178" s="15">
        <v>174</v>
      </c>
      <c r="B178" s="15"/>
      <c r="C178" s="15" t="s">
        <v>1107</v>
      </c>
      <c r="D178" s="15" t="s">
        <v>1108</v>
      </c>
      <c r="E178" s="15" t="s">
        <v>1137</v>
      </c>
      <c r="F178" s="16" t="s">
        <v>209</v>
      </c>
      <c r="G178" s="17">
        <v>0</v>
      </c>
      <c r="H178" s="18" t="s">
        <v>1138</v>
      </c>
      <c r="I178" s="18"/>
      <c r="J178" s="18" t="s">
        <v>387</v>
      </c>
      <c r="K178" s="19">
        <v>1</v>
      </c>
      <c r="L178" s="20">
        <v>8</v>
      </c>
      <c r="M178" s="21">
        <v>0</v>
      </c>
      <c r="N178" s="22"/>
      <c r="O178" s="18" t="s">
        <v>349</v>
      </c>
      <c r="P178" s="18" t="s">
        <v>574</v>
      </c>
      <c r="Q178" s="18" t="s">
        <v>1111</v>
      </c>
      <c r="R178" s="18" t="s">
        <v>1128</v>
      </c>
      <c r="S178" s="18"/>
      <c r="T178" s="22"/>
      <c r="U178" s="23"/>
      <c r="V178" s="22"/>
      <c r="W178" s="23"/>
      <c r="X178" s="24" t="s">
        <v>374</v>
      </c>
      <c r="Y178" s="18"/>
      <c r="Z178" s="18"/>
      <c r="AA178" s="25"/>
      <c r="AB178" s="25"/>
      <c r="AC178" s="26">
        <v>46288</v>
      </c>
      <c r="AD178" s="26">
        <v>46288</v>
      </c>
      <c r="AE178" s="23">
        <v>46298</v>
      </c>
      <c r="AF178" s="23">
        <v>46303</v>
      </c>
      <c r="AG178" s="23"/>
      <c r="AH178" s="27">
        <v>0</v>
      </c>
      <c r="AI178" s="24"/>
      <c r="AJ178" s="28"/>
      <c r="AK178" s="28">
        <v>0</v>
      </c>
      <c r="AL178" s="18" t="s">
        <v>345</v>
      </c>
      <c r="AM178" s="18" t="s">
        <v>345</v>
      </c>
      <c r="AN178" s="18" t="s">
        <v>345</v>
      </c>
      <c r="AO178" s="18"/>
      <c r="AP178" s="24" t="s">
        <v>355</v>
      </c>
      <c r="AQ178" s="18" t="s">
        <v>345</v>
      </c>
      <c r="AR178" s="18" t="s">
        <v>345</v>
      </c>
      <c r="AS178" s="28"/>
      <c r="AT178" s="28"/>
      <c r="AU178" s="18" t="s">
        <v>345</v>
      </c>
      <c r="AV178" s="18" t="s">
        <v>345</v>
      </c>
      <c r="AW178" s="18" t="s">
        <v>345</v>
      </c>
      <c r="AX178" s="32"/>
      <c r="AY178" s="18" t="s">
        <v>345</v>
      </c>
      <c r="AZ178" s="18" t="s">
        <v>345</v>
      </c>
      <c r="BA178" s="35" t="s">
        <v>358</v>
      </c>
      <c r="BB178" s="36" t="s">
        <v>359</v>
      </c>
      <c r="BC178" s="112"/>
    </row>
    <row r="179" spans="1:55" ht="76.5" customHeight="1" x14ac:dyDescent="0.25">
      <c r="A179" s="15">
        <v>175</v>
      </c>
      <c r="B179" s="15"/>
      <c r="C179" s="15" t="s">
        <v>1107</v>
      </c>
      <c r="D179" s="15" t="s">
        <v>1108</v>
      </c>
      <c r="E179" s="15" t="s">
        <v>1139</v>
      </c>
      <c r="F179" s="16" t="s">
        <v>210</v>
      </c>
      <c r="G179" s="17">
        <v>0</v>
      </c>
      <c r="H179" s="18" t="s">
        <v>1140</v>
      </c>
      <c r="I179" s="18"/>
      <c r="J179" s="18" t="s">
        <v>387</v>
      </c>
      <c r="K179" s="19">
        <v>1</v>
      </c>
      <c r="L179" s="20">
        <v>8</v>
      </c>
      <c r="M179" s="21">
        <v>0</v>
      </c>
      <c r="N179" s="22"/>
      <c r="O179" s="18" t="s">
        <v>349</v>
      </c>
      <c r="P179" s="18" t="s">
        <v>574</v>
      </c>
      <c r="Q179" s="18" t="s">
        <v>1111</v>
      </c>
      <c r="R179" s="18" t="s">
        <v>1128</v>
      </c>
      <c r="S179" s="18"/>
      <c r="T179" s="22"/>
      <c r="U179" s="23"/>
      <c r="V179" s="22"/>
      <c r="W179" s="23"/>
      <c r="X179" s="24" t="s">
        <v>374</v>
      </c>
      <c r="Y179" s="18"/>
      <c r="Z179" s="18"/>
      <c r="AA179" s="25"/>
      <c r="AB179" s="25"/>
      <c r="AC179" s="26">
        <v>46288</v>
      </c>
      <c r="AD179" s="26">
        <v>46288</v>
      </c>
      <c r="AE179" s="23">
        <v>46298</v>
      </c>
      <c r="AF179" s="23">
        <v>46303</v>
      </c>
      <c r="AG179" s="23"/>
      <c r="AH179" s="27">
        <v>0</v>
      </c>
      <c r="AI179" s="24"/>
      <c r="AJ179" s="28"/>
      <c r="AK179" s="28">
        <v>0</v>
      </c>
      <c r="AL179" s="18" t="s">
        <v>345</v>
      </c>
      <c r="AM179" s="18" t="s">
        <v>345</v>
      </c>
      <c r="AN179" s="18" t="s">
        <v>345</v>
      </c>
      <c r="AO179" s="18"/>
      <c r="AP179" s="24" t="s">
        <v>355</v>
      </c>
      <c r="AQ179" s="18" t="s">
        <v>345</v>
      </c>
      <c r="AR179" s="18" t="s">
        <v>345</v>
      </c>
      <c r="AS179" s="28"/>
      <c r="AT179" s="28"/>
      <c r="AU179" s="18" t="s">
        <v>345</v>
      </c>
      <c r="AV179" s="18" t="s">
        <v>345</v>
      </c>
      <c r="AW179" s="18" t="s">
        <v>345</v>
      </c>
      <c r="AX179" s="32"/>
      <c r="AY179" s="18" t="s">
        <v>345</v>
      </c>
      <c r="AZ179" s="18" t="s">
        <v>345</v>
      </c>
      <c r="BA179" s="35" t="s">
        <v>358</v>
      </c>
      <c r="BB179" s="36" t="s">
        <v>359</v>
      </c>
      <c r="BC179" s="112"/>
    </row>
    <row r="180" spans="1:55" ht="63.75" customHeight="1" x14ac:dyDescent="0.25">
      <c r="A180" s="15">
        <v>176</v>
      </c>
      <c r="B180" s="15"/>
      <c r="C180" s="15" t="s">
        <v>1107</v>
      </c>
      <c r="D180" s="15" t="s">
        <v>1108</v>
      </c>
      <c r="E180" s="15" t="s">
        <v>1141</v>
      </c>
      <c r="F180" s="16" t="s">
        <v>211</v>
      </c>
      <c r="G180" s="17">
        <v>0</v>
      </c>
      <c r="H180" s="18" t="s">
        <v>1142</v>
      </c>
      <c r="I180" s="18"/>
      <c r="J180" s="18" t="s">
        <v>387</v>
      </c>
      <c r="K180" s="19">
        <v>1</v>
      </c>
      <c r="L180" s="20">
        <v>8</v>
      </c>
      <c r="M180" s="21">
        <v>0</v>
      </c>
      <c r="N180" s="22"/>
      <c r="O180" s="18" t="s">
        <v>349</v>
      </c>
      <c r="P180" s="18" t="s">
        <v>574</v>
      </c>
      <c r="Q180" s="18" t="s">
        <v>1111</v>
      </c>
      <c r="R180" s="18" t="s">
        <v>1128</v>
      </c>
      <c r="S180" s="18"/>
      <c r="T180" s="22"/>
      <c r="U180" s="23"/>
      <c r="V180" s="22"/>
      <c r="W180" s="23"/>
      <c r="X180" s="24" t="s">
        <v>374</v>
      </c>
      <c r="Y180" s="18"/>
      <c r="Z180" s="18"/>
      <c r="AA180" s="25"/>
      <c r="AB180" s="25"/>
      <c r="AC180" s="26">
        <v>46288</v>
      </c>
      <c r="AD180" s="26">
        <v>46288</v>
      </c>
      <c r="AE180" s="23">
        <v>46298</v>
      </c>
      <c r="AF180" s="23">
        <v>46303</v>
      </c>
      <c r="AG180" s="23"/>
      <c r="AH180" s="27">
        <v>0</v>
      </c>
      <c r="AI180" s="24"/>
      <c r="AJ180" s="28"/>
      <c r="AK180" s="28">
        <v>0</v>
      </c>
      <c r="AL180" s="18" t="s">
        <v>345</v>
      </c>
      <c r="AM180" s="18" t="s">
        <v>345</v>
      </c>
      <c r="AN180" s="18" t="s">
        <v>345</v>
      </c>
      <c r="AO180" s="18"/>
      <c r="AP180" s="24" t="s">
        <v>355</v>
      </c>
      <c r="AQ180" s="18" t="s">
        <v>345</v>
      </c>
      <c r="AR180" s="18" t="s">
        <v>345</v>
      </c>
      <c r="AS180" s="28"/>
      <c r="AT180" s="28"/>
      <c r="AU180" s="18" t="s">
        <v>345</v>
      </c>
      <c r="AV180" s="18" t="s">
        <v>345</v>
      </c>
      <c r="AW180" s="18" t="s">
        <v>345</v>
      </c>
      <c r="AX180" s="32"/>
      <c r="AY180" s="18" t="s">
        <v>345</v>
      </c>
      <c r="AZ180" s="18" t="s">
        <v>345</v>
      </c>
      <c r="BA180" s="35" t="s">
        <v>358</v>
      </c>
      <c r="BB180" s="36" t="s">
        <v>359</v>
      </c>
      <c r="BC180" s="112"/>
    </row>
    <row r="181" spans="1:55" ht="76.5" customHeight="1" x14ac:dyDescent="0.25">
      <c r="A181" s="15">
        <v>177</v>
      </c>
      <c r="B181" s="15"/>
      <c r="C181" s="15" t="s">
        <v>1107</v>
      </c>
      <c r="D181" s="15" t="s">
        <v>1108</v>
      </c>
      <c r="E181" s="15" t="s">
        <v>1143</v>
      </c>
      <c r="F181" s="16" t="s">
        <v>212</v>
      </c>
      <c r="G181" s="17">
        <v>0</v>
      </c>
      <c r="H181" s="18" t="s">
        <v>1144</v>
      </c>
      <c r="I181" s="18"/>
      <c r="J181" s="18" t="s">
        <v>387</v>
      </c>
      <c r="K181" s="19">
        <v>1</v>
      </c>
      <c r="L181" s="20">
        <v>8</v>
      </c>
      <c r="M181" s="21">
        <v>0</v>
      </c>
      <c r="N181" s="22"/>
      <c r="O181" s="18" t="s">
        <v>349</v>
      </c>
      <c r="P181" s="18" t="s">
        <v>574</v>
      </c>
      <c r="Q181" s="18" t="s">
        <v>1111</v>
      </c>
      <c r="R181" s="18" t="s">
        <v>1128</v>
      </c>
      <c r="S181" s="18"/>
      <c r="T181" s="22"/>
      <c r="U181" s="23"/>
      <c r="V181" s="22"/>
      <c r="W181" s="23"/>
      <c r="X181" s="24" t="s">
        <v>374</v>
      </c>
      <c r="Y181" s="18"/>
      <c r="Z181" s="18"/>
      <c r="AA181" s="25"/>
      <c r="AB181" s="25"/>
      <c r="AC181" s="26">
        <v>46288</v>
      </c>
      <c r="AD181" s="26">
        <v>46288</v>
      </c>
      <c r="AE181" s="23">
        <v>46298</v>
      </c>
      <c r="AF181" s="23">
        <v>46303</v>
      </c>
      <c r="AG181" s="23"/>
      <c r="AH181" s="27">
        <v>0</v>
      </c>
      <c r="AI181" s="24"/>
      <c r="AJ181" s="28"/>
      <c r="AK181" s="28">
        <v>0</v>
      </c>
      <c r="AL181" s="18" t="s">
        <v>345</v>
      </c>
      <c r="AM181" s="18" t="s">
        <v>345</v>
      </c>
      <c r="AN181" s="18" t="s">
        <v>345</v>
      </c>
      <c r="AO181" s="18"/>
      <c r="AP181" s="24" t="s">
        <v>355</v>
      </c>
      <c r="AQ181" s="18" t="s">
        <v>345</v>
      </c>
      <c r="AR181" s="18" t="s">
        <v>345</v>
      </c>
      <c r="AS181" s="28"/>
      <c r="AT181" s="28"/>
      <c r="AU181" s="18" t="s">
        <v>345</v>
      </c>
      <c r="AV181" s="18" t="s">
        <v>345</v>
      </c>
      <c r="AW181" s="18" t="s">
        <v>345</v>
      </c>
      <c r="AX181" s="32"/>
      <c r="AY181" s="18" t="s">
        <v>345</v>
      </c>
      <c r="AZ181" s="18" t="s">
        <v>345</v>
      </c>
      <c r="BA181" s="35" t="s">
        <v>358</v>
      </c>
      <c r="BB181" s="36" t="s">
        <v>359</v>
      </c>
      <c r="BC181" s="112"/>
    </row>
    <row r="182" spans="1:55" ht="63.75" customHeight="1" x14ac:dyDescent="0.25">
      <c r="A182" s="15">
        <v>178</v>
      </c>
      <c r="B182" s="15"/>
      <c r="C182" s="15" t="s">
        <v>1107</v>
      </c>
      <c r="D182" s="15" t="s">
        <v>1108</v>
      </c>
      <c r="E182" s="15" t="s">
        <v>1145</v>
      </c>
      <c r="F182" s="16" t="s">
        <v>213</v>
      </c>
      <c r="G182" s="17">
        <v>0</v>
      </c>
      <c r="H182" s="18" t="s">
        <v>1146</v>
      </c>
      <c r="I182" s="18"/>
      <c r="J182" s="18" t="s">
        <v>387</v>
      </c>
      <c r="K182" s="19">
        <v>1</v>
      </c>
      <c r="L182" s="20">
        <v>8</v>
      </c>
      <c r="M182" s="21">
        <v>0</v>
      </c>
      <c r="N182" s="22"/>
      <c r="O182" s="18" t="s">
        <v>349</v>
      </c>
      <c r="P182" s="18" t="s">
        <v>574</v>
      </c>
      <c r="Q182" s="18" t="s">
        <v>1111</v>
      </c>
      <c r="R182" s="18" t="s">
        <v>1128</v>
      </c>
      <c r="S182" s="18"/>
      <c r="T182" s="22"/>
      <c r="U182" s="23"/>
      <c r="V182" s="22"/>
      <c r="W182" s="23"/>
      <c r="X182" s="24" t="s">
        <v>374</v>
      </c>
      <c r="Y182" s="18"/>
      <c r="Z182" s="18"/>
      <c r="AA182" s="25"/>
      <c r="AB182" s="25"/>
      <c r="AC182" s="26">
        <v>46288</v>
      </c>
      <c r="AD182" s="26">
        <v>46288</v>
      </c>
      <c r="AE182" s="23">
        <v>46298</v>
      </c>
      <c r="AF182" s="23">
        <v>46303</v>
      </c>
      <c r="AG182" s="23"/>
      <c r="AH182" s="27">
        <v>0</v>
      </c>
      <c r="AI182" s="24"/>
      <c r="AJ182" s="28"/>
      <c r="AK182" s="28">
        <v>0</v>
      </c>
      <c r="AL182" s="18" t="s">
        <v>345</v>
      </c>
      <c r="AM182" s="18" t="s">
        <v>345</v>
      </c>
      <c r="AN182" s="18" t="s">
        <v>345</v>
      </c>
      <c r="AO182" s="18"/>
      <c r="AP182" s="24" t="s">
        <v>355</v>
      </c>
      <c r="AQ182" s="18" t="s">
        <v>345</v>
      </c>
      <c r="AR182" s="18" t="s">
        <v>345</v>
      </c>
      <c r="AS182" s="28"/>
      <c r="AT182" s="28"/>
      <c r="AU182" s="18" t="s">
        <v>345</v>
      </c>
      <c r="AV182" s="18" t="s">
        <v>345</v>
      </c>
      <c r="AW182" s="18" t="s">
        <v>345</v>
      </c>
      <c r="AX182" s="32"/>
      <c r="AY182" s="18" t="s">
        <v>345</v>
      </c>
      <c r="AZ182" s="18" t="s">
        <v>345</v>
      </c>
      <c r="BA182" s="35" t="s">
        <v>358</v>
      </c>
      <c r="BB182" s="36" t="s">
        <v>359</v>
      </c>
      <c r="BC182" s="112"/>
    </row>
    <row r="183" spans="1:55" ht="63.75" customHeight="1" x14ac:dyDescent="0.25">
      <c r="A183" s="15">
        <v>179</v>
      </c>
      <c r="B183" s="15"/>
      <c r="C183" s="15" t="s">
        <v>1107</v>
      </c>
      <c r="D183" s="15" t="s">
        <v>1108</v>
      </c>
      <c r="E183" s="15" t="s">
        <v>1147</v>
      </c>
      <c r="F183" s="16" t="s">
        <v>214</v>
      </c>
      <c r="G183" s="17">
        <v>0</v>
      </c>
      <c r="H183" s="18" t="s">
        <v>1148</v>
      </c>
      <c r="I183" s="18"/>
      <c r="J183" s="18" t="s">
        <v>387</v>
      </c>
      <c r="K183" s="19">
        <v>1</v>
      </c>
      <c r="L183" s="20">
        <v>8</v>
      </c>
      <c r="M183" s="21">
        <v>0</v>
      </c>
      <c r="N183" s="22"/>
      <c r="O183" s="18" t="s">
        <v>349</v>
      </c>
      <c r="P183" s="18" t="s">
        <v>574</v>
      </c>
      <c r="Q183" s="18" t="s">
        <v>1111</v>
      </c>
      <c r="R183" s="18" t="s">
        <v>1128</v>
      </c>
      <c r="S183" s="18"/>
      <c r="T183" s="22"/>
      <c r="U183" s="23"/>
      <c r="V183" s="22"/>
      <c r="W183" s="23"/>
      <c r="X183" s="24" t="s">
        <v>374</v>
      </c>
      <c r="Y183" s="18"/>
      <c r="Z183" s="18"/>
      <c r="AA183" s="25"/>
      <c r="AB183" s="25"/>
      <c r="AC183" s="26">
        <v>46288</v>
      </c>
      <c r="AD183" s="26">
        <v>46288</v>
      </c>
      <c r="AE183" s="23">
        <v>46298</v>
      </c>
      <c r="AF183" s="23">
        <v>46303</v>
      </c>
      <c r="AG183" s="23"/>
      <c r="AH183" s="27">
        <v>0</v>
      </c>
      <c r="AI183" s="24"/>
      <c r="AJ183" s="28"/>
      <c r="AK183" s="28">
        <v>0</v>
      </c>
      <c r="AL183" s="18" t="s">
        <v>345</v>
      </c>
      <c r="AM183" s="18" t="s">
        <v>345</v>
      </c>
      <c r="AN183" s="18" t="s">
        <v>345</v>
      </c>
      <c r="AO183" s="18"/>
      <c r="AP183" s="24" t="s">
        <v>355</v>
      </c>
      <c r="AQ183" s="18" t="s">
        <v>345</v>
      </c>
      <c r="AR183" s="18" t="s">
        <v>345</v>
      </c>
      <c r="AS183" s="28"/>
      <c r="AT183" s="28"/>
      <c r="AU183" s="18" t="s">
        <v>345</v>
      </c>
      <c r="AV183" s="18" t="s">
        <v>345</v>
      </c>
      <c r="AW183" s="18" t="s">
        <v>345</v>
      </c>
      <c r="AX183" s="32"/>
      <c r="AY183" s="18" t="s">
        <v>345</v>
      </c>
      <c r="AZ183" s="18" t="s">
        <v>345</v>
      </c>
      <c r="BA183" s="35" t="s">
        <v>358</v>
      </c>
      <c r="BB183" s="36" t="s">
        <v>359</v>
      </c>
      <c r="BC183" s="112"/>
    </row>
    <row r="184" spans="1:55" ht="76.5" customHeight="1" x14ac:dyDescent="0.25">
      <c r="A184" s="15">
        <v>180</v>
      </c>
      <c r="B184" s="15"/>
      <c r="C184" s="15" t="s">
        <v>1107</v>
      </c>
      <c r="D184" s="15" t="s">
        <v>1108</v>
      </c>
      <c r="E184" s="15" t="s">
        <v>1149</v>
      </c>
      <c r="F184" s="16" t="s">
        <v>215</v>
      </c>
      <c r="G184" s="17">
        <v>0</v>
      </c>
      <c r="H184" s="18" t="s">
        <v>1150</v>
      </c>
      <c r="I184" s="18"/>
      <c r="J184" s="18" t="s">
        <v>387</v>
      </c>
      <c r="K184" s="19">
        <v>1</v>
      </c>
      <c r="L184" s="20">
        <v>8</v>
      </c>
      <c r="M184" s="21">
        <v>0</v>
      </c>
      <c r="N184" s="22"/>
      <c r="O184" s="18" t="s">
        <v>349</v>
      </c>
      <c r="P184" s="18" t="s">
        <v>574</v>
      </c>
      <c r="Q184" s="18" t="s">
        <v>1111</v>
      </c>
      <c r="R184" s="18" t="s">
        <v>1128</v>
      </c>
      <c r="S184" s="18"/>
      <c r="T184" s="22"/>
      <c r="U184" s="23"/>
      <c r="V184" s="22"/>
      <c r="W184" s="23"/>
      <c r="X184" s="24" t="s">
        <v>374</v>
      </c>
      <c r="Y184" s="18"/>
      <c r="Z184" s="18"/>
      <c r="AA184" s="25"/>
      <c r="AB184" s="25"/>
      <c r="AC184" s="26">
        <v>46288</v>
      </c>
      <c r="AD184" s="26">
        <v>46288</v>
      </c>
      <c r="AE184" s="23">
        <v>46298</v>
      </c>
      <c r="AF184" s="23">
        <v>46303</v>
      </c>
      <c r="AG184" s="23"/>
      <c r="AH184" s="27">
        <v>0</v>
      </c>
      <c r="AI184" s="24"/>
      <c r="AJ184" s="28"/>
      <c r="AK184" s="28">
        <v>0</v>
      </c>
      <c r="AL184" s="18" t="s">
        <v>345</v>
      </c>
      <c r="AM184" s="18" t="s">
        <v>345</v>
      </c>
      <c r="AN184" s="18" t="s">
        <v>345</v>
      </c>
      <c r="AO184" s="18"/>
      <c r="AP184" s="24" t="s">
        <v>355</v>
      </c>
      <c r="AQ184" s="18" t="s">
        <v>345</v>
      </c>
      <c r="AR184" s="18" t="s">
        <v>345</v>
      </c>
      <c r="AS184" s="28"/>
      <c r="AT184" s="28"/>
      <c r="AU184" s="18" t="s">
        <v>345</v>
      </c>
      <c r="AV184" s="18" t="s">
        <v>345</v>
      </c>
      <c r="AW184" s="18" t="s">
        <v>345</v>
      </c>
      <c r="AX184" s="32"/>
      <c r="AY184" s="18" t="s">
        <v>345</v>
      </c>
      <c r="AZ184" s="18" t="s">
        <v>345</v>
      </c>
      <c r="BA184" s="35" t="s">
        <v>358</v>
      </c>
      <c r="BB184" s="36" t="s">
        <v>359</v>
      </c>
      <c r="BC184" s="112"/>
    </row>
    <row r="185" spans="1:55" ht="63.75" customHeight="1" x14ac:dyDescent="0.25">
      <c r="A185" s="15">
        <v>181</v>
      </c>
      <c r="B185" s="15"/>
      <c r="C185" s="15" t="s">
        <v>1107</v>
      </c>
      <c r="D185" s="15" t="s">
        <v>1108</v>
      </c>
      <c r="E185" s="15" t="s">
        <v>1151</v>
      </c>
      <c r="F185" s="16" t="s">
        <v>216</v>
      </c>
      <c r="G185" s="17">
        <v>0</v>
      </c>
      <c r="H185" s="18" t="s">
        <v>1152</v>
      </c>
      <c r="I185" s="18"/>
      <c r="J185" s="18" t="s">
        <v>387</v>
      </c>
      <c r="K185" s="19">
        <v>1</v>
      </c>
      <c r="L185" s="20">
        <v>8</v>
      </c>
      <c r="M185" s="21">
        <v>0</v>
      </c>
      <c r="N185" s="22"/>
      <c r="O185" s="18" t="s">
        <v>349</v>
      </c>
      <c r="P185" s="18" t="s">
        <v>574</v>
      </c>
      <c r="Q185" s="18" t="s">
        <v>1111</v>
      </c>
      <c r="R185" s="18" t="s">
        <v>1128</v>
      </c>
      <c r="S185" s="18"/>
      <c r="T185" s="22"/>
      <c r="U185" s="23"/>
      <c r="V185" s="22"/>
      <c r="W185" s="23"/>
      <c r="X185" s="24" t="s">
        <v>374</v>
      </c>
      <c r="Y185" s="18"/>
      <c r="Z185" s="18"/>
      <c r="AA185" s="25"/>
      <c r="AB185" s="25"/>
      <c r="AC185" s="26">
        <v>46288</v>
      </c>
      <c r="AD185" s="26">
        <v>46288</v>
      </c>
      <c r="AE185" s="23">
        <v>46298</v>
      </c>
      <c r="AF185" s="23">
        <v>46303</v>
      </c>
      <c r="AG185" s="23"/>
      <c r="AH185" s="27">
        <v>0</v>
      </c>
      <c r="AI185" s="24"/>
      <c r="AJ185" s="28"/>
      <c r="AK185" s="28">
        <v>0</v>
      </c>
      <c r="AL185" s="18" t="s">
        <v>345</v>
      </c>
      <c r="AM185" s="18" t="s">
        <v>345</v>
      </c>
      <c r="AN185" s="18" t="s">
        <v>345</v>
      </c>
      <c r="AO185" s="18"/>
      <c r="AP185" s="24" t="s">
        <v>355</v>
      </c>
      <c r="AQ185" s="18" t="s">
        <v>345</v>
      </c>
      <c r="AR185" s="18" t="s">
        <v>345</v>
      </c>
      <c r="AS185" s="28"/>
      <c r="AT185" s="28"/>
      <c r="AU185" s="18" t="s">
        <v>345</v>
      </c>
      <c r="AV185" s="18" t="s">
        <v>345</v>
      </c>
      <c r="AW185" s="18" t="s">
        <v>345</v>
      </c>
      <c r="AX185" s="32"/>
      <c r="AY185" s="18" t="s">
        <v>345</v>
      </c>
      <c r="AZ185" s="18" t="s">
        <v>345</v>
      </c>
      <c r="BA185" s="35" t="s">
        <v>358</v>
      </c>
      <c r="BB185" s="36" t="s">
        <v>359</v>
      </c>
      <c r="BC185" s="112"/>
    </row>
    <row r="186" spans="1:55" ht="63.75" customHeight="1" x14ac:dyDescent="0.25">
      <c r="A186" s="15">
        <v>182</v>
      </c>
      <c r="B186" s="15"/>
      <c r="C186" s="15" t="s">
        <v>1107</v>
      </c>
      <c r="D186" s="15" t="s">
        <v>1108</v>
      </c>
      <c r="E186" s="15" t="s">
        <v>1153</v>
      </c>
      <c r="F186" s="16" t="s">
        <v>217</v>
      </c>
      <c r="G186" s="17">
        <v>0</v>
      </c>
      <c r="H186" s="18" t="s">
        <v>1154</v>
      </c>
      <c r="I186" s="18"/>
      <c r="J186" s="18" t="s">
        <v>387</v>
      </c>
      <c r="K186" s="19">
        <v>1</v>
      </c>
      <c r="L186" s="20">
        <v>8</v>
      </c>
      <c r="M186" s="21">
        <v>0</v>
      </c>
      <c r="N186" s="22"/>
      <c r="O186" s="18" t="s">
        <v>349</v>
      </c>
      <c r="P186" s="18" t="s">
        <v>574</v>
      </c>
      <c r="Q186" s="18" t="s">
        <v>1111</v>
      </c>
      <c r="R186" s="18" t="s">
        <v>1128</v>
      </c>
      <c r="S186" s="18"/>
      <c r="T186" s="22"/>
      <c r="U186" s="23"/>
      <c r="V186" s="22"/>
      <c r="W186" s="23"/>
      <c r="X186" s="24" t="s">
        <v>374</v>
      </c>
      <c r="Y186" s="18"/>
      <c r="Z186" s="18"/>
      <c r="AA186" s="25"/>
      <c r="AB186" s="25"/>
      <c r="AC186" s="26">
        <v>46288</v>
      </c>
      <c r="AD186" s="26">
        <v>46288</v>
      </c>
      <c r="AE186" s="23">
        <v>46298</v>
      </c>
      <c r="AF186" s="23">
        <v>46303</v>
      </c>
      <c r="AG186" s="23"/>
      <c r="AH186" s="27">
        <v>0</v>
      </c>
      <c r="AI186" s="24"/>
      <c r="AJ186" s="28"/>
      <c r="AK186" s="28">
        <v>0</v>
      </c>
      <c r="AL186" s="18" t="s">
        <v>345</v>
      </c>
      <c r="AM186" s="18" t="s">
        <v>345</v>
      </c>
      <c r="AN186" s="18" t="s">
        <v>345</v>
      </c>
      <c r="AO186" s="18"/>
      <c r="AP186" s="24" t="s">
        <v>355</v>
      </c>
      <c r="AQ186" s="18" t="s">
        <v>345</v>
      </c>
      <c r="AR186" s="18" t="s">
        <v>345</v>
      </c>
      <c r="AS186" s="28"/>
      <c r="AT186" s="28"/>
      <c r="AU186" s="18" t="s">
        <v>345</v>
      </c>
      <c r="AV186" s="18" t="s">
        <v>345</v>
      </c>
      <c r="AW186" s="18" t="s">
        <v>345</v>
      </c>
      <c r="AX186" s="32"/>
      <c r="AY186" s="18" t="s">
        <v>345</v>
      </c>
      <c r="AZ186" s="18" t="s">
        <v>345</v>
      </c>
      <c r="BA186" s="35" t="s">
        <v>358</v>
      </c>
      <c r="BB186" s="36" t="s">
        <v>359</v>
      </c>
      <c r="BC186" s="112"/>
    </row>
    <row r="187" spans="1:55" ht="76.5" customHeight="1" x14ac:dyDescent="0.25">
      <c r="A187" s="15">
        <v>183</v>
      </c>
      <c r="B187" s="15"/>
      <c r="C187" s="15" t="s">
        <v>1107</v>
      </c>
      <c r="D187" s="15" t="s">
        <v>1108</v>
      </c>
      <c r="E187" s="15" t="s">
        <v>1155</v>
      </c>
      <c r="F187" s="16" t="s">
        <v>218</v>
      </c>
      <c r="G187" s="17">
        <v>0</v>
      </c>
      <c r="H187" s="18" t="s">
        <v>1156</v>
      </c>
      <c r="I187" s="18"/>
      <c r="J187" s="18" t="s">
        <v>387</v>
      </c>
      <c r="K187" s="19">
        <v>1</v>
      </c>
      <c r="L187" s="20">
        <v>8</v>
      </c>
      <c r="M187" s="21">
        <v>0</v>
      </c>
      <c r="N187" s="22"/>
      <c r="O187" s="18" t="s">
        <v>349</v>
      </c>
      <c r="P187" s="18" t="s">
        <v>574</v>
      </c>
      <c r="Q187" s="18" t="s">
        <v>1111</v>
      </c>
      <c r="R187" s="18" t="s">
        <v>1128</v>
      </c>
      <c r="S187" s="18"/>
      <c r="T187" s="22"/>
      <c r="U187" s="23"/>
      <c r="V187" s="22"/>
      <c r="W187" s="23"/>
      <c r="X187" s="24" t="s">
        <v>374</v>
      </c>
      <c r="Y187" s="18"/>
      <c r="Z187" s="18"/>
      <c r="AA187" s="25"/>
      <c r="AB187" s="25"/>
      <c r="AC187" s="26">
        <v>46288</v>
      </c>
      <c r="AD187" s="26">
        <v>46288</v>
      </c>
      <c r="AE187" s="23">
        <v>46298</v>
      </c>
      <c r="AF187" s="23">
        <v>46303</v>
      </c>
      <c r="AG187" s="23"/>
      <c r="AH187" s="27">
        <v>0</v>
      </c>
      <c r="AI187" s="24"/>
      <c r="AJ187" s="28"/>
      <c r="AK187" s="28">
        <v>0</v>
      </c>
      <c r="AL187" s="18" t="s">
        <v>345</v>
      </c>
      <c r="AM187" s="18" t="s">
        <v>345</v>
      </c>
      <c r="AN187" s="18" t="s">
        <v>345</v>
      </c>
      <c r="AO187" s="18"/>
      <c r="AP187" s="24" t="s">
        <v>355</v>
      </c>
      <c r="AQ187" s="18" t="s">
        <v>345</v>
      </c>
      <c r="AR187" s="18" t="s">
        <v>345</v>
      </c>
      <c r="AS187" s="28"/>
      <c r="AT187" s="28"/>
      <c r="AU187" s="18" t="s">
        <v>345</v>
      </c>
      <c r="AV187" s="18" t="s">
        <v>345</v>
      </c>
      <c r="AW187" s="18" t="s">
        <v>345</v>
      </c>
      <c r="AX187" s="32"/>
      <c r="AY187" s="18" t="s">
        <v>345</v>
      </c>
      <c r="AZ187" s="18" t="s">
        <v>345</v>
      </c>
      <c r="BA187" s="35" t="s">
        <v>358</v>
      </c>
      <c r="BB187" s="36" t="s">
        <v>359</v>
      </c>
      <c r="BC187" s="112"/>
    </row>
    <row r="188" spans="1:55" ht="76.5" customHeight="1" x14ac:dyDescent="0.25">
      <c r="A188" s="15">
        <v>184</v>
      </c>
      <c r="B188" s="15"/>
      <c r="C188" s="15" t="s">
        <v>1107</v>
      </c>
      <c r="D188" s="15" t="s">
        <v>1108</v>
      </c>
      <c r="E188" s="15" t="s">
        <v>1157</v>
      </c>
      <c r="F188" s="16" t="s">
        <v>219</v>
      </c>
      <c r="G188" s="17">
        <v>0</v>
      </c>
      <c r="H188" s="18" t="s">
        <v>1158</v>
      </c>
      <c r="I188" s="18"/>
      <c r="J188" s="18" t="s">
        <v>387</v>
      </c>
      <c r="K188" s="19">
        <v>1</v>
      </c>
      <c r="L188" s="20">
        <v>8</v>
      </c>
      <c r="M188" s="21">
        <v>0</v>
      </c>
      <c r="N188" s="22"/>
      <c r="O188" s="18" t="s">
        <v>349</v>
      </c>
      <c r="P188" s="18" t="s">
        <v>574</v>
      </c>
      <c r="Q188" s="18" t="s">
        <v>1111</v>
      </c>
      <c r="R188" s="18" t="s">
        <v>1128</v>
      </c>
      <c r="S188" s="18"/>
      <c r="T188" s="22"/>
      <c r="U188" s="23"/>
      <c r="V188" s="22"/>
      <c r="W188" s="23"/>
      <c r="X188" s="24" t="s">
        <v>374</v>
      </c>
      <c r="Y188" s="18"/>
      <c r="Z188" s="18"/>
      <c r="AA188" s="25"/>
      <c r="AB188" s="25"/>
      <c r="AC188" s="26">
        <v>46288</v>
      </c>
      <c r="AD188" s="26">
        <v>46288</v>
      </c>
      <c r="AE188" s="23">
        <v>46298</v>
      </c>
      <c r="AF188" s="23">
        <v>46303</v>
      </c>
      <c r="AG188" s="23"/>
      <c r="AH188" s="27">
        <v>0</v>
      </c>
      <c r="AI188" s="24"/>
      <c r="AJ188" s="28"/>
      <c r="AK188" s="28">
        <v>0</v>
      </c>
      <c r="AL188" s="18" t="s">
        <v>345</v>
      </c>
      <c r="AM188" s="18" t="s">
        <v>345</v>
      </c>
      <c r="AN188" s="18" t="s">
        <v>345</v>
      </c>
      <c r="AO188" s="18"/>
      <c r="AP188" s="24" t="s">
        <v>355</v>
      </c>
      <c r="AQ188" s="18" t="s">
        <v>345</v>
      </c>
      <c r="AR188" s="18" t="s">
        <v>345</v>
      </c>
      <c r="AS188" s="28"/>
      <c r="AT188" s="28"/>
      <c r="AU188" s="18" t="s">
        <v>345</v>
      </c>
      <c r="AV188" s="18" t="s">
        <v>345</v>
      </c>
      <c r="AW188" s="18" t="s">
        <v>345</v>
      </c>
      <c r="AX188" s="32"/>
      <c r="AY188" s="18" t="s">
        <v>345</v>
      </c>
      <c r="AZ188" s="18" t="s">
        <v>345</v>
      </c>
      <c r="BA188" s="35" t="s">
        <v>358</v>
      </c>
      <c r="BB188" s="36" t="s">
        <v>359</v>
      </c>
      <c r="BC188" s="112"/>
    </row>
    <row r="189" spans="1:55" ht="76.5" customHeight="1" x14ac:dyDescent="0.25">
      <c r="A189" s="15">
        <v>185</v>
      </c>
      <c r="B189" s="15"/>
      <c r="C189" s="15" t="s">
        <v>1159</v>
      </c>
      <c r="D189" s="15" t="s">
        <v>1160</v>
      </c>
      <c r="E189" s="15" t="s">
        <v>1161</v>
      </c>
      <c r="F189" s="16" t="s">
        <v>223</v>
      </c>
      <c r="G189" s="17">
        <v>1</v>
      </c>
      <c r="H189" s="18" t="s">
        <v>1162</v>
      </c>
      <c r="I189" s="18" t="s">
        <v>824</v>
      </c>
      <c r="J189" s="18" t="s">
        <v>387</v>
      </c>
      <c r="K189" s="19">
        <v>2.125</v>
      </c>
      <c r="L189" s="20">
        <v>17</v>
      </c>
      <c r="M189" s="21">
        <v>1</v>
      </c>
      <c r="N189" s="22" t="s">
        <v>573</v>
      </c>
      <c r="O189" s="18" t="s">
        <v>349</v>
      </c>
      <c r="P189" s="18" t="s">
        <v>574</v>
      </c>
      <c r="Q189" s="18" t="s">
        <v>1163</v>
      </c>
      <c r="R189" s="18"/>
      <c r="S189" s="18"/>
      <c r="T189" s="22" t="s">
        <v>1164</v>
      </c>
      <c r="U189" s="23">
        <v>46213.700205208334</v>
      </c>
      <c r="V189" s="22"/>
      <c r="W189" s="23"/>
      <c r="X189" s="24" t="s">
        <v>352</v>
      </c>
      <c r="Y189" s="18"/>
      <c r="Z189" s="18" t="s">
        <v>1165</v>
      </c>
      <c r="AA189" s="25">
        <v>46182</v>
      </c>
      <c r="AB189" s="25">
        <v>46192</v>
      </c>
      <c r="AC189" s="26"/>
      <c r="AD189" s="26">
        <v>46213.700205208334</v>
      </c>
      <c r="AE189" s="23">
        <v>46213.700205208334</v>
      </c>
      <c r="AF189" s="23">
        <v>46213.700205208334</v>
      </c>
      <c r="AG189" s="23"/>
      <c r="AH189" s="27"/>
      <c r="AI189" s="24"/>
      <c r="AJ189" s="28"/>
      <c r="AK189" s="28">
        <v>0</v>
      </c>
      <c r="AL189" s="18" t="s">
        <v>345</v>
      </c>
      <c r="AM189" s="18" t="s">
        <v>345</v>
      </c>
      <c r="AN189" s="18" t="s">
        <v>345</v>
      </c>
      <c r="AO189" s="18" t="s">
        <v>354</v>
      </c>
      <c r="AP189" s="24" t="s">
        <v>355</v>
      </c>
      <c r="AQ189" s="18" t="s">
        <v>345</v>
      </c>
      <c r="AR189" s="18" t="s">
        <v>345</v>
      </c>
      <c r="AS189" s="28"/>
      <c r="AT189" s="28"/>
      <c r="AU189" s="18" t="s">
        <v>345</v>
      </c>
      <c r="AV189" s="18" t="s">
        <v>345</v>
      </c>
      <c r="AW189" s="18" t="s">
        <v>345</v>
      </c>
      <c r="AX189" s="32"/>
      <c r="AY189" s="18" t="s">
        <v>345</v>
      </c>
      <c r="AZ189" s="18" t="s">
        <v>345</v>
      </c>
      <c r="BA189" s="35" t="s">
        <v>358</v>
      </c>
      <c r="BB189" s="36" t="s">
        <v>359</v>
      </c>
      <c r="BC189" s="111">
        <v>46206</v>
      </c>
    </row>
    <row r="190" spans="1:55" ht="63.75" customHeight="1" x14ac:dyDescent="0.25">
      <c r="A190" s="15">
        <v>186</v>
      </c>
      <c r="B190" s="15"/>
      <c r="C190" s="15" t="s">
        <v>1159</v>
      </c>
      <c r="D190" s="15" t="s">
        <v>620</v>
      </c>
      <c r="E190" s="15" t="s">
        <v>1166</v>
      </c>
      <c r="F190" s="16" t="s">
        <v>224</v>
      </c>
      <c r="G190" s="17">
        <v>0</v>
      </c>
      <c r="H190" s="18" t="s">
        <v>1167</v>
      </c>
      <c r="I190" s="18"/>
      <c r="J190" s="18" t="s">
        <v>387</v>
      </c>
      <c r="K190" s="19">
        <v>3</v>
      </c>
      <c r="L190" s="20">
        <v>24</v>
      </c>
      <c r="M190" s="21">
        <v>0</v>
      </c>
      <c r="N190" s="22"/>
      <c r="O190" s="18" t="s">
        <v>349</v>
      </c>
      <c r="P190" s="18" t="s">
        <v>574</v>
      </c>
      <c r="Q190" s="18" t="s">
        <v>1168</v>
      </c>
      <c r="R190" s="18"/>
      <c r="S190" s="18"/>
      <c r="T190" s="22"/>
      <c r="U190" s="23"/>
      <c r="V190" s="22"/>
      <c r="W190" s="23"/>
      <c r="X190" s="24" t="s">
        <v>352</v>
      </c>
      <c r="Y190" s="18"/>
      <c r="Z190" s="18" t="s">
        <v>1169</v>
      </c>
      <c r="AA190" s="25">
        <v>46267</v>
      </c>
      <c r="AB190" s="25">
        <v>46275</v>
      </c>
      <c r="AC190" s="26">
        <v>46267</v>
      </c>
      <c r="AD190" s="26">
        <v>46275</v>
      </c>
      <c r="AE190" s="23">
        <v>46285</v>
      </c>
      <c r="AF190" s="23">
        <v>46290</v>
      </c>
      <c r="AG190" s="23"/>
      <c r="AH190" s="27">
        <v>0</v>
      </c>
      <c r="AI190" s="24"/>
      <c r="AJ190" s="28"/>
      <c r="AK190" s="28">
        <v>0</v>
      </c>
      <c r="AL190" s="18" t="s">
        <v>345</v>
      </c>
      <c r="AM190" s="18" t="s">
        <v>345</v>
      </c>
      <c r="AN190" s="18" t="s">
        <v>345</v>
      </c>
      <c r="AO190" s="18"/>
      <c r="AP190" s="24" t="s">
        <v>355</v>
      </c>
      <c r="AQ190" s="18" t="s">
        <v>345</v>
      </c>
      <c r="AR190" s="18" t="s">
        <v>345</v>
      </c>
      <c r="AS190" s="28"/>
      <c r="AT190" s="28"/>
      <c r="AU190" s="18" t="s">
        <v>345</v>
      </c>
      <c r="AV190" s="18" t="s">
        <v>345</v>
      </c>
      <c r="AW190" s="18" t="s">
        <v>345</v>
      </c>
      <c r="AX190" s="32"/>
      <c r="AY190" s="18" t="s">
        <v>345</v>
      </c>
      <c r="AZ190" s="18" t="s">
        <v>345</v>
      </c>
      <c r="BA190" s="35" t="s">
        <v>358</v>
      </c>
      <c r="BB190" s="36" t="s">
        <v>359</v>
      </c>
      <c r="BC190" s="112"/>
    </row>
    <row r="191" spans="1:55" ht="63.75" customHeight="1" x14ac:dyDescent="0.25">
      <c r="A191" s="15">
        <v>187</v>
      </c>
      <c r="B191" s="15"/>
      <c r="C191" s="15" t="s">
        <v>1170</v>
      </c>
      <c r="D191" s="15" t="s">
        <v>1171</v>
      </c>
      <c r="E191" s="15" t="s">
        <v>1172</v>
      </c>
      <c r="F191" s="16" t="s">
        <v>225</v>
      </c>
      <c r="G191" s="17">
        <v>0</v>
      </c>
      <c r="H191" s="18" t="s">
        <v>1173</v>
      </c>
      <c r="I191" s="18" t="s">
        <v>456</v>
      </c>
      <c r="J191" s="18" t="s">
        <v>853</v>
      </c>
      <c r="K191" s="19">
        <v>2</v>
      </c>
      <c r="L191" s="20">
        <v>1</v>
      </c>
      <c r="M191" s="21">
        <v>0.9</v>
      </c>
      <c r="N191" s="22" t="s">
        <v>469</v>
      </c>
      <c r="O191" s="18" t="s">
        <v>349</v>
      </c>
      <c r="P191" s="18" t="s">
        <v>574</v>
      </c>
      <c r="Q191" s="18" t="s">
        <v>1174</v>
      </c>
      <c r="R191" s="18" t="s">
        <v>1175</v>
      </c>
      <c r="S191" s="18"/>
      <c r="T191" s="22" t="s">
        <v>1176</v>
      </c>
      <c r="U191" s="23">
        <v>46211.678149803243</v>
      </c>
      <c r="V191" s="22" t="s">
        <v>419</v>
      </c>
      <c r="W191" s="23">
        <v>46213.593920798608</v>
      </c>
      <c r="X191" s="24" t="s">
        <v>352</v>
      </c>
      <c r="Y191" s="18"/>
      <c r="Z191" s="18" t="s">
        <v>1177</v>
      </c>
      <c r="AA191" s="25">
        <v>46253</v>
      </c>
      <c r="AB191" s="25">
        <v>46260</v>
      </c>
      <c r="AC191" s="26">
        <v>46204</v>
      </c>
      <c r="AD191" s="26">
        <v>46211.678149803243</v>
      </c>
      <c r="AE191" s="23">
        <v>46221.678149803243</v>
      </c>
      <c r="AF191" s="23">
        <v>46226.678149803243</v>
      </c>
      <c r="AG191" s="23">
        <v>46196</v>
      </c>
      <c r="AH191" s="27"/>
      <c r="AI191" s="24"/>
      <c r="AJ191" s="28"/>
      <c r="AK191" s="28"/>
      <c r="AL191" s="18" t="s">
        <v>345</v>
      </c>
      <c r="AM191" s="18" t="s">
        <v>345</v>
      </c>
      <c r="AN191" s="18" t="s">
        <v>345</v>
      </c>
      <c r="AO191" s="18" t="s">
        <v>354</v>
      </c>
      <c r="AP191" s="24" t="s">
        <v>355</v>
      </c>
      <c r="AQ191" s="18" t="s">
        <v>345</v>
      </c>
      <c r="AR191" s="18" t="s">
        <v>345</v>
      </c>
      <c r="AS191" s="28"/>
      <c r="AT191" s="28" t="s">
        <v>1178</v>
      </c>
      <c r="AU191" s="18" t="s">
        <v>345</v>
      </c>
      <c r="AV191" s="18" t="s">
        <v>345</v>
      </c>
      <c r="AW191" s="18" t="s">
        <v>345</v>
      </c>
      <c r="AX191" s="32" t="s">
        <v>545</v>
      </c>
      <c r="AY191" s="18" t="s">
        <v>345</v>
      </c>
      <c r="AZ191" s="18" t="s">
        <v>345</v>
      </c>
      <c r="BA191" s="35" t="s">
        <v>610</v>
      </c>
      <c r="BB191" s="36" t="s">
        <v>359</v>
      </c>
      <c r="BC191" s="112"/>
    </row>
    <row r="192" spans="1:55" ht="63.75" customHeight="1" x14ac:dyDescent="0.25">
      <c r="A192" s="15">
        <v>188</v>
      </c>
      <c r="B192" s="15"/>
      <c r="C192" s="15" t="s">
        <v>1170</v>
      </c>
      <c r="D192" s="15" t="s">
        <v>1171</v>
      </c>
      <c r="E192" s="15" t="s">
        <v>1179</v>
      </c>
      <c r="F192" s="16" t="s">
        <v>226</v>
      </c>
      <c r="G192" s="17">
        <v>0</v>
      </c>
      <c r="H192" s="18" t="s">
        <v>1180</v>
      </c>
      <c r="I192" s="18"/>
      <c r="J192" s="18" t="s">
        <v>853</v>
      </c>
      <c r="K192" s="19">
        <v>2</v>
      </c>
      <c r="L192" s="20">
        <v>1</v>
      </c>
      <c r="M192" s="21">
        <v>0</v>
      </c>
      <c r="N192" s="22"/>
      <c r="O192" s="18" t="s">
        <v>1181</v>
      </c>
      <c r="P192" s="18" t="s">
        <v>1182</v>
      </c>
      <c r="Q192" s="18" t="s">
        <v>1183</v>
      </c>
      <c r="R192" s="18"/>
      <c r="S192" s="18"/>
      <c r="T192" s="22"/>
      <c r="U192" s="23"/>
      <c r="V192" s="22"/>
      <c r="W192" s="23"/>
      <c r="X192" s="24" t="s">
        <v>352</v>
      </c>
      <c r="Y192" s="18"/>
      <c r="Z192" s="18" t="s">
        <v>1184</v>
      </c>
      <c r="AA192" s="25">
        <v>46267</v>
      </c>
      <c r="AB192" s="25">
        <v>46275</v>
      </c>
      <c r="AC192" s="26">
        <v>46240</v>
      </c>
      <c r="AD192" s="26">
        <v>46247</v>
      </c>
      <c r="AE192" s="23">
        <v>46257</v>
      </c>
      <c r="AF192" s="23">
        <v>46262</v>
      </c>
      <c r="AG192" s="23"/>
      <c r="AH192" s="27"/>
      <c r="AI192" s="24"/>
      <c r="AJ192" s="28"/>
      <c r="AK192" s="28"/>
      <c r="AL192" s="18" t="s">
        <v>345</v>
      </c>
      <c r="AM192" s="18" t="s">
        <v>345</v>
      </c>
      <c r="AN192" s="18" t="s">
        <v>345</v>
      </c>
      <c r="AO192" s="18" t="s">
        <v>354</v>
      </c>
      <c r="AP192" s="24" t="s">
        <v>355</v>
      </c>
      <c r="AQ192" s="18" t="s">
        <v>345</v>
      </c>
      <c r="AR192" s="18" t="s">
        <v>345</v>
      </c>
      <c r="AS192" s="28"/>
      <c r="AT192" s="28"/>
      <c r="AU192" s="18" t="s">
        <v>345</v>
      </c>
      <c r="AV192" s="18" t="s">
        <v>345</v>
      </c>
      <c r="AW192" s="18" t="s">
        <v>345</v>
      </c>
      <c r="AX192" s="32" t="s">
        <v>545</v>
      </c>
      <c r="AY192" s="18" t="s">
        <v>345</v>
      </c>
      <c r="AZ192" s="18" t="s">
        <v>345</v>
      </c>
      <c r="BA192" s="35" t="s">
        <v>358</v>
      </c>
      <c r="BB192" s="36" t="s">
        <v>359</v>
      </c>
      <c r="BC192" s="112"/>
    </row>
    <row r="193" spans="1:55" ht="63.75" customHeight="1" x14ac:dyDescent="0.25">
      <c r="A193" s="15">
        <v>189</v>
      </c>
      <c r="B193" s="15"/>
      <c r="C193" s="15" t="s">
        <v>1170</v>
      </c>
      <c r="D193" s="15" t="s">
        <v>384</v>
      </c>
      <c r="E193" s="15" t="s">
        <v>1185</v>
      </c>
      <c r="F193" s="16" t="s">
        <v>227</v>
      </c>
      <c r="G193" s="17">
        <v>0</v>
      </c>
      <c r="H193" s="18" t="s">
        <v>1186</v>
      </c>
      <c r="I193" s="18"/>
      <c r="J193" s="18" t="s">
        <v>387</v>
      </c>
      <c r="K193" s="19">
        <v>3</v>
      </c>
      <c r="L193" s="20">
        <v>24</v>
      </c>
      <c r="M193" s="21">
        <v>0.2</v>
      </c>
      <c r="N193" s="22"/>
      <c r="O193" s="18" t="s">
        <v>349</v>
      </c>
      <c r="P193" s="18" t="s">
        <v>701</v>
      </c>
      <c r="Q193" s="18" t="s">
        <v>389</v>
      </c>
      <c r="R193" s="18" t="s">
        <v>1187</v>
      </c>
      <c r="S193" s="18"/>
      <c r="T193" s="22"/>
      <c r="U193" s="23"/>
      <c r="V193" s="22"/>
      <c r="W193" s="23"/>
      <c r="X193" s="24" t="s">
        <v>352</v>
      </c>
      <c r="Y193" s="18"/>
      <c r="Z193" s="18" t="s">
        <v>1188</v>
      </c>
      <c r="AA193" s="25">
        <v>46206</v>
      </c>
      <c r="AB193" s="25">
        <v>46212</v>
      </c>
      <c r="AC193" s="26">
        <v>46206</v>
      </c>
      <c r="AD193" s="26">
        <v>46212</v>
      </c>
      <c r="AE193" s="23">
        <v>46222</v>
      </c>
      <c r="AF193" s="23">
        <v>46227</v>
      </c>
      <c r="AG193" s="23">
        <v>46205</v>
      </c>
      <c r="AH193" s="27"/>
      <c r="AI193" s="24"/>
      <c r="AJ193" s="28"/>
      <c r="AK193" s="28"/>
      <c r="AL193" s="18" t="s">
        <v>345</v>
      </c>
      <c r="AM193" s="18" t="s">
        <v>345</v>
      </c>
      <c r="AN193" s="18" t="s">
        <v>345</v>
      </c>
      <c r="AO193" s="18" t="s">
        <v>354</v>
      </c>
      <c r="AP193" s="24" t="s">
        <v>355</v>
      </c>
      <c r="AQ193" s="18" t="s">
        <v>345</v>
      </c>
      <c r="AR193" s="18" t="s">
        <v>345</v>
      </c>
      <c r="AS193" s="28"/>
      <c r="AT193" s="28" t="s">
        <v>751</v>
      </c>
      <c r="AU193" s="18" t="s">
        <v>345</v>
      </c>
      <c r="AV193" s="18" t="s">
        <v>345</v>
      </c>
      <c r="AW193" s="18" t="s">
        <v>345</v>
      </c>
      <c r="AX193" s="32" t="s">
        <v>545</v>
      </c>
      <c r="AY193" s="18" t="s">
        <v>345</v>
      </c>
      <c r="AZ193" s="18" t="s">
        <v>345</v>
      </c>
      <c r="BA193" s="35" t="s">
        <v>358</v>
      </c>
      <c r="BB193" s="36" t="s">
        <v>359</v>
      </c>
      <c r="BC193" s="112"/>
    </row>
    <row r="194" spans="1:55" ht="76.5" customHeight="1" x14ac:dyDescent="0.25">
      <c r="A194" s="15">
        <v>190</v>
      </c>
      <c r="B194" s="15"/>
      <c r="C194" s="15" t="s">
        <v>1170</v>
      </c>
      <c r="D194" s="15" t="s">
        <v>384</v>
      </c>
      <c r="E194" s="15" t="s">
        <v>1189</v>
      </c>
      <c r="F194" s="16" t="s">
        <v>228</v>
      </c>
      <c r="G194" s="17">
        <v>0</v>
      </c>
      <c r="H194" s="18" t="s">
        <v>1190</v>
      </c>
      <c r="I194" s="18"/>
      <c r="J194" s="18" t="s">
        <v>387</v>
      </c>
      <c r="K194" s="19">
        <v>2.5</v>
      </c>
      <c r="L194" s="20">
        <v>20</v>
      </c>
      <c r="M194" s="21">
        <v>0</v>
      </c>
      <c r="N194" s="22"/>
      <c r="O194" s="18" t="s">
        <v>349</v>
      </c>
      <c r="P194" s="18" t="s">
        <v>1191</v>
      </c>
      <c r="Q194" s="18" t="s">
        <v>389</v>
      </c>
      <c r="R194" s="18" t="s">
        <v>1192</v>
      </c>
      <c r="S194" s="18"/>
      <c r="T194" s="22"/>
      <c r="U194" s="23"/>
      <c r="V194" s="22"/>
      <c r="W194" s="23"/>
      <c r="X194" s="24" t="s">
        <v>352</v>
      </c>
      <c r="Y194" s="18"/>
      <c r="Z194" s="18" t="s">
        <v>1193</v>
      </c>
      <c r="AA194" s="25">
        <v>46218</v>
      </c>
      <c r="AB194" s="25">
        <v>46223</v>
      </c>
      <c r="AC194" s="26">
        <v>46218</v>
      </c>
      <c r="AD194" s="26">
        <v>46223</v>
      </c>
      <c r="AE194" s="23">
        <v>46233</v>
      </c>
      <c r="AF194" s="23">
        <v>46238</v>
      </c>
      <c r="AG194" s="23"/>
      <c r="AH194" s="27"/>
      <c r="AI194" s="24"/>
      <c r="AJ194" s="28"/>
      <c r="AK194" s="28"/>
      <c r="AL194" s="18" t="s">
        <v>345</v>
      </c>
      <c r="AM194" s="18" t="s">
        <v>345</v>
      </c>
      <c r="AN194" s="18" t="s">
        <v>345</v>
      </c>
      <c r="AO194" s="18" t="s">
        <v>354</v>
      </c>
      <c r="AP194" s="24" t="s">
        <v>355</v>
      </c>
      <c r="AQ194" s="18" t="s">
        <v>345</v>
      </c>
      <c r="AR194" s="18" t="s">
        <v>345</v>
      </c>
      <c r="AS194" s="28"/>
      <c r="AT194" s="28"/>
      <c r="AU194" s="18" t="s">
        <v>345</v>
      </c>
      <c r="AV194" s="18" t="s">
        <v>345</v>
      </c>
      <c r="AW194" s="18" t="s">
        <v>345</v>
      </c>
      <c r="AX194" s="32"/>
      <c r="AY194" s="18" t="s">
        <v>345</v>
      </c>
      <c r="AZ194" s="18" t="s">
        <v>345</v>
      </c>
      <c r="BA194" s="35" t="s">
        <v>358</v>
      </c>
      <c r="BB194" s="36" t="s">
        <v>359</v>
      </c>
      <c r="BC194" s="112"/>
    </row>
    <row r="195" spans="1:55" ht="76.5" customHeight="1" x14ac:dyDescent="0.25">
      <c r="A195" s="15">
        <v>191</v>
      </c>
      <c r="B195" s="15"/>
      <c r="C195" s="15" t="s">
        <v>1170</v>
      </c>
      <c r="D195" s="15" t="s">
        <v>384</v>
      </c>
      <c r="E195" s="15" t="s">
        <v>1194</v>
      </c>
      <c r="F195" s="16" t="s">
        <v>229</v>
      </c>
      <c r="G195" s="17">
        <v>0</v>
      </c>
      <c r="H195" s="18" t="s">
        <v>1195</v>
      </c>
      <c r="I195" s="18" t="s">
        <v>456</v>
      </c>
      <c r="J195" s="18" t="s">
        <v>387</v>
      </c>
      <c r="K195" s="19">
        <v>11</v>
      </c>
      <c r="L195" s="20">
        <v>88</v>
      </c>
      <c r="M195" s="21">
        <v>0.8</v>
      </c>
      <c r="N195" s="22" t="s">
        <v>469</v>
      </c>
      <c r="O195" s="18" t="s">
        <v>349</v>
      </c>
      <c r="P195" s="18" t="s">
        <v>574</v>
      </c>
      <c r="Q195" s="18" t="s">
        <v>1196</v>
      </c>
      <c r="R195" s="18" t="s">
        <v>1197</v>
      </c>
      <c r="S195" s="18"/>
      <c r="T195" s="22" t="s">
        <v>1164</v>
      </c>
      <c r="U195" s="23">
        <v>46213.700205983798</v>
      </c>
      <c r="V195" s="22"/>
      <c r="W195" s="23"/>
      <c r="X195" s="24" t="s">
        <v>352</v>
      </c>
      <c r="Y195" s="18"/>
      <c r="Z195" s="18" t="s">
        <v>1198</v>
      </c>
      <c r="AA195" s="25">
        <v>46265</v>
      </c>
      <c r="AB195" s="25">
        <v>46267</v>
      </c>
      <c r="AC195" s="26">
        <v>46238</v>
      </c>
      <c r="AD195" s="26">
        <v>46213.700205983798</v>
      </c>
      <c r="AE195" s="23">
        <v>46223.700205983798</v>
      </c>
      <c r="AF195" s="23">
        <v>46228.700205983798</v>
      </c>
      <c r="AG195" s="23">
        <v>46213</v>
      </c>
      <c r="AH195" s="27"/>
      <c r="AI195" s="24"/>
      <c r="AJ195" s="28"/>
      <c r="AK195" s="28"/>
      <c r="AL195" s="18" t="s">
        <v>345</v>
      </c>
      <c r="AM195" s="18" t="s">
        <v>345</v>
      </c>
      <c r="AN195" s="18" t="s">
        <v>345</v>
      </c>
      <c r="AO195" s="18" t="s">
        <v>354</v>
      </c>
      <c r="AP195" s="24" t="s">
        <v>355</v>
      </c>
      <c r="AQ195" s="18" t="s">
        <v>345</v>
      </c>
      <c r="AR195" s="18" t="s">
        <v>345</v>
      </c>
      <c r="AS195" s="28"/>
      <c r="AT195" s="28" t="s">
        <v>1042</v>
      </c>
      <c r="AU195" s="18" t="s">
        <v>345</v>
      </c>
      <c r="AV195" s="18" t="s">
        <v>345</v>
      </c>
      <c r="AW195" s="18" t="s">
        <v>345</v>
      </c>
      <c r="AX195" s="32" t="s">
        <v>545</v>
      </c>
      <c r="AY195" s="18" t="s">
        <v>345</v>
      </c>
      <c r="AZ195" s="18" t="s">
        <v>345</v>
      </c>
      <c r="BA195" s="35" t="s">
        <v>358</v>
      </c>
      <c r="BB195" s="36" t="s">
        <v>359</v>
      </c>
      <c r="BC195" s="112"/>
    </row>
    <row r="196" spans="1:55" ht="63.75" customHeight="1" x14ac:dyDescent="0.25">
      <c r="A196" s="15">
        <v>192</v>
      </c>
      <c r="B196" s="15"/>
      <c r="C196" s="15" t="s">
        <v>1170</v>
      </c>
      <c r="D196" s="15" t="s">
        <v>384</v>
      </c>
      <c r="E196" s="15" t="s">
        <v>1199</v>
      </c>
      <c r="F196" s="16" t="s">
        <v>230</v>
      </c>
      <c r="G196" s="17">
        <v>0</v>
      </c>
      <c r="H196" s="18" t="s">
        <v>1200</v>
      </c>
      <c r="I196" s="18" t="s">
        <v>359</v>
      </c>
      <c r="J196" s="18" t="s">
        <v>387</v>
      </c>
      <c r="K196" s="19">
        <v>1</v>
      </c>
      <c r="L196" s="20">
        <v>8</v>
      </c>
      <c r="M196" s="21">
        <v>0</v>
      </c>
      <c r="N196" s="22" t="s">
        <v>469</v>
      </c>
      <c r="O196" s="18" t="s">
        <v>349</v>
      </c>
      <c r="P196" s="18" t="s">
        <v>1070</v>
      </c>
      <c r="Q196" s="18" t="s">
        <v>389</v>
      </c>
      <c r="R196" s="18" t="s">
        <v>1201</v>
      </c>
      <c r="S196" s="18"/>
      <c r="T196" s="22"/>
      <c r="U196" s="23"/>
      <c r="V196" s="22"/>
      <c r="W196" s="23"/>
      <c r="X196" s="24" t="s">
        <v>352</v>
      </c>
      <c r="Y196" s="18"/>
      <c r="Z196" s="18" t="s">
        <v>1202</v>
      </c>
      <c r="AA196" s="25">
        <v>46206</v>
      </c>
      <c r="AB196" s="25">
        <v>46211</v>
      </c>
      <c r="AC196" s="26">
        <v>46209</v>
      </c>
      <c r="AD196" s="26">
        <v>46212</v>
      </c>
      <c r="AE196" s="23">
        <v>46222</v>
      </c>
      <c r="AF196" s="23">
        <v>46227</v>
      </c>
      <c r="AG196" s="23"/>
      <c r="AH196" s="27"/>
      <c r="AI196" s="24"/>
      <c r="AJ196" s="28"/>
      <c r="AK196" s="28"/>
      <c r="AL196" s="18" t="s">
        <v>345</v>
      </c>
      <c r="AM196" s="18" t="s">
        <v>345</v>
      </c>
      <c r="AN196" s="18" t="s">
        <v>345</v>
      </c>
      <c r="AO196" s="18" t="s">
        <v>354</v>
      </c>
      <c r="AP196" s="24" t="s">
        <v>355</v>
      </c>
      <c r="AQ196" s="18" t="s">
        <v>345</v>
      </c>
      <c r="AR196" s="18" t="s">
        <v>345</v>
      </c>
      <c r="AS196" s="28"/>
      <c r="AT196" s="28"/>
      <c r="AU196" s="18" t="s">
        <v>345</v>
      </c>
      <c r="AV196" s="18" t="s">
        <v>345</v>
      </c>
      <c r="AW196" s="18" t="s">
        <v>345</v>
      </c>
      <c r="AX196" s="32" t="s">
        <v>545</v>
      </c>
      <c r="AY196" s="18" t="s">
        <v>345</v>
      </c>
      <c r="AZ196" s="18" t="s">
        <v>345</v>
      </c>
      <c r="BA196" s="35" t="s">
        <v>358</v>
      </c>
      <c r="BB196" s="36" t="s">
        <v>359</v>
      </c>
      <c r="BC196" s="112"/>
    </row>
    <row r="197" spans="1:55" ht="76.5" customHeight="1" x14ac:dyDescent="0.25">
      <c r="A197" s="15">
        <v>193</v>
      </c>
      <c r="B197" s="15"/>
      <c r="C197" s="15" t="s">
        <v>1170</v>
      </c>
      <c r="D197" s="15" t="s">
        <v>403</v>
      </c>
      <c r="E197" s="15" t="s">
        <v>1203</v>
      </c>
      <c r="F197" s="16" t="s">
        <v>232</v>
      </c>
      <c r="G197" s="17">
        <v>0</v>
      </c>
      <c r="H197" s="18" t="s">
        <v>1204</v>
      </c>
      <c r="I197" s="18" t="s">
        <v>415</v>
      </c>
      <c r="J197" s="18" t="s">
        <v>387</v>
      </c>
      <c r="K197" s="19">
        <v>22.75</v>
      </c>
      <c r="L197" s="20">
        <v>182</v>
      </c>
      <c r="M197" s="21">
        <v>0.8</v>
      </c>
      <c r="N197" s="22" t="s">
        <v>469</v>
      </c>
      <c r="O197" s="18" t="s">
        <v>349</v>
      </c>
      <c r="P197" s="18" t="s">
        <v>574</v>
      </c>
      <c r="Q197" s="18" t="s">
        <v>406</v>
      </c>
      <c r="R197" s="18" t="s">
        <v>1205</v>
      </c>
      <c r="S197" s="18"/>
      <c r="T197" s="22" t="s">
        <v>1206</v>
      </c>
      <c r="U197" s="23">
        <v>46213.700416747677</v>
      </c>
      <c r="V197" s="22"/>
      <c r="W197" s="23"/>
      <c r="X197" s="24" t="s">
        <v>352</v>
      </c>
      <c r="Y197" s="18"/>
      <c r="Z197" s="18" t="s">
        <v>1207</v>
      </c>
      <c r="AA197" s="25">
        <v>46260</v>
      </c>
      <c r="AB197" s="25">
        <v>46265</v>
      </c>
      <c r="AC197" s="26">
        <v>46233</v>
      </c>
      <c r="AD197" s="26">
        <v>46213.700416747677</v>
      </c>
      <c r="AE197" s="23">
        <v>46223.700416747677</v>
      </c>
      <c r="AF197" s="23">
        <v>46228.700416747677</v>
      </c>
      <c r="AG197" s="23">
        <v>46212</v>
      </c>
      <c r="AH197" s="27"/>
      <c r="AI197" s="24"/>
      <c r="AJ197" s="28"/>
      <c r="AK197" s="28"/>
      <c r="AL197" s="18" t="s">
        <v>345</v>
      </c>
      <c r="AM197" s="18" t="s">
        <v>345</v>
      </c>
      <c r="AN197" s="18" t="s">
        <v>345</v>
      </c>
      <c r="AO197" s="18" t="s">
        <v>354</v>
      </c>
      <c r="AP197" s="24" t="s">
        <v>355</v>
      </c>
      <c r="AQ197" s="18" t="s">
        <v>345</v>
      </c>
      <c r="AR197" s="18" t="s">
        <v>345</v>
      </c>
      <c r="AS197" s="28"/>
      <c r="AT197" s="28" t="s">
        <v>874</v>
      </c>
      <c r="AU197" s="18" t="s">
        <v>345</v>
      </c>
      <c r="AV197" s="18" t="s">
        <v>345</v>
      </c>
      <c r="AW197" s="18" t="s">
        <v>345</v>
      </c>
      <c r="AX197" s="32" t="s">
        <v>545</v>
      </c>
      <c r="AY197" s="18" t="s">
        <v>345</v>
      </c>
      <c r="AZ197" s="18" t="s">
        <v>345</v>
      </c>
      <c r="BA197" s="35" t="s">
        <v>358</v>
      </c>
      <c r="BB197" s="36" t="s">
        <v>359</v>
      </c>
      <c r="BC197" s="112"/>
    </row>
    <row r="198" spans="1:55" ht="63.75" customHeight="1" x14ac:dyDescent="0.25">
      <c r="A198" s="15">
        <v>194</v>
      </c>
      <c r="B198" s="15"/>
      <c r="C198" s="15" t="s">
        <v>1170</v>
      </c>
      <c r="D198" s="15" t="s">
        <v>403</v>
      </c>
      <c r="E198" s="15" t="s">
        <v>1208</v>
      </c>
      <c r="F198" s="16" t="s">
        <v>233</v>
      </c>
      <c r="G198" s="17">
        <v>0</v>
      </c>
      <c r="H198" s="18" t="s">
        <v>1209</v>
      </c>
      <c r="I198" s="18"/>
      <c r="J198" s="18" t="s">
        <v>387</v>
      </c>
      <c r="K198" s="19">
        <v>1</v>
      </c>
      <c r="L198" s="20">
        <v>8</v>
      </c>
      <c r="M198" s="21">
        <v>0</v>
      </c>
      <c r="N198" s="22"/>
      <c r="O198" s="18" t="s">
        <v>349</v>
      </c>
      <c r="P198" s="18" t="s">
        <v>1070</v>
      </c>
      <c r="Q198" s="18" t="s">
        <v>406</v>
      </c>
      <c r="R198" s="18" t="s">
        <v>1201</v>
      </c>
      <c r="S198" s="18"/>
      <c r="T198" s="22"/>
      <c r="U198" s="23"/>
      <c r="V198" s="22"/>
      <c r="W198" s="23"/>
      <c r="X198" s="24" t="s">
        <v>352</v>
      </c>
      <c r="Y198" s="18"/>
      <c r="Z198" s="18" t="s">
        <v>1210</v>
      </c>
      <c r="AA198" s="25">
        <v>46211</v>
      </c>
      <c r="AB198" s="25">
        <v>46216</v>
      </c>
      <c r="AC198" s="26">
        <v>46212</v>
      </c>
      <c r="AD198" s="26">
        <v>46217</v>
      </c>
      <c r="AE198" s="23">
        <v>46227</v>
      </c>
      <c r="AF198" s="23">
        <v>46232</v>
      </c>
      <c r="AG198" s="23"/>
      <c r="AH198" s="27"/>
      <c r="AI198" s="24"/>
      <c r="AJ198" s="28"/>
      <c r="AK198" s="28"/>
      <c r="AL198" s="18" t="s">
        <v>345</v>
      </c>
      <c r="AM198" s="18" t="s">
        <v>345</v>
      </c>
      <c r="AN198" s="18" t="s">
        <v>345</v>
      </c>
      <c r="AO198" s="18" t="s">
        <v>354</v>
      </c>
      <c r="AP198" s="24" t="s">
        <v>355</v>
      </c>
      <c r="AQ198" s="18" t="s">
        <v>345</v>
      </c>
      <c r="AR198" s="18" t="s">
        <v>345</v>
      </c>
      <c r="AS198" s="28"/>
      <c r="AT198" s="28"/>
      <c r="AU198" s="18" t="s">
        <v>345</v>
      </c>
      <c r="AV198" s="18" t="s">
        <v>345</v>
      </c>
      <c r="AW198" s="18" t="s">
        <v>345</v>
      </c>
      <c r="AX198" s="32" t="s">
        <v>357</v>
      </c>
      <c r="AY198" s="18" t="s">
        <v>345</v>
      </c>
      <c r="AZ198" s="18" t="s">
        <v>345</v>
      </c>
      <c r="BA198" s="35" t="s">
        <v>358</v>
      </c>
      <c r="BB198" s="36" t="s">
        <v>359</v>
      </c>
      <c r="BC198" s="112"/>
    </row>
    <row r="199" spans="1:55" ht="63.75" customHeight="1" x14ac:dyDescent="0.25">
      <c r="A199" s="15">
        <v>195</v>
      </c>
      <c r="B199" s="15"/>
      <c r="C199" s="15" t="s">
        <v>1170</v>
      </c>
      <c r="D199" s="15" t="s">
        <v>403</v>
      </c>
      <c r="E199" s="15" t="s">
        <v>1211</v>
      </c>
      <c r="F199" s="16" t="s">
        <v>235</v>
      </c>
      <c r="G199" s="17">
        <v>0</v>
      </c>
      <c r="H199" s="18" t="s">
        <v>1212</v>
      </c>
      <c r="I199" s="18"/>
      <c r="J199" s="18" t="s">
        <v>387</v>
      </c>
      <c r="K199" s="19">
        <v>1</v>
      </c>
      <c r="L199" s="20">
        <v>8</v>
      </c>
      <c r="M199" s="21">
        <v>0</v>
      </c>
      <c r="N199" s="22"/>
      <c r="O199" s="18" t="s">
        <v>349</v>
      </c>
      <c r="P199" s="18" t="s">
        <v>1070</v>
      </c>
      <c r="Q199" s="18" t="s">
        <v>406</v>
      </c>
      <c r="R199" s="18" t="s">
        <v>1213</v>
      </c>
      <c r="S199" s="18"/>
      <c r="T199" s="22"/>
      <c r="U199" s="23"/>
      <c r="V199" s="22"/>
      <c r="W199" s="23"/>
      <c r="X199" s="24" t="s">
        <v>352</v>
      </c>
      <c r="Y199" s="18"/>
      <c r="Z199" s="18" t="s">
        <v>1214</v>
      </c>
      <c r="AA199" s="25">
        <v>46198</v>
      </c>
      <c r="AB199" s="25">
        <v>46203</v>
      </c>
      <c r="AC199" s="26">
        <v>46209</v>
      </c>
      <c r="AD199" s="26">
        <v>46212</v>
      </c>
      <c r="AE199" s="23">
        <v>46222</v>
      </c>
      <c r="AF199" s="23">
        <v>46227</v>
      </c>
      <c r="AG199" s="23"/>
      <c r="AH199" s="27"/>
      <c r="AI199" s="24"/>
      <c r="AJ199" s="28"/>
      <c r="AK199" s="28"/>
      <c r="AL199" s="18" t="s">
        <v>345</v>
      </c>
      <c r="AM199" s="18" t="s">
        <v>345</v>
      </c>
      <c r="AN199" s="18" t="s">
        <v>345</v>
      </c>
      <c r="AO199" s="18" t="s">
        <v>354</v>
      </c>
      <c r="AP199" s="24" t="s">
        <v>355</v>
      </c>
      <c r="AQ199" s="18" t="s">
        <v>345</v>
      </c>
      <c r="AR199" s="18" t="s">
        <v>345</v>
      </c>
      <c r="AS199" s="28"/>
      <c r="AT199" s="28"/>
      <c r="AU199" s="18" t="s">
        <v>345</v>
      </c>
      <c r="AV199" s="18" t="s">
        <v>345</v>
      </c>
      <c r="AW199" s="18" t="s">
        <v>345</v>
      </c>
      <c r="AX199" s="32" t="s">
        <v>357</v>
      </c>
      <c r="AY199" s="18" t="s">
        <v>345</v>
      </c>
      <c r="AZ199" s="18" t="s">
        <v>345</v>
      </c>
      <c r="BA199" s="35" t="s">
        <v>358</v>
      </c>
      <c r="BB199" s="36" t="s">
        <v>359</v>
      </c>
      <c r="BC199" s="112"/>
    </row>
    <row r="200" spans="1:55" ht="76.5" customHeight="1" x14ac:dyDescent="0.25">
      <c r="A200" s="15">
        <v>196</v>
      </c>
      <c r="B200" s="15"/>
      <c r="C200" s="15" t="s">
        <v>1170</v>
      </c>
      <c r="D200" s="15" t="s">
        <v>403</v>
      </c>
      <c r="E200" s="15" t="s">
        <v>1215</v>
      </c>
      <c r="F200" s="16" t="s">
        <v>236</v>
      </c>
      <c r="G200" s="17">
        <v>0</v>
      </c>
      <c r="H200" s="18" t="s">
        <v>1216</v>
      </c>
      <c r="I200" s="18"/>
      <c r="J200" s="18" t="s">
        <v>387</v>
      </c>
      <c r="K200" s="19">
        <v>2</v>
      </c>
      <c r="L200" s="20">
        <v>16</v>
      </c>
      <c r="M200" s="21">
        <v>0</v>
      </c>
      <c r="N200" s="22"/>
      <c r="O200" s="18" t="s">
        <v>349</v>
      </c>
      <c r="P200" s="18" t="s">
        <v>701</v>
      </c>
      <c r="Q200" s="18" t="s">
        <v>389</v>
      </c>
      <c r="R200" s="18" t="s">
        <v>1187</v>
      </c>
      <c r="S200" s="18"/>
      <c r="T200" s="22"/>
      <c r="U200" s="23"/>
      <c r="V200" s="22"/>
      <c r="W200" s="23"/>
      <c r="X200" s="24" t="s">
        <v>352</v>
      </c>
      <c r="Y200" s="18"/>
      <c r="Z200" s="18" t="s">
        <v>1217</v>
      </c>
      <c r="AA200" s="25">
        <v>46206</v>
      </c>
      <c r="AB200" s="25">
        <v>46212</v>
      </c>
      <c r="AC200" s="26">
        <v>46206</v>
      </c>
      <c r="AD200" s="26">
        <v>46212</v>
      </c>
      <c r="AE200" s="23">
        <v>46222</v>
      </c>
      <c r="AF200" s="23">
        <v>46227</v>
      </c>
      <c r="AG200" s="23"/>
      <c r="AH200" s="27"/>
      <c r="AI200" s="24"/>
      <c r="AJ200" s="28"/>
      <c r="AK200" s="28"/>
      <c r="AL200" s="18" t="s">
        <v>345</v>
      </c>
      <c r="AM200" s="18" t="s">
        <v>345</v>
      </c>
      <c r="AN200" s="18" t="s">
        <v>345</v>
      </c>
      <c r="AO200" s="18" t="s">
        <v>354</v>
      </c>
      <c r="AP200" s="24" t="s">
        <v>355</v>
      </c>
      <c r="AQ200" s="18" t="s">
        <v>345</v>
      </c>
      <c r="AR200" s="18" t="s">
        <v>345</v>
      </c>
      <c r="AS200" s="28"/>
      <c r="AT200" s="28"/>
      <c r="AU200" s="18" t="s">
        <v>345</v>
      </c>
      <c r="AV200" s="18" t="s">
        <v>345</v>
      </c>
      <c r="AW200" s="18" t="s">
        <v>345</v>
      </c>
      <c r="AX200" s="32" t="s">
        <v>357</v>
      </c>
      <c r="AY200" s="18" t="s">
        <v>345</v>
      </c>
      <c r="AZ200" s="18" t="s">
        <v>345</v>
      </c>
      <c r="BA200" s="35" t="s">
        <v>358</v>
      </c>
      <c r="BB200" s="36" t="s">
        <v>359</v>
      </c>
      <c r="BC200" s="112"/>
    </row>
    <row r="201" spans="1:55" ht="63.75" customHeight="1" x14ac:dyDescent="0.25">
      <c r="A201" s="15">
        <v>197</v>
      </c>
      <c r="B201" s="15"/>
      <c r="C201" s="15" t="s">
        <v>1170</v>
      </c>
      <c r="D201" s="15" t="s">
        <v>403</v>
      </c>
      <c r="E201" s="15" t="s">
        <v>1218</v>
      </c>
      <c r="F201" s="16" t="s">
        <v>237</v>
      </c>
      <c r="G201" s="17">
        <v>0</v>
      </c>
      <c r="H201" s="18" t="s">
        <v>1219</v>
      </c>
      <c r="I201" s="18"/>
      <c r="J201" s="18" t="s">
        <v>387</v>
      </c>
      <c r="K201" s="19">
        <v>2</v>
      </c>
      <c r="L201" s="20">
        <v>16</v>
      </c>
      <c r="M201" s="21">
        <v>0</v>
      </c>
      <c r="N201" s="22"/>
      <c r="O201" s="18" t="s">
        <v>349</v>
      </c>
      <c r="P201" s="18" t="s">
        <v>1191</v>
      </c>
      <c r="Q201" s="18" t="s">
        <v>406</v>
      </c>
      <c r="R201" s="18" t="s">
        <v>1192</v>
      </c>
      <c r="S201" s="18"/>
      <c r="T201" s="22"/>
      <c r="U201" s="23"/>
      <c r="V201" s="22"/>
      <c r="W201" s="23"/>
      <c r="X201" s="24" t="s">
        <v>352</v>
      </c>
      <c r="Y201" s="18"/>
      <c r="Z201" s="18" t="s">
        <v>1220</v>
      </c>
      <c r="AA201" s="25">
        <v>46218</v>
      </c>
      <c r="AB201" s="25">
        <v>46223</v>
      </c>
      <c r="AC201" s="26">
        <v>46218</v>
      </c>
      <c r="AD201" s="26">
        <v>46223</v>
      </c>
      <c r="AE201" s="23">
        <v>46233</v>
      </c>
      <c r="AF201" s="23">
        <v>46238</v>
      </c>
      <c r="AG201" s="23"/>
      <c r="AH201" s="27"/>
      <c r="AI201" s="24"/>
      <c r="AJ201" s="28"/>
      <c r="AK201" s="28"/>
      <c r="AL201" s="18" t="s">
        <v>345</v>
      </c>
      <c r="AM201" s="18" t="s">
        <v>345</v>
      </c>
      <c r="AN201" s="18" t="s">
        <v>345</v>
      </c>
      <c r="AO201" s="18" t="s">
        <v>354</v>
      </c>
      <c r="AP201" s="24" t="s">
        <v>355</v>
      </c>
      <c r="AQ201" s="18" t="s">
        <v>345</v>
      </c>
      <c r="AR201" s="18" t="s">
        <v>345</v>
      </c>
      <c r="AS201" s="28"/>
      <c r="AT201" s="28"/>
      <c r="AU201" s="18" t="s">
        <v>345</v>
      </c>
      <c r="AV201" s="18" t="s">
        <v>345</v>
      </c>
      <c r="AW201" s="18" t="s">
        <v>345</v>
      </c>
      <c r="AX201" s="32" t="s">
        <v>357</v>
      </c>
      <c r="AY201" s="18" t="s">
        <v>345</v>
      </c>
      <c r="AZ201" s="18" t="s">
        <v>345</v>
      </c>
      <c r="BA201" s="35" t="s">
        <v>358</v>
      </c>
      <c r="BB201" s="36" t="s">
        <v>359</v>
      </c>
      <c r="BC201" s="112"/>
    </row>
    <row r="202" spans="1:55" ht="63.75" customHeight="1" x14ac:dyDescent="0.25">
      <c r="A202" s="15">
        <v>198</v>
      </c>
      <c r="B202" s="15"/>
      <c r="C202" s="15" t="s">
        <v>1170</v>
      </c>
      <c r="D202" s="15" t="s">
        <v>403</v>
      </c>
      <c r="E202" s="15" t="s">
        <v>1221</v>
      </c>
      <c r="F202" s="16" t="s">
        <v>1222</v>
      </c>
      <c r="G202" s="17">
        <v>0</v>
      </c>
      <c r="H202" s="18" t="s">
        <v>1223</v>
      </c>
      <c r="I202" s="18" t="s">
        <v>456</v>
      </c>
      <c r="J202" s="18" t="s">
        <v>387</v>
      </c>
      <c r="K202" s="19">
        <v>1</v>
      </c>
      <c r="L202" s="20">
        <v>8</v>
      </c>
      <c r="M202" s="21">
        <v>0.8</v>
      </c>
      <c r="N202" s="22" t="s">
        <v>469</v>
      </c>
      <c r="O202" s="18" t="s">
        <v>349</v>
      </c>
      <c r="P202" s="18" t="s">
        <v>1105</v>
      </c>
      <c r="Q202" s="18" t="s">
        <v>406</v>
      </c>
      <c r="R202" s="18" t="s">
        <v>1224</v>
      </c>
      <c r="S202" s="18"/>
      <c r="T202" s="22" t="s">
        <v>1225</v>
      </c>
      <c r="U202" s="23">
        <v>46212.67654537037</v>
      </c>
      <c r="V202" s="22"/>
      <c r="W202" s="23"/>
      <c r="X202" s="24" t="s">
        <v>374</v>
      </c>
      <c r="Y202" s="18"/>
      <c r="Z202" s="18"/>
      <c r="AA202" s="25"/>
      <c r="AB202" s="25"/>
      <c r="AC202" s="26">
        <v>46211</v>
      </c>
      <c r="AD202" s="26">
        <v>46212.67654537037</v>
      </c>
      <c r="AE202" s="23">
        <v>46222.67654537037</v>
      </c>
      <c r="AF202" s="23">
        <v>46227.67654537037</v>
      </c>
      <c r="AG202" s="23">
        <v>46211</v>
      </c>
      <c r="AH202" s="27">
        <v>0</v>
      </c>
      <c r="AI202" s="24"/>
      <c r="AJ202" s="28"/>
      <c r="AK202" s="28">
        <v>0</v>
      </c>
      <c r="AL202" s="18" t="s">
        <v>345</v>
      </c>
      <c r="AM202" s="18" t="s">
        <v>345</v>
      </c>
      <c r="AN202" s="18" t="s">
        <v>345</v>
      </c>
      <c r="AO202" s="18" t="s">
        <v>354</v>
      </c>
      <c r="AP202" s="24" t="s">
        <v>355</v>
      </c>
      <c r="AQ202" s="18" t="s">
        <v>345</v>
      </c>
      <c r="AR202" s="18" t="s">
        <v>345</v>
      </c>
      <c r="AS202" s="28"/>
      <c r="AT202" s="28" t="s">
        <v>649</v>
      </c>
      <c r="AU202" s="18" t="s">
        <v>345</v>
      </c>
      <c r="AV202" s="18" t="s">
        <v>345</v>
      </c>
      <c r="AW202" s="18" t="s">
        <v>345</v>
      </c>
      <c r="AX202" s="32" t="s">
        <v>545</v>
      </c>
      <c r="AY202" s="18" t="s">
        <v>345</v>
      </c>
      <c r="AZ202" s="18" t="s">
        <v>345</v>
      </c>
      <c r="BA202" s="35" t="s">
        <v>358</v>
      </c>
      <c r="BB202" s="36" t="s">
        <v>359</v>
      </c>
      <c r="BC202" s="112"/>
    </row>
    <row r="203" spans="1:55" ht="63.75" customHeight="1" x14ac:dyDescent="0.25">
      <c r="A203" s="15">
        <v>199</v>
      </c>
      <c r="B203" s="15"/>
      <c r="C203" s="15" t="s">
        <v>1170</v>
      </c>
      <c r="D203" s="15" t="s">
        <v>546</v>
      </c>
      <c r="E203" s="15" t="s">
        <v>1226</v>
      </c>
      <c r="F203" s="16" t="s">
        <v>238</v>
      </c>
      <c r="G203" s="17">
        <v>1</v>
      </c>
      <c r="H203" s="18" t="s">
        <v>1227</v>
      </c>
      <c r="I203" s="18" t="s">
        <v>415</v>
      </c>
      <c r="J203" s="18" t="s">
        <v>387</v>
      </c>
      <c r="K203" s="19">
        <v>4.75</v>
      </c>
      <c r="L203" s="20">
        <v>38</v>
      </c>
      <c r="M203" s="21">
        <v>0.98</v>
      </c>
      <c r="N203" s="22" t="s">
        <v>469</v>
      </c>
      <c r="O203" s="18" t="s">
        <v>349</v>
      </c>
      <c r="P203" s="18" t="s">
        <v>1105</v>
      </c>
      <c r="Q203" s="18" t="s">
        <v>1228</v>
      </c>
      <c r="R203" s="18"/>
      <c r="S203" s="18"/>
      <c r="T203" s="22" t="s">
        <v>1206</v>
      </c>
      <c r="U203" s="23">
        <v>46213.700418368047</v>
      </c>
      <c r="V203" s="22"/>
      <c r="W203" s="23"/>
      <c r="X203" s="24" t="s">
        <v>352</v>
      </c>
      <c r="Y203" s="18"/>
      <c r="Z203" s="18" t="s">
        <v>1229</v>
      </c>
      <c r="AA203" s="25">
        <v>46182</v>
      </c>
      <c r="AB203" s="25">
        <v>46192</v>
      </c>
      <c r="AC203" s="26"/>
      <c r="AD203" s="26">
        <v>46213.700418368047</v>
      </c>
      <c r="AE203" s="23">
        <v>46223.700418368047</v>
      </c>
      <c r="AF203" s="23">
        <v>46228.700418368047</v>
      </c>
      <c r="AG203" s="23"/>
      <c r="AH203" s="27"/>
      <c r="AI203" s="24"/>
      <c r="AJ203" s="28"/>
      <c r="AK203" s="28">
        <v>0</v>
      </c>
      <c r="AL203" s="18" t="s">
        <v>345</v>
      </c>
      <c r="AM203" s="18" t="s">
        <v>345</v>
      </c>
      <c r="AN203" s="18" t="s">
        <v>345</v>
      </c>
      <c r="AO203" s="18" t="s">
        <v>354</v>
      </c>
      <c r="AP203" s="24" t="s">
        <v>355</v>
      </c>
      <c r="AQ203" s="18" t="s">
        <v>345</v>
      </c>
      <c r="AR203" s="18" t="s">
        <v>345</v>
      </c>
      <c r="AS203" s="28"/>
      <c r="AT203" s="28"/>
      <c r="AU203" s="18" t="s">
        <v>345</v>
      </c>
      <c r="AV203" s="18" t="s">
        <v>345</v>
      </c>
      <c r="AW203" s="18" t="s">
        <v>345</v>
      </c>
      <c r="AX203" s="32"/>
      <c r="AY203" s="18" t="s">
        <v>345</v>
      </c>
      <c r="AZ203" s="18" t="s">
        <v>345</v>
      </c>
      <c r="BA203" s="35" t="s">
        <v>358</v>
      </c>
      <c r="BB203" s="36" t="s">
        <v>359</v>
      </c>
      <c r="BC203" s="111">
        <v>46212</v>
      </c>
    </row>
    <row r="204" spans="1:55" ht="76.5" customHeight="1" x14ac:dyDescent="0.25">
      <c r="A204" s="15">
        <v>200</v>
      </c>
      <c r="B204" s="15"/>
      <c r="C204" s="15" t="s">
        <v>1170</v>
      </c>
      <c r="D204" s="15" t="s">
        <v>664</v>
      </c>
      <c r="E204" s="15" t="s">
        <v>1230</v>
      </c>
      <c r="F204" s="16" t="s">
        <v>240</v>
      </c>
      <c r="G204" s="17">
        <v>0</v>
      </c>
      <c r="H204" s="18" t="s">
        <v>1231</v>
      </c>
      <c r="I204" s="18"/>
      <c r="J204" s="18" t="s">
        <v>387</v>
      </c>
      <c r="K204" s="19">
        <v>5</v>
      </c>
      <c r="L204" s="20">
        <v>40</v>
      </c>
      <c r="M204" s="21">
        <v>0</v>
      </c>
      <c r="N204" s="22"/>
      <c r="O204" s="18" t="s">
        <v>349</v>
      </c>
      <c r="P204" s="18" t="s">
        <v>574</v>
      </c>
      <c r="Q204" s="18" t="s">
        <v>667</v>
      </c>
      <c r="R204" s="18" t="s">
        <v>1232</v>
      </c>
      <c r="S204" s="18"/>
      <c r="T204" s="22"/>
      <c r="U204" s="23"/>
      <c r="V204" s="22"/>
      <c r="W204" s="23"/>
      <c r="X204" s="24" t="s">
        <v>352</v>
      </c>
      <c r="Y204" s="18"/>
      <c r="Z204" s="18" t="s">
        <v>1233</v>
      </c>
      <c r="AA204" s="25">
        <v>46232</v>
      </c>
      <c r="AB204" s="25">
        <v>46239</v>
      </c>
      <c r="AC204" s="26">
        <v>46219</v>
      </c>
      <c r="AD204" s="26">
        <v>46226</v>
      </c>
      <c r="AE204" s="23">
        <v>46236</v>
      </c>
      <c r="AF204" s="23">
        <v>46241</v>
      </c>
      <c r="AG204" s="23"/>
      <c r="AH204" s="27"/>
      <c r="AI204" s="24"/>
      <c r="AJ204" s="28"/>
      <c r="AK204" s="28"/>
      <c r="AL204" s="18" t="s">
        <v>345</v>
      </c>
      <c r="AM204" s="18" t="s">
        <v>345</v>
      </c>
      <c r="AN204" s="18" t="s">
        <v>345</v>
      </c>
      <c r="AO204" s="18" t="s">
        <v>354</v>
      </c>
      <c r="AP204" s="24" t="s">
        <v>355</v>
      </c>
      <c r="AQ204" s="18" t="s">
        <v>345</v>
      </c>
      <c r="AR204" s="18" t="s">
        <v>345</v>
      </c>
      <c r="AS204" s="28"/>
      <c r="AT204" s="28"/>
      <c r="AU204" s="18" t="s">
        <v>345</v>
      </c>
      <c r="AV204" s="18" t="s">
        <v>345</v>
      </c>
      <c r="AW204" s="18" t="s">
        <v>345</v>
      </c>
      <c r="AX204" s="32" t="s">
        <v>545</v>
      </c>
      <c r="AY204" s="18" t="s">
        <v>345</v>
      </c>
      <c r="AZ204" s="18" t="s">
        <v>345</v>
      </c>
      <c r="BA204" s="35" t="s">
        <v>358</v>
      </c>
      <c r="BB204" s="36" t="s">
        <v>359</v>
      </c>
      <c r="BC204" s="112"/>
    </row>
    <row r="205" spans="1:55" ht="63.75" customHeight="1" x14ac:dyDescent="0.25">
      <c r="A205" s="15">
        <v>201</v>
      </c>
      <c r="B205" s="15"/>
      <c r="C205" s="15" t="s">
        <v>1170</v>
      </c>
      <c r="D205" s="15" t="s">
        <v>664</v>
      </c>
      <c r="E205" s="15" t="s">
        <v>1234</v>
      </c>
      <c r="F205" s="16" t="s">
        <v>241</v>
      </c>
      <c r="G205" s="17">
        <v>0</v>
      </c>
      <c r="H205" s="18" t="s">
        <v>1235</v>
      </c>
      <c r="I205" s="18" t="s">
        <v>415</v>
      </c>
      <c r="J205" s="18" t="s">
        <v>387</v>
      </c>
      <c r="K205" s="19">
        <v>1.375</v>
      </c>
      <c r="L205" s="20">
        <v>11</v>
      </c>
      <c r="M205" s="21">
        <v>0.9</v>
      </c>
      <c r="N205" s="22" t="s">
        <v>469</v>
      </c>
      <c r="O205" s="18" t="s">
        <v>349</v>
      </c>
      <c r="P205" s="18" t="s">
        <v>574</v>
      </c>
      <c r="Q205" s="18" t="s">
        <v>1236</v>
      </c>
      <c r="R205" s="18" t="s">
        <v>1237</v>
      </c>
      <c r="S205" s="18"/>
      <c r="T205" s="22" t="s">
        <v>1225</v>
      </c>
      <c r="U205" s="23">
        <v>46212.676546527779</v>
      </c>
      <c r="V205" s="22" t="s">
        <v>742</v>
      </c>
      <c r="W205" s="23">
        <v>46216.557405983804</v>
      </c>
      <c r="X205" s="24" t="s">
        <v>352</v>
      </c>
      <c r="Y205" s="18"/>
      <c r="Z205" s="18" t="s">
        <v>1238</v>
      </c>
      <c r="AA205" s="25">
        <v>46239</v>
      </c>
      <c r="AB205" s="25">
        <v>46246</v>
      </c>
      <c r="AC205" s="26">
        <v>46226</v>
      </c>
      <c r="AD205" s="26">
        <v>46212.676546527779</v>
      </c>
      <c r="AE205" s="23">
        <v>46222.676546527779</v>
      </c>
      <c r="AF205" s="23">
        <v>46227.676546527779</v>
      </c>
      <c r="AG205" s="23">
        <v>46210</v>
      </c>
      <c r="AH205" s="27"/>
      <c r="AI205" s="24"/>
      <c r="AJ205" s="28"/>
      <c r="AK205" s="28"/>
      <c r="AL205" s="18" t="s">
        <v>345</v>
      </c>
      <c r="AM205" s="18" t="s">
        <v>345</v>
      </c>
      <c r="AN205" s="18" t="s">
        <v>345</v>
      </c>
      <c r="AO205" s="18" t="s">
        <v>354</v>
      </c>
      <c r="AP205" s="24" t="s">
        <v>355</v>
      </c>
      <c r="AQ205" s="18" t="s">
        <v>345</v>
      </c>
      <c r="AR205" s="18" t="s">
        <v>345</v>
      </c>
      <c r="AS205" s="28"/>
      <c r="AT205" s="28" t="s">
        <v>579</v>
      </c>
      <c r="AU205" s="18" t="s">
        <v>345</v>
      </c>
      <c r="AV205" s="18" t="s">
        <v>345</v>
      </c>
      <c r="AW205" s="18" t="s">
        <v>345</v>
      </c>
      <c r="AX205" s="32" t="s">
        <v>545</v>
      </c>
      <c r="AY205" s="18" t="s">
        <v>345</v>
      </c>
      <c r="AZ205" s="18" t="s">
        <v>345</v>
      </c>
      <c r="BA205" s="35" t="s">
        <v>358</v>
      </c>
      <c r="BB205" s="36" t="s">
        <v>359</v>
      </c>
      <c r="BC205" s="112"/>
    </row>
    <row r="206" spans="1:55" ht="76.5" customHeight="1" x14ac:dyDescent="0.25">
      <c r="A206" s="15">
        <v>202</v>
      </c>
      <c r="B206" s="15"/>
      <c r="C206" s="15" t="s">
        <v>1170</v>
      </c>
      <c r="D206" s="15" t="s">
        <v>664</v>
      </c>
      <c r="E206" s="15" t="s">
        <v>1239</v>
      </c>
      <c r="F206" s="16" t="s">
        <v>243</v>
      </c>
      <c r="G206" s="17">
        <v>0</v>
      </c>
      <c r="H206" s="18" t="s">
        <v>1240</v>
      </c>
      <c r="I206" s="18"/>
      <c r="J206" s="18" t="s">
        <v>387</v>
      </c>
      <c r="K206" s="19">
        <v>3</v>
      </c>
      <c r="L206" s="20">
        <v>24</v>
      </c>
      <c r="M206" s="21">
        <v>0</v>
      </c>
      <c r="N206" s="22"/>
      <c r="O206" s="18" t="s">
        <v>349</v>
      </c>
      <c r="P206" s="18" t="s">
        <v>1070</v>
      </c>
      <c r="Q206" s="18" t="s">
        <v>667</v>
      </c>
      <c r="R206" s="18" t="s">
        <v>1241</v>
      </c>
      <c r="S206" s="18"/>
      <c r="T206" s="22"/>
      <c r="U206" s="23"/>
      <c r="V206" s="22"/>
      <c r="W206" s="23"/>
      <c r="X206" s="24" t="s">
        <v>352</v>
      </c>
      <c r="Y206" s="18"/>
      <c r="Z206" s="18" t="s">
        <v>1242</v>
      </c>
      <c r="AA206" s="25">
        <v>46203</v>
      </c>
      <c r="AB206" s="25">
        <v>46206</v>
      </c>
      <c r="AC206" s="26">
        <v>46204</v>
      </c>
      <c r="AD206" s="26">
        <v>46218</v>
      </c>
      <c r="AE206" s="23">
        <v>46228</v>
      </c>
      <c r="AF206" s="23">
        <v>46233</v>
      </c>
      <c r="AG206" s="23"/>
      <c r="AH206" s="27"/>
      <c r="AI206" s="24"/>
      <c r="AJ206" s="28"/>
      <c r="AK206" s="28"/>
      <c r="AL206" s="18" t="s">
        <v>345</v>
      </c>
      <c r="AM206" s="18" t="s">
        <v>345</v>
      </c>
      <c r="AN206" s="18" t="s">
        <v>345</v>
      </c>
      <c r="AO206" s="18" t="s">
        <v>354</v>
      </c>
      <c r="AP206" s="24" t="s">
        <v>355</v>
      </c>
      <c r="AQ206" s="18" t="s">
        <v>345</v>
      </c>
      <c r="AR206" s="18" t="s">
        <v>345</v>
      </c>
      <c r="AS206" s="28"/>
      <c r="AT206" s="28"/>
      <c r="AU206" s="18" t="s">
        <v>345</v>
      </c>
      <c r="AV206" s="18" t="s">
        <v>345</v>
      </c>
      <c r="AW206" s="18" t="s">
        <v>345</v>
      </c>
      <c r="AX206" s="32" t="s">
        <v>545</v>
      </c>
      <c r="AY206" s="18" t="s">
        <v>345</v>
      </c>
      <c r="AZ206" s="18" t="s">
        <v>345</v>
      </c>
      <c r="BA206" s="35" t="s">
        <v>358</v>
      </c>
      <c r="BB206" s="36" t="s">
        <v>359</v>
      </c>
      <c r="BC206" s="112"/>
    </row>
    <row r="207" spans="1:55" ht="76.5" customHeight="1" x14ac:dyDescent="0.25">
      <c r="A207" s="15">
        <v>203</v>
      </c>
      <c r="B207" s="15"/>
      <c r="C207" s="15" t="s">
        <v>1170</v>
      </c>
      <c r="D207" s="15" t="s">
        <v>1243</v>
      </c>
      <c r="E207" s="15" t="s">
        <v>1244</v>
      </c>
      <c r="F207" s="16" t="s">
        <v>244</v>
      </c>
      <c r="G207" s="17">
        <v>0</v>
      </c>
      <c r="H207" s="18" t="s">
        <v>1245</v>
      </c>
      <c r="I207" s="18" t="s">
        <v>359</v>
      </c>
      <c r="J207" s="18" t="s">
        <v>387</v>
      </c>
      <c r="K207" s="19">
        <v>1.625</v>
      </c>
      <c r="L207" s="20">
        <v>13</v>
      </c>
      <c r="M207" s="21">
        <v>0.9</v>
      </c>
      <c r="N207" s="22" t="s">
        <v>469</v>
      </c>
      <c r="O207" s="18" t="s">
        <v>349</v>
      </c>
      <c r="P207" s="18" t="s">
        <v>1070</v>
      </c>
      <c r="Q207" s="18" t="s">
        <v>667</v>
      </c>
      <c r="R207" s="18" t="s">
        <v>1246</v>
      </c>
      <c r="S207" s="18"/>
      <c r="T207" s="22" t="s">
        <v>1247</v>
      </c>
      <c r="U207" s="23">
        <v>46209.706695520843</v>
      </c>
      <c r="V207" s="22" t="s">
        <v>742</v>
      </c>
      <c r="W207" s="23">
        <v>46212.489805092591</v>
      </c>
      <c r="X207" s="24" t="s">
        <v>352</v>
      </c>
      <c r="Y207" s="18"/>
      <c r="Z207" s="18" t="s">
        <v>1248</v>
      </c>
      <c r="AA207" s="25">
        <v>46198</v>
      </c>
      <c r="AB207" s="25">
        <v>46206</v>
      </c>
      <c r="AC207" s="26">
        <v>46198</v>
      </c>
      <c r="AD207" s="26">
        <v>46209.706695520843</v>
      </c>
      <c r="AE207" s="23">
        <v>46219.706695520843</v>
      </c>
      <c r="AF207" s="23">
        <v>46224.706695520843</v>
      </c>
      <c r="AG207" s="23">
        <v>46203</v>
      </c>
      <c r="AH207" s="27"/>
      <c r="AI207" s="24"/>
      <c r="AJ207" s="28"/>
      <c r="AK207" s="28"/>
      <c r="AL207" s="18" t="s">
        <v>345</v>
      </c>
      <c r="AM207" s="18" t="s">
        <v>345</v>
      </c>
      <c r="AN207" s="18" t="s">
        <v>345</v>
      </c>
      <c r="AO207" s="18" t="s">
        <v>354</v>
      </c>
      <c r="AP207" s="24" t="s">
        <v>355</v>
      </c>
      <c r="AQ207" s="18" t="s">
        <v>345</v>
      </c>
      <c r="AR207" s="18" t="s">
        <v>345</v>
      </c>
      <c r="AS207" s="28"/>
      <c r="AT207" s="28" t="s">
        <v>1249</v>
      </c>
      <c r="AU207" s="18" t="s">
        <v>345</v>
      </c>
      <c r="AV207" s="18" t="s">
        <v>345</v>
      </c>
      <c r="AW207" s="18" t="s">
        <v>345</v>
      </c>
      <c r="AX207" s="32" t="s">
        <v>545</v>
      </c>
      <c r="AY207" s="18" t="s">
        <v>345</v>
      </c>
      <c r="AZ207" s="18" t="s">
        <v>345</v>
      </c>
      <c r="BA207" s="35" t="s">
        <v>358</v>
      </c>
      <c r="BB207" s="36" t="s">
        <v>359</v>
      </c>
      <c r="BC207" s="111">
        <v>46220</v>
      </c>
    </row>
    <row r="208" spans="1:55" ht="63.75" customHeight="1" x14ac:dyDescent="0.25">
      <c r="A208" s="15">
        <v>204</v>
      </c>
      <c r="B208" s="15"/>
      <c r="C208" s="15" t="s">
        <v>1170</v>
      </c>
      <c r="D208" s="15" t="s">
        <v>1243</v>
      </c>
      <c r="E208" s="15" t="s">
        <v>1250</v>
      </c>
      <c r="F208" s="16" t="s">
        <v>245</v>
      </c>
      <c r="G208" s="17">
        <v>0</v>
      </c>
      <c r="H208" s="18" t="s">
        <v>1251</v>
      </c>
      <c r="I208" s="18" t="s">
        <v>359</v>
      </c>
      <c r="J208" s="18" t="s">
        <v>387</v>
      </c>
      <c r="K208" s="19">
        <v>2.875</v>
      </c>
      <c r="L208" s="20">
        <v>23</v>
      </c>
      <c r="M208" s="21">
        <v>0.8</v>
      </c>
      <c r="N208" s="22" t="s">
        <v>469</v>
      </c>
      <c r="O208" s="18" t="s">
        <v>349</v>
      </c>
      <c r="P208" s="18" t="s">
        <v>1070</v>
      </c>
      <c r="Q208" s="18" t="s">
        <v>667</v>
      </c>
      <c r="R208" s="18" t="s">
        <v>1252</v>
      </c>
      <c r="S208" s="18"/>
      <c r="T208" s="22" t="s">
        <v>1225</v>
      </c>
      <c r="U208" s="23">
        <v>46212.676547337956</v>
      </c>
      <c r="V208" s="22"/>
      <c r="W208" s="23"/>
      <c r="X208" s="24" t="s">
        <v>352</v>
      </c>
      <c r="Y208" s="18"/>
      <c r="Z208" s="18" t="s">
        <v>1253</v>
      </c>
      <c r="AA208" s="25">
        <v>46198</v>
      </c>
      <c r="AB208" s="25">
        <v>46206</v>
      </c>
      <c r="AC208" s="26">
        <v>46197</v>
      </c>
      <c r="AD208" s="26">
        <v>46212.676547337956</v>
      </c>
      <c r="AE208" s="23">
        <v>46222.676547337956</v>
      </c>
      <c r="AF208" s="23">
        <v>46227.676547337956</v>
      </c>
      <c r="AG208" s="23">
        <v>46210</v>
      </c>
      <c r="AH208" s="27"/>
      <c r="AI208" s="24"/>
      <c r="AJ208" s="28"/>
      <c r="AK208" s="28"/>
      <c r="AL208" s="18" t="s">
        <v>345</v>
      </c>
      <c r="AM208" s="18" t="s">
        <v>345</v>
      </c>
      <c r="AN208" s="18" t="s">
        <v>345</v>
      </c>
      <c r="AO208" s="18" t="s">
        <v>354</v>
      </c>
      <c r="AP208" s="24" t="s">
        <v>355</v>
      </c>
      <c r="AQ208" s="18" t="s">
        <v>345</v>
      </c>
      <c r="AR208" s="18" t="s">
        <v>345</v>
      </c>
      <c r="AS208" s="28"/>
      <c r="AT208" s="28" t="s">
        <v>649</v>
      </c>
      <c r="AU208" s="18" t="s">
        <v>345</v>
      </c>
      <c r="AV208" s="18" t="s">
        <v>345</v>
      </c>
      <c r="AW208" s="18" t="s">
        <v>345</v>
      </c>
      <c r="AX208" s="32" t="s">
        <v>545</v>
      </c>
      <c r="AY208" s="18" t="s">
        <v>345</v>
      </c>
      <c r="AZ208" s="18" t="s">
        <v>345</v>
      </c>
      <c r="BA208" s="35" t="s">
        <v>358</v>
      </c>
      <c r="BB208" s="36" t="s">
        <v>359</v>
      </c>
      <c r="BC208" s="112"/>
    </row>
    <row r="209" spans="1:55" ht="63.75" customHeight="1" x14ac:dyDescent="0.25">
      <c r="A209" s="15">
        <v>205</v>
      </c>
      <c r="B209" s="15"/>
      <c r="C209" s="15" t="s">
        <v>1170</v>
      </c>
      <c r="D209" s="15" t="s">
        <v>1243</v>
      </c>
      <c r="E209" s="15" t="s">
        <v>1254</v>
      </c>
      <c r="F209" s="16" t="s">
        <v>249</v>
      </c>
      <c r="G209" s="17">
        <v>0</v>
      </c>
      <c r="H209" s="18" t="s">
        <v>1255</v>
      </c>
      <c r="I209" s="18" t="s">
        <v>824</v>
      </c>
      <c r="J209" s="18" t="s">
        <v>387</v>
      </c>
      <c r="K209" s="19">
        <v>0.875</v>
      </c>
      <c r="L209" s="20">
        <v>7</v>
      </c>
      <c r="M209" s="21">
        <v>0.5</v>
      </c>
      <c r="N209" s="22" t="s">
        <v>469</v>
      </c>
      <c r="O209" s="18" t="s">
        <v>349</v>
      </c>
      <c r="P209" s="18" t="s">
        <v>734</v>
      </c>
      <c r="Q209" s="18" t="s">
        <v>667</v>
      </c>
      <c r="R209" s="18" t="s">
        <v>1256</v>
      </c>
      <c r="S209" s="18"/>
      <c r="T209" s="22"/>
      <c r="U209" s="23"/>
      <c r="V209" s="22"/>
      <c r="W209" s="23"/>
      <c r="X209" s="24" t="s">
        <v>352</v>
      </c>
      <c r="Y209" s="18"/>
      <c r="Z209" s="18" t="s">
        <v>1257</v>
      </c>
      <c r="AA209" s="25">
        <v>46220</v>
      </c>
      <c r="AB209" s="25">
        <v>46224</v>
      </c>
      <c r="AC209" s="26">
        <v>46230</v>
      </c>
      <c r="AD209" s="26">
        <v>46232</v>
      </c>
      <c r="AE209" s="23">
        <v>46242</v>
      </c>
      <c r="AF209" s="23">
        <v>46247</v>
      </c>
      <c r="AG209" s="23">
        <v>46213</v>
      </c>
      <c r="AH209" s="27"/>
      <c r="AI209" s="24"/>
      <c r="AJ209" s="28"/>
      <c r="AK209" s="28"/>
      <c r="AL209" s="18" t="s">
        <v>345</v>
      </c>
      <c r="AM209" s="18" t="s">
        <v>345</v>
      </c>
      <c r="AN209" s="18" t="s">
        <v>345</v>
      </c>
      <c r="AO209" s="18" t="s">
        <v>354</v>
      </c>
      <c r="AP209" s="24" t="s">
        <v>355</v>
      </c>
      <c r="AQ209" s="18" t="s">
        <v>345</v>
      </c>
      <c r="AR209" s="18" t="s">
        <v>345</v>
      </c>
      <c r="AS209" s="28"/>
      <c r="AT209" s="28" t="s">
        <v>1258</v>
      </c>
      <c r="AU209" s="18" t="s">
        <v>345</v>
      </c>
      <c r="AV209" s="18" t="s">
        <v>345</v>
      </c>
      <c r="AW209" s="18" t="s">
        <v>345</v>
      </c>
      <c r="AX209" s="32"/>
      <c r="AY209" s="18" t="s">
        <v>345</v>
      </c>
      <c r="AZ209" s="18" t="s">
        <v>345</v>
      </c>
      <c r="BA209" s="35" t="s">
        <v>358</v>
      </c>
      <c r="BB209" s="36" t="s">
        <v>359</v>
      </c>
      <c r="BC209" s="112"/>
    </row>
    <row r="210" spans="1:55" ht="76.5" customHeight="1" x14ac:dyDescent="0.25">
      <c r="A210" s="15">
        <v>206</v>
      </c>
      <c r="B210" s="15"/>
      <c r="C210" s="15" t="s">
        <v>1170</v>
      </c>
      <c r="D210" s="15" t="s">
        <v>1243</v>
      </c>
      <c r="E210" s="15" t="s">
        <v>1259</v>
      </c>
      <c r="F210" s="16" t="s">
        <v>250</v>
      </c>
      <c r="G210" s="17">
        <v>0</v>
      </c>
      <c r="H210" s="18" t="s">
        <v>1260</v>
      </c>
      <c r="I210" s="18"/>
      <c r="J210" s="18" t="s">
        <v>387</v>
      </c>
      <c r="K210" s="19">
        <v>3</v>
      </c>
      <c r="L210" s="20">
        <v>24</v>
      </c>
      <c r="M210" s="21">
        <v>0</v>
      </c>
      <c r="N210" s="22"/>
      <c r="O210" s="18" t="s">
        <v>349</v>
      </c>
      <c r="P210" s="18" t="s">
        <v>1261</v>
      </c>
      <c r="Q210" s="18" t="s">
        <v>667</v>
      </c>
      <c r="R210" s="18" t="s">
        <v>1262</v>
      </c>
      <c r="S210" s="18"/>
      <c r="T210" s="22"/>
      <c r="U210" s="23"/>
      <c r="V210" s="22"/>
      <c r="W210" s="23"/>
      <c r="X210" s="24" t="s">
        <v>352</v>
      </c>
      <c r="Y210" s="18"/>
      <c r="Z210" s="18" t="s">
        <v>1263</v>
      </c>
      <c r="AA210" s="25">
        <v>46226</v>
      </c>
      <c r="AB210" s="25">
        <v>46232</v>
      </c>
      <c r="AC210" s="26">
        <v>46213</v>
      </c>
      <c r="AD210" s="26">
        <v>46219</v>
      </c>
      <c r="AE210" s="23">
        <v>46229</v>
      </c>
      <c r="AF210" s="23">
        <v>46234</v>
      </c>
      <c r="AG210" s="23"/>
      <c r="AH210" s="27"/>
      <c r="AI210" s="24"/>
      <c r="AJ210" s="28"/>
      <c r="AK210" s="28"/>
      <c r="AL210" s="18" t="s">
        <v>345</v>
      </c>
      <c r="AM210" s="18" t="s">
        <v>345</v>
      </c>
      <c r="AN210" s="18" t="s">
        <v>345</v>
      </c>
      <c r="AO210" s="18" t="s">
        <v>354</v>
      </c>
      <c r="AP210" s="24" t="s">
        <v>355</v>
      </c>
      <c r="AQ210" s="18" t="s">
        <v>345</v>
      </c>
      <c r="AR210" s="18" t="s">
        <v>345</v>
      </c>
      <c r="AS210" s="28"/>
      <c r="AT210" s="28"/>
      <c r="AU210" s="18" t="s">
        <v>345</v>
      </c>
      <c r="AV210" s="18" t="s">
        <v>345</v>
      </c>
      <c r="AW210" s="18" t="s">
        <v>345</v>
      </c>
      <c r="AX210" s="32"/>
      <c r="AY210" s="18" t="s">
        <v>345</v>
      </c>
      <c r="AZ210" s="18" t="s">
        <v>345</v>
      </c>
      <c r="BA210" s="35" t="s">
        <v>358</v>
      </c>
      <c r="BB210" s="36" t="s">
        <v>359</v>
      </c>
      <c r="BC210" s="112"/>
    </row>
    <row r="211" spans="1:55" ht="63.75" customHeight="1" x14ac:dyDescent="0.25">
      <c r="A211" s="15">
        <v>207</v>
      </c>
      <c r="B211" s="15"/>
      <c r="C211" s="15" t="s">
        <v>1170</v>
      </c>
      <c r="D211" s="15" t="s">
        <v>1243</v>
      </c>
      <c r="E211" s="15" t="s">
        <v>1264</v>
      </c>
      <c r="F211" s="16" t="s">
        <v>251</v>
      </c>
      <c r="G211" s="17">
        <v>0</v>
      </c>
      <c r="H211" s="18" t="s">
        <v>1265</v>
      </c>
      <c r="I211" s="18" t="s">
        <v>456</v>
      </c>
      <c r="J211" s="18" t="s">
        <v>387</v>
      </c>
      <c r="K211" s="19">
        <v>2.625</v>
      </c>
      <c r="L211" s="20">
        <v>21</v>
      </c>
      <c r="M211" s="21">
        <v>0.9</v>
      </c>
      <c r="N211" s="22" t="s">
        <v>469</v>
      </c>
      <c r="O211" s="18" t="s">
        <v>349</v>
      </c>
      <c r="P211" s="18" t="s">
        <v>574</v>
      </c>
      <c r="Q211" s="18" t="s">
        <v>1078</v>
      </c>
      <c r="R211" s="18" t="s">
        <v>1266</v>
      </c>
      <c r="S211" s="18"/>
      <c r="T211" s="22" t="s">
        <v>1176</v>
      </c>
      <c r="U211" s="23">
        <v>46211.678152777778</v>
      </c>
      <c r="V211" s="22" t="s">
        <v>742</v>
      </c>
      <c r="W211" s="23">
        <v>46212.681711574071</v>
      </c>
      <c r="X211" s="24" t="s">
        <v>352</v>
      </c>
      <c r="Y211" s="18"/>
      <c r="Z211" s="18" t="s">
        <v>1267</v>
      </c>
      <c r="AA211" s="25">
        <v>46246</v>
      </c>
      <c r="AB211" s="25">
        <v>46253</v>
      </c>
      <c r="AC211" s="26">
        <v>46209</v>
      </c>
      <c r="AD211" s="26">
        <v>46211.678152777778</v>
      </c>
      <c r="AE211" s="23">
        <v>46221.678152777778</v>
      </c>
      <c r="AF211" s="23">
        <v>46226.678152777778</v>
      </c>
      <c r="AG211" s="23">
        <v>46209</v>
      </c>
      <c r="AH211" s="27"/>
      <c r="AI211" s="24"/>
      <c r="AJ211" s="28"/>
      <c r="AK211" s="28"/>
      <c r="AL211" s="18" t="s">
        <v>345</v>
      </c>
      <c r="AM211" s="18" t="s">
        <v>345</v>
      </c>
      <c r="AN211" s="18" t="s">
        <v>345</v>
      </c>
      <c r="AO211" s="18" t="s">
        <v>354</v>
      </c>
      <c r="AP211" s="24" t="s">
        <v>355</v>
      </c>
      <c r="AQ211" s="18" t="s">
        <v>345</v>
      </c>
      <c r="AR211" s="18" t="s">
        <v>345</v>
      </c>
      <c r="AS211" s="28"/>
      <c r="AT211" s="28" t="s">
        <v>466</v>
      </c>
      <c r="AU211" s="18" t="s">
        <v>345</v>
      </c>
      <c r="AV211" s="18" t="s">
        <v>345</v>
      </c>
      <c r="AW211" s="18" t="s">
        <v>345</v>
      </c>
      <c r="AX211" s="32" t="s">
        <v>545</v>
      </c>
      <c r="AY211" s="18" t="s">
        <v>345</v>
      </c>
      <c r="AZ211" s="18" t="s">
        <v>345</v>
      </c>
      <c r="BA211" s="35" t="s">
        <v>358</v>
      </c>
      <c r="BB211" s="36" t="s">
        <v>359</v>
      </c>
      <c r="BC211" s="111">
        <v>46227</v>
      </c>
    </row>
    <row r="212" spans="1:55" ht="76.5" customHeight="1" x14ac:dyDescent="0.25">
      <c r="A212" s="15">
        <v>208</v>
      </c>
      <c r="B212" s="15"/>
      <c r="C212" s="15" t="s">
        <v>1170</v>
      </c>
      <c r="D212" s="15" t="s">
        <v>1243</v>
      </c>
      <c r="E212" s="15" t="s">
        <v>1268</v>
      </c>
      <c r="F212" s="16" t="s">
        <v>252</v>
      </c>
      <c r="G212" s="17">
        <v>0</v>
      </c>
      <c r="H212" s="18" t="s">
        <v>1269</v>
      </c>
      <c r="I212" s="18" t="s">
        <v>359</v>
      </c>
      <c r="J212" s="18" t="s">
        <v>387</v>
      </c>
      <c r="K212" s="19">
        <v>1.625</v>
      </c>
      <c r="L212" s="20">
        <v>13</v>
      </c>
      <c r="M212" s="21">
        <v>0.8</v>
      </c>
      <c r="N212" s="22" t="s">
        <v>469</v>
      </c>
      <c r="O212" s="18" t="s">
        <v>349</v>
      </c>
      <c r="P212" s="18" t="s">
        <v>1270</v>
      </c>
      <c r="Q212" s="18" t="s">
        <v>667</v>
      </c>
      <c r="R212" s="18" t="s">
        <v>1271</v>
      </c>
      <c r="S212" s="18"/>
      <c r="T212" s="22" t="s">
        <v>1206</v>
      </c>
      <c r="U212" s="23">
        <v>46213.700419641202</v>
      </c>
      <c r="V212" s="22"/>
      <c r="W212" s="23"/>
      <c r="X212" s="24" t="s">
        <v>352</v>
      </c>
      <c r="Y212" s="18"/>
      <c r="Z212" s="18" t="s">
        <v>1272</v>
      </c>
      <c r="AA212" s="25">
        <v>46246</v>
      </c>
      <c r="AB212" s="25">
        <v>46252</v>
      </c>
      <c r="AC212" s="26">
        <v>46237</v>
      </c>
      <c r="AD212" s="26">
        <v>46213.700419641202</v>
      </c>
      <c r="AE212" s="23">
        <v>46223.700419641202</v>
      </c>
      <c r="AF212" s="23">
        <v>46228.700419641202</v>
      </c>
      <c r="AG212" s="23">
        <v>46212</v>
      </c>
      <c r="AH212" s="27"/>
      <c r="AI212" s="24"/>
      <c r="AJ212" s="28"/>
      <c r="AK212" s="28"/>
      <c r="AL212" s="18" t="s">
        <v>345</v>
      </c>
      <c r="AM212" s="18" t="s">
        <v>345</v>
      </c>
      <c r="AN212" s="18" t="s">
        <v>345</v>
      </c>
      <c r="AO212" s="18" t="s">
        <v>354</v>
      </c>
      <c r="AP212" s="24" t="s">
        <v>355</v>
      </c>
      <c r="AQ212" s="18" t="s">
        <v>345</v>
      </c>
      <c r="AR212" s="18" t="s">
        <v>345</v>
      </c>
      <c r="AS212" s="28"/>
      <c r="AT212" s="28" t="s">
        <v>356</v>
      </c>
      <c r="AU212" s="18" t="s">
        <v>345</v>
      </c>
      <c r="AV212" s="18" t="s">
        <v>345</v>
      </c>
      <c r="AW212" s="18" t="s">
        <v>345</v>
      </c>
      <c r="AX212" s="32" t="s">
        <v>545</v>
      </c>
      <c r="AY212" s="18" t="s">
        <v>345</v>
      </c>
      <c r="AZ212" s="18" t="s">
        <v>345</v>
      </c>
      <c r="BA212" s="35" t="s">
        <v>358</v>
      </c>
      <c r="BB212" s="36" t="s">
        <v>359</v>
      </c>
      <c r="BC212" s="112"/>
    </row>
    <row r="213" spans="1:55" ht="63.75" customHeight="1" x14ac:dyDescent="0.25">
      <c r="A213" s="15">
        <v>209</v>
      </c>
      <c r="B213" s="15"/>
      <c r="C213" s="15" t="s">
        <v>1170</v>
      </c>
      <c r="D213" s="15" t="s">
        <v>1243</v>
      </c>
      <c r="E213" s="15" t="s">
        <v>1273</v>
      </c>
      <c r="F213" s="16" t="s">
        <v>253</v>
      </c>
      <c r="G213" s="17">
        <v>0</v>
      </c>
      <c r="H213" s="18" t="s">
        <v>1274</v>
      </c>
      <c r="I213" s="18" t="s">
        <v>415</v>
      </c>
      <c r="J213" s="18" t="s">
        <v>387</v>
      </c>
      <c r="K213" s="19">
        <v>1.375</v>
      </c>
      <c r="L213" s="20">
        <v>11</v>
      </c>
      <c r="M213" s="21">
        <v>0.9</v>
      </c>
      <c r="N213" s="22" t="s">
        <v>469</v>
      </c>
      <c r="O213" s="18" t="s">
        <v>349</v>
      </c>
      <c r="P213" s="18" t="s">
        <v>1275</v>
      </c>
      <c r="Q213" s="18" t="s">
        <v>1078</v>
      </c>
      <c r="R213" s="18" t="s">
        <v>1276</v>
      </c>
      <c r="S213" s="18"/>
      <c r="T213" s="22" t="s">
        <v>1277</v>
      </c>
      <c r="U213" s="23">
        <v>46210.679214814823</v>
      </c>
      <c r="V213" s="22" t="s">
        <v>742</v>
      </c>
      <c r="W213" s="23">
        <v>46212.721164733797</v>
      </c>
      <c r="X213" s="24" t="s">
        <v>374</v>
      </c>
      <c r="Y213" s="18"/>
      <c r="Z213" s="18"/>
      <c r="AA213" s="25"/>
      <c r="AB213" s="25"/>
      <c r="AC213" s="26">
        <v>46213</v>
      </c>
      <c r="AD213" s="26">
        <v>46210.679214814823</v>
      </c>
      <c r="AE213" s="23">
        <v>46220.679214814823</v>
      </c>
      <c r="AF213" s="23">
        <v>46225.679214814823</v>
      </c>
      <c r="AG213" s="23">
        <v>46209</v>
      </c>
      <c r="AH213" s="27">
        <v>0</v>
      </c>
      <c r="AI213" s="24"/>
      <c r="AJ213" s="28"/>
      <c r="AK213" s="28">
        <v>0</v>
      </c>
      <c r="AL213" s="18" t="s">
        <v>345</v>
      </c>
      <c r="AM213" s="18" t="s">
        <v>345</v>
      </c>
      <c r="AN213" s="18" t="s">
        <v>345</v>
      </c>
      <c r="AO213" s="18" t="s">
        <v>354</v>
      </c>
      <c r="AP213" s="24" t="s">
        <v>355</v>
      </c>
      <c r="AQ213" s="18" t="s">
        <v>345</v>
      </c>
      <c r="AR213" s="18" t="s">
        <v>345</v>
      </c>
      <c r="AS213" s="28"/>
      <c r="AT213" s="28" t="s">
        <v>466</v>
      </c>
      <c r="AU213" s="18" t="s">
        <v>345</v>
      </c>
      <c r="AV213" s="18" t="s">
        <v>345</v>
      </c>
      <c r="AW213" s="18" t="s">
        <v>345</v>
      </c>
      <c r="AX213" s="32" t="s">
        <v>545</v>
      </c>
      <c r="AY213" s="18" t="s">
        <v>345</v>
      </c>
      <c r="AZ213" s="18" t="s">
        <v>345</v>
      </c>
      <c r="BA213" s="35" t="s">
        <v>358</v>
      </c>
      <c r="BB213" s="36" t="s">
        <v>359</v>
      </c>
      <c r="BC213" s="111">
        <v>46217</v>
      </c>
    </row>
    <row r="214" spans="1:55" ht="63.75" customHeight="1" x14ac:dyDescent="0.25">
      <c r="A214" s="15">
        <v>210</v>
      </c>
      <c r="B214" s="15"/>
      <c r="C214" s="15" t="s">
        <v>1170</v>
      </c>
      <c r="D214" s="15" t="s">
        <v>611</v>
      </c>
      <c r="E214" s="15" t="s">
        <v>1278</v>
      </c>
      <c r="F214" s="16" t="s">
        <v>254</v>
      </c>
      <c r="G214" s="17">
        <v>0</v>
      </c>
      <c r="H214" s="18" t="s">
        <v>1279</v>
      </c>
      <c r="I214" s="18"/>
      <c r="J214" s="18" t="s">
        <v>387</v>
      </c>
      <c r="K214" s="19">
        <v>2</v>
      </c>
      <c r="L214" s="20">
        <v>16</v>
      </c>
      <c r="M214" s="21">
        <v>0</v>
      </c>
      <c r="N214" s="22"/>
      <c r="O214" s="18" t="s">
        <v>349</v>
      </c>
      <c r="P214" s="18" t="s">
        <v>574</v>
      </c>
      <c r="Q214" s="18" t="s">
        <v>769</v>
      </c>
      <c r="R214" s="18" t="s">
        <v>1280</v>
      </c>
      <c r="S214" s="18"/>
      <c r="T214" s="22"/>
      <c r="U214" s="23"/>
      <c r="V214" s="22"/>
      <c r="W214" s="23"/>
      <c r="X214" s="24" t="s">
        <v>352</v>
      </c>
      <c r="Y214" s="18"/>
      <c r="Z214" s="18" t="s">
        <v>1281</v>
      </c>
      <c r="AA214" s="25">
        <v>46260</v>
      </c>
      <c r="AB214" s="25">
        <v>46265</v>
      </c>
      <c r="AC214" s="26">
        <v>46233</v>
      </c>
      <c r="AD214" s="26">
        <v>46238</v>
      </c>
      <c r="AE214" s="23">
        <v>46248</v>
      </c>
      <c r="AF214" s="23">
        <v>46253</v>
      </c>
      <c r="AG214" s="23"/>
      <c r="AH214" s="27"/>
      <c r="AI214" s="24"/>
      <c r="AJ214" s="28"/>
      <c r="AK214" s="28"/>
      <c r="AL214" s="18" t="s">
        <v>345</v>
      </c>
      <c r="AM214" s="18" t="s">
        <v>345</v>
      </c>
      <c r="AN214" s="18" t="s">
        <v>345</v>
      </c>
      <c r="AO214" s="18" t="s">
        <v>354</v>
      </c>
      <c r="AP214" s="24" t="s">
        <v>355</v>
      </c>
      <c r="AQ214" s="18" t="s">
        <v>345</v>
      </c>
      <c r="AR214" s="18" t="s">
        <v>345</v>
      </c>
      <c r="AS214" s="28"/>
      <c r="AT214" s="28"/>
      <c r="AU214" s="18" t="s">
        <v>345</v>
      </c>
      <c r="AV214" s="18" t="s">
        <v>345</v>
      </c>
      <c r="AW214" s="18" t="s">
        <v>345</v>
      </c>
      <c r="AX214" s="32" t="s">
        <v>357</v>
      </c>
      <c r="AY214" s="18" t="s">
        <v>345</v>
      </c>
      <c r="AZ214" s="18" t="s">
        <v>345</v>
      </c>
      <c r="BA214" s="35" t="s">
        <v>358</v>
      </c>
      <c r="BB214" s="36" t="s">
        <v>359</v>
      </c>
      <c r="BC214" s="112"/>
    </row>
    <row r="215" spans="1:55" ht="63.75" customHeight="1" x14ac:dyDescent="0.25">
      <c r="A215" s="15">
        <v>211</v>
      </c>
      <c r="B215" s="15"/>
      <c r="C215" s="15" t="s">
        <v>1170</v>
      </c>
      <c r="D215" s="15" t="s">
        <v>611</v>
      </c>
      <c r="E215" s="15" t="s">
        <v>1282</v>
      </c>
      <c r="F215" s="16" t="s">
        <v>255</v>
      </c>
      <c r="G215" s="17">
        <v>0</v>
      </c>
      <c r="H215" s="18" t="s">
        <v>1283</v>
      </c>
      <c r="I215" s="18"/>
      <c r="J215" s="18" t="s">
        <v>387</v>
      </c>
      <c r="K215" s="19">
        <v>3</v>
      </c>
      <c r="L215" s="20">
        <v>24</v>
      </c>
      <c r="M215" s="21">
        <v>0</v>
      </c>
      <c r="N215" s="22"/>
      <c r="O215" s="18" t="s">
        <v>349</v>
      </c>
      <c r="P215" s="18" t="s">
        <v>574</v>
      </c>
      <c r="Q215" s="18" t="s">
        <v>769</v>
      </c>
      <c r="R215" s="18" t="s">
        <v>1284</v>
      </c>
      <c r="S215" s="18"/>
      <c r="T215" s="22"/>
      <c r="U215" s="23"/>
      <c r="V215" s="22"/>
      <c r="W215" s="23"/>
      <c r="X215" s="24" t="s">
        <v>352</v>
      </c>
      <c r="Y215" s="18"/>
      <c r="Z215" s="18" t="s">
        <v>1285</v>
      </c>
      <c r="AA215" s="25">
        <v>46260</v>
      </c>
      <c r="AB215" s="25">
        <v>46265</v>
      </c>
      <c r="AC215" s="26">
        <v>46233</v>
      </c>
      <c r="AD215" s="26">
        <v>46238</v>
      </c>
      <c r="AE215" s="23">
        <v>46248</v>
      </c>
      <c r="AF215" s="23">
        <v>46253</v>
      </c>
      <c r="AG215" s="23"/>
      <c r="AH215" s="27"/>
      <c r="AI215" s="24"/>
      <c r="AJ215" s="28"/>
      <c r="AK215" s="28"/>
      <c r="AL215" s="18" t="s">
        <v>345</v>
      </c>
      <c r="AM215" s="18" t="s">
        <v>345</v>
      </c>
      <c r="AN215" s="18" t="s">
        <v>345</v>
      </c>
      <c r="AO215" s="18" t="s">
        <v>354</v>
      </c>
      <c r="AP215" s="24" t="s">
        <v>355</v>
      </c>
      <c r="AQ215" s="18" t="s">
        <v>345</v>
      </c>
      <c r="AR215" s="18" t="s">
        <v>345</v>
      </c>
      <c r="AS215" s="28"/>
      <c r="AT215" s="28"/>
      <c r="AU215" s="18" t="s">
        <v>345</v>
      </c>
      <c r="AV215" s="18" t="s">
        <v>345</v>
      </c>
      <c r="AW215" s="18" t="s">
        <v>345</v>
      </c>
      <c r="AX215" s="32" t="s">
        <v>357</v>
      </c>
      <c r="AY215" s="18" t="s">
        <v>345</v>
      </c>
      <c r="AZ215" s="18" t="s">
        <v>345</v>
      </c>
      <c r="BA215" s="35" t="s">
        <v>358</v>
      </c>
      <c r="BB215" s="36" t="s">
        <v>359</v>
      </c>
      <c r="BC215" s="112"/>
    </row>
    <row r="216" spans="1:55" ht="63.75" customHeight="1" x14ac:dyDescent="0.25">
      <c r="A216" s="15">
        <v>212</v>
      </c>
      <c r="B216" s="15"/>
      <c r="C216" s="15" t="s">
        <v>1170</v>
      </c>
      <c r="D216" s="15" t="s">
        <v>611</v>
      </c>
      <c r="E216" s="15" t="s">
        <v>1286</v>
      </c>
      <c r="F216" s="16" t="s">
        <v>256</v>
      </c>
      <c r="G216" s="17">
        <v>0</v>
      </c>
      <c r="H216" s="18" t="s">
        <v>1287</v>
      </c>
      <c r="I216" s="18"/>
      <c r="J216" s="18" t="s">
        <v>387</v>
      </c>
      <c r="K216" s="19">
        <v>3</v>
      </c>
      <c r="L216" s="20">
        <v>24</v>
      </c>
      <c r="M216" s="21">
        <v>0</v>
      </c>
      <c r="N216" s="22"/>
      <c r="O216" s="18" t="s">
        <v>349</v>
      </c>
      <c r="P216" s="18" t="s">
        <v>574</v>
      </c>
      <c r="Q216" s="18" t="s">
        <v>1288</v>
      </c>
      <c r="R216" s="18" t="s">
        <v>1289</v>
      </c>
      <c r="S216" s="18"/>
      <c r="T216" s="22"/>
      <c r="U216" s="23"/>
      <c r="V216" s="22"/>
      <c r="W216" s="23"/>
      <c r="X216" s="24" t="s">
        <v>352</v>
      </c>
      <c r="Y216" s="18"/>
      <c r="Z216" s="18" t="s">
        <v>1290</v>
      </c>
      <c r="AA216" s="25">
        <v>46260</v>
      </c>
      <c r="AB216" s="25">
        <v>46265</v>
      </c>
      <c r="AC216" s="26">
        <v>46233</v>
      </c>
      <c r="AD216" s="26">
        <v>46238</v>
      </c>
      <c r="AE216" s="23">
        <v>46248</v>
      </c>
      <c r="AF216" s="23">
        <v>46253</v>
      </c>
      <c r="AG216" s="23"/>
      <c r="AH216" s="27"/>
      <c r="AI216" s="24"/>
      <c r="AJ216" s="28"/>
      <c r="AK216" s="28"/>
      <c r="AL216" s="18" t="s">
        <v>345</v>
      </c>
      <c r="AM216" s="18" t="s">
        <v>345</v>
      </c>
      <c r="AN216" s="18" t="s">
        <v>345</v>
      </c>
      <c r="AO216" s="18" t="s">
        <v>354</v>
      </c>
      <c r="AP216" s="24" t="s">
        <v>355</v>
      </c>
      <c r="AQ216" s="18" t="s">
        <v>345</v>
      </c>
      <c r="AR216" s="18" t="s">
        <v>345</v>
      </c>
      <c r="AS216" s="28"/>
      <c r="AT216" s="28"/>
      <c r="AU216" s="18" t="s">
        <v>345</v>
      </c>
      <c r="AV216" s="18" t="s">
        <v>345</v>
      </c>
      <c r="AW216" s="18" t="s">
        <v>345</v>
      </c>
      <c r="AX216" s="32" t="s">
        <v>357</v>
      </c>
      <c r="AY216" s="18" t="s">
        <v>345</v>
      </c>
      <c r="AZ216" s="18" t="s">
        <v>345</v>
      </c>
      <c r="BA216" s="35" t="s">
        <v>358</v>
      </c>
      <c r="BB216" s="36" t="s">
        <v>359</v>
      </c>
      <c r="BC216" s="112"/>
    </row>
    <row r="217" spans="1:55" ht="63.75" customHeight="1" x14ac:dyDescent="0.25">
      <c r="A217" s="15">
        <v>213</v>
      </c>
      <c r="B217" s="15"/>
      <c r="C217" s="15" t="s">
        <v>1291</v>
      </c>
      <c r="D217" s="15" t="s">
        <v>1292</v>
      </c>
      <c r="E217" s="15" t="s">
        <v>1293</v>
      </c>
      <c r="F217" s="16" t="s">
        <v>257</v>
      </c>
      <c r="G217" s="17">
        <v>1</v>
      </c>
      <c r="H217" s="18" t="s">
        <v>1294</v>
      </c>
      <c r="I217" s="18" t="s">
        <v>824</v>
      </c>
      <c r="J217" s="18" t="s">
        <v>387</v>
      </c>
      <c r="K217" s="19">
        <v>2.625</v>
      </c>
      <c r="L217" s="20">
        <v>21</v>
      </c>
      <c r="M217" s="21">
        <v>1</v>
      </c>
      <c r="N217" s="22" t="s">
        <v>573</v>
      </c>
      <c r="O217" s="18" t="s">
        <v>349</v>
      </c>
      <c r="P217" s="18" t="s">
        <v>574</v>
      </c>
      <c r="Q217" s="18" t="s">
        <v>1295</v>
      </c>
      <c r="R217" s="18"/>
      <c r="S217" s="18"/>
      <c r="T217" s="22" t="s">
        <v>1296</v>
      </c>
      <c r="U217" s="23">
        <v>46213.700537002318</v>
      </c>
      <c r="V217" s="22" t="s">
        <v>419</v>
      </c>
      <c r="W217" s="23">
        <v>46216.483582442132</v>
      </c>
      <c r="X217" s="24" t="s">
        <v>352</v>
      </c>
      <c r="Y217" s="18"/>
      <c r="Z217" s="18" t="s">
        <v>1297</v>
      </c>
      <c r="AA217" s="25">
        <v>46182</v>
      </c>
      <c r="AB217" s="25">
        <v>46192</v>
      </c>
      <c r="AC217" s="26"/>
      <c r="AD217" s="26">
        <v>46213.700537002318</v>
      </c>
      <c r="AE217" s="23">
        <v>46213.700537002318</v>
      </c>
      <c r="AF217" s="23">
        <v>46213.700537002318</v>
      </c>
      <c r="AG217" s="23"/>
      <c r="AH217" s="27"/>
      <c r="AI217" s="24"/>
      <c r="AJ217" s="28"/>
      <c r="AK217" s="28"/>
      <c r="AL217" s="18" t="s">
        <v>345</v>
      </c>
      <c r="AM217" s="18" t="s">
        <v>345</v>
      </c>
      <c r="AN217" s="18" t="s">
        <v>345</v>
      </c>
      <c r="AO217" s="18" t="s">
        <v>354</v>
      </c>
      <c r="AP217" s="24" t="s">
        <v>355</v>
      </c>
      <c r="AQ217" s="18" t="s">
        <v>345</v>
      </c>
      <c r="AR217" s="18" t="s">
        <v>345</v>
      </c>
      <c r="AS217" s="28"/>
      <c r="AT217" s="28"/>
      <c r="AU217" s="18" t="s">
        <v>345</v>
      </c>
      <c r="AV217" s="18" t="s">
        <v>345</v>
      </c>
      <c r="AW217" s="18" t="s">
        <v>345</v>
      </c>
      <c r="AX217" s="32" t="s">
        <v>545</v>
      </c>
      <c r="AY217" s="18" t="s">
        <v>345</v>
      </c>
      <c r="AZ217" s="18" t="s">
        <v>345</v>
      </c>
      <c r="BA217" s="35" t="s">
        <v>358</v>
      </c>
      <c r="BB217" s="36" t="s">
        <v>359</v>
      </c>
      <c r="BC217" s="111">
        <v>46213</v>
      </c>
    </row>
    <row r="218" spans="1:55" ht="76.5" customHeight="1" x14ac:dyDescent="0.25">
      <c r="A218" s="15">
        <v>214</v>
      </c>
      <c r="B218" s="15"/>
      <c r="C218" s="15" t="s">
        <v>1298</v>
      </c>
      <c r="D218" s="15" t="s">
        <v>384</v>
      </c>
      <c r="E218" s="15" t="s">
        <v>1299</v>
      </c>
      <c r="F218" s="16" t="s">
        <v>258</v>
      </c>
      <c r="G218" s="17">
        <v>0</v>
      </c>
      <c r="H218" s="18" t="s">
        <v>1300</v>
      </c>
      <c r="I218" s="18"/>
      <c r="J218" s="18" t="s">
        <v>387</v>
      </c>
      <c r="K218" s="19">
        <v>15</v>
      </c>
      <c r="L218" s="20">
        <v>120</v>
      </c>
      <c r="M218" s="21">
        <v>0</v>
      </c>
      <c r="N218" s="22"/>
      <c r="O218" s="18" t="s">
        <v>349</v>
      </c>
      <c r="P218" s="18" t="s">
        <v>1301</v>
      </c>
      <c r="Q218" s="18" t="s">
        <v>1302</v>
      </c>
      <c r="R218" s="18" t="s">
        <v>1303</v>
      </c>
      <c r="S218" s="18"/>
      <c r="T218" s="22"/>
      <c r="U218" s="23"/>
      <c r="V218" s="22"/>
      <c r="W218" s="23"/>
      <c r="X218" s="24" t="s">
        <v>352</v>
      </c>
      <c r="Y218" s="18"/>
      <c r="Z218" s="18" t="s">
        <v>1304</v>
      </c>
      <c r="AA218" s="25">
        <v>46248</v>
      </c>
      <c r="AB218" s="25">
        <v>46255</v>
      </c>
      <c r="AC218" s="26">
        <v>46237</v>
      </c>
      <c r="AD218" s="26">
        <v>46244</v>
      </c>
      <c r="AE218" s="23">
        <v>46254</v>
      </c>
      <c r="AF218" s="23">
        <v>46259</v>
      </c>
      <c r="AG218" s="23"/>
      <c r="AH218" s="27">
        <v>0</v>
      </c>
      <c r="AI218" s="24"/>
      <c r="AJ218" s="28"/>
      <c r="AK218" s="28">
        <v>0</v>
      </c>
      <c r="AL218" s="18" t="s">
        <v>345</v>
      </c>
      <c r="AM218" s="18" t="s">
        <v>345</v>
      </c>
      <c r="AN218" s="18" t="s">
        <v>345</v>
      </c>
      <c r="AO218" s="18"/>
      <c r="AP218" s="24" t="s">
        <v>355</v>
      </c>
      <c r="AQ218" s="18" t="s">
        <v>345</v>
      </c>
      <c r="AR218" s="18" t="s">
        <v>345</v>
      </c>
      <c r="AS218" s="28"/>
      <c r="AT218" s="28"/>
      <c r="AU218" s="18" t="s">
        <v>345</v>
      </c>
      <c r="AV218" s="18" t="s">
        <v>345</v>
      </c>
      <c r="AW218" s="18" t="s">
        <v>345</v>
      </c>
      <c r="AX218" s="32"/>
      <c r="AY218" s="18" t="s">
        <v>345</v>
      </c>
      <c r="AZ218" s="18" t="s">
        <v>345</v>
      </c>
      <c r="BA218" s="35" t="s">
        <v>358</v>
      </c>
      <c r="BB218" s="36" t="s">
        <v>359</v>
      </c>
      <c r="BC218" s="112"/>
    </row>
    <row r="219" spans="1:55" ht="76.5" customHeight="1" x14ac:dyDescent="0.25">
      <c r="A219" s="15">
        <v>215</v>
      </c>
      <c r="B219" s="15"/>
      <c r="C219" s="15" t="s">
        <v>1298</v>
      </c>
      <c r="D219" s="15" t="s">
        <v>664</v>
      </c>
      <c r="E219" s="15" t="s">
        <v>1305</v>
      </c>
      <c r="F219" s="16" t="s">
        <v>260</v>
      </c>
      <c r="G219" s="17">
        <v>0</v>
      </c>
      <c r="H219" s="18" t="s">
        <v>1306</v>
      </c>
      <c r="I219" s="18"/>
      <c r="J219" s="18" t="s">
        <v>387</v>
      </c>
      <c r="K219" s="19">
        <v>3.625</v>
      </c>
      <c r="L219" s="20">
        <v>29</v>
      </c>
      <c r="M219" s="21">
        <v>0.2</v>
      </c>
      <c r="N219" s="22"/>
      <c r="O219" s="18" t="s">
        <v>349</v>
      </c>
      <c r="P219" s="18" t="s">
        <v>574</v>
      </c>
      <c r="Q219" s="18" t="s">
        <v>667</v>
      </c>
      <c r="R219" s="18" t="s">
        <v>1307</v>
      </c>
      <c r="S219" s="18"/>
      <c r="T219" s="22"/>
      <c r="U219" s="23"/>
      <c r="V219" s="22"/>
      <c r="W219" s="23"/>
      <c r="X219" s="24" t="s">
        <v>374</v>
      </c>
      <c r="Y219" s="18"/>
      <c r="Z219" s="18" t="s">
        <v>1308</v>
      </c>
      <c r="AA219" s="25">
        <v>46239</v>
      </c>
      <c r="AB219" s="25">
        <v>46248</v>
      </c>
      <c r="AC219" s="26">
        <v>46226</v>
      </c>
      <c r="AD219" s="26">
        <v>46237</v>
      </c>
      <c r="AE219" s="23">
        <v>46247</v>
      </c>
      <c r="AF219" s="23">
        <v>46252</v>
      </c>
      <c r="AG219" s="23">
        <v>46190</v>
      </c>
      <c r="AH219" s="27">
        <v>0</v>
      </c>
      <c r="AI219" s="24"/>
      <c r="AJ219" s="28"/>
      <c r="AK219" s="28">
        <v>0</v>
      </c>
      <c r="AL219" s="18" t="s">
        <v>345</v>
      </c>
      <c r="AM219" s="18" t="s">
        <v>345</v>
      </c>
      <c r="AN219" s="18" t="s">
        <v>345</v>
      </c>
      <c r="AO219" s="18"/>
      <c r="AP219" s="24" t="s">
        <v>355</v>
      </c>
      <c r="AQ219" s="18" t="s">
        <v>345</v>
      </c>
      <c r="AR219" s="18" t="s">
        <v>345</v>
      </c>
      <c r="AS219" s="28"/>
      <c r="AT219" s="28" t="s">
        <v>878</v>
      </c>
      <c r="AU219" s="18" t="s">
        <v>345</v>
      </c>
      <c r="AV219" s="18" t="s">
        <v>345</v>
      </c>
      <c r="AW219" s="18" t="s">
        <v>345</v>
      </c>
      <c r="AX219" s="32"/>
      <c r="AY219" s="18" t="s">
        <v>345</v>
      </c>
      <c r="AZ219" s="18" t="s">
        <v>345</v>
      </c>
      <c r="BA219" s="35" t="s">
        <v>358</v>
      </c>
      <c r="BB219" s="36" t="s">
        <v>359</v>
      </c>
      <c r="BC219" s="112"/>
    </row>
    <row r="220" spans="1:55" ht="63.75" customHeight="1" x14ac:dyDescent="0.25">
      <c r="A220" s="15">
        <v>216</v>
      </c>
      <c r="B220" s="15"/>
      <c r="C220" s="15" t="s">
        <v>1298</v>
      </c>
      <c r="D220" s="15" t="s">
        <v>611</v>
      </c>
      <c r="E220" s="15" t="s">
        <v>1309</v>
      </c>
      <c r="F220" s="16" t="s">
        <v>261</v>
      </c>
      <c r="G220" s="17">
        <v>0</v>
      </c>
      <c r="H220" s="18" t="s">
        <v>1310</v>
      </c>
      <c r="I220" s="18"/>
      <c r="J220" s="18" t="s">
        <v>387</v>
      </c>
      <c r="K220" s="19">
        <v>5</v>
      </c>
      <c r="L220" s="20">
        <v>40</v>
      </c>
      <c r="M220" s="21">
        <v>0</v>
      </c>
      <c r="N220" s="22"/>
      <c r="O220" s="18" t="s">
        <v>349</v>
      </c>
      <c r="P220" s="18" t="s">
        <v>1301</v>
      </c>
      <c r="Q220" s="18" t="s">
        <v>769</v>
      </c>
      <c r="R220" s="18" t="s">
        <v>1311</v>
      </c>
      <c r="S220" s="18"/>
      <c r="T220" s="22"/>
      <c r="U220" s="23"/>
      <c r="V220" s="22"/>
      <c r="W220" s="23"/>
      <c r="X220" s="24" t="s">
        <v>352</v>
      </c>
      <c r="Y220" s="18"/>
      <c r="Z220" s="18" t="s">
        <v>1312</v>
      </c>
      <c r="AA220" s="25">
        <v>46255</v>
      </c>
      <c r="AB220" s="25">
        <v>46265</v>
      </c>
      <c r="AC220" s="26">
        <v>46244</v>
      </c>
      <c r="AD220" s="26">
        <v>46252</v>
      </c>
      <c r="AE220" s="23">
        <v>46262</v>
      </c>
      <c r="AF220" s="23">
        <v>46267</v>
      </c>
      <c r="AG220" s="23"/>
      <c r="AH220" s="27">
        <v>0</v>
      </c>
      <c r="AI220" s="24"/>
      <c r="AJ220" s="28"/>
      <c r="AK220" s="28">
        <v>0</v>
      </c>
      <c r="AL220" s="18" t="s">
        <v>345</v>
      </c>
      <c r="AM220" s="18" t="s">
        <v>345</v>
      </c>
      <c r="AN220" s="18" t="s">
        <v>345</v>
      </c>
      <c r="AO220" s="18"/>
      <c r="AP220" s="24" t="s">
        <v>355</v>
      </c>
      <c r="AQ220" s="18" t="s">
        <v>345</v>
      </c>
      <c r="AR220" s="18" t="s">
        <v>345</v>
      </c>
      <c r="AS220" s="28"/>
      <c r="AT220" s="28"/>
      <c r="AU220" s="18" t="s">
        <v>345</v>
      </c>
      <c r="AV220" s="18" t="s">
        <v>345</v>
      </c>
      <c r="AW220" s="18" t="s">
        <v>345</v>
      </c>
      <c r="AX220" s="32"/>
      <c r="AY220" s="18" t="s">
        <v>345</v>
      </c>
      <c r="AZ220" s="18" t="s">
        <v>345</v>
      </c>
      <c r="BA220" s="35" t="s">
        <v>358</v>
      </c>
      <c r="BB220" s="36" t="s">
        <v>359</v>
      </c>
      <c r="BC220" s="112"/>
    </row>
    <row r="221" spans="1:55" ht="63.75" customHeight="1" x14ac:dyDescent="0.25">
      <c r="A221" s="15">
        <v>217</v>
      </c>
      <c r="B221" s="15"/>
      <c r="C221" s="15" t="s">
        <v>1313</v>
      </c>
      <c r="D221" s="15" t="s">
        <v>384</v>
      </c>
      <c r="E221" s="15" t="s">
        <v>1314</v>
      </c>
      <c r="F221" s="16" t="s">
        <v>262</v>
      </c>
      <c r="G221" s="17">
        <v>0</v>
      </c>
      <c r="H221" s="18" t="s">
        <v>1315</v>
      </c>
      <c r="I221" s="18"/>
      <c r="J221" s="18" t="s">
        <v>387</v>
      </c>
      <c r="K221" s="19">
        <v>2.5</v>
      </c>
      <c r="L221" s="20">
        <v>20</v>
      </c>
      <c r="M221" s="21">
        <v>0</v>
      </c>
      <c r="N221" s="22"/>
      <c r="O221" s="18" t="s">
        <v>349</v>
      </c>
      <c r="P221" s="18" t="s">
        <v>1316</v>
      </c>
      <c r="Q221" s="18" t="s">
        <v>389</v>
      </c>
      <c r="R221" s="18" t="s">
        <v>1317</v>
      </c>
      <c r="S221" s="18"/>
      <c r="T221" s="22"/>
      <c r="U221" s="23"/>
      <c r="V221" s="22"/>
      <c r="W221" s="23"/>
      <c r="X221" s="24" t="s">
        <v>352</v>
      </c>
      <c r="Y221" s="18"/>
      <c r="Z221" s="18" t="s">
        <v>1318</v>
      </c>
      <c r="AA221" s="25">
        <v>46241</v>
      </c>
      <c r="AB221" s="25">
        <v>46247</v>
      </c>
      <c r="AC221" s="26">
        <v>46230</v>
      </c>
      <c r="AD221" s="26">
        <v>46234</v>
      </c>
      <c r="AE221" s="23">
        <v>46244</v>
      </c>
      <c r="AF221" s="23">
        <v>46249</v>
      </c>
      <c r="AG221" s="23"/>
      <c r="AH221" s="27">
        <v>0</v>
      </c>
      <c r="AI221" s="24"/>
      <c r="AJ221" s="28"/>
      <c r="AK221" s="28">
        <v>0</v>
      </c>
      <c r="AL221" s="18" t="s">
        <v>345</v>
      </c>
      <c r="AM221" s="18" t="s">
        <v>345</v>
      </c>
      <c r="AN221" s="18" t="s">
        <v>345</v>
      </c>
      <c r="AO221" s="18"/>
      <c r="AP221" s="24" t="s">
        <v>355</v>
      </c>
      <c r="AQ221" s="18" t="s">
        <v>345</v>
      </c>
      <c r="AR221" s="18" t="s">
        <v>345</v>
      </c>
      <c r="AS221" s="28"/>
      <c r="AT221" s="28"/>
      <c r="AU221" s="18" t="s">
        <v>345</v>
      </c>
      <c r="AV221" s="18" t="s">
        <v>345</v>
      </c>
      <c r="AW221" s="18" t="s">
        <v>345</v>
      </c>
      <c r="AX221" s="32"/>
      <c r="AY221" s="18" t="s">
        <v>345</v>
      </c>
      <c r="AZ221" s="18" t="s">
        <v>345</v>
      </c>
      <c r="BA221" s="35" t="s">
        <v>358</v>
      </c>
      <c r="BB221" s="36" t="s">
        <v>359</v>
      </c>
      <c r="BC221" s="112"/>
    </row>
    <row r="222" spans="1:55" ht="63.75" customHeight="1" x14ac:dyDescent="0.25">
      <c r="A222" s="15">
        <v>218</v>
      </c>
      <c r="B222" s="15"/>
      <c r="C222" s="15" t="s">
        <v>1313</v>
      </c>
      <c r="D222" s="15" t="s">
        <v>384</v>
      </c>
      <c r="E222" s="15" t="s">
        <v>1319</v>
      </c>
      <c r="F222" s="16" t="s">
        <v>263</v>
      </c>
      <c r="G222" s="17">
        <v>0</v>
      </c>
      <c r="H222" s="18" t="s">
        <v>1320</v>
      </c>
      <c r="I222" s="18"/>
      <c r="J222" s="18" t="s">
        <v>387</v>
      </c>
      <c r="K222" s="19">
        <v>2</v>
      </c>
      <c r="L222" s="20">
        <v>16</v>
      </c>
      <c r="M222" s="21">
        <v>0</v>
      </c>
      <c r="N222" s="22"/>
      <c r="O222" s="18" t="s">
        <v>349</v>
      </c>
      <c r="P222" s="18" t="s">
        <v>1321</v>
      </c>
      <c r="Q222" s="18" t="s">
        <v>389</v>
      </c>
      <c r="R222" s="18" t="s">
        <v>1322</v>
      </c>
      <c r="S222" s="18"/>
      <c r="T222" s="22"/>
      <c r="U222" s="23"/>
      <c r="V222" s="22"/>
      <c r="W222" s="23"/>
      <c r="X222" s="24" t="s">
        <v>352</v>
      </c>
      <c r="Y222" s="18"/>
      <c r="Z222" s="18" t="s">
        <v>1323</v>
      </c>
      <c r="AA222" s="25">
        <v>46241</v>
      </c>
      <c r="AB222" s="25">
        <v>46245</v>
      </c>
      <c r="AC222" s="26">
        <v>46237</v>
      </c>
      <c r="AD222" s="26">
        <v>46239</v>
      </c>
      <c r="AE222" s="23">
        <v>46249</v>
      </c>
      <c r="AF222" s="23">
        <v>46254</v>
      </c>
      <c r="AG222" s="23"/>
      <c r="AH222" s="27">
        <v>0</v>
      </c>
      <c r="AI222" s="24"/>
      <c r="AJ222" s="28"/>
      <c r="AK222" s="28">
        <v>0</v>
      </c>
      <c r="AL222" s="18" t="s">
        <v>345</v>
      </c>
      <c r="AM222" s="18" t="s">
        <v>345</v>
      </c>
      <c r="AN222" s="18" t="s">
        <v>345</v>
      </c>
      <c r="AO222" s="18"/>
      <c r="AP222" s="24" t="s">
        <v>355</v>
      </c>
      <c r="AQ222" s="18" t="s">
        <v>345</v>
      </c>
      <c r="AR222" s="18" t="s">
        <v>345</v>
      </c>
      <c r="AS222" s="28"/>
      <c r="AT222" s="28"/>
      <c r="AU222" s="18" t="s">
        <v>345</v>
      </c>
      <c r="AV222" s="18" t="s">
        <v>345</v>
      </c>
      <c r="AW222" s="18" t="s">
        <v>345</v>
      </c>
      <c r="AX222" s="32"/>
      <c r="AY222" s="18" t="s">
        <v>345</v>
      </c>
      <c r="AZ222" s="18" t="s">
        <v>345</v>
      </c>
      <c r="BA222" s="35" t="s">
        <v>358</v>
      </c>
      <c r="BB222" s="36" t="s">
        <v>359</v>
      </c>
      <c r="BC222" s="112"/>
    </row>
    <row r="223" spans="1:55" ht="63.75" customHeight="1" x14ac:dyDescent="0.25">
      <c r="A223" s="15">
        <v>219</v>
      </c>
      <c r="B223" s="15"/>
      <c r="C223" s="15" t="s">
        <v>1313</v>
      </c>
      <c r="D223" s="15" t="s">
        <v>403</v>
      </c>
      <c r="E223" s="15" t="s">
        <v>1324</v>
      </c>
      <c r="F223" s="16" t="s">
        <v>264</v>
      </c>
      <c r="G223" s="17">
        <v>0</v>
      </c>
      <c r="H223" s="18" t="s">
        <v>1325</v>
      </c>
      <c r="I223" s="18"/>
      <c r="J223" s="18" t="s">
        <v>387</v>
      </c>
      <c r="K223" s="19">
        <v>2</v>
      </c>
      <c r="L223" s="20">
        <v>16</v>
      </c>
      <c r="M223" s="21">
        <v>0</v>
      </c>
      <c r="N223" s="22"/>
      <c r="O223" s="18" t="s">
        <v>349</v>
      </c>
      <c r="P223" s="18" t="s">
        <v>1316</v>
      </c>
      <c r="Q223" s="18" t="s">
        <v>406</v>
      </c>
      <c r="R223" s="18" t="s">
        <v>1326</v>
      </c>
      <c r="S223" s="18"/>
      <c r="T223" s="22"/>
      <c r="U223" s="23"/>
      <c r="V223" s="22"/>
      <c r="W223" s="23"/>
      <c r="X223" s="24" t="s">
        <v>352</v>
      </c>
      <c r="Y223" s="18"/>
      <c r="Z223" s="18" t="s">
        <v>1327</v>
      </c>
      <c r="AA223" s="25">
        <v>46247</v>
      </c>
      <c r="AB223" s="25">
        <v>46252</v>
      </c>
      <c r="AC223" s="26">
        <v>46234</v>
      </c>
      <c r="AD223" s="26">
        <v>46239</v>
      </c>
      <c r="AE223" s="23">
        <v>46249</v>
      </c>
      <c r="AF223" s="23">
        <v>46254</v>
      </c>
      <c r="AG223" s="23"/>
      <c r="AH223" s="27">
        <v>0</v>
      </c>
      <c r="AI223" s="24"/>
      <c r="AJ223" s="28"/>
      <c r="AK223" s="28">
        <v>0</v>
      </c>
      <c r="AL223" s="18" t="s">
        <v>345</v>
      </c>
      <c r="AM223" s="18" t="s">
        <v>345</v>
      </c>
      <c r="AN223" s="18" t="s">
        <v>345</v>
      </c>
      <c r="AO223" s="18"/>
      <c r="AP223" s="24" t="s">
        <v>355</v>
      </c>
      <c r="AQ223" s="18" t="s">
        <v>345</v>
      </c>
      <c r="AR223" s="18" t="s">
        <v>345</v>
      </c>
      <c r="AS223" s="28"/>
      <c r="AT223" s="28"/>
      <c r="AU223" s="18" t="s">
        <v>345</v>
      </c>
      <c r="AV223" s="18" t="s">
        <v>345</v>
      </c>
      <c r="AW223" s="18" t="s">
        <v>345</v>
      </c>
      <c r="AX223" s="32"/>
      <c r="AY223" s="18" t="s">
        <v>345</v>
      </c>
      <c r="AZ223" s="18" t="s">
        <v>345</v>
      </c>
      <c r="BA223" s="35" t="s">
        <v>358</v>
      </c>
      <c r="BB223" s="36" t="s">
        <v>359</v>
      </c>
      <c r="BC223" s="112"/>
    </row>
    <row r="224" spans="1:55" ht="76.5" customHeight="1" x14ac:dyDescent="0.25">
      <c r="A224" s="15">
        <v>220</v>
      </c>
      <c r="B224" s="15"/>
      <c r="C224" s="15" t="s">
        <v>1313</v>
      </c>
      <c r="D224" s="15" t="s">
        <v>1328</v>
      </c>
      <c r="E224" s="15" t="s">
        <v>1329</v>
      </c>
      <c r="F224" s="16" t="s">
        <v>265</v>
      </c>
      <c r="G224" s="17">
        <v>0</v>
      </c>
      <c r="H224" s="18" t="s">
        <v>1330</v>
      </c>
      <c r="I224" s="18"/>
      <c r="J224" s="18" t="s">
        <v>348</v>
      </c>
      <c r="K224" s="19">
        <v>1</v>
      </c>
      <c r="L224" s="20">
        <v>1</v>
      </c>
      <c r="M224" s="21">
        <v>0</v>
      </c>
      <c r="N224" s="22"/>
      <c r="O224" s="18" t="s">
        <v>349</v>
      </c>
      <c r="P224" s="18" t="s">
        <v>1105</v>
      </c>
      <c r="Q224" s="18" t="s">
        <v>1331</v>
      </c>
      <c r="R224" s="18" t="s">
        <v>1332</v>
      </c>
      <c r="S224" s="18"/>
      <c r="T224" s="22"/>
      <c r="U224" s="23"/>
      <c r="V224" s="22"/>
      <c r="W224" s="23"/>
      <c r="X224" s="24" t="s">
        <v>352</v>
      </c>
      <c r="Y224" s="18"/>
      <c r="Z224" s="18" t="s">
        <v>1333</v>
      </c>
      <c r="AA224" s="25">
        <v>46206</v>
      </c>
      <c r="AB224" s="25">
        <v>46213</v>
      </c>
      <c r="AC224" s="26">
        <v>46209</v>
      </c>
      <c r="AD224" s="26">
        <v>46216</v>
      </c>
      <c r="AE224" s="23">
        <v>46226</v>
      </c>
      <c r="AF224" s="23">
        <v>46231</v>
      </c>
      <c r="AG224" s="23"/>
      <c r="AH224" s="27">
        <v>0</v>
      </c>
      <c r="AI224" s="24"/>
      <c r="AJ224" s="28"/>
      <c r="AK224" s="28">
        <v>0</v>
      </c>
      <c r="AL224" s="18" t="s">
        <v>345</v>
      </c>
      <c r="AM224" s="18" t="s">
        <v>345</v>
      </c>
      <c r="AN224" s="18" t="s">
        <v>345</v>
      </c>
      <c r="AO224" s="18"/>
      <c r="AP224" s="24" t="s">
        <v>355</v>
      </c>
      <c r="AQ224" s="18" t="s">
        <v>345</v>
      </c>
      <c r="AR224" s="18" t="s">
        <v>345</v>
      </c>
      <c r="AS224" s="28"/>
      <c r="AT224" s="28"/>
      <c r="AU224" s="18" t="s">
        <v>345</v>
      </c>
      <c r="AV224" s="18" t="s">
        <v>345</v>
      </c>
      <c r="AW224" s="18" t="s">
        <v>345</v>
      </c>
      <c r="AX224" s="32"/>
      <c r="AY224" s="18" t="s">
        <v>345</v>
      </c>
      <c r="AZ224" s="18" t="s">
        <v>345</v>
      </c>
      <c r="BA224" s="35" t="s">
        <v>358</v>
      </c>
      <c r="BB224" s="36" t="s">
        <v>359</v>
      </c>
      <c r="BC224" s="112"/>
    </row>
    <row r="225" spans="1:55" ht="76.5" customHeight="1" x14ac:dyDescent="0.25">
      <c r="A225" s="15">
        <v>221</v>
      </c>
      <c r="B225" s="15"/>
      <c r="C225" s="15" t="s">
        <v>1313</v>
      </c>
      <c r="D225" s="15" t="s">
        <v>1328</v>
      </c>
      <c r="E225" s="15" t="s">
        <v>1334</v>
      </c>
      <c r="F225" s="16" t="s">
        <v>266</v>
      </c>
      <c r="G225" s="17">
        <v>0</v>
      </c>
      <c r="H225" s="18" t="s">
        <v>1335</v>
      </c>
      <c r="I225" s="18"/>
      <c r="J225" s="18" t="s">
        <v>348</v>
      </c>
      <c r="K225" s="19">
        <v>1</v>
      </c>
      <c r="L225" s="20">
        <v>1</v>
      </c>
      <c r="M225" s="21">
        <v>0.2</v>
      </c>
      <c r="N225" s="22"/>
      <c r="O225" s="18" t="s">
        <v>349</v>
      </c>
      <c r="P225" s="18" t="s">
        <v>707</v>
      </c>
      <c r="Q225" s="18" t="s">
        <v>1331</v>
      </c>
      <c r="R225" s="18" t="s">
        <v>1336</v>
      </c>
      <c r="S225" s="18"/>
      <c r="T225" s="22"/>
      <c r="U225" s="23"/>
      <c r="V225" s="22"/>
      <c r="W225" s="23"/>
      <c r="X225" s="24" t="s">
        <v>352</v>
      </c>
      <c r="Y225" s="18"/>
      <c r="Z225" s="18" t="s">
        <v>1337</v>
      </c>
      <c r="AA225" s="25">
        <v>46237</v>
      </c>
      <c r="AB225" s="25">
        <v>46241</v>
      </c>
      <c r="AC225" s="26">
        <v>46231</v>
      </c>
      <c r="AD225" s="26">
        <v>46237</v>
      </c>
      <c r="AE225" s="23">
        <v>46247</v>
      </c>
      <c r="AF225" s="23">
        <v>46252</v>
      </c>
      <c r="AG225" s="23">
        <v>46198</v>
      </c>
      <c r="AH225" s="27">
        <v>0</v>
      </c>
      <c r="AI225" s="24"/>
      <c r="AJ225" s="28"/>
      <c r="AK225" s="28">
        <v>0</v>
      </c>
      <c r="AL225" s="18" t="s">
        <v>345</v>
      </c>
      <c r="AM225" s="18" t="s">
        <v>345</v>
      </c>
      <c r="AN225" s="18" t="s">
        <v>345</v>
      </c>
      <c r="AO225" s="18"/>
      <c r="AP225" s="24" t="s">
        <v>355</v>
      </c>
      <c r="AQ225" s="18" t="s">
        <v>345</v>
      </c>
      <c r="AR225" s="18" t="s">
        <v>345</v>
      </c>
      <c r="AS225" s="28"/>
      <c r="AT225" s="28" t="s">
        <v>579</v>
      </c>
      <c r="AU225" s="18" t="s">
        <v>345</v>
      </c>
      <c r="AV225" s="18" t="s">
        <v>345</v>
      </c>
      <c r="AW225" s="18" t="s">
        <v>345</v>
      </c>
      <c r="AX225" s="32"/>
      <c r="AY225" s="18" t="s">
        <v>345</v>
      </c>
      <c r="AZ225" s="18" t="s">
        <v>345</v>
      </c>
      <c r="BA225" s="35" t="s">
        <v>358</v>
      </c>
      <c r="BB225" s="36" t="s">
        <v>359</v>
      </c>
      <c r="BC225" s="112"/>
    </row>
    <row r="226" spans="1:55" ht="76.5" customHeight="1" x14ac:dyDescent="0.25">
      <c r="A226" s="15">
        <v>222</v>
      </c>
      <c r="B226" s="15"/>
      <c r="C226" s="15" t="s">
        <v>1313</v>
      </c>
      <c r="D226" s="15" t="s">
        <v>1328</v>
      </c>
      <c r="E226" s="15" t="s">
        <v>1338</v>
      </c>
      <c r="F226" s="16" t="s">
        <v>267</v>
      </c>
      <c r="G226" s="17">
        <v>0</v>
      </c>
      <c r="H226" s="18" t="s">
        <v>1339</v>
      </c>
      <c r="I226" s="18"/>
      <c r="J226" s="18" t="s">
        <v>348</v>
      </c>
      <c r="K226" s="19">
        <v>1</v>
      </c>
      <c r="L226" s="20">
        <v>1</v>
      </c>
      <c r="M226" s="21">
        <v>0.2</v>
      </c>
      <c r="N226" s="22"/>
      <c r="O226" s="18" t="s">
        <v>349</v>
      </c>
      <c r="P226" s="18" t="s">
        <v>1261</v>
      </c>
      <c r="Q226" s="18" t="s">
        <v>1331</v>
      </c>
      <c r="R226" s="18" t="s">
        <v>1340</v>
      </c>
      <c r="S226" s="18"/>
      <c r="T226" s="22"/>
      <c r="U226" s="23"/>
      <c r="V226" s="22"/>
      <c r="W226" s="23"/>
      <c r="X226" s="24" t="s">
        <v>352</v>
      </c>
      <c r="Y226" s="18"/>
      <c r="Z226" s="18" t="s">
        <v>1341</v>
      </c>
      <c r="AA226" s="25">
        <v>46226</v>
      </c>
      <c r="AB226" s="25">
        <v>46233</v>
      </c>
      <c r="AC226" s="26">
        <v>46213</v>
      </c>
      <c r="AD226" s="26">
        <v>46220</v>
      </c>
      <c r="AE226" s="23">
        <v>46230</v>
      </c>
      <c r="AF226" s="23">
        <v>46235</v>
      </c>
      <c r="AG226" s="23">
        <v>46212</v>
      </c>
      <c r="AH226" s="27">
        <v>0</v>
      </c>
      <c r="AI226" s="24"/>
      <c r="AJ226" s="28"/>
      <c r="AK226" s="28">
        <v>0</v>
      </c>
      <c r="AL226" s="18" t="s">
        <v>345</v>
      </c>
      <c r="AM226" s="18" t="s">
        <v>345</v>
      </c>
      <c r="AN226" s="18" t="s">
        <v>345</v>
      </c>
      <c r="AO226" s="18"/>
      <c r="AP226" s="24" t="s">
        <v>355</v>
      </c>
      <c r="AQ226" s="18" t="s">
        <v>345</v>
      </c>
      <c r="AR226" s="18" t="s">
        <v>345</v>
      </c>
      <c r="AS226" s="28"/>
      <c r="AT226" s="28" t="s">
        <v>932</v>
      </c>
      <c r="AU226" s="18" t="s">
        <v>345</v>
      </c>
      <c r="AV226" s="18" t="s">
        <v>345</v>
      </c>
      <c r="AW226" s="18" t="s">
        <v>345</v>
      </c>
      <c r="AX226" s="32"/>
      <c r="AY226" s="18" t="s">
        <v>345</v>
      </c>
      <c r="AZ226" s="18" t="s">
        <v>345</v>
      </c>
      <c r="BA226" s="35" t="s">
        <v>358</v>
      </c>
      <c r="BB226" s="36" t="s">
        <v>359</v>
      </c>
      <c r="BC226" s="112"/>
    </row>
    <row r="227" spans="1:55" ht="76.5" customHeight="1" x14ac:dyDescent="0.25">
      <c r="A227" s="15">
        <v>223</v>
      </c>
      <c r="B227" s="15"/>
      <c r="C227" s="15" t="s">
        <v>1313</v>
      </c>
      <c r="D227" s="15" t="s">
        <v>1328</v>
      </c>
      <c r="E227" s="15" t="s">
        <v>1342</v>
      </c>
      <c r="F227" s="16" t="s">
        <v>268</v>
      </c>
      <c r="G227" s="17">
        <v>0</v>
      </c>
      <c r="H227" s="18" t="s">
        <v>1343</v>
      </c>
      <c r="I227" s="18"/>
      <c r="J227" s="18" t="s">
        <v>348</v>
      </c>
      <c r="K227" s="19">
        <v>1</v>
      </c>
      <c r="L227" s="20">
        <v>1</v>
      </c>
      <c r="M227" s="21">
        <v>0.2</v>
      </c>
      <c r="N227" s="22"/>
      <c r="O227" s="18" t="s">
        <v>349</v>
      </c>
      <c r="P227" s="18" t="s">
        <v>1261</v>
      </c>
      <c r="Q227" s="18" t="s">
        <v>1331</v>
      </c>
      <c r="R227" s="18" t="s">
        <v>1344</v>
      </c>
      <c r="S227" s="18"/>
      <c r="T227" s="22"/>
      <c r="U227" s="23"/>
      <c r="V227" s="22"/>
      <c r="W227" s="23"/>
      <c r="X227" s="24" t="s">
        <v>352</v>
      </c>
      <c r="Y227" s="18"/>
      <c r="Z227" s="18" t="s">
        <v>1345</v>
      </c>
      <c r="AA227" s="25">
        <v>46233</v>
      </c>
      <c r="AB227" s="25">
        <v>46238</v>
      </c>
      <c r="AC227" s="26">
        <v>46220</v>
      </c>
      <c r="AD227" s="26">
        <v>46225</v>
      </c>
      <c r="AE227" s="23">
        <v>46235</v>
      </c>
      <c r="AF227" s="23">
        <v>46240</v>
      </c>
      <c r="AG227" s="23">
        <v>46212</v>
      </c>
      <c r="AH227" s="27">
        <v>0</v>
      </c>
      <c r="AI227" s="24"/>
      <c r="AJ227" s="28"/>
      <c r="AK227" s="28">
        <v>0</v>
      </c>
      <c r="AL227" s="18" t="s">
        <v>345</v>
      </c>
      <c r="AM227" s="18" t="s">
        <v>345</v>
      </c>
      <c r="AN227" s="18" t="s">
        <v>345</v>
      </c>
      <c r="AO227" s="18"/>
      <c r="AP227" s="24" t="s">
        <v>355</v>
      </c>
      <c r="AQ227" s="18" t="s">
        <v>345</v>
      </c>
      <c r="AR227" s="18" t="s">
        <v>345</v>
      </c>
      <c r="AS227" s="28"/>
      <c r="AT227" s="28" t="s">
        <v>932</v>
      </c>
      <c r="AU227" s="18" t="s">
        <v>345</v>
      </c>
      <c r="AV227" s="18" t="s">
        <v>345</v>
      </c>
      <c r="AW227" s="18" t="s">
        <v>345</v>
      </c>
      <c r="AX227" s="32"/>
      <c r="AY227" s="18" t="s">
        <v>345</v>
      </c>
      <c r="AZ227" s="18" t="s">
        <v>345</v>
      </c>
      <c r="BA227" s="35" t="s">
        <v>358</v>
      </c>
      <c r="BB227" s="36" t="s">
        <v>359</v>
      </c>
      <c r="BC227" s="112"/>
    </row>
    <row r="228" spans="1:55" ht="63.75" customHeight="1" x14ac:dyDescent="0.25">
      <c r="A228" s="15">
        <v>224</v>
      </c>
      <c r="B228" s="15"/>
      <c r="C228" s="15" t="s">
        <v>1313</v>
      </c>
      <c r="D228" s="15" t="s">
        <v>1328</v>
      </c>
      <c r="E228" s="15" t="s">
        <v>1346</v>
      </c>
      <c r="F228" s="16" t="s">
        <v>269</v>
      </c>
      <c r="G228" s="17">
        <v>0</v>
      </c>
      <c r="H228" s="18" t="s">
        <v>1347</v>
      </c>
      <c r="I228" s="18"/>
      <c r="J228" s="18" t="s">
        <v>348</v>
      </c>
      <c r="K228" s="19">
        <v>1</v>
      </c>
      <c r="L228" s="20">
        <v>1</v>
      </c>
      <c r="M228" s="21">
        <v>0.2</v>
      </c>
      <c r="N228" s="22"/>
      <c r="O228" s="18" t="s">
        <v>349</v>
      </c>
      <c r="P228" s="18" t="s">
        <v>1261</v>
      </c>
      <c r="Q228" s="18" t="s">
        <v>1331</v>
      </c>
      <c r="R228" s="18" t="s">
        <v>1348</v>
      </c>
      <c r="S228" s="18"/>
      <c r="T228" s="22"/>
      <c r="U228" s="23"/>
      <c r="V228" s="22"/>
      <c r="W228" s="23"/>
      <c r="X228" s="24" t="s">
        <v>352</v>
      </c>
      <c r="Y228" s="18"/>
      <c r="Z228" s="18" t="s">
        <v>1349</v>
      </c>
      <c r="AA228" s="25">
        <v>46238</v>
      </c>
      <c r="AB228" s="25">
        <v>46241</v>
      </c>
      <c r="AC228" s="26">
        <v>46225</v>
      </c>
      <c r="AD228" s="26">
        <v>46230</v>
      </c>
      <c r="AE228" s="23">
        <v>46240</v>
      </c>
      <c r="AF228" s="23">
        <v>46245</v>
      </c>
      <c r="AG228" s="23">
        <v>46212</v>
      </c>
      <c r="AH228" s="27">
        <v>0</v>
      </c>
      <c r="AI228" s="24"/>
      <c r="AJ228" s="28"/>
      <c r="AK228" s="28">
        <v>0</v>
      </c>
      <c r="AL228" s="18" t="s">
        <v>345</v>
      </c>
      <c r="AM228" s="18" t="s">
        <v>345</v>
      </c>
      <c r="AN228" s="18" t="s">
        <v>345</v>
      </c>
      <c r="AO228" s="18"/>
      <c r="AP228" s="24" t="s">
        <v>355</v>
      </c>
      <c r="AQ228" s="18" t="s">
        <v>345</v>
      </c>
      <c r="AR228" s="18" t="s">
        <v>345</v>
      </c>
      <c r="AS228" s="28"/>
      <c r="AT228" s="28" t="s">
        <v>932</v>
      </c>
      <c r="AU228" s="18" t="s">
        <v>345</v>
      </c>
      <c r="AV228" s="18" t="s">
        <v>345</v>
      </c>
      <c r="AW228" s="18" t="s">
        <v>345</v>
      </c>
      <c r="AX228" s="32"/>
      <c r="AY228" s="18" t="s">
        <v>345</v>
      </c>
      <c r="AZ228" s="18" t="s">
        <v>345</v>
      </c>
      <c r="BA228" s="35" t="s">
        <v>358</v>
      </c>
      <c r="BB228" s="36" t="s">
        <v>359</v>
      </c>
      <c r="BC228" s="112"/>
    </row>
    <row r="229" spans="1:55" ht="63.75" customHeight="1" x14ac:dyDescent="0.25">
      <c r="A229" s="15">
        <v>225</v>
      </c>
      <c r="B229" s="15"/>
      <c r="C229" s="15" t="s">
        <v>1313</v>
      </c>
      <c r="D229" s="15" t="s">
        <v>1328</v>
      </c>
      <c r="E229" s="15" t="s">
        <v>1350</v>
      </c>
      <c r="F229" s="16" t="s">
        <v>270</v>
      </c>
      <c r="G229" s="17">
        <v>0</v>
      </c>
      <c r="H229" s="18" t="s">
        <v>1351</v>
      </c>
      <c r="I229" s="18"/>
      <c r="J229" s="18" t="s">
        <v>348</v>
      </c>
      <c r="K229" s="19">
        <v>1</v>
      </c>
      <c r="L229" s="20">
        <v>1</v>
      </c>
      <c r="M229" s="21">
        <v>0</v>
      </c>
      <c r="N229" s="22"/>
      <c r="O229" s="18" t="s">
        <v>349</v>
      </c>
      <c r="P229" s="18" t="s">
        <v>707</v>
      </c>
      <c r="Q229" s="18" t="s">
        <v>1331</v>
      </c>
      <c r="R229" s="18" t="s">
        <v>1352</v>
      </c>
      <c r="S229" s="18"/>
      <c r="T229" s="22"/>
      <c r="U229" s="23"/>
      <c r="V229" s="22"/>
      <c r="W229" s="23"/>
      <c r="X229" s="24" t="s">
        <v>352</v>
      </c>
      <c r="Y229" s="18"/>
      <c r="Z229" s="18" t="s">
        <v>1353</v>
      </c>
      <c r="AA229" s="25">
        <v>46237</v>
      </c>
      <c r="AB229" s="25">
        <v>46241</v>
      </c>
      <c r="AC229" s="26">
        <v>46231</v>
      </c>
      <c r="AD229" s="26">
        <v>46237</v>
      </c>
      <c r="AE229" s="23">
        <v>46247</v>
      </c>
      <c r="AF229" s="23">
        <v>46252</v>
      </c>
      <c r="AG229" s="23"/>
      <c r="AH229" s="27">
        <v>0</v>
      </c>
      <c r="AI229" s="24"/>
      <c r="AJ229" s="28"/>
      <c r="AK229" s="28">
        <v>0</v>
      </c>
      <c r="AL229" s="18" t="s">
        <v>345</v>
      </c>
      <c r="AM229" s="18" t="s">
        <v>345</v>
      </c>
      <c r="AN229" s="18" t="s">
        <v>345</v>
      </c>
      <c r="AO229" s="18"/>
      <c r="AP229" s="24" t="s">
        <v>355</v>
      </c>
      <c r="AQ229" s="18" t="s">
        <v>345</v>
      </c>
      <c r="AR229" s="18" t="s">
        <v>345</v>
      </c>
      <c r="AS229" s="28"/>
      <c r="AT229" s="28"/>
      <c r="AU229" s="18" t="s">
        <v>345</v>
      </c>
      <c r="AV229" s="18" t="s">
        <v>345</v>
      </c>
      <c r="AW229" s="18" t="s">
        <v>345</v>
      </c>
      <c r="AX229" s="32"/>
      <c r="AY229" s="18" t="s">
        <v>345</v>
      </c>
      <c r="AZ229" s="18" t="s">
        <v>345</v>
      </c>
      <c r="BA229" s="35" t="s">
        <v>358</v>
      </c>
      <c r="BB229" s="36" t="s">
        <v>359</v>
      </c>
      <c r="BC229" s="112"/>
    </row>
    <row r="230" spans="1:55" ht="63.75" customHeight="1" x14ac:dyDescent="0.25">
      <c r="A230" s="15">
        <v>226</v>
      </c>
      <c r="B230" s="15"/>
      <c r="C230" s="15" t="s">
        <v>1313</v>
      </c>
      <c r="D230" s="15" t="s">
        <v>1328</v>
      </c>
      <c r="E230" s="15" t="s">
        <v>1354</v>
      </c>
      <c r="F230" s="16" t="s">
        <v>271</v>
      </c>
      <c r="G230" s="17">
        <v>0</v>
      </c>
      <c r="H230" s="18" t="s">
        <v>1355</v>
      </c>
      <c r="I230" s="18"/>
      <c r="J230" s="18" t="s">
        <v>348</v>
      </c>
      <c r="K230" s="19">
        <v>1</v>
      </c>
      <c r="L230" s="20">
        <v>1</v>
      </c>
      <c r="M230" s="21">
        <v>0.2</v>
      </c>
      <c r="N230" s="22"/>
      <c r="O230" s="18" t="s">
        <v>349</v>
      </c>
      <c r="P230" s="18" t="s">
        <v>1356</v>
      </c>
      <c r="Q230" s="18" t="s">
        <v>1331</v>
      </c>
      <c r="R230" s="18" t="s">
        <v>1357</v>
      </c>
      <c r="S230" s="18"/>
      <c r="T230" s="22"/>
      <c r="U230" s="23"/>
      <c r="V230" s="22"/>
      <c r="W230" s="23"/>
      <c r="X230" s="24" t="s">
        <v>352</v>
      </c>
      <c r="Y230" s="18"/>
      <c r="Z230" s="18" t="s">
        <v>1358</v>
      </c>
      <c r="AA230" s="25">
        <v>46237</v>
      </c>
      <c r="AB230" s="25">
        <v>46241</v>
      </c>
      <c r="AC230" s="26">
        <v>46231</v>
      </c>
      <c r="AD230" s="26">
        <v>46237</v>
      </c>
      <c r="AE230" s="23">
        <v>46247</v>
      </c>
      <c r="AF230" s="23">
        <v>46252</v>
      </c>
      <c r="AG230" s="23">
        <v>46210</v>
      </c>
      <c r="AH230" s="27">
        <v>0</v>
      </c>
      <c r="AI230" s="24"/>
      <c r="AJ230" s="28"/>
      <c r="AK230" s="28">
        <v>0</v>
      </c>
      <c r="AL230" s="18" t="s">
        <v>345</v>
      </c>
      <c r="AM230" s="18" t="s">
        <v>345</v>
      </c>
      <c r="AN230" s="18" t="s">
        <v>345</v>
      </c>
      <c r="AO230" s="18"/>
      <c r="AP230" s="24" t="s">
        <v>355</v>
      </c>
      <c r="AQ230" s="18" t="s">
        <v>345</v>
      </c>
      <c r="AR230" s="18" t="s">
        <v>345</v>
      </c>
      <c r="AS230" s="28"/>
      <c r="AT230" s="28" t="s">
        <v>1042</v>
      </c>
      <c r="AU230" s="18" t="s">
        <v>345</v>
      </c>
      <c r="AV230" s="18" t="s">
        <v>345</v>
      </c>
      <c r="AW230" s="18" t="s">
        <v>345</v>
      </c>
      <c r="AX230" s="32"/>
      <c r="AY230" s="18" t="s">
        <v>345</v>
      </c>
      <c r="AZ230" s="18" t="s">
        <v>345</v>
      </c>
      <c r="BA230" s="35" t="s">
        <v>358</v>
      </c>
      <c r="BB230" s="36" t="s">
        <v>359</v>
      </c>
      <c r="BC230" s="112"/>
    </row>
    <row r="231" spans="1:55" ht="76.5" customHeight="1" x14ac:dyDescent="0.25">
      <c r="A231" s="15">
        <v>227</v>
      </c>
      <c r="B231" s="15"/>
      <c r="C231" s="15" t="s">
        <v>1313</v>
      </c>
      <c r="D231" s="15" t="s">
        <v>1328</v>
      </c>
      <c r="E231" s="15" t="s">
        <v>1359</v>
      </c>
      <c r="F231" s="16" t="s">
        <v>272</v>
      </c>
      <c r="G231" s="17">
        <v>0</v>
      </c>
      <c r="H231" s="18" t="s">
        <v>1360</v>
      </c>
      <c r="I231" s="18"/>
      <c r="J231" s="18" t="s">
        <v>348</v>
      </c>
      <c r="K231" s="19">
        <v>1</v>
      </c>
      <c r="L231" s="20">
        <v>1</v>
      </c>
      <c r="M231" s="21">
        <v>0.2</v>
      </c>
      <c r="N231" s="22"/>
      <c r="O231" s="18" t="s">
        <v>349</v>
      </c>
      <c r="P231" s="18" t="s">
        <v>1356</v>
      </c>
      <c r="Q231" s="18" t="s">
        <v>1331</v>
      </c>
      <c r="R231" s="18" t="s">
        <v>1357</v>
      </c>
      <c r="S231" s="18"/>
      <c r="T231" s="22"/>
      <c r="U231" s="23"/>
      <c r="V231" s="22"/>
      <c r="W231" s="23"/>
      <c r="X231" s="24" t="s">
        <v>352</v>
      </c>
      <c r="Y231" s="18"/>
      <c r="Z231" s="18" t="s">
        <v>1361</v>
      </c>
      <c r="AA231" s="25">
        <v>46237</v>
      </c>
      <c r="AB231" s="25">
        <v>46241</v>
      </c>
      <c r="AC231" s="26">
        <v>46231</v>
      </c>
      <c r="AD231" s="26">
        <v>46237</v>
      </c>
      <c r="AE231" s="23">
        <v>46247</v>
      </c>
      <c r="AF231" s="23">
        <v>46252</v>
      </c>
      <c r="AG231" s="23">
        <v>46210</v>
      </c>
      <c r="AH231" s="27">
        <v>0</v>
      </c>
      <c r="AI231" s="24"/>
      <c r="AJ231" s="28"/>
      <c r="AK231" s="28">
        <v>0</v>
      </c>
      <c r="AL231" s="18" t="s">
        <v>345</v>
      </c>
      <c r="AM231" s="18" t="s">
        <v>345</v>
      </c>
      <c r="AN231" s="18" t="s">
        <v>345</v>
      </c>
      <c r="AO231" s="18"/>
      <c r="AP231" s="24" t="s">
        <v>355</v>
      </c>
      <c r="AQ231" s="18" t="s">
        <v>345</v>
      </c>
      <c r="AR231" s="18" t="s">
        <v>345</v>
      </c>
      <c r="AS231" s="28"/>
      <c r="AT231" s="28" t="s">
        <v>1042</v>
      </c>
      <c r="AU231" s="18" t="s">
        <v>345</v>
      </c>
      <c r="AV231" s="18" t="s">
        <v>345</v>
      </c>
      <c r="AW231" s="18" t="s">
        <v>345</v>
      </c>
      <c r="AX231" s="32"/>
      <c r="AY231" s="18" t="s">
        <v>345</v>
      </c>
      <c r="AZ231" s="18" t="s">
        <v>345</v>
      </c>
      <c r="BA231" s="35" t="s">
        <v>358</v>
      </c>
      <c r="BB231" s="36" t="s">
        <v>359</v>
      </c>
      <c r="BC231" s="112"/>
    </row>
    <row r="232" spans="1:55" ht="63.75" customHeight="1" x14ac:dyDescent="0.25">
      <c r="A232" s="15">
        <v>228</v>
      </c>
      <c r="B232" s="15"/>
      <c r="C232" s="15" t="s">
        <v>1313</v>
      </c>
      <c r="D232" s="15" t="s">
        <v>1328</v>
      </c>
      <c r="E232" s="15" t="s">
        <v>1362</v>
      </c>
      <c r="F232" s="16" t="s">
        <v>273</v>
      </c>
      <c r="G232" s="17">
        <v>0</v>
      </c>
      <c r="H232" s="18" t="s">
        <v>1363</v>
      </c>
      <c r="I232" s="18" t="s">
        <v>415</v>
      </c>
      <c r="J232" s="18" t="s">
        <v>348</v>
      </c>
      <c r="K232" s="19">
        <v>1</v>
      </c>
      <c r="L232" s="20">
        <v>1</v>
      </c>
      <c r="M232" s="21">
        <v>0.6</v>
      </c>
      <c r="N232" s="22" t="s">
        <v>469</v>
      </c>
      <c r="O232" s="18" t="s">
        <v>349</v>
      </c>
      <c r="P232" s="18" t="s">
        <v>1356</v>
      </c>
      <c r="Q232" s="18" t="s">
        <v>1364</v>
      </c>
      <c r="R232" s="18" t="s">
        <v>1365</v>
      </c>
      <c r="S232" s="18"/>
      <c r="T232" s="22"/>
      <c r="U232" s="23"/>
      <c r="V232" s="22"/>
      <c r="W232" s="23"/>
      <c r="X232" s="24" t="s">
        <v>352</v>
      </c>
      <c r="Y232" s="18"/>
      <c r="Z232" s="18" t="s">
        <v>1366</v>
      </c>
      <c r="AA232" s="25">
        <v>46225</v>
      </c>
      <c r="AB232" s="25">
        <v>46231</v>
      </c>
      <c r="AC232" s="26">
        <v>46219</v>
      </c>
      <c r="AD232" s="26">
        <v>46225</v>
      </c>
      <c r="AE232" s="23">
        <v>46235</v>
      </c>
      <c r="AF232" s="23">
        <v>46240</v>
      </c>
      <c r="AG232" s="23">
        <v>46209</v>
      </c>
      <c r="AH232" s="27">
        <v>0</v>
      </c>
      <c r="AI232" s="24"/>
      <c r="AJ232" s="28"/>
      <c r="AK232" s="28">
        <v>0</v>
      </c>
      <c r="AL232" s="18" t="s">
        <v>345</v>
      </c>
      <c r="AM232" s="18" t="s">
        <v>345</v>
      </c>
      <c r="AN232" s="18" t="s">
        <v>345</v>
      </c>
      <c r="AO232" s="18" t="s">
        <v>354</v>
      </c>
      <c r="AP232" s="24" t="s">
        <v>355</v>
      </c>
      <c r="AQ232" s="18" t="s">
        <v>345</v>
      </c>
      <c r="AR232" s="18" t="s">
        <v>345</v>
      </c>
      <c r="AS232" s="28"/>
      <c r="AT232" s="28" t="s">
        <v>552</v>
      </c>
      <c r="AU232" s="18" t="s">
        <v>345</v>
      </c>
      <c r="AV232" s="18" t="s">
        <v>345</v>
      </c>
      <c r="AW232" s="18" t="s">
        <v>345</v>
      </c>
      <c r="AX232" s="32" t="s">
        <v>545</v>
      </c>
      <c r="AY232" s="18" t="s">
        <v>345</v>
      </c>
      <c r="AZ232" s="18" t="s">
        <v>345</v>
      </c>
      <c r="BA232" s="35" t="s">
        <v>358</v>
      </c>
      <c r="BB232" s="36" t="s">
        <v>359</v>
      </c>
      <c r="BC232" s="112"/>
    </row>
    <row r="233" spans="1:55" ht="76.5" customHeight="1" x14ac:dyDescent="0.25">
      <c r="A233" s="15">
        <v>229</v>
      </c>
      <c r="B233" s="15"/>
      <c r="C233" s="15" t="s">
        <v>1313</v>
      </c>
      <c r="D233" s="15" t="s">
        <v>1328</v>
      </c>
      <c r="E233" s="15" t="s">
        <v>1367</v>
      </c>
      <c r="F233" s="16" t="s">
        <v>274</v>
      </c>
      <c r="G233" s="17">
        <v>0</v>
      </c>
      <c r="H233" s="18" t="s">
        <v>1368</v>
      </c>
      <c r="I233" s="18"/>
      <c r="J233" s="18" t="s">
        <v>348</v>
      </c>
      <c r="K233" s="19">
        <v>1</v>
      </c>
      <c r="L233" s="20">
        <v>1</v>
      </c>
      <c r="M233" s="21">
        <v>0</v>
      </c>
      <c r="N233" s="22"/>
      <c r="O233" s="18" t="s">
        <v>349</v>
      </c>
      <c r="P233" s="18" t="s">
        <v>1369</v>
      </c>
      <c r="Q233" s="18" t="s">
        <v>1364</v>
      </c>
      <c r="R233" s="18" t="s">
        <v>1370</v>
      </c>
      <c r="S233" s="18"/>
      <c r="T233" s="22"/>
      <c r="U233" s="23"/>
      <c r="V233" s="22"/>
      <c r="W233" s="23"/>
      <c r="X233" s="24" t="s">
        <v>352</v>
      </c>
      <c r="Y233" s="18"/>
      <c r="Z233" s="18" t="s">
        <v>1371</v>
      </c>
      <c r="AA233" s="25">
        <v>46240</v>
      </c>
      <c r="AB233" s="25">
        <v>46245</v>
      </c>
      <c r="AC233" s="26">
        <v>46234</v>
      </c>
      <c r="AD233" s="26">
        <v>46239</v>
      </c>
      <c r="AE233" s="23">
        <v>46249</v>
      </c>
      <c r="AF233" s="23">
        <v>46254</v>
      </c>
      <c r="AG233" s="23"/>
      <c r="AH233" s="27">
        <v>0</v>
      </c>
      <c r="AI233" s="24"/>
      <c r="AJ233" s="28"/>
      <c r="AK233" s="28">
        <v>0</v>
      </c>
      <c r="AL233" s="18" t="s">
        <v>345</v>
      </c>
      <c r="AM233" s="18" t="s">
        <v>345</v>
      </c>
      <c r="AN233" s="18" t="s">
        <v>345</v>
      </c>
      <c r="AO233" s="18"/>
      <c r="AP233" s="24" t="s">
        <v>355</v>
      </c>
      <c r="AQ233" s="18" t="s">
        <v>345</v>
      </c>
      <c r="AR233" s="18" t="s">
        <v>345</v>
      </c>
      <c r="AS233" s="28"/>
      <c r="AT233" s="28"/>
      <c r="AU233" s="18" t="s">
        <v>345</v>
      </c>
      <c r="AV233" s="18" t="s">
        <v>345</v>
      </c>
      <c r="AW233" s="18" t="s">
        <v>345</v>
      </c>
      <c r="AX233" s="32"/>
      <c r="AY233" s="18" t="s">
        <v>345</v>
      </c>
      <c r="AZ233" s="18" t="s">
        <v>345</v>
      </c>
      <c r="BA233" s="35" t="s">
        <v>358</v>
      </c>
      <c r="BB233" s="36" t="s">
        <v>359</v>
      </c>
      <c r="BC233" s="112"/>
    </row>
    <row r="234" spans="1:55" ht="76.5" customHeight="1" x14ac:dyDescent="0.25">
      <c r="A234" s="15">
        <v>230</v>
      </c>
      <c r="B234" s="15"/>
      <c r="C234" s="15" t="s">
        <v>1313</v>
      </c>
      <c r="D234" s="15" t="s">
        <v>1328</v>
      </c>
      <c r="E234" s="15" t="s">
        <v>1372</v>
      </c>
      <c r="F234" s="16" t="s">
        <v>275</v>
      </c>
      <c r="G234" s="17">
        <v>0</v>
      </c>
      <c r="H234" s="18" t="s">
        <v>1373</v>
      </c>
      <c r="I234" s="18"/>
      <c r="J234" s="18" t="s">
        <v>348</v>
      </c>
      <c r="K234" s="19">
        <v>1</v>
      </c>
      <c r="L234" s="20">
        <v>1</v>
      </c>
      <c r="M234" s="21">
        <v>0</v>
      </c>
      <c r="N234" s="22"/>
      <c r="O234" s="18" t="s">
        <v>349</v>
      </c>
      <c r="P234" s="18" t="s">
        <v>1374</v>
      </c>
      <c r="Q234" s="18" t="s">
        <v>1364</v>
      </c>
      <c r="R234" s="18" t="s">
        <v>1375</v>
      </c>
      <c r="S234" s="18"/>
      <c r="T234" s="22"/>
      <c r="U234" s="23"/>
      <c r="V234" s="22"/>
      <c r="W234" s="23"/>
      <c r="X234" s="24" t="s">
        <v>352</v>
      </c>
      <c r="Y234" s="18"/>
      <c r="Z234" s="18" t="s">
        <v>1376</v>
      </c>
      <c r="AA234" s="25">
        <v>46231</v>
      </c>
      <c r="AB234" s="25">
        <v>46237</v>
      </c>
      <c r="AC234" s="26">
        <v>46225</v>
      </c>
      <c r="AD234" s="26">
        <v>46231</v>
      </c>
      <c r="AE234" s="23">
        <v>46241</v>
      </c>
      <c r="AF234" s="23">
        <v>46246</v>
      </c>
      <c r="AG234" s="23"/>
      <c r="AH234" s="27">
        <v>0</v>
      </c>
      <c r="AI234" s="24"/>
      <c r="AJ234" s="28"/>
      <c r="AK234" s="28">
        <v>0</v>
      </c>
      <c r="AL234" s="18" t="s">
        <v>345</v>
      </c>
      <c r="AM234" s="18" t="s">
        <v>345</v>
      </c>
      <c r="AN234" s="18" t="s">
        <v>345</v>
      </c>
      <c r="AO234" s="18"/>
      <c r="AP234" s="24" t="s">
        <v>355</v>
      </c>
      <c r="AQ234" s="18" t="s">
        <v>345</v>
      </c>
      <c r="AR234" s="18" t="s">
        <v>345</v>
      </c>
      <c r="AS234" s="28"/>
      <c r="AT234" s="28"/>
      <c r="AU234" s="18" t="s">
        <v>345</v>
      </c>
      <c r="AV234" s="18" t="s">
        <v>345</v>
      </c>
      <c r="AW234" s="18" t="s">
        <v>345</v>
      </c>
      <c r="AX234" s="32"/>
      <c r="AY234" s="18" t="s">
        <v>345</v>
      </c>
      <c r="AZ234" s="18" t="s">
        <v>345</v>
      </c>
      <c r="BA234" s="35" t="s">
        <v>358</v>
      </c>
      <c r="BB234" s="36" t="s">
        <v>359</v>
      </c>
      <c r="BC234" s="112"/>
    </row>
    <row r="235" spans="1:55" ht="76.5" customHeight="1" x14ac:dyDescent="0.25">
      <c r="A235" s="15">
        <v>231</v>
      </c>
      <c r="B235" s="15"/>
      <c r="C235" s="15" t="s">
        <v>1313</v>
      </c>
      <c r="D235" s="15" t="s">
        <v>1328</v>
      </c>
      <c r="E235" s="15" t="s">
        <v>1377</v>
      </c>
      <c r="F235" s="16" t="s">
        <v>276</v>
      </c>
      <c r="G235" s="17">
        <v>0</v>
      </c>
      <c r="H235" s="18" t="s">
        <v>1378</v>
      </c>
      <c r="I235" s="18"/>
      <c r="J235" s="18" t="s">
        <v>348</v>
      </c>
      <c r="K235" s="19">
        <v>1</v>
      </c>
      <c r="L235" s="20">
        <v>1</v>
      </c>
      <c r="M235" s="21">
        <v>0</v>
      </c>
      <c r="N235" s="22"/>
      <c r="O235" s="18" t="s">
        <v>349</v>
      </c>
      <c r="P235" s="18" t="s">
        <v>1369</v>
      </c>
      <c r="Q235" s="18" t="s">
        <v>1331</v>
      </c>
      <c r="R235" s="18" t="s">
        <v>1379</v>
      </c>
      <c r="S235" s="18"/>
      <c r="T235" s="22"/>
      <c r="U235" s="23"/>
      <c r="V235" s="22"/>
      <c r="W235" s="23"/>
      <c r="X235" s="24" t="s">
        <v>352</v>
      </c>
      <c r="Y235" s="18"/>
      <c r="Z235" s="18" t="s">
        <v>1380</v>
      </c>
      <c r="AA235" s="25">
        <v>46245</v>
      </c>
      <c r="AB235" s="25">
        <v>46251</v>
      </c>
      <c r="AC235" s="26">
        <v>46239</v>
      </c>
      <c r="AD235" s="26">
        <v>46245</v>
      </c>
      <c r="AE235" s="23">
        <v>46255</v>
      </c>
      <c r="AF235" s="23">
        <v>46260</v>
      </c>
      <c r="AG235" s="23"/>
      <c r="AH235" s="27">
        <v>0</v>
      </c>
      <c r="AI235" s="24"/>
      <c r="AJ235" s="28"/>
      <c r="AK235" s="28">
        <v>0</v>
      </c>
      <c r="AL235" s="18" t="s">
        <v>345</v>
      </c>
      <c r="AM235" s="18" t="s">
        <v>345</v>
      </c>
      <c r="AN235" s="18" t="s">
        <v>345</v>
      </c>
      <c r="AO235" s="18"/>
      <c r="AP235" s="24" t="s">
        <v>355</v>
      </c>
      <c r="AQ235" s="18" t="s">
        <v>345</v>
      </c>
      <c r="AR235" s="18" t="s">
        <v>345</v>
      </c>
      <c r="AS235" s="28"/>
      <c r="AT235" s="28"/>
      <c r="AU235" s="18" t="s">
        <v>345</v>
      </c>
      <c r="AV235" s="18" t="s">
        <v>345</v>
      </c>
      <c r="AW235" s="18" t="s">
        <v>345</v>
      </c>
      <c r="AX235" s="32"/>
      <c r="AY235" s="18" t="s">
        <v>345</v>
      </c>
      <c r="AZ235" s="18" t="s">
        <v>345</v>
      </c>
      <c r="BA235" s="35" t="s">
        <v>358</v>
      </c>
      <c r="BB235" s="36" t="s">
        <v>359</v>
      </c>
      <c r="BC235" s="112"/>
    </row>
    <row r="236" spans="1:55" ht="63.75" customHeight="1" x14ac:dyDescent="0.25">
      <c r="A236" s="15">
        <v>232</v>
      </c>
      <c r="B236" s="15"/>
      <c r="C236" s="15" t="s">
        <v>1313</v>
      </c>
      <c r="D236" s="15" t="s">
        <v>1328</v>
      </c>
      <c r="E236" s="15" t="s">
        <v>1381</v>
      </c>
      <c r="F236" s="16" t="s">
        <v>277</v>
      </c>
      <c r="G236" s="17">
        <v>0</v>
      </c>
      <c r="H236" s="18" t="s">
        <v>1382</v>
      </c>
      <c r="I236" s="18"/>
      <c r="J236" s="18" t="s">
        <v>348</v>
      </c>
      <c r="K236" s="19">
        <v>1</v>
      </c>
      <c r="L236" s="20">
        <v>1</v>
      </c>
      <c r="M236" s="21">
        <v>0</v>
      </c>
      <c r="N236" s="22"/>
      <c r="O236" s="18" t="s">
        <v>349</v>
      </c>
      <c r="P236" s="18" t="s">
        <v>1369</v>
      </c>
      <c r="Q236" s="18" t="s">
        <v>1331</v>
      </c>
      <c r="R236" s="18" t="s">
        <v>1383</v>
      </c>
      <c r="S236" s="18"/>
      <c r="T236" s="22"/>
      <c r="U236" s="23"/>
      <c r="V236" s="22"/>
      <c r="W236" s="23"/>
      <c r="X236" s="24" t="s">
        <v>352</v>
      </c>
      <c r="Y236" s="18"/>
      <c r="Z236" s="18" t="s">
        <v>1384</v>
      </c>
      <c r="AA236" s="25">
        <v>46251</v>
      </c>
      <c r="AB236" s="25">
        <v>46254</v>
      </c>
      <c r="AC236" s="26">
        <v>46245</v>
      </c>
      <c r="AD236" s="26">
        <v>46248</v>
      </c>
      <c r="AE236" s="23">
        <v>46258</v>
      </c>
      <c r="AF236" s="23">
        <v>46263</v>
      </c>
      <c r="AG236" s="23"/>
      <c r="AH236" s="27">
        <v>0</v>
      </c>
      <c r="AI236" s="24"/>
      <c r="AJ236" s="28"/>
      <c r="AK236" s="28">
        <v>0</v>
      </c>
      <c r="AL236" s="18" t="s">
        <v>345</v>
      </c>
      <c r="AM236" s="18" t="s">
        <v>345</v>
      </c>
      <c r="AN236" s="18" t="s">
        <v>345</v>
      </c>
      <c r="AO236" s="18"/>
      <c r="AP236" s="24" t="s">
        <v>355</v>
      </c>
      <c r="AQ236" s="18" t="s">
        <v>345</v>
      </c>
      <c r="AR236" s="18" t="s">
        <v>345</v>
      </c>
      <c r="AS236" s="28"/>
      <c r="AT236" s="28"/>
      <c r="AU236" s="18" t="s">
        <v>345</v>
      </c>
      <c r="AV236" s="18" t="s">
        <v>345</v>
      </c>
      <c r="AW236" s="18" t="s">
        <v>345</v>
      </c>
      <c r="AX236" s="32"/>
      <c r="AY236" s="18" t="s">
        <v>345</v>
      </c>
      <c r="AZ236" s="18" t="s">
        <v>345</v>
      </c>
      <c r="BA236" s="35" t="s">
        <v>358</v>
      </c>
      <c r="BB236" s="36" t="s">
        <v>359</v>
      </c>
      <c r="BC236" s="112"/>
    </row>
    <row r="237" spans="1:55" ht="63.75" customHeight="1" x14ac:dyDescent="0.25">
      <c r="A237" s="15">
        <v>233</v>
      </c>
      <c r="B237" s="15"/>
      <c r="C237" s="15" t="s">
        <v>1313</v>
      </c>
      <c r="D237" s="15" t="s">
        <v>1000</v>
      </c>
      <c r="E237" s="15" t="s">
        <v>1385</v>
      </c>
      <c r="F237" s="16" t="s">
        <v>279</v>
      </c>
      <c r="G237" s="17">
        <v>0</v>
      </c>
      <c r="H237" s="18" t="s">
        <v>1386</v>
      </c>
      <c r="I237" s="18"/>
      <c r="J237" s="18" t="s">
        <v>387</v>
      </c>
      <c r="K237" s="19">
        <v>4.5</v>
      </c>
      <c r="L237" s="20">
        <v>36</v>
      </c>
      <c r="M237" s="21">
        <v>0</v>
      </c>
      <c r="N237" s="22"/>
      <c r="O237" s="18" t="s">
        <v>349</v>
      </c>
      <c r="P237" s="18" t="s">
        <v>1105</v>
      </c>
      <c r="Q237" s="18" t="s">
        <v>1387</v>
      </c>
      <c r="R237" s="18" t="s">
        <v>1387</v>
      </c>
      <c r="S237" s="18"/>
      <c r="T237" s="22"/>
      <c r="U237" s="23"/>
      <c r="V237" s="22"/>
      <c r="W237" s="23"/>
      <c r="X237" s="24" t="s">
        <v>352</v>
      </c>
      <c r="Y237" s="18"/>
      <c r="Z237" s="18" t="s">
        <v>1388</v>
      </c>
      <c r="AA237" s="25">
        <v>46245</v>
      </c>
      <c r="AB237" s="25">
        <v>46254</v>
      </c>
      <c r="AC237" s="26">
        <v>46239</v>
      </c>
      <c r="AD237" s="26">
        <v>46248</v>
      </c>
      <c r="AE237" s="23">
        <v>46258</v>
      </c>
      <c r="AF237" s="23">
        <v>46263</v>
      </c>
      <c r="AG237" s="23"/>
      <c r="AH237" s="27">
        <v>0</v>
      </c>
      <c r="AI237" s="24"/>
      <c r="AJ237" s="28"/>
      <c r="AK237" s="28">
        <v>0</v>
      </c>
      <c r="AL237" s="18" t="s">
        <v>345</v>
      </c>
      <c r="AM237" s="18" t="s">
        <v>345</v>
      </c>
      <c r="AN237" s="18" t="s">
        <v>345</v>
      </c>
      <c r="AO237" s="18"/>
      <c r="AP237" s="24" t="s">
        <v>355</v>
      </c>
      <c r="AQ237" s="18" t="s">
        <v>345</v>
      </c>
      <c r="AR237" s="18" t="s">
        <v>345</v>
      </c>
      <c r="AS237" s="28"/>
      <c r="AT237" s="28"/>
      <c r="AU237" s="18" t="s">
        <v>345</v>
      </c>
      <c r="AV237" s="18" t="s">
        <v>345</v>
      </c>
      <c r="AW237" s="18" t="s">
        <v>345</v>
      </c>
      <c r="AX237" s="32"/>
      <c r="AY237" s="18" t="s">
        <v>345</v>
      </c>
      <c r="AZ237" s="18" t="s">
        <v>345</v>
      </c>
      <c r="BA237" s="35" t="s">
        <v>358</v>
      </c>
      <c r="BB237" s="36" t="s">
        <v>359</v>
      </c>
      <c r="BC237" s="112"/>
    </row>
    <row r="238" spans="1:55" ht="76.5" customHeight="1" x14ac:dyDescent="0.25">
      <c r="A238" s="15">
        <v>234</v>
      </c>
      <c r="B238" s="15"/>
      <c r="C238" s="15" t="s">
        <v>1313</v>
      </c>
      <c r="D238" s="15" t="s">
        <v>664</v>
      </c>
      <c r="E238" s="15" t="s">
        <v>1389</v>
      </c>
      <c r="F238" s="16" t="s">
        <v>280</v>
      </c>
      <c r="G238" s="17">
        <v>0</v>
      </c>
      <c r="H238" s="18" t="s">
        <v>1390</v>
      </c>
      <c r="I238" s="18"/>
      <c r="J238" s="18" t="s">
        <v>387</v>
      </c>
      <c r="K238" s="19">
        <v>4</v>
      </c>
      <c r="L238" s="20">
        <v>32</v>
      </c>
      <c r="M238" s="21">
        <v>0.2</v>
      </c>
      <c r="N238" s="22"/>
      <c r="O238" s="18" t="s">
        <v>349</v>
      </c>
      <c r="P238" s="18" t="s">
        <v>1261</v>
      </c>
      <c r="Q238" s="18" t="s">
        <v>667</v>
      </c>
      <c r="R238" s="18" t="s">
        <v>1391</v>
      </c>
      <c r="S238" s="18"/>
      <c r="T238" s="22"/>
      <c r="U238" s="23"/>
      <c r="V238" s="22"/>
      <c r="W238" s="23"/>
      <c r="X238" s="24" t="s">
        <v>352</v>
      </c>
      <c r="Y238" s="18"/>
      <c r="Z238" s="18" t="s">
        <v>1392</v>
      </c>
      <c r="AA238" s="25">
        <v>46219</v>
      </c>
      <c r="AB238" s="25">
        <v>46226</v>
      </c>
      <c r="AC238" s="26">
        <v>46206</v>
      </c>
      <c r="AD238" s="26">
        <v>46213</v>
      </c>
      <c r="AE238" s="23">
        <v>46223</v>
      </c>
      <c r="AF238" s="23">
        <v>46228</v>
      </c>
      <c r="AG238" s="23">
        <v>46210</v>
      </c>
      <c r="AH238" s="27">
        <v>0</v>
      </c>
      <c r="AI238" s="24"/>
      <c r="AJ238" s="28"/>
      <c r="AK238" s="28">
        <v>0</v>
      </c>
      <c r="AL238" s="18" t="s">
        <v>345</v>
      </c>
      <c r="AM238" s="18" t="s">
        <v>345</v>
      </c>
      <c r="AN238" s="18" t="s">
        <v>345</v>
      </c>
      <c r="AO238" s="18"/>
      <c r="AP238" s="24" t="s">
        <v>355</v>
      </c>
      <c r="AQ238" s="18" t="s">
        <v>345</v>
      </c>
      <c r="AR238" s="18" t="s">
        <v>345</v>
      </c>
      <c r="AS238" s="28"/>
      <c r="AT238" s="28" t="s">
        <v>1393</v>
      </c>
      <c r="AU238" s="18" t="s">
        <v>345</v>
      </c>
      <c r="AV238" s="18" t="s">
        <v>345</v>
      </c>
      <c r="AW238" s="18" t="s">
        <v>345</v>
      </c>
      <c r="AX238" s="32"/>
      <c r="AY238" s="18" t="s">
        <v>345</v>
      </c>
      <c r="AZ238" s="18" t="s">
        <v>345</v>
      </c>
      <c r="BA238" s="35" t="s">
        <v>358</v>
      </c>
      <c r="BB238" s="36" t="s">
        <v>359</v>
      </c>
      <c r="BC238" s="112"/>
    </row>
    <row r="239" spans="1:55" ht="76.5" customHeight="1" x14ac:dyDescent="0.25">
      <c r="A239" s="15">
        <v>235</v>
      </c>
      <c r="B239" s="15"/>
      <c r="C239" s="15" t="s">
        <v>1313</v>
      </c>
      <c r="D239" s="15" t="s">
        <v>664</v>
      </c>
      <c r="E239" s="15" t="s">
        <v>1394</v>
      </c>
      <c r="F239" s="16" t="s">
        <v>281</v>
      </c>
      <c r="G239" s="17">
        <v>0</v>
      </c>
      <c r="H239" s="18" t="s">
        <v>1395</v>
      </c>
      <c r="I239" s="18" t="s">
        <v>415</v>
      </c>
      <c r="J239" s="18" t="s">
        <v>387</v>
      </c>
      <c r="K239" s="19">
        <v>1.875</v>
      </c>
      <c r="L239" s="20">
        <v>15</v>
      </c>
      <c r="M239" s="21">
        <v>0.9</v>
      </c>
      <c r="N239" s="22" t="s">
        <v>469</v>
      </c>
      <c r="O239" s="18" t="s">
        <v>349</v>
      </c>
      <c r="P239" s="18" t="s">
        <v>1396</v>
      </c>
      <c r="Q239" s="18" t="s">
        <v>667</v>
      </c>
      <c r="R239" s="18" t="s">
        <v>1357</v>
      </c>
      <c r="S239" s="18"/>
      <c r="T239" s="22" t="s">
        <v>1397</v>
      </c>
      <c r="U239" s="23">
        <v>46210.679327465281</v>
      </c>
      <c r="V239" s="22" t="s">
        <v>419</v>
      </c>
      <c r="W239" s="23">
        <v>46213.493148923611</v>
      </c>
      <c r="X239" s="24" t="s">
        <v>352</v>
      </c>
      <c r="Y239" s="18"/>
      <c r="Z239" s="18" t="s">
        <v>1398</v>
      </c>
      <c r="AA239" s="25">
        <v>46213</v>
      </c>
      <c r="AB239" s="25">
        <v>46219</v>
      </c>
      <c r="AC239" s="26">
        <v>46209</v>
      </c>
      <c r="AD239" s="26">
        <v>46210.679327465281</v>
      </c>
      <c r="AE239" s="23">
        <v>46220.679327465281</v>
      </c>
      <c r="AF239" s="23">
        <v>46225.679327465281</v>
      </c>
      <c r="AG239" s="23">
        <v>46199</v>
      </c>
      <c r="AH239" s="27">
        <v>0</v>
      </c>
      <c r="AI239" s="24"/>
      <c r="AJ239" s="28"/>
      <c r="AK239" s="28">
        <v>0</v>
      </c>
      <c r="AL239" s="18" t="s">
        <v>345</v>
      </c>
      <c r="AM239" s="18" t="s">
        <v>345</v>
      </c>
      <c r="AN239" s="18" t="s">
        <v>345</v>
      </c>
      <c r="AO239" s="18" t="s">
        <v>354</v>
      </c>
      <c r="AP239" s="24" t="s">
        <v>355</v>
      </c>
      <c r="AQ239" s="18" t="s">
        <v>345</v>
      </c>
      <c r="AR239" s="18" t="s">
        <v>345</v>
      </c>
      <c r="AS239" s="28"/>
      <c r="AT239" s="28" t="s">
        <v>1399</v>
      </c>
      <c r="AU239" s="18" t="s">
        <v>345</v>
      </c>
      <c r="AV239" s="18" t="s">
        <v>345</v>
      </c>
      <c r="AW239" s="18" t="s">
        <v>345</v>
      </c>
      <c r="AX239" s="32" t="s">
        <v>545</v>
      </c>
      <c r="AY239" s="18" t="s">
        <v>345</v>
      </c>
      <c r="AZ239" s="18" t="s">
        <v>345</v>
      </c>
      <c r="BA239" s="35" t="s">
        <v>358</v>
      </c>
      <c r="BB239" s="36" t="s">
        <v>359</v>
      </c>
      <c r="BC239" s="112"/>
    </row>
    <row r="240" spans="1:55" ht="76.5" customHeight="1" x14ac:dyDescent="0.25">
      <c r="A240" s="15">
        <v>236</v>
      </c>
      <c r="B240" s="15"/>
      <c r="C240" s="15" t="s">
        <v>1313</v>
      </c>
      <c r="D240" s="15" t="s">
        <v>664</v>
      </c>
      <c r="E240" s="15" t="s">
        <v>1400</v>
      </c>
      <c r="F240" s="16" t="s">
        <v>283</v>
      </c>
      <c r="G240" s="17">
        <v>0</v>
      </c>
      <c r="H240" s="18" t="s">
        <v>1401</v>
      </c>
      <c r="I240" s="18"/>
      <c r="J240" s="18" t="s">
        <v>387</v>
      </c>
      <c r="K240" s="19">
        <v>5</v>
      </c>
      <c r="L240" s="20">
        <v>40</v>
      </c>
      <c r="M240" s="21">
        <v>0.2</v>
      </c>
      <c r="N240" s="22"/>
      <c r="O240" s="18" t="s">
        <v>349</v>
      </c>
      <c r="P240" s="18" t="s">
        <v>1402</v>
      </c>
      <c r="Q240" s="18" t="s">
        <v>667</v>
      </c>
      <c r="R240" s="18" t="s">
        <v>1403</v>
      </c>
      <c r="S240" s="18"/>
      <c r="T240" s="22"/>
      <c r="U240" s="23"/>
      <c r="V240" s="22"/>
      <c r="W240" s="23"/>
      <c r="X240" s="24" t="s">
        <v>352</v>
      </c>
      <c r="Y240" s="18"/>
      <c r="Z240" s="18" t="s">
        <v>1404</v>
      </c>
      <c r="AA240" s="25">
        <v>46219</v>
      </c>
      <c r="AB240" s="25">
        <v>46225</v>
      </c>
      <c r="AC240" s="26">
        <v>46213</v>
      </c>
      <c r="AD240" s="26">
        <v>46219</v>
      </c>
      <c r="AE240" s="23">
        <v>46229</v>
      </c>
      <c r="AF240" s="23">
        <v>46234</v>
      </c>
      <c r="AG240" s="23">
        <v>46212</v>
      </c>
      <c r="AH240" s="27">
        <v>0</v>
      </c>
      <c r="AI240" s="24"/>
      <c r="AJ240" s="28"/>
      <c r="AK240" s="28">
        <v>0</v>
      </c>
      <c r="AL240" s="18" t="s">
        <v>345</v>
      </c>
      <c r="AM240" s="18" t="s">
        <v>345</v>
      </c>
      <c r="AN240" s="18" t="s">
        <v>345</v>
      </c>
      <c r="AO240" s="18"/>
      <c r="AP240" s="24" t="s">
        <v>355</v>
      </c>
      <c r="AQ240" s="18" t="s">
        <v>345</v>
      </c>
      <c r="AR240" s="18" t="s">
        <v>345</v>
      </c>
      <c r="AS240" s="28"/>
      <c r="AT240" s="28" t="s">
        <v>466</v>
      </c>
      <c r="AU240" s="18" t="s">
        <v>345</v>
      </c>
      <c r="AV240" s="18" t="s">
        <v>345</v>
      </c>
      <c r="AW240" s="18" t="s">
        <v>345</v>
      </c>
      <c r="AX240" s="32"/>
      <c r="AY240" s="18" t="s">
        <v>345</v>
      </c>
      <c r="AZ240" s="18" t="s">
        <v>345</v>
      </c>
      <c r="BA240" s="35" t="s">
        <v>358</v>
      </c>
      <c r="BB240" s="36" t="s">
        <v>359</v>
      </c>
      <c r="BC240" s="112"/>
    </row>
    <row r="241" spans="1:55" ht="76.5" customHeight="1" x14ac:dyDescent="0.25">
      <c r="A241" s="15">
        <v>237</v>
      </c>
      <c r="B241" s="15"/>
      <c r="C241" s="15" t="s">
        <v>1313</v>
      </c>
      <c r="D241" s="15" t="s">
        <v>664</v>
      </c>
      <c r="E241" s="15" t="s">
        <v>1405</v>
      </c>
      <c r="F241" s="16" t="s">
        <v>284</v>
      </c>
      <c r="G241" s="17">
        <v>0</v>
      </c>
      <c r="H241" s="18" t="s">
        <v>1406</v>
      </c>
      <c r="I241" s="18"/>
      <c r="J241" s="18" t="s">
        <v>387</v>
      </c>
      <c r="K241" s="19">
        <v>3</v>
      </c>
      <c r="L241" s="20">
        <v>24</v>
      </c>
      <c r="M241" s="21">
        <v>0</v>
      </c>
      <c r="N241" s="22"/>
      <c r="O241" s="18" t="s">
        <v>349</v>
      </c>
      <c r="P241" s="18" t="s">
        <v>1369</v>
      </c>
      <c r="Q241" s="18" t="s">
        <v>667</v>
      </c>
      <c r="R241" s="18" t="s">
        <v>1407</v>
      </c>
      <c r="S241" s="18"/>
      <c r="T241" s="22"/>
      <c r="U241" s="23"/>
      <c r="V241" s="22"/>
      <c r="W241" s="23"/>
      <c r="X241" s="24" t="s">
        <v>352</v>
      </c>
      <c r="Y241" s="18"/>
      <c r="Z241" s="18" t="s">
        <v>1408</v>
      </c>
      <c r="AA241" s="25">
        <v>46237</v>
      </c>
      <c r="AB241" s="25">
        <v>46240</v>
      </c>
      <c r="AC241" s="26">
        <v>46231</v>
      </c>
      <c r="AD241" s="26">
        <v>46234</v>
      </c>
      <c r="AE241" s="23">
        <v>46244</v>
      </c>
      <c r="AF241" s="23">
        <v>46249</v>
      </c>
      <c r="AG241" s="23"/>
      <c r="AH241" s="27">
        <v>0</v>
      </c>
      <c r="AI241" s="24"/>
      <c r="AJ241" s="28"/>
      <c r="AK241" s="28">
        <v>0</v>
      </c>
      <c r="AL241" s="18" t="s">
        <v>345</v>
      </c>
      <c r="AM241" s="18" t="s">
        <v>345</v>
      </c>
      <c r="AN241" s="18" t="s">
        <v>345</v>
      </c>
      <c r="AO241" s="18"/>
      <c r="AP241" s="24" t="s">
        <v>355</v>
      </c>
      <c r="AQ241" s="18" t="s">
        <v>345</v>
      </c>
      <c r="AR241" s="18" t="s">
        <v>345</v>
      </c>
      <c r="AS241" s="28"/>
      <c r="AT241" s="28"/>
      <c r="AU241" s="18" t="s">
        <v>345</v>
      </c>
      <c r="AV241" s="18" t="s">
        <v>345</v>
      </c>
      <c r="AW241" s="18" t="s">
        <v>345</v>
      </c>
      <c r="AX241" s="32"/>
      <c r="AY241" s="18" t="s">
        <v>345</v>
      </c>
      <c r="AZ241" s="18" t="s">
        <v>345</v>
      </c>
      <c r="BA241" s="35" t="s">
        <v>358</v>
      </c>
      <c r="BB241" s="36" t="s">
        <v>359</v>
      </c>
      <c r="BC241" s="112"/>
    </row>
    <row r="242" spans="1:55" ht="63.75" customHeight="1" x14ac:dyDescent="0.25">
      <c r="A242" s="15">
        <v>238</v>
      </c>
      <c r="B242" s="15"/>
      <c r="C242" s="15" t="s">
        <v>1313</v>
      </c>
      <c r="D242" s="15" t="s">
        <v>664</v>
      </c>
      <c r="E242" s="15" t="s">
        <v>1409</v>
      </c>
      <c r="F242" s="16" t="s">
        <v>285</v>
      </c>
      <c r="G242" s="17">
        <v>0</v>
      </c>
      <c r="H242" s="18" t="s">
        <v>1410</v>
      </c>
      <c r="I242" s="18"/>
      <c r="J242" s="18" t="s">
        <v>387</v>
      </c>
      <c r="K242" s="19">
        <v>3</v>
      </c>
      <c r="L242" s="20">
        <v>24</v>
      </c>
      <c r="M242" s="21">
        <v>0</v>
      </c>
      <c r="N242" s="22"/>
      <c r="O242" s="18" t="s">
        <v>349</v>
      </c>
      <c r="P242" s="18" t="s">
        <v>854</v>
      </c>
      <c r="Q242" s="18" t="s">
        <v>667</v>
      </c>
      <c r="R242" s="18" t="s">
        <v>1411</v>
      </c>
      <c r="S242" s="18"/>
      <c r="T242" s="22"/>
      <c r="U242" s="23"/>
      <c r="V242" s="22"/>
      <c r="W242" s="23"/>
      <c r="X242" s="24" t="s">
        <v>352</v>
      </c>
      <c r="Y242" s="18"/>
      <c r="Z242" s="18" t="s">
        <v>1412</v>
      </c>
      <c r="AA242" s="25">
        <v>46251</v>
      </c>
      <c r="AB242" s="25">
        <v>46258</v>
      </c>
      <c r="AC242" s="26">
        <v>46230</v>
      </c>
      <c r="AD242" s="26">
        <v>46237</v>
      </c>
      <c r="AE242" s="23">
        <v>46247</v>
      </c>
      <c r="AF242" s="23">
        <v>46252</v>
      </c>
      <c r="AG242" s="23"/>
      <c r="AH242" s="27">
        <v>0</v>
      </c>
      <c r="AI242" s="24"/>
      <c r="AJ242" s="28"/>
      <c r="AK242" s="28">
        <v>0</v>
      </c>
      <c r="AL242" s="18" t="s">
        <v>345</v>
      </c>
      <c r="AM242" s="18" t="s">
        <v>345</v>
      </c>
      <c r="AN242" s="18" t="s">
        <v>345</v>
      </c>
      <c r="AO242" s="18"/>
      <c r="AP242" s="24" t="s">
        <v>355</v>
      </c>
      <c r="AQ242" s="18" t="s">
        <v>345</v>
      </c>
      <c r="AR242" s="18" t="s">
        <v>345</v>
      </c>
      <c r="AS242" s="28"/>
      <c r="AT242" s="28"/>
      <c r="AU242" s="18" t="s">
        <v>345</v>
      </c>
      <c r="AV242" s="18" t="s">
        <v>345</v>
      </c>
      <c r="AW242" s="18" t="s">
        <v>345</v>
      </c>
      <c r="AX242" s="32"/>
      <c r="AY242" s="18" t="s">
        <v>345</v>
      </c>
      <c r="AZ242" s="18" t="s">
        <v>345</v>
      </c>
      <c r="BA242" s="35" t="s">
        <v>358</v>
      </c>
      <c r="BB242" s="36" t="s">
        <v>359</v>
      </c>
      <c r="BC242" s="112"/>
    </row>
    <row r="243" spans="1:55" ht="76.5" customHeight="1" x14ac:dyDescent="0.25">
      <c r="A243" s="15">
        <v>239</v>
      </c>
      <c r="B243" s="15"/>
      <c r="C243" s="15" t="s">
        <v>1313</v>
      </c>
      <c r="D243" s="15" t="s">
        <v>620</v>
      </c>
      <c r="E243" s="15" t="s">
        <v>1413</v>
      </c>
      <c r="F243" s="16" t="s">
        <v>286</v>
      </c>
      <c r="G243" s="17">
        <v>0</v>
      </c>
      <c r="H243" s="18" t="s">
        <v>1414</v>
      </c>
      <c r="I243" s="18" t="s">
        <v>359</v>
      </c>
      <c r="J243" s="18" t="s">
        <v>387</v>
      </c>
      <c r="K243" s="19">
        <v>1.875</v>
      </c>
      <c r="L243" s="20">
        <v>15</v>
      </c>
      <c r="M243" s="21">
        <v>0.9</v>
      </c>
      <c r="N243" s="22" t="s">
        <v>469</v>
      </c>
      <c r="O243" s="18" t="s">
        <v>349</v>
      </c>
      <c r="P243" s="18" t="s">
        <v>1415</v>
      </c>
      <c r="Q243" s="18" t="s">
        <v>1416</v>
      </c>
      <c r="R243" s="18" t="s">
        <v>1417</v>
      </c>
      <c r="S243" s="18"/>
      <c r="T243" s="22" t="s">
        <v>1418</v>
      </c>
      <c r="U243" s="23">
        <v>46209.706836458332</v>
      </c>
      <c r="V243" s="22" t="s">
        <v>742</v>
      </c>
      <c r="W243" s="23">
        <v>46212.488815972218</v>
      </c>
      <c r="X243" s="24" t="s">
        <v>374</v>
      </c>
      <c r="Y243" s="18"/>
      <c r="Z243" s="18"/>
      <c r="AA243" s="25"/>
      <c r="AB243" s="25"/>
      <c r="AC243" s="26">
        <v>46192</v>
      </c>
      <c r="AD243" s="26">
        <v>46209.706836458332</v>
      </c>
      <c r="AE243" s="23">
        <v>46219.706836458332</v>
      </c>
      <c r="AF243" s="23">
        <v>46224.706836458332</v>
      </c>
      <c r="AG243" s="23">
        <v>46205</v>
      </c>
      <c r="AH243" s="27">
        <v>0</v>
      </c>
      <c r="AI243" s="24"/>
      <c r="AJ243" s="28"/>
      <c r="AK243" s="28">
        <v>0</v>
      </c>
      <c r="AL243" s="18" t="s">
        <v>345</v>
      </c>
      <c r="AM243" s="18" t="s">
        <v>345</v>
      </c>
      <c r="AN243" s="18" t="s">
        <v>345</v>
      </c>
      <c r="AO243" s="18" t="s">
        <v>354</v>
      </c>
      <c r="AP243" s="24" t="s">
        <v>355</v>
      </c>
      <c r="AQ243" s="18" t="s">
        <v>345</v>
      </c>
      <c r="AR243" s="18" t="s">
        <v>345</v>
      </c>
      <c r="AS243" s="28"/>
      <c r="AT243" s="28" t="s">
        <v>1419</v>
      </c>
      <c r="AU243" s="18" t="s">
        <v>345</v>
      </c>
      <c r="AV243" s="18" t="s">
        <v>345</v>
      </c>
      <c r="AW243" s="18" t="s">
        <v>345</v>
      </c>
      <c r="AX243" s="32" t="s">
        <v>545</v>
      </c>
      <c r="AY243" s="18" t="s">
        <v>345</v>
      </c>
      <c r="AZ243" s="18" t="s">
        <v>345</v>
      </c>
      <c r="BA243" s="35" t="s">
        <v>358</v>
      </c>
      <c r="BB243" s="36" t="s">
        <v>359</v>
      </c>
      <c r="BC243" s="112"/>
    </row>
    <row r="244" spans="1:55" x14ac:dyDescent="0.25">
      <c r="A244" s="15"/>
      <c r="B244" s="15"/>
      <c r="C244" s="15"/>
      <c r="D244" s="15"/>
      <c r="E244" s="15"/>
      <c r="F244" s="16"/>
      <c r="G244" s="17"/>
      <c r="H244" s="18"/>
      <c r="I244" s="18"/>
      <c r="J244" s="18"/>
      <c r="K244" s="19"/>
      <c r="L244" s="20"/>
      <c r="M244" s="21"/>
      <c r="N244" s="22"/>
      <c r="O244" s="18"/>
      <c r="P244" s="18"/>
      <c r="Q244" s="18"/>
      <c r="R244" s="18"/>
      <c r="S244" s="18"/>
      <c r="T244" s="22"/>
      <c r="U244" s="23"/>
      <c r="V244" s="22"/>
      <c r="W244" s="23"/>
      <c r="X244" s="24"/>
      <c r="Y244" s="18"/>
      <c r="Z244" s="18"/>
      <c r="AA244" s="25"/>
      <c r="AB244" s="25"/>
      <c r="AC244" s="26"/>
      <c r="AD244" s="26"/>
      <c r="AE244" s="23"/>
      <c r="AF244" s="23"/>
      <c r="AG244" s="23"/>
      <c r="AH244" s="27"/>
      <c r="AI244" s="24"/>
      <c r="AJ244" s="28"/>
      <c r="AK244" s="28"/>
      <c r="AL244" s="26"/>
      <c r="AM244" s="26"/>
      <c r="AN244" s="26"/>
      <c r="AO244" s="18"/>
      <c r="AP244" s="24"/>
      <c r="AQ244" s="20"/>
      <c r="AR244" s="29"/>
      <c r="AS244" s="28"/>
      <c r="AT244" s="28"/>
      <c r="AU244" s="28"/>
      <c r="AV244" s="30"/>
      <c r="AW244" s="31"/>
      <c r="AX244" s="32"/>
      <c r="AY244" s="33"/>
      <c r="AZ244" s="34"/>
      <c r="BA244" s="35"/>
      <c r="BB244" s="36"/>
      <c r="BC244" s="112"/>
    </row>
    <row r="245" spans="1:55" x14ac:dyDescent="0.25">
      <c r="A245" s="79"/>
      <c r="B245" s="79"/>
      <c r="C245" s="79"/>
      <c r="D245" s="79"/>
      <c r="E245" s="79"/>
      <c r="F245" s="80"/>
      <c r="G245" s="81"/>
      <c r="H245" s="82"/>
      <c r="I245" s="82"/>
      <c r="J245" s="82"/>
      <c r="K245" s="83"/>
      <c r="L245" s="84"/>
      <c r="M245" s="85"/>
      <c r="N245" s="86"/>
      <c r="O245" s="82"/>
      <c r="P245" s="82"/>
      <c r="Q245" s="82"/>
      <c r="R245" s="82"/>
      <c r="S245" s="82"/>
      <c r="T245" s="86"/>
      <c r="U245" s="87"/>
      <c r="V245" s="86"/>
      <c r="W245" s="87"/>
      <c r="X245" s="88"/>
      <c r="Y245" s="82"/>
      <c r="Z245" s="82"/>
      <c r="AA245" s="89"/>
      <c r="AB245" s="89"/>
      <c r="AC245" s="90"/>
      <c r="AD245" s="90"/>
      <c r="AE245" s="87"/>
      <c r="AF245" s="87"/>
      <c r="AG245" s="87"/>
      <c r="AH245" s="91"/>
      <c r="AI245" s="88"/>
      <c r="AJ245" s="92"/>
      <c r="AK245" s="92"/>
      <c r="AL245" s="90"/>
      <c r="AM245" s="90"/>
      <c r="AN245" s="90"/>
      <c r="AO245" s="82"/>
      <c r="AP245" s="88"/>
      <c r="AQ245" s="84"/>
      <c r="AR245" s="93"/>
      <c r="AS245" s="92"/>
      <c r="AT245" s="92"/>
      <c r="AU245" s="92"/>
      <c r="AV245" s="94"/>
      <c r="AW245" s="95"/>
      <c r="AX245" s="96"/>
      <c r="AY245" s="97"/>
      <c r="AZ245" s="98"/>
      <c r="BA245" s="99"/>
      <c r="BB245" s="100"/>
      <c r="BC245" s="113"/>
    </row>
  </sheetData>
  <autoFilter ref="A4:BC4" xr:uid="{00000000-0009-0000-0000-000000000000}"/>
  <mergeCells count="2">
    <mergeCell ref="A1:C2"/>
    <mergeCell ref="D1:AZ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86"/>
  <sheetViews>
    <sheetView topLeftCell="H43" zoomScale="70" zoomScaleNormal="70" workbookViewId="0">
      <selection activeCell="L60" sqref="L60"/>
    </sheetView>
  </sheetViews>
  <sheetFormatPr defaultRowHeight="28.5" customHeight="1" x14ac:dyDescent="0.25"/>
  <cols>
    <col min="1" max="1" width="10.28515625" style="1" bestFit="1" customWidth="1"/>
    <col min="2" max="2" width="28" style="1" bestFit="1" customWidth="1"/>
    <col min="3" max="3" width="31.42578125" style="1" bestFit="1" customWidth="1"/>
    <col min="4" max="4" width="30.5703125" style="1" bestFit="1" customWidth="1"/>
    <col min="5" max="5" width="79.140625" style="1" bestFit="1" customWidth="1"/>
    <col min="6" max="8" width="15.7109375" style="1" customWidth="1"/>
    <col min="9" max="9" width="9.5703125" style="1" customWidth="1"/>
    <col min="10" max="10" width="23.28515625" style="1" customWidth="1"/>
    <col min="11" max="11" width="27.28515625" style="41" customWidth="1"/>
    <col min="12" max="12" width="19.28515625" style="41" customWidth="1"/>
    <col min="13" max="13" width="23.28515625" style="42" customWidth="1"/>
    <col min="14" max="14" width="26" style="1" customWidth="1"/>
    <col min="15" max="15" width="28.28515625" style="1" customWidth="1"/>
    <col min="16" max="16" width="21.7109375" style="1" customWidth="1"/>
    <col min="17" max="17" width="25.28515625" style="1" customWidth="1"/>
    <col min="18" max="18" width="29.140625" style="41" bestFit="1" customWidth="1"/>
    <col min="19" max="20" width="24.7109375" style="41" customWidth="1"/>
    <col min="21" max="23" width="24.7109375" style="1" customWidth="1"/>
    <col min="24" max="24" width="9.140625" style="54" customWidth="1"/>
    <col min="25" max="16384" width="9.140625" style="54"/>
  </cols>
  <sheetData>
    <row r="1" spans="1:23" ht="28.5" customHeight="1" x14ac:dyDescent="0.25">
      <c r="B1" s="64"/>
      <c r="C1" s="64" t="s">
        <v>1420</v>
      </c>
      <c r="D1" s="77">
        <v>46215</v>
      </c>
      <c r="M1" s="1"/>
      <c r="Q1" s="76"/>
    </row>
    <row r="2" spans="1:23" ht="28.5" customHeight="1" x14ac:dyDescent="0.25">
      <c r="A2" s="61" t="s">
        <v>1421</v>
      </c>
      <c r="B2" s="61" t="s">
        <v>1421</v>
      </c>
      <c r="C2" s="61" t="s">
        <v>1421</v>
      </c>
      <c r="D2" s="61" t="s">
        <v>1421</v>
      </c>
      <c r="E2" s="61"/>
      <c r="F2" s="61" t="s">
        <v>1422</v>
      </c>
      <c r="G2" s="61" t="s">
        <v>1422</v>
      </c>
      <c r="H2" s="61" t="s">
        <v>1422</v>
      </c>
      <c r="I2" s="61" t="s">
        <v>1422</v>
      </c>
      <c r="J2" s="61" t="s">
        <v>1422</v>
      </c>
      <c r="K2" s="58" t="s">
        <v>1422</v>
      </c>
      <c r="L2" s="58" t="s">
        <v>1422</v>
      </c>
      <c r="M2" s="58" t="s">
        <v>1422</v>
      </c>
      <c r="N2" s="61" t="s">
        <v>1422</v>
      </c>
      <c r="O2" s="61" t="s">
        <v>1422</v>
      </c>
      <c r="P2" s="61" t="s">
        <v>1422</v>
      </c>
      <c r="Q2" s="61" t="s">
        <v>1422</v>
      </c>
    </row>
    <row r="3" spans="1:23" s="59" customFormat="1" ht="28.5" customHeight="1" x14ac:dyDescent="0.25">
      <c r="A3" s="2" t="s">
        <v>288</v>
      </c>
      <c r="B3" s="2" t="s">
        <v>0</v>
      </c>
      <c r="C3" s="2" t="s">
        <v>1423</v>
      </c>
      <c r="D3" s="2" t="s">
        <v>1</v>
      </c>
      <c r="E3" s="2" t="s">
        <v>3</v>
      </c>
      <c r="F3" s="62" t="s">
        <v>1424</v>
      </c>
      <c r="G3" s="62" t="s">
        <v>1425</v>
      </c>
      <c r="H3" s="62" t="s">
        <v>1426</v>
      </c>
      <c r="I3" s="62" t="s">
        <v>1427</v>
      </c>
      <c r="J3" s="62" t="s">
        <v>1428</v>
      </c>
      <c r="K3" s="44" t="s">
        <v>1429</v>
      </c>
      <c r="L3" s="44" t="s">
        <v>1430</v>
      </c>
      <c r="M3" s="45" t="s">
        <v>1431</v>
      </c>
      <c r="N3" s="62" t="s">
        <v>1432</v>
      </c>
      <c r="O3" s="62" t="s">
        <v>1433</v>
      </c>
      <c r="P3" s="62" t="s">
        <v>1434</v>
      </c>
      <c r="Q3" s="62" t="s">
        <v>307</v>
      </c>
      <c r="R3" s="49" t="s">
        <v>1435</v>
      </c>
      <c r="S3" s="49" t="s">
        <v>1436</v>
      </c>
      <c r="T3" s="49" t="s">
        <v>1437</v>
      </c>
      <c r="U3" s="2" t="s">
        <v>1438</v>
      </c>
      <c r="V3" s="2" t="s">
        <v>1439</v>
      </c>
      <c r="W3" s="2" t="s">
        <v>1440</v>
      </c>
    </row>
    <row r="4" spans="1:23" s="60" customFormat="1" ht="28.5" customHeight="1" x14ac:dyDescent="0.2">
      <c r="A4" s="39">
        <v>1</v>
      </c>
      <c r="B4" s="39" t="e">
        <f>_xlfn.XLOOKUP(D4,'LD-ELFA'!F:F,'LD-ELFA'!C:C)</f>
        <v>#N/A</v>
      </c>
      <c r="C4" s="39" t="e">
        <f>_xlfn.XLOOKUP(D4,'LD-ELFA'!F:F,'LD-ELFA'!D:D)</f>
        <v>#N/A</v>
      </c>
      <c r="D4" s="39" t="s">
        <v>8</v>
      </c>
      <c r="E4" s="39" t="e">
        <f>_xlfn.LET(_xlpm.q,_xlfn.XLOOKUP(D4,'LD-ELFA'!F:F,'LD-ELFA'!Q:Q),
   _xlpm.r,_xlfn.XLOOKUP(D4,'LD-ELFA'!F:F,'LD-ELFA'!R:R),
   IF(_xlpm.r = "", _xlpm.q, _xlpm.q &amp; " - " &amp; _xlpm.r))</f>
        <v>#N/A</v>
      </c>
      <c r="F4" s="63" t="str">
        <f t="shared" ref="F4:F67" si="0">IF(ISNUMBER(VALUE(RIGHT(D4,4))),
IF(AND(VALUE(RIGHT(D4,4))&gt;=1000, VALUE(RIGHT(D4,4))&lt;2000), "Conceitual",
IF(AND(VALUE(RIGHT(D4,4))&gt;=2000, VALUE(RIGHT(D4,4))&lt;3000), "Básico",
IF(AND(VALUE(RIGHT(D4,4))&gt;=3000, VALUE(RIGHT(D4,4))&lt;4000), "Detalhado", ""))),
"")</f>
        <v>Básico</v>
      </c>
      <c r="G4" s="63" t="e">
        <f>_xlfn.XLOOKUP(D4,'LD-ELFA'!F:F,'LD-ELFA'!G:G)</f>
        <v>#N/A</v>
      </c>
      <c r="H4" s="63" t="e">
        <f>_xlfn.XLOOKUP(D4,'LD-ELFA'!F:F,'LD-ELFA'!I:I)</f>
        <v>#N/A</v>
      </c>
      <c r="I4" s="63" t="e">
        <f>IF(_xlfn.XLOOKUP(D4,'LD-ELFA'!F:F,'LD-ELFA'!T:T)="","",_xlfn.XLOOKUP(D4,'LD-ELFA'!F:F,'LD-ELFA'!T:T))</f>
        <v>#N/A</v>
      </c>
      <c r="J4" s="63" t="e">
        <f>IF(K4="Documento a emitir", "",_xlfn.XLOOKUP(D4,'LD-ELFA'!F:F,'LD-ELFA'!N:N))</f>
        <v>#N/A</v>
      </c>
      <c r="K4" s="43" t="e">
        <f>IF(_xlfn.XLOOKUP($D4,'LD-ELFA'!F:F,'LD-ELFA'!U:U)="","Documento a emitir",_xlfn.XLOOKUP($D4,'LD-ELFA'!F:F,'LD-ELFA'!U:U))</f>
        <v>#N/A</v>
      </c>
      <c r="L4" s="43" t="e">
        <f>IF(K4="Documento a emitir","Documento a emitir",IF(K4&lt;&gt;"Documento a emitir",IF(_xlfn.XLOOKUP(D4,'LD-ELFA'!F:F,'LD-ELFA'!W:W)="","",_xlfn.XLOOKUP(D4,'LD-ELFA'!F:F,'LD-ELFA'!W:W)),""))</f>
        <v>#N/A</v>
      </c>
      <c r="M4" s="43" t="e">
        <f>IF(K4="Documento a emitir","",IF(AND(Q4="APC-R  - APC-R - Aprovado com Comentários (Retornar para uma nova Aprovação)",Q4="APC-L  - APC-L  - Aprovado com Comentários (Retornar Aprovado)"),"",IF(OR(_xlfn.XLOOKUP(D4,'LD-ELFA'!F:F,'LD-ELFA'!N:N)="PARA CONHECIMENTO",_xlfn.XLOOKUP(D4,'LD-ELFA'!F:F,'LD-ELFA'!N:N)="PARA CONSTRUÇÃO",_xlfn.XLOOKUP(D4,'LD-ELFA'!F:F,'LD-ELFA'!N:N)="PARA COTAÇÃO",_xlfn.XLOOKUP(D4,'LD-ELFA'!F:F,'LD-ELFA'!N:N)="CANCELADO"),_xlfn.XLOOKUP(D4,'LD-ELFA'!F:F,'LD-ELFA'!U:U),IF(AND(L4="",J4&lt;&gt;"PARA APROVAÇÃO"),"",""))))</f>
        <v>#N/A</v>
      </c>
      <c r="N4" s="63" t="str">
        <f t="shared" ref="N4:N10" ca="1" si="1">IF(O4="Documento Concluído","Documento Concluído",IF(O4="Cliente - Atendimento de Comentário",IF(TODAY()&lt;=(K4+3),"No prazo","Atrasado"),IF(O4="Cliente - Atendimento de Comentário",IF(TODAY()&lt;=(WORKDAY(K4,3,0)),"No prazo","Atrasado"),IF(O4="Blossom - Emissão Final",IF(TODAY()&lt;=(WORKDAY(L4,3,0)),"No prazo","Atrasado"),IF(O4="Blossom - Atendimento de Comentário",IF(TODAY()&lt;=(WORKDAY(L4,3,0)),"No prazo","Atrasado"),IF(O4="Blossom - Documento a emitir","Documento a Emitir",IF(O4="Documento Removido","Documento Removido","ERRO")))))))</f>
        <v>Documento Removido</v>
      </c>
      <c r="O4" s="63" t="str">
        <f t="shared" ref="O4:O67" si="2">IF(R4="Documento Removido","Documento Removido",IF(M4&lt;&gt;"","Documento Concluído",IF(AND(M4="",Q4="PARA APROVAÇÃO"),"Blossom - Emissão Final",IF(AND(M4="",Q4="APC-L  - APC-L  - Aprovado com Comentários (Retornar Aprovado)",Q4="APC-R  - APC-R - Aprovado com Comentários (Retornar para uma nova Aprovação)"),"Blossom - Atendimento de Comentário",IF(AND(L4&lt;&gt;"",J4="PARA APROVAÇÃO"),"Blossom - Atendimento de Comentário",IF(AND(L4&lt;&gt;"",J4="PRELIMINAR"),"Blossom - Atendimento de Comentário",IF(AND(L4="",J4&lt;&gt;"PARA APROVAÇÃO"),"Cliente - Atendimento de Comentário",IF(AND(L4="",J4&lt;&gt;"PRELIMINAR"),"Cliente - Atendimento de Comentário",IF(AND(K4&lt;&gt;"Documento a emitir",J4="PARA APROVAÇÃO"),"Cliente - Atendimento de Comentário",IF(K4="Documento a emitir","Blossom - Documento a emitir","ERRO"))))))))))</f>
        <v>Documento Removido</v>
      </c>
      <c r="P4" s="63" t="str">
        <f t="shared" ref="P4:P67" si="3">IF(O4="Documento finalizado","Documento finalizado",IF(ISNUMBER(FIND("Cliente",O4)),"Circlua","Blossom"))</f>
        <v>Blossom</v>
      </c>
      <c r="Q4" s="63" t="e">
        <f>IF(_xlfn.XLOOKUP(D4,'LD-ELFA'!F:F,'LD-ELFA'!V:V)="","",_xlfn.XLOOKUP(D4,'LD-ELFA'!F:F,'LD-ELFA'!V:V))</f>
        <v>#N/A</v>
      </c>
      <c r="R4" s="40" t="str">
        <f>IFERROR(IF(I4&lt;&gt;"","Documento Emitido",_xlfn.XLOOKUP(D4,Cronograma!P:P,Cronograma!Q:Q)),"Documento Removido")</f>
        <v>Documento Removido</v>
      </c>
      <c r="S4" s="40" t="str">
        <f t="shared" ref="S4:S67" ca="1" si="4">IFERROR(IF(K4&lt;&gt;"Documento a emitir","Documento Emitido",IF(R4&lt;TODAY(),"Emissão Atrasada","No prazo")),"Documento Removido")</f>
        <v>Documento Removido</v>
      </c>
      <c r="T4" s="40" t="str">
        <f>IFERROR(IF(I4&lt;&gt;"","Documento Emitido",_xlfn.XLOOKUP(D4,Cronograma!P:P,Cronograma!R:R)),"Documento Removido")</f>
        <v>Documento Removido</v>
      </c>
      <c r="U4" s="39" t="str">
        <f t="shared" ref="U4:U67" si="5">IFERROR(IF(K4&lt;&gt;"Documento a emitir","Documento Emitido",IF(T4&lt;R4,"Emissão Atrasada","No prazo")),"Documento Removido")</f>
        <v>Documento Removido</v>
      </c>
      <c r="V4" s="39" t="str">
        <f t="shared" ref="V4:V67" si="6">IF(R4="Documento Emitido","Documento Emitido",
IF(R4="Documento Removido","Documento Removido",
IF(AND(R4-$D$1&gt;=0,R4-$D$1&lt;=7),"Semana 1",
IF(AND(R4-$D$1&gt;7,R4-$D$1&lt;=14),"Semana 2",IF(AND(R4-$D$1&gt;14,R4-$D$1&lt;=21),"Semana 3","")))))</f>
        <v>Documento Removido</v>
      </c>
      <c r="W4" s="39" t="e">
        <f t="shared" ref="W4:W67" ca="1" si="7">IF(OR(K4="Documento a emitir", K4="Documento Emitido"), "",
IF(AND(ISNUMBER(K4),
K4&gt;=TODAY()-WEEKDAY(TODAY(),2)-6,
K4&lt;=TODAY()-WEEKDAY(TODAY(),2)+5),
IF(G4=0, "Emissão Semana", "Atendimento de Comentário"),
""))</f>
        <v>#N/A</v>
      </c>
    </row>
    <row r="5" spans="1:23" s="60" customFormat="1" ht="28.5" customHeight="1" x14ac:dyDescent="0.2">
      <c r="A5" s="39">
        <v>2</v>
      </c>
      <c r="B5" s="39" t="e">
        <f>_xlfn.XLOOKUP(D5,'LD-ELFA'!F:F,'LD-ELFA'!C:C)</f>
        <v>#N/A</v>
      </c>
      <c r="C5" s="39" t="e">
        <f>_xlfn.XLOOKUP(D5,'LD-ELFA'!F:F,'LD-ELFA'!D:D)</f>
        <v>#N/A</v>
      </c>
      <c r="D5" s="39" t="s">
        <v>9</v>
      </c>
      <c r="E5" s="39" t="e">
        <f>_xlfn.LET(_xlpm.q,_xlfn.XLOOKUP(D5,'LD-ELFA'!F:F,'LD-ELFA'!Q:Q),
   _xlpm.r,_xlfn.XLOOKUP(D5,'LD-ELFA'!F:F,'LD-ELFA'!R:R),
   IF(_xlpm.r = "", _xlpm.q, _xlpm.q &amp; " - " &amp; _xlpm.r))</f>
        <v>#N/A</v>
      </c>
      <c r="F5" s="63" t="str">
        <f t="shared" si="0"/>
        <v>Básico</v>
      </c>
      <c r="G5" s="63" t="e">
        <f>_xlfn.XLOOKUP(D5,'LD-ELFA'!F:F,'LD-ELFA'!G:G)</f>
        <v>#N/A</v>
      </c>
      <c r="H5" s="63" t="e">
        <f>_xlfn.XLOOKUP(D5,'LD-ELFA'!F:F,'LD-ELFA'!I:I)</f>
        <v>#N/A</v>
      </c>
      <c r="I5" s="63" t="e">
        <f>IF(_xlfn.XLOOKUP(D5,'LD-ELFA'!F:F,'LD-ELFA'!T:T)="","",_xlfn.XLOOKUP(D5,'LD-ELFA'!F:F,'LD-ELFA'!T:T))</f>
        <v>#N/A</v>
      </c>
      <c r="J5" s="63" t="e">
        <f>IF(K5="Documento a emitir", "",_xlfn.XLOOKUP(D5,'LD-ELFA'!F:F,'LD-ELFA'!N:N))</f>
        <v>#N/A</v>
      </c>
      <c r="K5" s="43" t="e">
        <f>IF(_xlfn.XLOOKUP($D5,'LD-ELFA'!F:F,'LD-ELFA'!U:U)="","Documento a emitir",_xlfn.XLOOKUP($D5,'LD-ELFA'!F:F,'LD-ELFA'!U:U))</f>
        <v>#N/A</v>
      </c>
      <c r="L5" s="43" t="e">
        <f>IF(K5="Documento a emitir","Documento a emitir",IF(K5&lt;&gt;"Documento a emitir",IF(_xlfn.XLOOKUP(D5,'LD-ELFA'!F:F,'LD-ELFA'!W:W)="","",_xlfn.XLOOKUP(D5,'LD-ELFA'!F:F,'LD-ELFA'!W:W)),""))</f>
        <v>#N/A</v>
      </c>
      <c r="M5" s="43" t="e">
        <f>IF(K5="Documento a emitir","",IF(AND(Q5="APC-R  - APC-R - Aprovado com Comentários (Retornar para uma nova Aprovação)",Q5="APC-L  - APC-L  - Aprovado com Comentários (Retornar Aprovado)"),"",IF(OR(_xlfn.XLOOKUP(D5,'LD-ELFA'!F:F,'LD-ELFA'!N:N)="PARA CONHECIMENTO",_xlfn.XLOOKUP(D5,'LD-ELFA'!F:F,'LD-ELFA'!N:N)="PARA CONSTRUÇÃO",_xlfn.XLOOKUP(D5,'LD-ELFA'!F:F,'LD-ELFA'!N:N)="PARA COTAÇÃO",_xlfn.XLOOKUP(D5,'LD-ELFA'!F:F,'LD-ELFA'!N:N)="CANCELADO"),_xlfn.XLOOKUP(D5,'LD-ELFA'!F:F,'LD-ELFA'!U:U),IF(AND(L5="",J5&lt;&gt;"PARA APROVAÇÃO"),"",""))))</f>
        <v>#N/A</v>
      </c>
      <c r="N5" s="63" t="str">
        <f t="shared" ca="1" si="1"/>
        <v>Documento Removido</v>
      </c>
      <c r="O5" s="63" t="str">
        <f t="shared" si="2"/>
        <v>Documento Removido</v>
      </c>
      <c r="P5" s="63" t="str">
        <f t="shared" si="3"/>
        <v>Blossom</v>
      </c>
      <c r="Q5" s="63" t="e">
        <f>IF(_xlfn.XLOOKUP(D5,'LD-ELFA'!F:F,'LD-ELFA'!V:V)="","",_xlfn.XLOOKUP(D5,'LD-ELFA'!F:F,'LD-ELFA'!V:V))</f>
        <v>#N/A</v>
      </c>
      <c r="R5" s="40" t="str">
        <f>IFERROR(IF(I5&lt;&gt;"","Documento Emitido",_xlfn.XLOOKUP(D5,Cronograma!P:P,Cronograma!Q:Q)),"Documento Removido")</f>
        <v>Documento Removido</v>
      </c>
      <c r="S5" s="40" t="str">
        <f t="shared" ca="1" si="4"/>
        <v>Documento Removido</v>
      </c>
      <c r="T5" s="40" t="str">
        <f>IFERROR(IF(I5&lt;&gt;"","Documento Emitido",_xlfn.XLOOKUP(D5,Cronograma!P:P,Cronograma!R:R)),"Documento Removido")</f>
        <v>Documento Removido</v>
      </c>
      <c r="U5" s="39" t="str">
        <f t="shared" si="5"/>
        <v>Documento Removido</v>
      </c>
      <c r="V5" s="39" t="str">
        <f t="shared" si="6"/>
        <v>Documento Removido</v>
      </c>
      <c r="W5" s="39" t="e">
        <f t="shared" ca="1" si="7"/>
        <v>#N/A</v>
      </c>
    </row>
    <row r="6" spans="1:23" s="60" customFormat="1" ht="28.5" customHeight="1" x14ac:dyDescent="0.2">
      <c r="A6" s="39">
        <v>3</v>
      </c>
      <c r="B6" s="39" t="e">
        <f>_xlfn.XLOOKUP(D6,'LD-ELFA'!F:F,'LD-ELFA'!C:C)</f>
        <v>#N/A</v>
      </c>
      <c r="C6" s="39" t="e">
        <f>_xlfn.XLOOKUP(D6,'LD-ELFA'!F:F,'LD-ELFA'!D:D)</f>
        <v>#N/A</v>
      </c>
      <c r="D6" s="39" t="s">
        <v>10</v>
      </c>
      <c r="E6" s="39" t="e">
        <f>_xlfn.LET(_xlpm.q,_xlfn.XLOOKUP(D6,'LD-ELFA'!F:F,'LD-ELFA'!Q:Q),
   _xlpm.r,_xlfn.XLOOKUP(D6,'LD-ELFA'!F:F,'LD-ELFA'!R:R),
   IF(_xlpm.r = "", _xlpm.q, _xlpm.q &amp; " - " &amp; _xlpm.r))</f>
        <v>#N/A</v>
      </c>
      <c r="F6" s="63" t="str">
        <f t="shared" si="0"/>
        <v>Básico</v>
      </c>
      <c r="G6" s="63" t="e">
        <f>_xlfn.XLOOKUP(D6,'LD-ELFA'!F:F,'LD-ELFA'!G:G)</f>
        <v>#N/A</v>
      </c>
      <c r="H6" s="63" t="e">
        <f>_xlfn.XLOOKUP(D6,'LD-ELFA'!F:F,'LD-ELFA'!I:I)</f>
        <v>#N/A</v>
      </c>
      <c r="I6" s="63" t="e">
        <f>IF(_xlfn.XLOOKUP(D6,'LD-ELFA'!F:F,'LD-ELFA'!T:T)="","",_xlfn.XLOOKUP(D6,'LD-ELFA'!F:F,'LD-ELFA'!T:T))</f>
        <v>#N/A</v>
      </c>
      <c r="J6" s="63" t="e">
        <f>IF(K6="Documento a emitir", "",_xlfn.XLOOKUP(D6,'LD-ELFA'!F:F,'LD-ELFA'!N:N))</f>
        <v>#N/A</v>
      </c>
      <c r="K6" s="43" t="e">
        <f>IF(_xlfn.XLOOKUP($D6,'LD-ELFA'!F:F,'LD-ELFA'!U:U)="","Documento a emitir",_xlfn.XLOOKUP($D6,'LD-ELFA'!F:F,'LD-ELFA'!U:U))</f>
        <v>#N/A</v>
      </c>
      <c r="L6" s="43" t="e">
        <f>IF(K6="Documento a emitir","Documento a emitir",IF(K6&lt;&gt;"Documento a emitir",IF(_xlfn.XLOOKUP(D6,'LD-ELFA'!F:F,'LD-ELFA'!W:W)="","",_xlfn.XLOOKUP(D6,'LD-ELFA'!F:F,'LD-ELFA'!W:W)),""))</f>
        <v>#N/A</v>
      </c>
      <c r="M6" s="43" t="e">
        <f>IF(K6="Documento a emitir","",IF(AND(Q6="APC-R  - APC-R - Aprovado com Comentários (Retornar para uma nova Aprovação)",Q6="APC-L  - APC-L  - Aprovado com Comentários (Retornar Aprovado)"),"",IF(OR(_xlfn.XLOOKUP(D6,'LD-ELFA'!F:F,'LD-ELFA'!N:N)="PARA CONHECIMENTO",_xlfn.XLOOKUP(D6,'LD-ELFA'!F:F,'LD-ELFA'!N:N)="PARA CONSTRUÇÃO",_xlfn.XLOOKUP(D6,'LD-ELFA'!F:F,'LD-ELFA'!N:N)="PARA COTAÇÃO",_xlfn.XLOOKUP(D6,'LD-ELFA'!F:F,'LD-ELFA'!N:N)="CANCELADO"),_xlfn.XLOOKUP(D6,'LD-ELFA'!F:F,'LD-ELFA'!U:U),IF(AND(L6="",J6&lt;&gt;"PARA APROVAÇÃO"),"",""))))</f>
        <v>#N/A</v>
      </c>
      <c r="N6" s="63" t="str">
        <f t="shared" ca="1" si="1"/>
        <v>Documento Removido</v>
      </c>
      <c r="O6" s="63" t="str">
        <f t="shared" si="2"/>
        <v>Documento Removido</v>
      </c>
      <c r="P6" s="63" t="str">
        <f t="shared" si="3"/>
        <v>Blossom</v>
      </c>
      <c r="Q6" s="63" t="e">
        <f>IF(_xlfn.XLOOKUP(D6,'LD-ELFA'!F:F,'LD-ELFA'!V:V)="","",_xlfn.XLOOKUP(D6,'LD-ELFA'!F:F,'LD-ELFA'!V:V))</f>
        <v>#N/A</v>
      </c>
      <c r="R6" s="40" t="str">
        <f>IFERROR(IF(I6&lt;&gt;"","Documento Emitido",_xlfn.XLOOKUP(D6,Cronograma!P:P,Cronograma!Q:Q)),"Documento Removido")</f>
        <v>Documento Removido</v>
      </c>
      <c r="S6" s="40" t="str">
        <f t="shared" ca="1" si="4"/>
        <v>Documento Removido</v>
      </c>
      <c r="T6" s="40" t="str">
        <f>IFERROR(IF(I6&lt;&gt;"","Documento Emitido",_xlfn.XLOOKUP(D6,Cronograma!P:P,Cronograma!R:R)),"Documento Removido")</f>
        <v>Documento Removido</v>
      </c>
      <c r="U6" s="39" t="str">
        <f t="shared" si="5"/>
        <v>Documento Removido</v>
      </c>
      <c r="V6" s="39" t="str">
        <f t="shared" si="6"/>
        <v>Documento Removido</v>
      </c>
      <c r="W6" s="39" t="e">
        <f t="shared" ca="1" si="7"/>
        <v>#N/A</v>
      </c>
    </row>
    <row r="7" spans="1:23" s="60" customFormat="1" ht="28.5" customHeight="1" x14ac:dyDescent="0.2">
      <c r="A7" s="39">
        <v>4</v>
      </c>
      <c r="B7" s="39" t="e">
        <f>_xlfn.XLOOKUP(D7,'LD-ELFA'!F:F,'LD-ELFA'!C:C)</f>
        <v>#N/A</v>
      </c>
      <c r="C7" s="39" t="e">
        <f>_xlfn.XLOOKUP(D7,'LD-ELFA'!F:F,'LD-ELFA'!D:D)</f>
        <v>#N/A</v>
      </c>
      <c r="D7" s="39" t="s">
        <v>11</v>
      </c>
      <c r="E7" s="39" t="e">
        <f>_xlfn.LET(_xlpm.q,_xlfn.XLOOKUP(D7,'LD-ELFA'!F:F,'LD-ELFA'!Q:Q),
   _xlpm.r,_xlfn.XLOOKUP(D7,'LD-ELFA'!F:F,'LD-ELFA'!R:R),
   IF(_xlpm.r = "", _xlpm.q, _xlpm.q &amp; " - " &amp; _xlpm.r))</f>
        <v>#N/A</v>
      </c>
      <c r="F7" s="63" t="str">
        <f t="shared" si="0"/>
        <v>Básico</v>
      </c>
      <c r="G7" s="63" t="e">
        <f>_xlfn.XLOOKUP(D7,'LD-ELFA'!F:F,'LD-ELFA'!G:G)</f>
        <v>#N/A</v>
      </c>
      <c r="H7" s="63" t="e">
        <f>_xlfn.XLOOKUP(D7,'LD-ELFA'!F:F,'LD-ELFA'!I:I)</f>
        <v>#N/A</v>
      </c>
      <c r="I7" s="63" t="e">
        <f>IF(_xlfn.XLOOKUP(D7,'LD-ELFA'!F:F,'LD-ELFA'!T:T)="","",_xlfn.XLOOKUP(D7,'LD-ELFA'!F:F,'LD-ELFA'!T:T))</f>
        <v>#N/A</v>
      </c>
      <c r="J7" s="63" t="e">
        <f>IF(K7="Documento a emitir", "",_xlfn.XLOOKUP(D7,'LD-ELFA'!F:F,'LD-ELFA'!N:N))</f>
        <v>#N/A</v>
      </c>
      <c r="K7" s="43" t="e">
        <f>IF(_xlfn.XLOOKUP($D7,'LD-ELFA'!F:F,'LD-ELFA'!U:U)="","Documento a emitir",_xlfn.XLOOKUP($D7,'LD-ELFA'!F:F,'LD-ELFA'!U:U))</f>
        <v>#N/A</v>
      </c>
      <c r="L7" s="43" t="e">
        <f>IF(K7="Documento a emitir","Documento a emitir",IF(K7&lt;&gt;"Documento a emitir",IF(_xlfn.XLOOKUP(D7,'LD-ELFA'!F:F,'LD-ELFA'!W:W)="","",_xlfn.XLOOKUP(D7,'LD-ELFA'!F:F,'LD-ELFA'!W:W)),""))</f>
        <v>#N/A</v>
      </c>
      <c r="M7" s="43" t="e">
        <f>IF(K7="Documento a emitir","",IF(AND(Q7="APC-R  - APC-R - Aprovado com Comentários (Retornar para uma nova Aprovação)",Q7="APC-L  - APC-L  - Aprovado com Comentários (Retornar Aprovado)"),"",IF(OR(_xlfn.XLOOKUP(D7,'LD-ELFA'!F:F,'LD-ELFA'!N:N)="PARA CONHECIMENTO",_xlfn.XLOOKUP(D7,'LD-ELFA'!F:F,'LD-ELFA'!N:N)="PARA CONSTRUÇÃO",_xlfn.XLOOKUP(D7,'LD-ELFA'!F:F,'LD-ELFA'!N:N)="PARA COTAÇÃO",_xlfn.XLOOKUP(D7,'LD-ELFA'!F:F,'LD-ELFA'!N:N)="CANCELADO"),_xlfn.XLOOKUP(D7,'LD-ELFA'!F:F,'LD-ELFA'!U:U),IF(AND(L7="",J7&lt;&gt;"PARA APROVAÇÃO"),"",""))))</f>
        <v>#N/A</v>
      </c>
      <c r="N7" s="63" t="str">
        <f t="shared" ca="1" si="1"/>
        <v>Documento Removido</v>
      </c>
      <c r="O7" s="63" t="str">
        <f t="shared" si="2"/>
        <v>Documento Removido</v>
      </c>
      <c r="P7" s="63" t="str">
        <f t="shared" si="3"/>
        <v>Blossom</v>
      </c>
      <c r="Q7" s="63" t="e">
        <f>IF(_xlfn.XLOOKUP(D7,'LD-ELFA'!F:F,'LD-ELFA'!V:V)="","",_xlfn.XLOOKUP(D7,'LD-ELFA'!F:F,'LD-ELFA'!V:V))</f>
        <v>#N/A</v>
      </c>
      <c r="R7" s="40" t="str">
        <f>IFERROR(IF(I7&lt;&gt;"","Documento Emitido",_xlfn.XLOOKUP(D7,Cronograma!P:P,Cronograma!Q:Q)),"Documento Removido")</f>
        <v>Documento Removido</v>
      </c>
      <c r="S7" s="40" t="str">
        <f t="shared" ca="1" si="4"/>
        <v>Documento Removido</v>
      </c>
      <c r="T7" s="40" t="str">
        <f>IFERROR(IF(I7&lt;&gt;"","Documento Emitido",_xlfn.XLOOKUP(D7,Cronograma!P:P,Cronograma!R:R)),"Documento Removido")</f>
        <v>Documento Removido</v>
      </c>
      <c r="U7" s="39" t="str">
        <f t="shared" si="5"/>
        <v>Documento Removido</v>
      </c>
      <c r="V7" s="39" t="str">
        <f t="shared" si="6"/>
        <v>Documento Removido</v>
      </c>
      <c r="W7" s="39" t="e">
        <f t="shared" ca="1" si="7"/>
        <v>#N/A</v>
      </c>
    </row>
    <row r="8" spans="1:23" s="60" customFormat="1" ht="28.5" customHeight="1" x14ac:dyDescent="0.2">
      <c r="A8" s="39">
        <v>5</v>
      </c>
      <c r="B8" s="39" t="e">
        <f>_xlfn.XLOOKUP(D8,'LD-ELFA'!F:F,'LD-ELFA'!C:C)</f>
        <v>#N/A</v>
      </c>
      <c r="C8" s="39" t="e">
        <f>_xlfn.XLOOKUP(D8,'LD-ELFA'!F:F,'LD-ELFA'!D:D)</f>
        <v>#N/A</v>
      </c>
      <c r="D8" s="39" t="s">
        <v>12</v>
      </c>
      <c r="E8" s="39" t="e">
        <f>_xlfn.LET(_xlpm.q,_xlfn.XLOOKUP(D8,'LD-ELFA'!F:F,'LD-ELFA'!Q:Q),
   _xlpm.r,_xlfn.XLOOKUP(D8,'LD-ELFA'!F:F,'LD-ELFA'!R:R),
   IF(_xlpm.r = "", _xlpm.q, _xlpm.q &amp; " - " &amp; _xlpm.r))</f>
        <v>#N/A</v>
      </c>
      <c r="F8" s="63" t="str">
        <f t="shared" si="0"/>
        <v>Básico</v>
      </c>
      <c r="G8" s="63" t="e">
        <f>_xlfn.XLOOKUP(D8,'LD-ELFA'!F:F,'LD-ELFA'!G:G)</f>
        <v>#N/A</v>
      </c>
      <c r="H8" s="63" t="e">
        <f>_xlfn.XLOOKUP(D8,'LD-ELFA'!F:F,'LD-ELFA'!I:I)</f>
        <v>#N/A</v>
      </c>
      <c r="I8" s="63" t="e">
        <f>IF(_xlfn.XLOOKUP(D8,'LD-ELFA'!F:F,'LD-ELFA'!T:T)="","",_xlfn.XLOOKUP(D8,'LD-ELFA'!F:F,'LD-ELFA'!T:T))</f>
        <v>#N/A</v>
      </c>
      <c r="J8" s="63" t="e">
        <f>IF(K8="Documento a emitir", "",_xlfn.XLOOKUP(D8,'LD-ELFA'!F:F,'LD-ELFA'!N:N))</f>
        <v>#N/A</v>
      </c>
      <c r="K8" s="43" t="e">
        <f>IF(_xlfn.XLOOKUP($D8,'LD-ELFA'!F:F,'LD-ELFA'!U:U)="","Documento a emitir",_xlfn.XLOOKUP($D8,'LD-ELFA'!F:F,'LD-ELFA'!U:U))</f>
        <v>#N/A</v>
      </c>
      <c r="L8" s="43" t="e">
        <f>IF(K8="Documento a emitir","Documento a emitir",IF(K8&lt;&gt;"Documento a emitir",IF(_xlfn.XLOOKUP(D8,'LD-ELFA'!F:F,'LD-ELFA'!W:W)="","",_xlfn.XLOOKUP(D8,'LD-ELFA'!F:F,'LD-ELFA'!W:W)),""))</f>
        <v>#N/A</v>
      </c>
      <c r="M8" s="43" t="e">
        <f>IF(K8="Documento a emitir","",IF(AND(Q8="APC-R  - APC-R - Aprovado com Comentários (Retornar para uma nova Aprovação)",Q8="APC-L  - APC-L  - Aprovado com Comentários (Retornar Aprovado)"),"",IF(OR(_xlfn.XLOOKUP(D8,'LD-ELFA'!F:F,'LD-ELFA'!N:N)="PARA CONHECIMENTO",_xlfn.XLOOKUP(D8,'LD-ELFA'!F:F,'LD-ELFA'!N:N)="PARA CONSTRUÇÃO",_xlfn.XLOOKUP(D8,'LD-ELFA'!F:F,'LD-ELFA'!N:N)="PARA COTAÇÃO",_xlfn.XLOOKUP(D8,'LD-ELFA'!F:F,'LD-ELFA'!N:N)="CANCELADO"),_xlfn.XLOOKUP(D8,'LD-ELFA'!F:F,'LD-ELFA'!U:U),IF(AND(L8="",J8&lt;&gt;"PARA APROVAÇÃO"),"",""))))</f>
        <v>#N/A</v>
      </c>
      <c r="N8" s="63" t="str">
        <f t="shared" ca="1" si="1"/>
        <v>Documento Removido</v>
      </c>
      <c r="O8" s="63" t="str">
        <f t="shared" si="2"/>
        <v>Documento Removido</v>
      </c>
      <c r="P8" s="63" t="str">
        <f t="shared" si="3"/>
        <v>Blossom</v>
      </c>
      <c r="Q8" s="63" t="e">
        <f>IF(_xlfn.XLOOKUP(D8,'LD-ELFA'!F:F,'LD-ELFA'!V:V)="","",_xlfn.XLOOKUP(D8,'LD-ELFA'!F:F,'LD-ELFA'!V:V))</f>
        <v>#N/A</v>
      </c>
      <c r="R8" s="40" t="str">
        <f>IFERROR(IF(I8&lt;&gt;"","Documento Emitido",_xlfn.XLOOKUP(D8,Cronograma!P:P,Cronograma!Q:Q)),"Documento Removido")</f>
        <v>Documento Removido</v>
      </c>
      <c r="S8" s="40" t="str">
        <f t="shared" ca="1" si="4"/>
        <v>Documento Removido</v>
      </c>
      <c r="T8" s="40" t="str">
        <f>IFERROR(IF(I8&lt;&gt;"","Documento Emitido",_xlfn.XLOOKUP(D8,Cronograma!P:P,Cronograma!R:R)),"Documento Removido")</f>
        <v>Documento Removido</v>
      </c>
      <c r="U8" s="39" t="str">
        <f t="shared" si="5"/>
        <v>Documento Removido</v>
      </c>
      <c r="V8" s="39" t="str">
        <f t="shared" si="6"/>
        <v>Documento Removido</v>
      </c>
      <c r="W8" s="39" t="e">
        <f t="shared" ca="1" si="7"/>
        <v>#N/A</v>
      </c>
    </row>
    <row r="9" spans="1:23" s="60" customFormat="1" ht="28.5" customHeight="1" x14ac:dyDescent="0.2">
      <c r="A9" s="39">
        <v>6</v>
      </c>
      <c r="B9" s="39" t="e">
        <f>_xlfn.XLOOKUP(D9,'LD-ELFA'!F:F,'LD-ELFA'!C:C)</f>
        <v>#N/A</v>
      </c>
      <c r="C9" s="39" t="e">
        <f>_xlfn.XLOOKUP(D9,'LD-ELFA'!F:F,'LD-ELFA'!D:D)</f>
        <v>#N/A</v>
      </c>
      <c r="D9" s="39" t="s">
        <v>13</v>
      </c>
      <c r="E9" s="39" t="e">
        <f>_xlfn.LET(_xlpm.q,_xlfn.XLOOKUP(D9,'LD-ELFA'!F:F,'LD-ELFA'!Q:Q),
   _xlpm.r,_xlfn.XLOOKUP(D9,'LD-ELFA'!F:F,'LD-ELFA'!R:R),
   IF(_xlpm.r = "", _xlpm.q, _xlpm.q &amp; " - " &amp; _xlpm.r))</f>
        <v>#N/A</v>
      </c>
      <c r="F9" s="63" t="str">
        <f t="shared" si="0"/>
        <v>Básico</v>
      </c>
      <c r="G9" s="63" t="e">
        <f>_xlfn.XLOOKUP(D9,'LD-ELFA'!F:F,'LD-ELFA'!G:G)</f>
        <v>#N/A</v>
      </c>
      <c r="H9" s="63" t="e">
        <f>_xlfn.XLOOKUP(D9,'LD-ELFA'!F:F,'LD-ELFA'!I:I)</f>
        <v>#N/A</v>
      </c>
      <c r="I9" s="63" t="e">
        <f>IF(_xlfn.XLOOKUP(D9,'LD-ELFA'!F:F,'LD-ELFA'!T:T)="","",_xlfn.XLOOKUP(D9,'LD-ELFA'!F:F,'LD-ELFA'!T:T))</f>
        <v>#N/A</v>
      </c>
      <c r="J9" s="63" t="e">
        <f>IF(K9="Documento a emitir", "",_xlfn.XLOOKUP(D9,'LD-ELFA'!F:F,'LD-ELFA'!N:N))</f>
        <v>#N/A</v>
      </c>
      <c r="K9" s="43" t="e">
        <f>IF(_xlfn.XLOOKUP($D9,'LD-ELFA'!F:F,'LD-ELFA'!U:U)="","Documento a emitir",_xlfn.XLOOKUP($D9,'LD-ELFA'!F:F,'LD-ELFA'!U:U))</f>
        <v>#N/A</v>
      </c>
      <c r="L9" s="43" t="e">
        <f>IF(K9="Documento a emitir","Documento a emitir",IF(K9&lt;&gt;"Documento a emitir",IF(_xlfn.XLOOKUP(D9,'LD-ELFA'!F:F,'LD-ELFA'!W:W)="","",_xlfn.XLOOKUP(D9,'LD-ELFA'!F:F,'LD-ELFA'!W:W)),""))</f>
        <v>#N/A</v>
      </c>
      <c r="M9" s="43" t="e">
        <f>IF(K9="Documento a emitir","",IF(AND(Q9="APC-R  - APC-R - Aprovado com Comentários (Retornar para uma nova Aprovação)",Q9="APC-L  - APC-L  - Aprovado com Comentários (Retornar Aprovado)"),"",IF(OR(_xlfn.XLOOKUP(D9,'LD-ELFA'!F:F,'LD-ELFA'!N:N)="PARA CONHECIMENTO",_xlfn.XLOOKUP(D9,'LD-ELFA'!F:F,'LD-ELFA'!N:N)="PARA CONSTRUÇÃO",_xlfn.XLOOKUP(D9,'LD-ELFA'!F:F,'LD-ELFA'!N:N)="PARA COTAÇÃO",_xlfn.XLOOKUP(D9,'LD-ELFA'!F:F,'LD-ELFA'!N:N)="CANCELADO"),_xlfn.XLOOKUP(D9,'LD-ELFA'!F:F,'LD-ELFA'!U:U),IF(AND(L9="",J9&lt;&gt;"PARA APROVAÇÃO"),"",""))))</f>
        <v>#N/A</v>
      </c>
      <c r="N9" s="63" t="str">
        <f t="shared" ca="1" si="1"/>
        <v>Documento Removido</v>
      </c>
      <c r="O9" s="63" t="str">
        <f t="shared" si="2"/>
        <v>Documento Removido</v>
      </c>
      <c r="P9" s="63" t="str">
        <f t="shared" si="3"/>
        <v>Blossom</v>
      </c>
      <c r="Q9" s="63" t="e">
        <f>IF(_xlfn.XLOOKUP(D9,'LD-ELFA'!F:F,'LD-ELFA'!V:V)="","",_xlfn.XLOOKUP(D9,'LD-ELFA'!F:F,'LD-ELFA'!V:V))</f>
        <v>#N/A</v>
      </c>
      <c r="R9" s="40" t="str">
        <f>IFERROR(IF(I9&lt;&gt;"","Documento Emitido",_xlfn.XLOOKUP(D9,Cronograma!P:P,Cronograma!Q:Q)),"Documento Removido")</f>
        <v>Documento Removido</v>
      </c>
      <c r="S9" s="40" t="str">
        <f t="shared" ca="1" si="4"/>
        <v>Documento Removido</v>
      </c>
      <c r="T9" s="40" t="str">
        <f>IFERROR(IF(I9&lt;&gt;"","Documento Emitido",_xlfn.XLOOKUP(D9,Cronograma!P:P,Cronograma!R:R)),"Documento Removido")</f>
        <v>Documento Removido</v>
      </c>
      <c r="U9" s="39" t="str">
        <f t="shared" si="5"/>
        <v>Documento Removido</v>
      </c>
      <c r="V9" s="39" t="str">
        <f t="shared" si="6"/>
        <v>Documento Removido</v>
      </c>
      <c r="W9" s="39" t="e">
        <f t="shared" ca="1" si="7"/>
        <v>#N/A</v>
      </c>
    </row>
    <row r="10" spans="1:23" s="60" customFormat="1" ht="28.5" customHeight="1" x14ac:dyDescent="0.2">
      <c r="A10" s="39">
        <v>7</v>
      </c>
      <c r="B10" s="39" t="e">
        <f>_xlfn.XLOOKUP(D10,'LD-ELFA'!F:F,'LD-ELFA'!C:C)</f>
        <v>#N/A</v>
      </c>
      <c r="C10" s="39" t="e">
        <f>_xlfn.XLOOKUP(D10,'LD-ELFA'!F:F,'LD-ELFA'!D:D)</f>
        <v>#N/A</v>
      </c>
      <c r="D10" s="39" t="s">
        <v>14</v>
      </c>
      <c r="E10" s="39" t="e">
        <f>_xlfn.LET(_xlpm.q,_xlfn.XLOOKUP(D10,'LD-ELFA'!F:F,'LD-ELFA'!Q:Q),
   _xlpm.r,_xlfn.XLOOKUP(D10,'LD-ELFA'!F:F,'LD-ELFA'!R:R),
   IF(_xlpm.r = "", _xlpm.q, _xlpm.q &amp; " - " &amp; _xlpm.r))</f>
        <v>#N/A</v>
      </c>
      <c r="F10" s="63" t="str">
        <f t="shared" si="0"/>
        <v>Básico</v>
      </c>
      <c r="G10" s="63" t="e">
        <f>_xlfn.XLOOKUP(D10,'LD-ELFA'!F:F,'LD-ELFA'!G:G)</f>
        <v>#N/A</v>
      </c>
      <c r="H10" s="63" t="e">
        <f>_xlfn.XLOOKUP(D10,'LD-ELFA'!F:F,'LD-ELFA'!I:I)</f>
        <v>#N/A</v>
      </c>
      <c r="I10" s="63" t="e">
        <f>IF(_xlfn.XLOOKUP(D10,'LD-ELFA'!F:F,'LD-ELFA'!T:T)="","",_xlfn.XLOOKUP(D10,'LD-ELFA'!F:F,'LD-ELFA'!T:T))</f>
        <v>#N/A</v>
      </c>
      <c r="J10" s="63" t="e">
        <f>IF(K10="Documento a emitir", "",_xlfn.XLOOKUP(D10,'LD-ELFA'!F:F,'LD-ELFA'!N:N))</f>
        <v>#N/A</v>
      </c>
      <c r="K10" s="43" t="e">
        <f>IF(_xlfn.XLOOKUP($D10,'LD-ELFA'!F:F,'LD-ELFA'!U:U)="","Documento a emitir",_xlfn.XLOOKUP($D10,'LD-ELFA'!F:F,'LD-ELFA'!U:U))</f>
        <v>#N/A</v>
      </c>
      <c r="L10" s="43" t="e">
        <f>IF(K10="Documento a emitir","Documento a emitir",IF(K10&lt;&gt;"Documento a emitir",IF(_xlfn.XLOOKUP(D10,'LD-ELFA'!F:F,'LD-ELFA'!W:W)="","",_xlfn.XLOOKUP(D10,'LD-ELFA'!F:F,'LD-ELFA'!W:W)),""))</f>
        <v>#N/A</v>
      </c>
      <c r="M10" s="43" t="e">
        <f>IF(K10="Documento a emitir","",IF(AND(Q10="APC-R  - APC-R - Aprovado com Comentários (Retornar para uma nova Aprovação)",Q10="APC-L  - APC-L  - Aprovado com Comentários (Retornar Aprovado)"),"",IF(OR(_xlfn.XLOOKUP(D10,'LD-ELFA'!F:F,'LD-ELFA'!N:N)="PARA CONHECIMENTO",_xlfn.XLOOKUP(D10,'LD-ELFA'!F:F,'LD-ELFA'!N:N)="PARA CONSTRUÇÃO",_xlfn.XLOOKUP(D10,'LD-ELFA'!F:F,'LD-ELFA'!N:N)="PARA COTAÇÃO",_xlfn.XLOOKUP(D10,'LD-ELFA'!F:F,'LD-ELFA'!N:N)="CANCELADO"),_xlfn.XLOOKUP(D10,'LD-ELFA'!F:F,'LD-ELFA'!U:U),IF(AND(L10="",J10&lt;&gt;"PARA APROVAÇÃO"),"",""))))</f>
        <v>#N/A</v>
      </c>
      <c r="N10" s="63" t="str">
        <f t="shared" ca="1" si="1"/>
        <v>Documento Removido</v>
      </c>
      <c r="O10" s="63" t="str">
        <f t="shared" si="2"/>
        <v>Documento Removido</v>
      </c>
      <c r="P10" s="63" t="str">
        <f t="shared" si="3"/>
        <v>Blossom</v>
      </c>
      <c r="Q10" s="63" t="e">
        <f>IF(_xlfn.XLOOKUP(D10,'LD-ELFA'!F:F,'LD-ELFA'!V:V)="","",_xlfn.XLOOKUP(D10,'LD-ELFA'!F:F,'LD-ELFA'!V:V))</f>
        <v>#N/A</v>
      </c>
      <c r="R10" s="40" t="str">
        <f>IFERROR(IF(I10&lt;&gt;"","Documento Emitido",_xlfn.XLOOKUP(D10,Cronograma!P:P,Cronograma!Q:Q)),"Documento Removido")</f>
        <v>Documento Removido</v>
      </c>
      <c r="S10" s="40" t="str">
        <f t="shared" ca="1" si="4"/>
        <v>Documento Removido</v>
      </c>
      <c r="T10" s="40" t="str">
        <f>IFERROR(IF(I10&lt;&gt;"","Documento Emitido",_xlfn.XLOOKUP(D10,Cronograma!P:P,Cronograma!R:R)),"Documento Removido")</f>
        <v>Documento Removido</v>
      </c>
      <c r="U10" s="39" t="str">
        <f t="shared" si="5"/>
        <v>Documento Removido</v>
      </c>
      <c r="V10" s="39" t="str">
        <f t="shared" si="6"/>
        <v>Documento Removido</v>
      </c>
      <c r="W10" s="39" t="e">
        <f t="shared" ca="1" si="7"/>
        <v>#N/A</v>
      </c>
    </row>
    <row r="11" spans="1:23" s="60" customFormat="1" ht="28.5" customHeight="1" x14ac:dyDescent="0.2">
      <c r="A11" s="39">
        <v>8</v>
      </c>
      <c r="B11" s="39" t="str">
        <f>_xlfn.XLOOKUP(D11,'LD-ELFA'!F:F,'LD-ELFA'!C:C)</f>
        <v>AI - Automacao E Instrumentacao</v>
      </c>
      <c r="C11" s="39" t="str">
        <f>_xlfn.XLOOKUP(D11,'LD-ELFA'!F:F,'LD-ELFA'!D:D)</f>
        <v>DPR - Diagrama De Projeto</v>
      </c>
      <c r="D11" s="39" t="s">
        <v>15</v>
      </c>
      <c r="E11" s="39" t="str">
        <f>_xlfn.LET(_xlpm.q,_xlfn.XLOOKUP(D11,'LD-ELFA'!F:F,'LD-ELFA'!Q:Q),
   _xlpm.r,_xlfn.XLOOKUP(D11,'LD-ELFA'!F:F,'LD-ELFA'!R:R),
   IF(_xlpm.r = "", _xlpm.q, _xlpm.q &amp; " - " &amp; _xlpm.r))</f>
        <v>carol - carol</v>
      </c>
      <c r="F11" s="63" t="str">
        <f t="shared" si="0"/>
        <v>Básico</v>
      </c>
      <c r="G11" s="63">
        <f>_xlfn.XLOOKUP(D11,'LD-ELFA'!F:F,'LD-ELFA'!G:G)</f>
        <v>0</v>
      </c>
      <c r="H11" s="63" t="str">
        <f>_xlfn.XLOOKUP(D11,'LD-ELFA'!F:F,'LD-ELFA'!I:I)</f>
        <v>carol</v>
      </c>
      <c r="I11" s="63" t="str">
        <f>IF(_xlfn.XLOOKUP(D11,'LD-ELFA'!F:F,'LD-ELFA'!T:T)="","",_xlfn.XLOOKUP(D11,'LD-ELFA'!F:F,'LD-ELFA'!T:T))</f>
        <v>carol</v>
      </c>
      <c r="J11" s="63" t="str">
        <f>IF(K11="Documento a emitir", "",_xlfn.XLOOKUP(D11,'LD-ELFA'!F:F,'LD-ELFA'!N:N))</f>
        <v>carol</v>
      </c>
      <c r="K11" s="43" t="str">
        <f>IF(_xlfn.XLOOKUP($D11,'LD-ELFA'!F:F,'LD-ELFA'!U:U)="","Documento a emitir",_xlfn.XLOOKUP($D11,'LD-ELFA'!F:F,'LD-ELFA'!U:U))</f>
        <v>carol</v>
      </c>
      <c r="L11" s="43" t="str">
        <f>IF(K11="Documento a emitir","Documento a emitir",IF(K11&lt;&gt;"Documento a emitir",IF(_xlfn.XLOOKUP(D11,'LD-ELFA'!F:F,'LD-ELFA'!W:W)="","",_xlfn.XLOOKUP(D11,'LD-ELFA'!F:F,'LD-ELFA'!W:W)),""))</f>
        <v>carol</v>
      </c>
      <c r="M11" s="43" t="str">
        <f>IF(K11="Documento a emitir","",IF(AND(Q11="APC-R  - APC-R - Aprovado com Comentários (Retornar para uma nova Aprovação)",Q11="APC-L  - APC-L  - Aprovado com Comentários (Retornar Aprovado)"),"",IF(OR(_xlfn.XLOOKUP(D11,'LD-ELFA'!F:F,'LD-ELFA'!N:N)="PARA CONHECIMENTO",_xlfn.XLOOKUP(D11,'LD-ELFA'!F:F,'LD-ELFA'!N:N)="PARA CONSTRUÇÃO",_xlfn.XLOOKUP(D11,'LD-ELFA'!F:F,'LD-ELFA'!N:N)="PARA COTAÇÃO",_xlfn.XLOOKUP(D11,'LD-ELFA'!F:F,'LD-ELFA'!N:N)="CANCELADO"),_xlfn.XLOOKUP(D11,'LD-ELFA'!F:F,'LD-ELFA'!U:U),IF(AND(L11="",J11&lt;&gt;"PARA APROVAÇÃO"),"",""))))</f>
        <v/>
      </c>
      <c r="N11" s="63" t="str">
        <f t="shared" ref="N11:N51" ca="1" si="8">IF(O11="Documento Concluído","Documento Concluído",IF(O11="Cliente - Atendimento de Comentário",IF(TODAY()&lt;=(K11+3),"No prazo","Atrasado"),IF(O11="Cliente - Atendimento de Comentário",IF(TODAY()&lt;=(WORKDAY(K11,3,0)),"No prazo","Atrasado"),IF(O11="Blossom - Emissão Final",IF(TODAY()&lt;=(WORKDAY(L11,3,0)),"No prazo","Atrasado"),IF(O11="Blossom - Atendimento de Comentário",IF(TODAY()&lt;=(WORKDAY(L11,3,0)),"No prazo","Atrasado"),IF(O11="Blossom - Documento a emitir","Documento a Emitir","ERRO"))))))</f>
        <v>ERRO</v>
      </c>
      <c r="O11" s="63" t="str">
        <f t="shared" si="2"/>
        <v>ERRO</v>
      </c>
      <c r="P11" s="63" t="str">
        <f t="shared" si="3"/>
        <v>Blossom</v>
      </c>
      <c r="Q11" s="63" t="str">
        <f>IF(_xlfn.XLOOKUP(D11,'LD-ELFA'!F:F,'LD-ELFA'!V:V)="","",_xlfn.XLOOKUP(D11,'LD-ELFA'!F:F,'LD-ELFA'!V:V))</f>
        <v>carol</v>
      </c>
      <c r="R11" s="40" t="str">
        <f>IFERROR(IF(I11&lt;&gt;"","Documento Emitido",_xlfn.XLOOKUP(D11,Cronograma!P:P,Cronograma!Q:Q)),"Documento Removido")</f>
        <v>Documento Emitido</v>
      </c>
      <c r="S11" s="40" t="str">
        <f t="shared" ca="1" si="4"/>
        <v>Documento Emitido</v>
      </c>
      <c r="T11" s="40" t="str">
        <f>IFERROR(IF(I11&lt;&gt;"","Documento Emitido",_xlfn.XLOOKUP(D11,Cronograma!P:P,Cronograma!R:R)),"Documento Removido")</f>
        <v>Documento Emitido</v>
      </c>
      <c r="U11" s="39" t="str">
        <f t="shared" si="5"/>
        <v>Documento Emitido</v>
      </c>
      <c r="V11" s="39" t="str">
        <f t="shared" si="6"/>
        <v>Documento Emitido</v>
      </c>
      <c r="W11" s="39" t="str">
        <f t="shared" ca="1" si="7"/>
        <v/>
      </c>
    </row>
    <row r="12" spans="1:23" s="60" customFormat="1" ht="28.5" customHeight="1" x14ac:dyDescent="0.2">
      <c r="A12" s="39">
        <v>9</v>
      </c>
      <c r="B12" s="39" t="str">
        <f>_xlfn.XLOOKUP(D12,'LD-ELFA'!F:F,'LD-ELFA'!C:C)</f>
        <v>AI - Automacao E Instrumentacao</v>
      </c>
      <c r="C12" s="39" t="str">
        <f>_xlfn.XLOOKUP(D12,'LD-ELFA'!F:F,'LD-ELFA'!D:D)</f>
        <v>DPR - Diagrama De Projeto</v>
      </c>
      <c r="D12" s="39" t="s">
        <v>16</v>
      </c>
      <c r="E12" s="39" t="str">
        <f>_xlfn.LET(_xlpm.q,_xlfn.XLOOKUP(D12,'LD-ELFA'!F:F,'LD-ELFA'!Q:Q),
   _xlpm.r,_xlfn.XLOOKUP(D12,'LD-ELFA'!F:F,'LD-ELFA'!R:R),
   IF(_xlpm.r = "", _xlpm.q, _xlpm.q &amp; " - " &amp; _xlpm.r))</f>
        <v>DIAGRAMA DE CONFIGURAÇÃO SAS/SGE</v>
      </c>
      <c r="F12" s="63" t="str">
        <f t="shared" si="0"/>
        <v>Básico</v>
      </c>
      <c r="G12" s="63">
        <f>_xlfn.XLOOKUP(D12,'LD-ELFA'!F:F,'LD-ELFA'!G:G)</f>
        <v>0</v>
      </c>
      <c r="H12" s="63">
        <f>_xlfn.XLOOKUP(D12,'LD-ELFA'!F:F,'LD-ELFA'!I:I)</f>
        <v>0</v>
      </c>
      <c r="I12" s="63" t="str">
        <f>IF(_xlfn.XLOOKUP(D12,'LD-ELFA'!F:F,'LD-ELFA'!T:T)="","",_xlfn.XLOOKUP(D12,'LD-ELFA'!F:F,'LD-ELFA'!T:T))</f>
        <v/>
      </c>
      <c r="J12" s="63" t="str">
        <f>IF(K12="Documento a emitir", "",_xlfn.XLOOKUP(D12,'LD-ELFA'!F:F,'LD-ELFA'!N:N))</f>
        <v/>
      </c>
      <c r="K12" s="43" t="str">
        <f>IF(_xlfn.XLOOKUP($D12,'LD-ELFA'!F:F,'LD-ELFA'!U:U)="","Documento a emitir",_xlfn.XLOOKUP($D12,'LD-ELFA'!F:F,'LD-ELFA'!U:U))</f>
        <v>Documento a emitir</v>
      </c>
      <c r="L12" s="43" t="str">
        <f>IF(K12="Documento a emitir","Documento a emitir",IF(K12&lt;&gt;"Documento a emitir",IF(_xlfn.XLOOKUP(D12,'LD-ELFA'!F:F,'LD-ELFA'!W:W)="","",_xlfn.XLOOKUP(D12,'LD-ELFA'!F:F,'LD-ELFA'!W:W)),""))</f>
        <v>Documento a emitir</v>
      </c>
      <c r="M12" s="43" t="str">
        <f>IF(K12="Documento a emitir","",IF(AND(Q12="APC-R  - APC-R - Aprovado com Comentários (Retornar para uma nova Aprovação)",Q12="APC-L  - APC-L  - Aprovado com Comentários (Retornar Aprovado)"),"",IF(OR(_xlfn.XLOOKUP(D12,'LD-ELFA'!F:F,'LD-ELFA'!N:N)="PARA CONHECIMENTO",_xlfn.XLOOKUP(D12,'LD-ELFA'!F:F,'LD-ELFA'!N:N)="PARA CONSTRUÇÃO",_xlfn.XLOOKUP(D12,'LD-ELFA'!F:F,'LD-ELFA'!N:N)="PARA COTAÇÃO",_xlfn.XLOOKUP(D12,'LD-ELFA'!F:F,'LD-ELFA'!N:N)="CANCELADO"),_xlfn.XLOOKUP(D12,'LD-ELFA'!F:F,'LD-ELFA'!U:U),IF(AND(L12="",J12&lt;&gt;"PARA APROVAÇÃO"),"",""))))</f>
        <v/>
      </c>
      <c r="N12" s="63" t="str">
        <f t="shared" ca="1" si="8"/>
        <v>Documento a Emitir</v>
      </c>
      <c r="O12" s="63" t="str">
        <f t="shared" si="2"/>
        <v>Blossom - Documento a emitir</v>
      </c>
      <c r="P12" s="63" t="str">
        <f t="shared" si="3"/>
        <v>Blossom</v>
      </c>
      <c r="Q12" s="63" t="str">
        <f>IF(_xlfn.XLOOKUP(D12,'LD-ELFA'!F:F,'LD-ELFA'!V:V)="","",_xlfn.XLOOKUP(D12,'LD-ELFA'!F:F,'LD-ELFA'!V:V))</f>
        <v/>
      </c>
      <c r="R12" s="40">
        <f>IFERROR(IF(I12&lt;&gt;"","Documento Emitido",_xlfn.XLOOKUP(D12,Cronograma!P:P,Cronograma!Q:Q)),"Documento Removido")</f>
        <v>46217</v>
      </c>
      <c r="S12" s="40" t="str">
        <f t="shared" ca="1" si="4"/>
        <v>No prazo</v>
      </c>
      <c r="T12" s="40">
        <f>IFERROR(IF(I12&lt;&gt;"","Documento Emitido",_xlfn.XLOOKUP(D12,Cronograma!P:P,Cronograma!R:R)),"Documento Removido")</f>
        <v>46217</v>
      </c>
      <c r="U12" s="39" t="str">
        <f t="shared" si="5"/>
        <v>No prazo</v>
      </c>
      <c r="V12" s="39" t="str">
        <f t="shared" si="6"/>
        <v>Semana 1</v>
      </c>
      <c r="W12" s="39" t="str">
        <f t="shared" ca="1" si="7"/>
        <v/>
      </c>
    </row>
    <row r="13" spans="1:23" s="60" customFormat="1" ht="28.5" customHeight="1" x14ac:dyDescent="0.2">
      <c r="A13" s="39">
        <v>10</v>
      </c>
      <c r="B13" s="39" t="str">
        <f>_xlfn.XLOOKUP(D13,'LD-ELFA'!F:F,'LD-ELFA'!C:C)</f>
        <v>AI - Automacao E Instrumentacao</v>
      </c>
      <c r="C13" s="39" t="str">
        <f>_xlfn.XLOOKUP(D13,'LD-ELFA'!F:F,'LD-ELFA'!D:D)</f>
        <v>DPR - Diagrama De Projeto</v>
      </c>
      <c r="D13" s="39" t="s">
        <v>17</v>
      </c>
      <c r="E13" s="39" t="str">
        <f>_xlfn.LET(_xlpm.q,_xlfn.XLOOKUP(D13,'LD-ELFA'!F:F,'LD-ELFA'!Q:Q),
   _xlpm.r,_xlfn.XLOOKUP(D13,'LD-ELFA'!F:F,'LD-ELFA'!R:R),
   IF(_xlpm.r = "", _xlpm.q, _xlpm.q &amp; " - " &amp; _xlpm.r))</f>
        <v>DIAGRAMA DE CONFIGURAÇÃO DE TELECOM  - SDACI</v>
      </c>
      <c r="F13" s="63" t="str">
        <f t="shared" si="0"/>
        <v>Básico</v>
      </c>
      <c r="G13" s="63">
        <f>_xlfn.XLOOKUP(D13,'LD-ELFA'!F:F,'LD-ELFA'!G:G)</f>
        <v>0</v>
      </c>
      <c r="H13" s="63">
        <f>_xlfn.XLOOKUP(D13,'LD-ELFA'!F:F,'LD-ELFA'!I:I)</f>
        <v>0</v>
      </c>
      <c r="I13" s="63" t="str">
        <f>IF(_xlfn.XLOOKUP(D13,'LD-ELFA'!F:F,'LD-ELFA'!T:T)="","",_xlfn.XLOOKUP(D13,'LD-ELFA'!F:F,'LD-ELFA'!T:T))</f>
        <v/>
      </c>
      <c r="J13" s="63" t="str">
        <f>IF(K13="Documento a emitir", "",_xlfn.XLOOKUP(D13,'LD-ELFA'!F:F,'LD-ELFA'!N:N))</f>
        <v/>
      </c>
      <c r="K13" s="43" t="str">
        <f>IF(_xlfn.XLOOKUP($D13,'LD-ELFA'!F:F,'LD-ELFA'!U:U)="","Documento a emitir",_xlfn.XLOOKUP($D13,'LD-ELFA'!F:F,'LD-ELFA'!U:U))</f>
        <v>Documento a emitir</v>
      </c>
      <c r="L13" s="43" t="str">
        <f>IF(K13="Documento a emitir","Documento a emitir",IF(K13&lt;&gt;"Documento a emitir",IF(_xlfn.XLOOKUP(D13,'LD-ELFA'!F:F,'LD-ELFA'!W:W)="","",_xlfn.XLOOKUP(D13,'LD-ELFA'!F:F,'LD-ELFA'!W:W)),""))</f>
        <v>Documento a emitir</v>
      </c>
      <c r="M13" s="43" t="str">
        <f>IF(K13="Documento a emitir","",IF(AND(Q13="APC-R  - APC-R - Aprovado com Comentários (Retornar para uma nova Aprovação)",Q13="APC-L  - APC-L  - Aprovado com Comentários (Retornar Aprovado)"),"",IF(OR(_xlfn.XLOOKUP(D13,'LD-ELFA'!F:F,'LD-ELFA'!N:N)="PARA CONHECIMENTO",_xlfn.XLOOKUP(D13,'LD-ELFA'!F:F,'LD-ELFA'!N:N)="PARA CONSTRUÇÃO",_xlfn.XLOOKUP(D13,'LD-ELFA'!F:F,'LD-ELFA'!N:N)="PARA COTAÇÃO",_xlfn.XLOOKUP(D13,'LD-ELFA'!F:F,'LD-ELFA'!N:N)="CANCELADO"),_xlfn.XLOOKUP(D13,'LD-ELFA'!F:F,'LD-ELFA'!U:U),IF(AND(L13="",J13&lt;&gt;"PARA APROVAÇÃO"),"",""))))</f>
        <v/>
      </c>
      <c r="N13" s="63" t="str">
        <f t="shared" ca="1" si="8"/>
        <v>Documento a Emitir</v>
      </c>
      <c r="O13" s="63" t="str">
        <f t="shared" si="2"/>
        <v>Blossom - Documento a emitir</v>
      </c>
      <c r="P13" s="63" t="str">
        <f t="shared" si="3"/>
        <v>Blossom</v>
      </c>
      <c r="Q13" s="63" t="str">
        <f>IF(_xlfn.XLOOKUP(D13,'LD-ELFA'!F:F,'LD-ELFA'!V:V)="","",_xlfn.XLOOKUP(D13,'LD-ELFA'!F:F,'LD-ELFA'!V:V))</f>
        <v/>
      </c>
      <c r="R13" s="40">
        <f>IFERROR(IF(I13&lt;&gt;"","Documento Emitido",_xlfn.XLOOKUP(D13,Cronograma!P:P,Cronograma!Q:Q)),"Documento Removido")</f>
        <v>46252</v>
      </c>
      <c r="S13" s="40" t="str">
        <f t="shared" ca="1" si="4"/>
        <v>No prazo</v>
      </c>
      <c r="T13" s="40">
        <f>IFERROR(IF(I13&lt;&gt;"","Documento Emitido",_xlfn.XLOOKUP(D13,Cronograma!P:P,Cronograma!R:R)),"Documento Removido")</f>
        <v>46252</v>
      </c>
      <c r="U13" s="39" t="str">
        <f t="shared" si="5"/>
        <v>No prazo</v>
      </c>
      <c r="V13" s="39" t="str">
        <f t="shared" si="6"/>
        <v/>
      </c>
      <c r="W13" s="39" t="str">
        <f t="shared" ca="1" si="7"/>
        <v/>
      </c>
    </row>
    <row r="14" spans="1:23" s="60" customFormat="1" ht="28.5" customHeight="1" x14ac:dyDescent="0.2">
      <c r="A14" s="39">
        <v>11</v>
      </c>
      <c r="B14" s="39" t="str">
        <f>_xlfn.XLOOKUP(D14,'LD-ELFA'!F:F,'LD-ELFA'!C:C)</f>
        <v>AI - Automacao E Instrumentacao</v>
      </c>
      <c r="C14" s="39" t="str">
        <f>_xlfn.XLOOKUP(D14,'LD-ELFA'!F:F,'LD-ELFA'!D:D)</f>
        <v>DPR - Diagrama De Projeto</v>
      </c>
      <c r="D14" s="39" t="s">
        <v>18</v>
      </c>
      <c r="E14" s="39" t="str">
        <f>_xlfn.LET(_xlpm.q,_xlfn.XLOOKUP(D14,'LD-ELFA'!F:F,'LD-ELFA'!Q:Q),
   _xlpm.r,_xlfn.XLOOKUP(D14,'LD-ELFA'!F:F,'LD-ELFA'!R:R),
   IF(_xlpm.r = "", _xlpm.q, _xlpm.q &amp; " - " &amp; _xlpm.r))</f>
        <v>DIAGRAMA DE CONFIGURAÇÃO DE TELECOM  - REDE DE DADOS E TELEFONIA</v>
      </c>
      <c r="F14" s="63" t="str">
        <f t="shared" si="0"/>
        <v>Básico</v>
      </c>
      <c r="G14" s="63">
        <f>_xlfn.XLOOKUP(D14,'LD-ELFA'!F:F,'LD-ELFA'!G:G)</f>
        <v>0</v>
      </c>
      <c r="H14" s="63">
        <f>_xlfn.XLOOKUP(D14,'LD-ELFA'!F:F,'LD-ELFA'!I:I)</f>
        <v>0</v>
      </c>
      <c r="I14" s="63" t="str">
        <f>IF(_xlfn.XLOOKUP(D14,'LD-ELFA'!F:F,'LD-ELFA'!T:T)="","",_xlfn.XLOOKUP(D14,'LD-ELFA'!F:F,'LD-ELFA'!T:T))</f>
        <v/>
      </c>
      <c r="J14" s="63" t="str">
        <f>IF(K14="Documento a emitir", "",_xlfn.XLOOKUP(D14,'LD-ELFA'!F:F,'LD-ELFA'!N:N))</f>
        <v/>
      </c>
      <c r="K14" s="43" t="str">
        <f>IF(_xlfn.XLOOKUP($D14,'LD-ELFA'!F:F,'LD-ELFA'!U:U)="","Documento a emitir",_xlfn.XLOOKUP($D14,'LD-ELFA'!F:F,'LD-ELFA'!U:U))</f>
        <v>Documento a emitir</v>
      </c>
      <c r="L14" s="43" t="str">
        <f>IF(K14="Documento a emitir","Documento a emitir",IF(K14&lt;&gt;"Documento a emitir",IF(_xlfn.XLOOKUP(D14,'LD-ELFA'!F:F,'LD-ELFA'!W:W)="","",_xlfn.XLOOKUP(D14,'LD-ELFA'!F:F,'LD-ELFA'!W:W)),""))</f>
        <v>Documento a emitir</v>
      </c>
      <c r="M14" s="43" t="str">
        <f>IF(K14="Documento a emitir","",IF(AND(Q14="APC-R  - APC-R - Aprovado com Comentários (Retornar para uma nova Aprovação)",Q14="APC-L  - APC-L  - Aprovado com Comentários (Retornar Aprovado)"),"",IF(OR(_xlfn.XLOOKUP(D14,'LD-ELFA'!F:F,'LD-ELFA'!N:N)="PARA CONHECIMENTO",_xlfn.XLOOKUP(D14,'LD-ELFA'!F:F,'LD-ELFA'!N:N)="PARA CONSTRUÇÃO",_xlfn.XLOOKUP(D14,'LD-ELFA'!F:F,'LD-ELFA'!N:N)="PARA COTAÇÃO",_xlfn.XLOOKUP(D14,'LD-ELFA'!F:F,'LD-ELFA'!N:N)="CANCELADO"),_xlfn.XLOOKUP(D14,'LD-ELFA'!F:F,'LD-ELFA'!U:U),IF(AND(L14="",J14&lt;&gt;"PARA APROVAÇÃO"),"",""))))</f>
        <v/>
      </c>
      <c r="N14" s="63" t="str">
        <f t="shared" ca="1" si="8"/>
        <v>Documento a Emitir</v>
      </c>
      <c r="O14" s="63" t="str">
        <f t="shared" si="2"/>
        <v>Blossom - Documento a emitir</v>
      </c>
      <c r="P14" s="63" t="str">
        <f t="shared" si="3"/>
        <v>Blossom</v>
      </c>
      <c r="Q14" s="63" t="str">
        <f>IF(_xlfn.XLOOKUP(D14,'LD-ELFA'!F:F,'LD-ELFA'!V:V)="","",_xlfn.XLOOKUP(D14,'LD-ELFA'!F:F,'LD-ELFA'!V:V))</f>
        <v/>
      </c>
      <c r="R14" s="40">
        <f>IFERROR(IF(I14&lt;&gt;"","Documento Emitido",_xlfn.XLOOKUP(D14,Cronograma!P:P,Cronograma!Q:Q)),"Documento Removido")</f>
        <v>46244</v>
      </c>
      <c r="S14" s="40" t="str">
        <f t="shared" ca="1" si="4"/>
        <v>No prazo</v>
      </c>
      <c r="T14" s="40">
        <f>IFERROR(IF(I14&lt;&gt;"","Documento Emitido",_xlfn.XLOOKUP(D14,Cronograma!P:P,Cronograma!R:R)),"Documento Removido")</f>
        <v>46244</v>
      </c>
      <c r="U14" s="39" t="str">
        <f t="shared" si="5"/>
        <v>No prazo</v>
      </c>
      <c r="V14" s="39" t="str">
        <f t="shared" si="6"/>
        <v/>
      </c>
      <c r="W14" s="39" t="str">
        <f t="shared" ca="1" si="7"/>
        <v/>
      </c>
    </row>
    <row r="15" spans="1:23" s="60" customFormat="1" ht="28.5" customHeight="1" x14ac:dyDescent="0.2">
      <c r="A15" s="39">
        <v>12</v>
      </c>
      <c r="B15" s="39" t="str">
        <f>_xlfn.XLOOKUP(D15,'LD-ELFA'!F:F,'LD-ELFA'!C:C)</f>
        <v>AI - Automacao E Instrumentacao</v>
      </c>
      <c r="C15" s="39" t="str">
        <f>_xlfn.XLOOKUP(D15,'LD-ELFA'!F:F,'LD-ELFA'!D:D)</f>
        <v>DPR - Diagrama De Projeto</v>
      </c>
      <c r="D15" s="39" t="s">
        <v>19</v>
      </c>
      <c r="E15" s="39" t="str">
        <f>_xlfn.LET(_xlpm.q,_xlfn.XLOOKUP(D15,'LD-ELFA'!F:F,'LD-ELFA'!Q:Q),
   _xlpm.r,_xlfn.XLOOKUP(D15,'LD-ELFA'!F:F,'LD-ELFA'!R:R),
   IF(_xlpm.r = "", _xlpm.q, _xlpm.q &amp; " - " &amp; _xlpm.r))</f>
        <v>DIAGRAMA DE CONFIGURAÇÃO DE TELECOM - SEGURANÇA PATRIMONIAL</v>
      </c>
      <c r="F15" s="63" t="str">
        <f t="shared" si="0"/>
        <v>Básico</v>
      </c>
      <c r="G15" s="63">
        <f>_xlfn.XLOOKUP(D15,'LD-ELFA'!F:F,'LD-ELFA'!G:G)</f>
        <v>0</v>
      </c>
      <c r="H15" s="63">
        <f>_xlfn.XLOOKUP(D15,'LD-ELFA'!F:F,'LD-ELFA'!I:I)</f>
        <v>0</v>
      </c>
      <c r="I15" s="63" t="str">
        <f>IF(_xlfn.XLOOKUP(D15,'LD-ELFA'!F:F,'LD-ELFA'!T:T)="","",_xlfn.XLOOKUP(D15,'LD-ELFA'!F:F,'LD-ELFA'!T:T))</f>
        <v/>
      </c>
      <c r="J15" s="63" t="str">
        <f>IF(K15="Documento a emitir", "",_xlfn.XLOOKUP(D15,'LD-ELFA'!F:F,'LD-ELFA'!N:N))</f>
        <v/>
      </c>
      <c r="K15" s="43" t="str">
        <f>IF(_xlfn.XLOOKUP($D15,'LD-ELFA'!F:F,'LD-ELFA'!U:U)="","Documento a emitir",_xlfn.XLOOKUP($D15,'LD-ELFA'!F:F,'LD-ELFA'!U:U))</f>
        <v>Documento a emitir</v>
      </c>
      <c r="L15" s="43" t="str">
        <f>IF(K15="Documento a emitir","Documento a emitir",IF(K15&lt;&gt;"Documento a emitir",IF(_xlfn.XLOOKUP(D15,'LD-ELFA'!F:F,'LD-ELFA'!W:W)="","",_xlfn.XLOOKUP(D15,'LD-ELFA'!F:F,'LD-ELFA'!W:W)),""))</f>
        <v>Documento a emitir</v>
      </c>
      <c r="M15" s="43" t="str">
        <f>IF(K15="Documento a emitir","",IF(AND(Q15="APC-R  - APC-R - Aprovado com Comentários (Retornar para uma nova Aprovação)",Q15="APC-L  - APC-L  - Aprovado com Comentários (Retornar Aprovado)"),"",IF(OR(_xlfn.XLOOKUP(D15,'LD-ELFA'!F:F,'LD-ELFA'!N:N)="PARA CONHECIMENTO",_xlfn.XLOOKUP(D15,'LD-ELFA'!F:F,'LD-ELFA'!N:N)="PARA CONSTRUÇÃO",_xlfn.XLOOKUP(D15,'LD-ELFA'!F:F,'LD-ELFA'!N:N)="PARA COTAÇÃO",_xlfn.XLOOKUP(D15,'LD-ELFA'!F:F,'LD-ELFA'!N:N)="CANCELADO"),_xlfn.XLOOKUP(D15,'LD-ELFA'!F:F,'LD-ELFA'!U:U),IF(AND(L15="",J15&lt;&gt;"PARA APROVAÇÃO"),"",""))))</f>
        <v/>
      </c>
      <c r="N15" s="63" t="str">
        <f t="shared" ca="1" si="8"/>
        <v>Documento a Emitir</v>
      </c>
      <c r="O15" s="63" t="str">
        <f t="shared" si="2"/>
        <v>Blossom - Documento a emitir</v>
      </c>
      <c r="P15" s="63" t="str">
        <f t="shared" si="3"/>
        <v>Blossom</v>
      </c>
      <c r="Q15" s="63" t="str">
        <f>IF(_xlfn.XLOOKUP(D15,'LD-ELFA'!F:F,'LD-ELFA'!V:V)="","",_xlfn.XLOOKUP(D15,'LD-ELFA'!F:F,'LD-ELFA'!V:V))</f>
        <v/>
      </c>
      <c r="R15" s="40">
        <f>IFERROR(IF(I15&lt;&gt;"","Documento Emitido",_xlfn.XLOOKUP(D15,Cronograma!P:P,Cronograma!Q:Q)),"Documento Removido")</f>
        <v>46237</v>
      </c>
      <c r="S15" s="40" t="str">
        <f t="shared" ca="1" si="4"/>
        <v>No prazo</v>
      </c>
      <c r="T15" s="40">
        <f>IFERROR(IF(I15&lt;&gt;"","Documento Emitido",_xlfn.XLOOKUP(D15,Cronograma!P:P,Cronograma!R:R)),"Documento Removido")</f>
        <v>46237</v>
      </c>
      <c r="U15" s="39" t="str">
        <f t="shared" si="5"/>
        <v>No prazo</v>
      </c>
      <c r="V15" s="39" t="str">
        <f t="shared" si="6"/>
        <v/>
      </c>
      <c r="W15" s="39" t="str">
        <f t="shared" ca="1" si="7"/>
        <v/>
      </c>
    </row>
    <row r="16" spans="1:23" s="60" customFormat="1" ht="28.5" customHeight="1" x14ac:dyDescent="0.2">
      <c r="A16" s="39">
        <v>13</v>
      </c>
      <c r="B16" s="39" t="str">
        <f>_xlfn.XLOOKUP(D16,'LD-ELFA'!F:F,'LD-ELFA'!C:C)</f>
        <v>AI - Automacao E Instrumentacao</v>
      </c>
      <c r="C16" s="39" t="str">
        <f>_xlfn.XLOOKUP(D16,'LD-ELFA'!F:F,'LD-ELFA'!D:D)</f>
        <v>DPR - Diagrama De Projeto</v>
      </c>
      <c r="D16" s="39" t="s">
        <v>20</v>
      </c>
      <c r="E16" s="39" t="str">
        <f>_xlfn.LET(_xlpm.q,_xlfn.XLOOKUP(D16,'LD-ELFA'!F:F,'LD-ELFA'!Q:Q),
   _xlpm.r,_xlfn.XLOOKUP(D16,'LD-ELFA'!F:F,'LD-ELFA'!R:R),
   IF(_xlpm.r = "", _xlpm.q, _xlpm.q &amp; " - " &amp; _xlpm.r))</f>
        <v>DIAGRAMA DE CONFIGURAÇÃO DE TELECOM - CFTV PROCESSO</v>
      </c>
      <c r="F16" s="63" t="str">
        <f t="shared" si="0"/>
        <v>Básico</v>
      </c>
      <c r="G16" s="63">
        <f>_xlfn.XLOOKUP(D16,'LD-ELFA'!F:F,'LD-ELFA'!G:G)</f>
        <v>0</v>
      </c>
      <c r="H16" s="63">
        <f>_xlfn.XLOOKUP(D16,'LD-ELFA'!F:F,'LD-ELFA'!I:I)</f>
        <v>0</v>
      </c>
      <c r="I16" s="63" t="str">
        <f>IF(_xlfn.XLOOKUP(D16,'LD-ELFA'!F:F,'LD-ELFA'!T:T)="","",_xlfn.XLOOKUP(D16,'LD-ELFA'!F:F,'LD-ELFA'!T:T))</f>
        <v/>
      </c>
      <c r="J16" s="63" t="str">
        <f>IF(K16="Documento a emitir", "",_xlfn.XLOOKUP(D16,'LD-ELFA'!F:F,'LD-ELFA'!N:N))</f>
        <v/>
      </c>
      <c r="K16" s="43" t="str">
        <f>IF(_xlfn.XLOOKUP($D16,'LD-ELFA'!F:F,'LD-ELFA'!U:U)="","Documento a emitir",_xlfn.XLOOKUP($D16,'LD-ELFA'!F:F,'LD-ELFA'!U:U))</f>
        <v>Documento a emitir</v>
      </c>
      <c r="L16" s="43" t="str">
        <f>IF(K16="Documento a emitir","Documento a emitir",IF(K16&lt;&gt;"Documento a emitir",IF(_xlfn.XLOOKUP(D16,'LD-ELFA'!F:F,'LD-ELFA'!W:W)="","",_xlfn.XLOOKUP(D16,'LD-ELFA'!F:F,'LD-ELFA'!W:W)),""))</f>
        <v>Documento a emitir</v>
      </c>
      <c r="M16" s="43" t="str">
        <f>IF(K16="Documento a emitir","",IF(AND(Q16="APC-R  - APC-R - Aprovado com Comentários (Retornar para uma nova Aprovação)",Q16="APC-L  - APC-L  - Aprovado com Comentários (Retornar Aprovado)"),"",IF(OR(_xlfn.XLOOKUP(D16,'LD-ELFA'!F:F,'LD-ELFA'!N:N)="PARA CONHECIMENTO",_xlfn.XLOOKUP(D16,'LD-ELFA'!F:F,'LD-ELFA'!N:N)="PARA CONSTRUÇÃO",_xlfn.XLOOKUP(D16,'LD-ELFA'!F:F,'LD-ELFA'!N:N)="PARA COTAÇÃO",_xlfn.XLOOKUP(D16,'LD-ELFA'!F:F,'LD-ELFA'!N:N)="CANCELADO"),_xlfn.XLOOKUP(D16,'LD-ELFA'!F:F,'LD-ELFA'!U:U),IF(AND(L16="",J16&lt;&gt;"PARA APROVAÇÃO"),"",""))))</f>
        <v/>
      </c>
      <c r="N16" s="63" t="str">
        <f t="shared" ca="1" si="8"/>
        <v>Documento a Emitir</v>
      </c>
      <c r="O16" s="63" t="str">
        <f t="shared" si="2"/>
        <v>Blossom - Documento a emitir</v>
      </c>
      <c r="P16" s="63" t="str">
        <f t="shared" si="3"/>
        <v>Blossom</v>
      </c>
      <c r="Q16" s="63" t="str">
        <f>IF(_xlfn.XLOOKUP(D16,'LD-ELFA'!F:F,'LD-ELFA'!V:V)="","",_xlfn.XLOOKUP(D16,'LD-ELFA'!F:F,'LD-ELFA'!V:V))</f>
        <v/>
      </c>
      <c r="R16" s="40">
        <f>IFERROR(IF(I16&lt;&gt;"","Documento Emitido",_xlfn.XLOOKUP(D16,Cronograma!P:P,Cronograma!Q:Q)),"Documento Removido")</f>
        <v>46231</v>
      </c>
      <c r="S16" s="40" t="str">
        <f t="shared" ca="1" si="4"/>
        <v>No prazo</v>
      </c>
      <c r="T16" s="40">
        <f>IFERROR(IF(I16&lt;&gt;"","Documento Emitido",_xlfn.XLOOKUP(D16,Cronograma!P:P,Cronograma!R:R)),"Documento Removido")</f>
        <v>46231</v>
      </c>
      <c r="U16" s="39" t="str">
        <f t="shared" si="5"/>
        <v>No prazo</v>
      </c>
      <c r="V16" s="39" t="str">
        <f t="shared" si="6"/>
        <v>Semana 3</v>
      </c>
      <c r="W16" s="39" t="str">
        <f t="shared" ca="1" si="7"/>
        <v/>
      </c>
    </row>
    <row r="17" spans="1:23" s="60" customFormat="1" ht="28.5" customHeight="1" x14ac:dyDescent="0.2">
      <c r="A17" s="39">
        <v>14</v>
      </c>
      <c r="B17" s="39" t="str">
        <f>_xlfn.XLOOKUP(D17,'LD-ELFA'!F:F,'LD-ELFA'!C:C)</f>
        <v>AI - Automacao E Instrumentacao</v>
      </c>
      <c r="C17" s="39" t="str">
        <f>_xlfn.XLOOKUP(D17,'LD-ELFA'!F:F,'LD-ELFA'!D:D)</f>
        <v>DPR - Diagrama De Projeto</v>
      </c>
      <c r="D17" s="39" t="s">
        <v>21</v>
      </c>
      <c r="E17" s="39" t="str">
        <f>_xlfn.LET(_xlpm.q,_xlfn.XLOOKUP(D17,'LD-ELFA'!F:F,'LD-ELFA'!Q:Q),
   _xlpm.r,_xlfn.XLOOKUP(D17,'LD-ELFA'!F:F,'LD-ELFA'!R:R),
   IF(_xlpm.r = "", _xlpm.q, _xlpm.q &amp; " - " &amp; _xlpm.r))</f>
        <v>DIAGRAMA DE CONFIGURAÇÃO DE TELECOM - BACKBONE TI</v>
      </c>
      <c r="F17" s="63" t="str">
        <f t="shared" si="0"/>
        <v>Básico</v>
      </c>
      <c r="G17" s="63">
        <f>_xlfn.XLOOKUP(D17,'LD-ELFA'!F:F,'LD-ELFA'!G:G)</f>
        <v>0</v>
      </c>
      <c r="H17" s="63">
        <f>_xlfn.XLOOKUP(D17,'LD-ELFA'!F:F,'LD-ELFA'!I:I)</f>
        <v>0</v>
      </c>
      <c r="I17" s="63" t="str">
        <f>IF(_xlfn.XLOOKUP(D17,'LD-ELFA'!F:F,'LD-ELFA'!T:T)="","",_xlfn.XLOOKUP(D17,'LD-ELFA'!F:F,'LD-ELFA'!T:T))</f>
        <v/>
      </c>
      <c r="J17" s="63" t="str">
        <f>IF(K17="Documento a emitir", "",_xlfn.XLOOKUP(D17,'LD-ELFA'!F:F,'LD-ELFA'!N:N))</f>
        <v/>
      </c>
      <c r="K17" s="43" t="str">
        <f>IF(_xlfn.XLOOKUP($D17,'LD-ELFA'!F:F,'LD-ELFA'!U:U)="","Documento a emitir",_xlfn.XLOOKUP($D17,'LD-ELFA'!F:F,'LD-ELFA'!U:U))</f>
        <v>Documento a emitir</v>
      </c>
      <c r="L17" s="43" t="str">
        <f>IF(K17="Documento a emitir","Documento a emitir",IF(K17&lt;&gt;"Documento a emitir",IF(_xlfn.XLOOKUP(D17,'LD-ELFA'!F:F,'LD-ELFA'!W:W)="","",_xlfn.XLOOKUP(D17,'LD-ELFA'!F:F,'LD-ELFA'!W:W)),""))</f>
        <v>Documento a emitir</v>
      </c>
      <c r="M17" s="43" t="str">
        <f>IF(K17="Documento a emitir","",IF(AND(Q17="APC-R  - APC-R - Aprovado com Comentários (Retornar para uma nova Aprovação)",Q17="APC-L  - APC-L  - Aprovado com Comentários (Retornar Aprovado)"),"",IF(OR(_xlfn.XLOOKUP(D17,'LD-ELFA'!F:F,'LD-ELFA'!N:N)="PARA CONHECIMENTO",_xlfn.XLOOKUP(D17,'LD-ELFA'!F:F,'LD-ELFA'!N:N)="PARA CONSTRUÇÃO",_xlfn.XLOOKUP(D17,'LD-ELFA'!F:F,'LD-ELFA'!N:N)="PARA COTAÇÃO",_xlfn.XLOOKUP(D17,'LD-ELFA'!F:F,'LD-ELFA'!N:N)="CANCELADO"),_xlfn.XLOOKUP(D17,'LD-ELFA'!F:F,'LD-ELFA'!U:U),IF(AND(L17="",J17&lt;&gt;"PARA APROVAÇÃO"),"",""))))</f>
        <v/>
      </c>
      <c r="N17" s="63" t="str">
        <f t="shared" ca="1" si="8"/>
        <v>Documento a Emitir</v>
      </c>
      <c r="O17" s="63" t="str">
        <f t="shared" si="2"/>
        <v>Blossom - Documento a emitir</v>
      </c>
      <c r="P17" s="63" t="str">
        <f t="shared" si="3"/>
        <v>Blossom</v>
      </c>
      <c r="Q17" s="63" t="str">
        <f>IF(_xlfn.XLOOKUP(D17,'LD-ELFA'!F:F,'LD-ELFA'!V:V)="","",_xlfn.XLOOKUP(D17,'LD-ELFA'!F:F,'LD-ELFA'!V:V))</f>
        <v/>
      </c>
      <c r="R17" s="40">
        <f>IFERROR(IF(I17&lt;&gt;"","Documento Emitido",_xlfn.XLOOKUP(D17,Cronograma!P:P,Cronograma!Q:Q)),"Documento Removido")</f>
        <v>46247</v>
      </c>
      <c r="S17" s="40" t="str">
        <f t="shared" ca="1" si="4"/>
        <v>No prazo</v>
      </c>
      <c r="T17" s="40">
        <f>IFERROR(IF(I17&lt;&gt;"","Documento Emitido",_xlfn.XLOOKUP(D17,Cronograma!P:P,Cronograma!R:R)),"Documento Removido")</f>
        <v>46247</v>
      </c>
      <c r="U17" s="39" t="str">
        <f t="shared" si="5"/>
        <v>No prazo</v>
      </c>
      <c r="V17" s="39" t="str">
        <f t="shared" si="6"/>
        <v/>
      </c>
      <c r="W17" s="39" t="str">
        <f t="shared" ca="1" si="7"/>
        <v/>
      </c>
    </row>
    <row r="18" spans="1:23" s="60" customFormat="1" ht="28.5" customHeight="1" x14ac:dyDescent="0.2">
      <c r="A18" s="39">
        <v>15</v>
      </c>
      <c r="B18" s="39" t="str">
        <f>_xlfn.XLOOKUP(D18,'LD-ELFA'!F:F,'LD-ELFA'!C:C)</f>
        <v>AI - Automacao E Instrumentacao</v>
      </c>
      <c r="C18" s="39" t="str">
        <f>_xlfn.XLOOKUP(D18,'LD-ELFA'!F:F,'LD-ELFA'!D:D)</f>
        <v>ETE - Especificação Técnica</v>
      </c>
      <c r="D18" s="39" t="s">
        <v>22</v>
      </c>
      <c r="E18" s="39" t="str">
        <f>_xlfn.LET(_xlpm.q,_xlfn.XLOOKUP(D18,'LD-ELFA'!F:F,'LD-ELFA'!Q:Q),
   _xlpm.r,_xlfn.XLOOKUP(D18,'LD-ELFA'!F:F,'LD-ELFA'!R:R),
   IF(_xlpm.r = "", _xlpm.q, _xlpm.q &amp; " - " &amp; _xlpm.r))</f>
        <v>ESPECIFICAÇÃO TÉCNICA - SISTEMA DE CONTROLE E AUTOMAÇÃO</v>
      </c>
      <c r="F18" s="63" t="str">
        <f t="shared" si="0"/>
        <v>Básico</v>
      </c>
      <c r="G18" s="63">
        <f>_xlfn.XLOOKUP(D18,'LD-ELFA'!F:F,'LD-ELFA'!G:G)</f>
        <v>0</v>
      </c>
      <c r="H18" s="63">
        <f>_xlfn.XLOOKUP(D18,'LD-ELFA'!F:F,'LD-ELFA'!I:I)</f>
        <v>0</v>
      </c>
      <c r="I18" s="63" t="str">
        <f>IF(_xlfn.XLOOKUP(D18,'LD-ELFA'!F:F,'LD-ELFA'!T:T)="","",_xlfn.XLOOKUP(D18,'LD-ELFA'!F:F,'LD-ELFA'!T:T))</f>
        <v/>
      </c>
      <c r="J18" s="63" t="str">
        <f>IF(K18="Documento a emitir", "",_xlfn.XLOOKUP(D18,'LD-ELFA'!F:F,'LD-ELFA'!N:N))</f>
        <v/>
      </c>
      <c r="K18" s="43" t="str">
        <f>IF(_xlfn.XLOOKUP($D18,'LD-ELFA'!F:F,'LD-ELFA'!U:U)="","Documento a emitir",_xlfn.XLOOKUP($D18,'LD-ELFA'!F:F,'LD-ELFA'!U:U))</f>
        <v>Documento a emitir</v>
      </c>
      <c r="L18" s="43" t="str">
        <f>IF(K18="Documento a emitir","Documento a emitir",IF(K18&lt;&gt;"Documento a emitir",IF(_xlfn.XLOOKUP(D18,'LD-ELFA'!F:F,'LD-ELFA'!W:W)="","",_xlfn.XLOOKUP(D18,'LD-ELFA'!F:F,'LD-ELFA'!W:W)),""))</f>
        <v>Documento a emitir</v>
      </c>
      <c r="M18" s="43" t="str">
        <f>IF(K18="Documento a emitir","",IF(AND(Q18="APC-R  - APC-R - Aprovado com Comentários (Retornar para uma nova Aprovação)",Q18="APC-L  - APC-L  - Aprovado com Comentários (Retornar Aprovado)"),"",IF(OR(_xlfn.XLOOKUP(D18,'LD-ELFA'!F:F,'LD-ELFA'!N:N)="PARA CONHECIMENTO",_xlfn.XLOOKUP(D18,'LD-ELFA'!F:F,'LD-ELFA'!N:N)="PARA CONSTRUÇÃO",_xlfn.XLOOKUP(D18,'LD-ELFA'!F:F,'LD-ELFA'!N:N)="PARA COTAÇÃO",_xlfn.XLOOKUP(D18,'LD-ELFA'!F:F,'LD-ELFA'!N:N)="CANCELADO"),_xlfn.XLOOKUP(D18,'LD-ELFA'!F:F,'LD-ELFA'!U:U),IF(AND(L18="",J18&lt;&gt;"PARA APROVAÇÃO"),"",""))))</f>
        <v/>
      </c>
      <c r="N18" s="63" t="str">
        <f t="shared" ca="1" si="8"/>
        <v>Documento a Emitir</v>
      </c>
      <c r="O18" s="63" t="str">
        <f t="shared" si="2"/>
        <v>Blossom - Documento a emitir</v>
      </c>
      <c r="P18" s="63" t="str">
        <f t="shared" si="3"/>
        <v>Blossom</v>
      </c>
      <c r="Q18" s="63" t="str">
        <f>IF(_xlfn.XLOOKUP(D18,'LD-ELFA'!F:F,'LD-ELFA'!V:V)="","",_xlfn.XLOOKUP(D18,'LD-ELFA'!F:F,'LD-ELFA'!V:V))</f>
        <v/>
      </c>
      <c r="R18" s="40">
        <f>IFERROR(IF(I18&lt;&gt;"","Documento Emitido",_xlfn.XLOOKUP(D18,Cronograma!P:P,Cronograma!Q:Q)),"Documento Removido")</f>
        <v>46226</v>
      </c>
      <c r="S18" s="40" t="str">
        <f t="shared" ca="1" si="4"/>
        <v>No prazo</v>
      </c>
      <c r="T18" s="40">
        <f>IFERROR(IF(I18&lt;&gt;"","Documento Emitido",_xlfn.XLOOKUP(D18,Cronograma!P:P,Cronograma!R:R)),"Documento Removido")</f>
        <v>46226</v>
      </c>
      <c r="U18" s="39" t="str">
        <f t="shared" si="5"/>
        <v>No prazo</v>
      </c>
      <c r="V18" s="39" t="str">
        <f t="shared" si="6"/>
        <v>Semana 2</v>
      </c>
      <c r="W18" s="39" t="str">
        <f t="shared" ca="1" si="7"/>
        <v/>
      </c>
    </row>
    <row r="19" spans="1:23" s="60" customFormat="1" ht="28.5" customHeight="1" x14ac:dyDescent="0.2">
      <c r="A19" s="39">
        <v>16</v>
      </c>
      <c r="B19" s="39" t="str">
        <f>_xlfn.XLOOKUP(D19,'LD-ELFA'!F:F,'LD-ELFA'!C:C)</f>
        <v>AI - Automacao E Instrumentacao</v>
      </c>
      <c r="C19" s="39" t="str">
        <f>_xlfn.XLOOKUP(D19,'LD-ELFA'!F:F,'LD-ELFA'!D:D)</f>
        <v>ETE - Especificação Técnica</v>
      </c>
      <c r="D19" s="39" t="s">
        <v>23</v>
      </c>
      <c r="E19" s="39" t="str">
        <f>_xlfn.LET(_xlpm.q,_xlfn.XLOOKUP(D19,'LD-ELFA'!F:F,'LD-ELFA'!Q:Q),
   _xlpm.r,_xlfn.XLOOKUP(D19,'LD-ELFA'!F:F,'LD-ELFA'!R:R),
   IF(_xlpm.r = "", _xlpm.q, _xlpm.q &amp; " - " &amp; _xlpm.r))</f>
        <v>ESPECIFICAÇÃO TÉCNICA - SDACI</v>
      </c>
      <c r="F19" s="63" t="str">
        <f t="shared" si="0"/>
        <v>Básico</v>
      </c>
      <c r="G19" s="63">
        <f>_xlfn.XLOOKUP(D19,'LD-ELFA'!F:F,'LD-ELFA'!G:G)</f>
        <v>0</v>
      </c>
      <c r="H19" s="63">
        <f>_xlfn.XLOOKUP(D19,'LD-ELFA'!F:F,'LD-ELFA'!I:I)</f>
        <v>0</v>
      </c>
      <c r="I19" s="63" t="str">
        <f>IF(_xlfn.XLOOKUP(D19,'LD-ELFA'!F:F,'LD-ELFA'!T:T)="","",_xlfn.XLOOKUP(D19,'LD-ELFA'!F:F,'LD-ELFA'!T:T))</f>
        <v/>
      </c>
      <c r="J19" s="63" t="str">
        <f>IF(K19="Documento a emitir", "",_xlfn.XLOOKUP(D19,'LD-ELFA'!F:F,'LD-ELFA'!N:N))</f>
        <v/>
      </c>
      <c r="K19" s="43" t="str">
        <f>IF(_xlfn.XLOOKUP($D19,'LD-ELFA'!F:F,'LD-ELFA'!U:U)="","Documento a emitir",_xlfn.XLOOKUP($D19,'LD-ELFA'!F:F,'LD-ELFA'!U:U))</f>
        <v>Documento a emitir</v>
      </c>
      <c r="L19" s="43" t="str">
        <f>IF(K19="Documento a emitir","Documento a emitir",IF(K19&lt;&gt;"Documento a emitir",IF(_xlfn.XLOOKUP(D19,'LD-ELFA'!F:F,'LD-ELFA'!W:W)="","",_xlfn.XLOOKUP(D19,'LD-ELFA'!F:F,'LD-ELFA'!W:W)),""))</f>
        <v>Documento a emitir</v>
      </c>
      <c r="M19" s="43" t="str">
        <f>IF(K19="Documento a emitir","",IF(AND(Q19="APC-R  - APC-R - Aprovado com Comentários (Retornar para uma nova Aprovação)",Q19="APC-L  - APC-L  - Aprovado com Comentários (Retornar Aprovado)"),"",IF(OR(_xlfn.XLOOKUP(D19,'LD-ELFA'!F:F,'LD-ELFA'!N:N)="PARA CONHECIMENTO",_xlfn.XLOOKUP(D19,'LD-ELFA'!F:F,'LD-ELFA'!N:N)="PARA CONSTRUÇÃO",_xlfn.XLOOKUP(D19,'LD-ELFA'!F:F,'LD-ELFA'!N:N)="PARA COTAÇÃO",_xlfn.XLOOKUP(D19,'LD-ELFA'!F:F,'LD-ELFA'!N:N)="CANCELADO"),_xlfn.XLOOKUP(D19,'LD-ELFA'!F:F,'LD-ELFA'!U:U),IF(AND(L19="",J19&lt;&gt;"PARA APROVAÇÃO"),"",""))))</f>
        <v/>
      </c>
      <c r="N19" s="63" t="str">
        <f t="shared" ca="1" si="8"/>
        <v>Documento a Emitir</v>
      </c>
      <c r="O19" s="63" t="str">
        <f t="shared" si="2"/>
        <v>Blossom - Documento a emitir</v>
      </c>
      <c r="P19" s="63" t="str">
        <f t="shared" si="3"/>
        <v>Blossom</v>
      </c>
      <c r="Q19" s="63" t="str">
        <f>IF(_xlfn.XLOOKUP(D19,'LD-ELFA'!F:F,'LD-ELFA'!V:V)="","",_xlfn.XLOOKUP(D19,'LD-ELFA'!F:F,'LD-ELFA'!V:V))</f>
        <v/>
      </c>
      <c r="R19" s="40">
        <f>IFERROR(IF(I19&lt;&gt;"","Documento Emitido",_xlfn.XLOOKUP(D19,Cronograma!P:P,Cronograma!Q:Q)),"Documento Removido")</f>
        <v>46252</v>
      </c>
      <c r="S19" s="40" t="str">
        <f t="shared" ca="1" si="4"/>
        <v>No prazo</v>
      </c>
      <c r="T19" s="40">
        <f>IFERROR(IF(I19&lt;&gt;"","Documento Emitido",_xlfn.XLOOKUP(D19,Cronograma!P:P,Cronograma!R:R)),"Documento Removido")</f>
        <v>46252</v>
      </c>
      <c r="U19" s="39" t="str">
        <f t="shared" si="5"/>
        <v>No prazo</v>
      </c>
      <c r="V19" s="39" t="str">
        <f t="shared" si="6"/>
        <v/>
      </c>
      <c r="W19" s="39" t="str">
        <f t="shared" ca="1" si="7"/>
        <v/>
      </c>
    </row>
    <row r="20" spans="1:23" s="60" customFormat="1" ht="28.5" customHeight="1" x14ac:dyDescent="0.2">
      <c r="A20" s="39">
        <v>17</v>
      </c>
      <c r="B20" s="39" t="str">
        <f>_xlfn.XLOOKUP(D20,'LD-ELFA'!F:F,'LD-ELFA'!C:C)</f>
        <v>AI - Automacao E Instrumentacao</v>
      </c>
      <c r="C20" s="39" t="str">
        <f>_xlfn.XLOOKUP(D20,'LD-ELFA'!F:F,'LD-ELFA'!D:D)</f>
        <v>ETE - Especificação Técnica</v>
      </c>
      <c r="D20" s="39" t="s">
        <v>24</v>
      </c>
      <c r="E20" s="39" t="str">
        <f>_xlfn.LET(_xlpm.q,_xlfn.XLOOKUP(D20,'LD-ELFA'!F:F,'LD-ELFA'!Q:Q),
   _xlpm.r,_xlfn.XLOOKUP(D20,'LD-ELFA'!F:F,'LD-ELFA'!R:R),
   IF(_xlpm.r = "", _xlpm.q, _xlpm.q &amp; " - " &amp; _xlpm.r))</f>
        <v>ESPECIFICAÇÃO TÉCNICA - SEGURANÇA PATRIMONIAL</v>
      </c>
      <c r="F20" s="63" t="str">
        <f t="shared" si="0"/>
        <v>Básico</v>
      </c>
      <c r="G20" s="63">
        <f>_xlfn.XLOOKUP(D20,'LD-ELFA'!F:F,'LD-ELFA'!G:G)</f>
        <v>0</v>
      </c>
      <c r="H20" s="63">
        <f>_xlfn.XLOOKUP(D20,'LD-ELFA'!F:F,'LD-ELFA'!I:I)</f>
        <v>0</v>
      </c>
      <c r="I20" s="63" t="str">
        <f>IF(_xlfn.XLOOKUP(D20,'LD-ELFA'!F:F,'LD-ELFA'!T:T)="","",_xlfn.XLOOKUP(D20,'LD-ELFA'!F:F,'LD-ELFA'!T:T))</f>
        <v/>
      </c>
      <c r="J20" s="63" t="str">
        <f>IF(K20="Documento a emitir", "",_xlfn.XLOOKUP(D20,'LD-ELFA'!F:F,'LD-ELFA'!N:N))</f>
        <v/>
      </c>
      <c r="K20" s="43" t="str">
        <f>IF(_xlfn.XLOOKUP($D20,'LD-ELFA'!F:F,'LD-ELFA'!U:U)="","Documento a emitir",_xlfn.XLOOKUP($D20,'LD-ELFA'!F:F,'LD-ELFA'!U:U))</f>
        <v>Documento a emitir</v>
      </c>
      <c r="L20" s="43" t="str">
        <f>IF(K20="Documento a emitir","Documento a emitir",IF(K20&lt;&gt;"Documento a emitir",IF(_xlfn.XLOOKUP(D20,'LD-ELFA'!F:F,'LD-ELFA'!W:W)="","",_xlfn.XLOOKUP(D20,'LD-ELFA'!F:F,'LD-ELFA'!W:W)),""))</f>
        <v>Documento a emitir</v>
      </c>
      <c r="M20" s="43" t="str">
        <f>IF(K20="Documento a emitir","",IF(AND(Q20="APC-R  - APC-R - Aprovado com Comentários (Retornar para uma nova Aprovação)",Q20="APC-L  - APC-L  - Aprovado com Comentários (Retornar Aprovado)"),"",IF(OR(_xlfn.XLOOKUP(D20,'LD-ELFA'!F:F,'LD-ELFA'!N:N)="PARA CONHECIMENTO",_xlfn.XLOOKUP(D20,'LD-ELFA'!F:F,'LD-ELFA'!N:N)="PARA CONSTRUÇÃO",_xlfn.XLOOKUP(D20,'LD-ELFA'!F:F,'LD-ELFA'!N:N)="PARA COTAÇÃO",_xlfn.XLOOKUP(D20,'LD-ELFA'!F:F,'LD-ELFA'!N:N)="CANCELADO"),_xlfn.XLOOKUP(D20,'LD-ELFA'!F:F,'LD-ELFA'!U:U),IF(AND(L20="",J20&lt;&gt;"PARA APROVAÇÃO"),"",""))))</f>
        <v/>
      </c>
      <c r="N20" s="63" t="str">
        <f t="shared" ca="1" si="8"/>
        <v>Documento a Emitir</v>
      </c>
      <c r="O20" s="63" t="str">
        <f t="shared" si="2"/>
        <v>Blossom - Documento a emitir</v>
      </c>
      <c r="P20" s="63" t="str">
        <f t="shared" si="3"/>
        <v>Blossom</v>
      </c>
      <c r="Q20" s="63" t="str">
        <f>IF(_xlfn.XLOOKUP(D20,'LD-ELFA'!F:F,'LD-ELFA'!V:V)="","",_xlfn.XLOOKUP(D20,'LD-ELFA'!F:F,'LD-ELFA'!V:V))</f>
        <v/>
      </c>
      <c r="R20" s="40">
        <f>IFERROR(IF(I20&lt;&gt;"","Documento Emitido",_xlfn.XLOOKUP(D20,Cronograma!P:P,Cronograma!Q:Q)),"Documento Removido")</f>
        <v>46239</v>
      </c>
      <c r="S20" s="40" t="str">
        <f t="shared" ca="1" si="4"/>
        <v>No prazo</v>
      </c>
      <c r="T20" s="40">
        <f>IFERROR(IF(I20&lt;&gt;"","Documento Emitido",_xlfn.XLOOKUP(D20,Cronograma!P:P,Cronograma!R:R)),"Documento Removido")</f>
        <v>46239</v>
      </c>
      <c r="U20" s="39" t="str">
        <f t="shared" si="5"/>
        <v>No prazo</v>
      </c>
      <c r="V20" s="39" t="str">
        <f t="shared" si="6"/>
        <v/>
      </c>
      <c r="W20" s="39" t="str">
        <f t="shared" ca="1" si="7"/>
        <v/>
      </c>
    </row>
    <row r="21" spans="1:23" s="60" customFormat="1" ht="28.5" customHeight="1" x14ac:dyDescent="0.2">
      <c r="A21" s="39">
        <v>18</v>
      </c>
      <c r="B21" s="39" t="str">
        <f>_xlfn.XLOOKUP(D21,'LD-ELFA'!F:F,'LD-ELFA'!C:C)</f>
        <v>AI - Automacao E Instrumentacao</v>
      </c>
      <c r="C21" s="39" t="str">
        <f>_xlfn.XLOOKUP(D21,'LD-ELFA'!F:F,'LD-ELFA'!D:D)</f>
        <v>ETE - Especificação Técnica</v>
      </c>
      <c r="D21" s="39" t="s">
        <v>25</v>
      </c>
      <c r="E21" s="39" t="str">
        <f>_xlfn.LET(_xlpm.q,_xlfn.XLOOKUP(D21,'LD-ELFA'!F:F,'LD-ELFA'!Q:Q),
   _xlpm.r,_xlfn.XLOOKUP(D21,'LD-ELFA'!F:F,'LD-ELFA'!R:R),
   IF(_xlpm.r = "", _xlpm.q, _xlpm.q &amp; " - " &amp; _xlpm.r))</f>
        <v>ESPECIFICAÇÃO TÉCNICA - CFTV DE PROCESSO</v>
      </c>
      <c r="F21" s="63" t="str">
        <f t="shared" si="0"/>
        <v>Básico</v>
      </c>
      <c r="G21" s="63">
        <f>_xlfn.XLOOKUP(D21,'LD-ELFA'!F:F,'LD-ELFA'!G:G)</f>
        <v>0</v>
      </c>
      <c r="H21" s="63">
        <f>_xlfn.XLOOKUP(D21,'LD-ELFA'!F:F,'LD-ELFA'!I:I)</f>
        <v>0</v>
      </c>
      <c r="I21" s="63" t="str">
        <f>IF(_xlfn.XLOOKUP(D21,'LD-ELFA'!F:F,'LD-ELFA'!T:T)="","",_xlfn.XLOOKUP(D21,'LD-ELFA'!F:F,'LD-ELFA'!T:T))</f>
        <v/>
      </c>
      <c r="J21" s="63" t="str">
        <f>IF(K21="Documento a emitir", "",_xlfn.XLOOKUP(D21,'LD-ELFA'!F:F,'LD-ELFA'!N:N))</f>
        <v/>
      </c>
      <c r="K21" s="43" t="str">
        <f>IF(_xlfn.XLOOKUP($D21,'LD-ELFA'!F:F,'LD-ELFA'!U:U)="","Documento a emitir",_xlfn.XLOOKUP($D21,'LD-ELFA'!F:F,'LD-ELFA'!U:U))</f>
        <v>Documento a emitir</v>
      </c>
      <c r="L21" s="43" t="str">
        <f>IF(K21="Documento a emitir","Documento a emitir",IF(K21&lt;&gt;"Documento a emitir",IF(_xlfn.XLOOKUP(D21,'LD-ELFA'!F:F,'LD-ELFA'!W:W)="","",_xlfn.XLOOKUP(D21,'LD-ELFA'!F:F,'LD-ELFA'!W:W)),""))</f>
        <v>Documento a emitir</v>
      </c>
      <c r="M21" s="43" t="str">
        <f>IF(K21="Documento a emitir","",IF(AND(Q21="APC-R  - APC-R - Aprovado com Comentários (Retornar para uma nova Aprovação)",Q21="APC-L  - APC-L  - Aprovado com Comentários (Retornar Aprovado)"),"",IF(OR(_xlfn.XLOOKUP(D21,'LD-ELFA'!F:F,'LD-ELFA'!N:N)="PARA CONHECIMENTO",_xlfn.XLOOKUP(D21,'LD-ELFA'!F:F,'LD-ELFA'!N:N)="PARA CONSTRUÇÃO",_xlfn.XLOOKUP(D21,'LD-ELFA'!F:F,'LD-ELFA'!N:N)="PARA COTAÇÃO",_xlfn.XLOOKUP(D21,'LD-ELFA'!F:F,'LD-ELFA'!N:N)="CANCELADO"),_xlfn.XLOOKUP(D21,'LD-ELFA'!F:F,'LD-ELFA'!U:U),IF(AND(L21="",J21&lt;&gt;"PARA APROVAÇÃO"),"",""))))</f>
        <v/>
      </c>
      <c r="N21" s="63" t="str">
        <f t="shared" ca="1" si="8"/>
        <v>Documento a Emitir</v>
      </c>
      <c r="O21" s="63" t="str">
        <f t="shared" si="2"/>
        <v>Blossom - Documento a emitir</v>
      </c>
      <c r="P21" s="63" t="str">
        <f t="shared" si="3"/>
        <v>Blossom</v>
      </c>
      <c r="Q21" s="63" t="str">
        <f>IF(_xlfn.XLOOKUP(D21,'LD-ELFA'!F:F,'LD-ELFA'!V:V)="","",_xlfn.XLOOKUP(D21,'LD-ELFA'!F:F,'LD-ELFA'!V:V))</f>
        <v/>
      </c>
      <c r="R21" s="40">
        <f>IFERROR(IF(I21&lt;&gt;"","Documento Emitido",_xlfn.XLOOKUP(D21,Cronograma!P:P,Cronograma!Q:Q)),"Documento Removido")</f>
        <v>46233</v>
      </c>
      <c r="S21" s="40" t="str">
        <f t="shared" ca="1" si="4"/>
        <v>No prazo</v>
      </c>
      <c r="T21" s="40">
        <f>IFERROR(IF(I21&lt;&gt;"","Documento Emitido",_xlfn.XLOOKUP(D21,Cronograma!P:P,Cronograma!R:R)),"Documento Removido")</f>
        <v>46233</v>
      </c>
      <c r="U21" s="39" t="str">
        <f t="shared" si="5"/>
        <v>No prazo</v>
      </c>
      <c r="V21" s="39" t="str">
        <f t="shared" si="6"/>
        <v>Semana 3</v>
      </c>
      <c r="W21" s="39" t="str">
        <f t="shared" ca="1" si="7"/>
        <v/>
      </c>
    </row>
    <row r="22" spans="1:23" s="60" customFormat="1" ht="28.5" customHeight="1" x14ac:dyDescent="0.2">
      <c r="A22" s="39">
        <v>19</v>
      </c>
      <c r="B22" s="39" t="str">
        <f>_xlfn.XLOOKUP(D22,'LD-ELFA'!F:F,'LD-ELFA'!C:C)</f>
        <v>AI - Automacao E Instrumentacao</v>
      </c>
      <c r="C22" s="39" t="str">
        <f>_xlfn.XLOOKUP(D22,'LD-ELFA'!F:F,'LD-ELFA'!D:D)</f>
        <v>FDA - Folha De Dados</v>
      </c>
      <c r="D22" s="39" t="s">
        <v>26</v>
      </c>
      <c r="E22" s="39" t="str">
        <f>_xlfn.LET(_xlpm.q,_xlfn.XLOOKUP(D22,'LD-ELFA'!F:F,'LD-ELFA'!Q:Q),
   _xlpm.r,_xlfn.XLOOKUP(D22,'LD-ELFA'!F:F,'LD-ELFA'!R:R),
   IF(_xlpm.r = "", _xlpm.q, _xlpm.q &amp; " - " &amp; _xlpm.r))</f>
        <v>FOLHA DE DADOS - BALANÇA RODOVIÁRIA</v>
      </c>
      <c r="F22" s="63" t="str">
        <f t="shared" si="0"/>
        <v>Básico</v>
      </c>
      <c r="G22" s="63">
        <f>_xlfn.XLOOKUP(D22,'LD-ELFA'!F:F,'LD-ELFA'!G:G)</f>
        <v>0</v>
      </c>
      <c r="H22" s="63">
        <f>_xlfn.XLOOKUP(D22,'LD-ELFA'!F:F,'LD-ELFA'!I:I)</f>
        <v>0</v>
      </c>
      <c r="I22" s="63" t="str">
        <f>IF(_xlfn.XLOOKUP(D22,'LD-ELFA'!F:F,'LD-ELFA'!T:T)="","",_xlfn.XLOOKUP(D22,'LD-ELFA'!F:F,'LD-ELFA'!T:T))</f>
        <v/>
      </c>
      <c r="J22" s="63" t="str">
        <f>IF(K22="Documento a emitir", "",_xlfn.XLOOKUP(D22,'LD-ELFA'!F:F,'LD-ELFA'!N:N))</f>
        <v/>
      </c>
      <c r="K22" s="43" t="str">
        <f>IF(_xlfn.XLOOKUP($D22,'LD-ELFA'!F:F,'LD-ELFA'!U:U)="","Documento a emitir",_xlfn.XLOOKUP($D22,'LD-ELFA'!F:F,'LD-ELFA'!U:U))</f>
        <v>Documento a emitir</v>
      </c>
      <c r="L22" s="43" t="str">
        <f>IF(K22="Documento a emitir","Documento a emitir",IF(K22&lt;&gt;"Documento a emitir",IF(_xlfn.XLOOKUP(D22,'LD-ELFA'!F:F,'LD-ELFA'!W:W)="","",_xlfn.XLOOKUP(D22,'LD-ELFA'!F:F,'LD-ELFA'!W:W)),""))</f>
        <v>Documento a emitir</v>
      </c>
      <c r="M22" s="43" t="str">
        <f>IF(K22="Documento a emitir","",IF(AND(Q22="APC-R  - APC-R - Aprovado com Comentários (Retornar para uma nova Aprovação)",Q22="APC-L  - APC-L  - Aprovado com Comentários (Retornar Aprovado)"),"",IF(OR(_xlfn.XLOOKUP(D22,'LD-ELFA'!F:F,'LD-ELFA'!N:N)="PARA CONHECIMENTO",_xlfn.XLOOKUP(D22,'LD-ELFA'!F:F,'LD-ELFA'!N:N)="PARA CONSTRUÇÃO",_xlfn.XLOOKUP(D22,'LD-ELFA'!F:F,'LD-ELFA'!N:N)="PARA COTAÇÃO",_xlfn.XLOOKUP(D22,'LD-ELFA'!F:F,'LD-ELFA'!N:N)="CANCELADO"),_xlfn.XLOOKUP(D22,'LD-ELFA'!F:F,'LD-ELFA'!U:U),IF(AND(L22="",J22&lt;&gt;"PARA APROVAÇÃO"),"",""))))</f>
        <v/>
      </c>
      <c r="N22" s="63" t="str">
        <f t="shared" ca="1" si="8"/>
        <v>Documento a Emitir</v>
      </c>
      <c r="O22" s="63" t="str">
        <f t="shared" si="2"/>
        <v>Blossom - Documento a emitir</v>
      </c>
      <c r="P22" s="63" t="str">
        <f t="shared" si="3"/>
        <v>Blossom</v>
      </c>
      <c r="Q22" s="63" t="str">
        <f>IF(_xlfn.XLOOKUP(D22,'LD-ELFA'!F:F,'LD-ELFA'!V:V)="","",_xlfn.XLOOKUP(D22,'LD-ELFA'!F:F,'LD-ELFA'!V:V))</f>
        <v/>
      </c>
      <c r="R22" s="40">
        <f>IFERROR(IF(I22&lt;&gt;"","Documento Emitido",_xlfn.XLOOKUP(D22,Cronograma!P:P,Cronograma!Q:Q)),"Documento Removido")</f>
        <v>46255</v>
      </c>
      <c r="S22" s="40" t="str">
        <f t="shared" ca="1" si="4"/>
        <v>No prazo</v>
      </c>
      <c r="T22" s="40">
        <f>IFERROR(IF(I22&lt;&gt;"","Documento Emitido",_xlfn.XLOOKUP(D22,Cronograma!P:P,Cronograma!R:R)),"Documento Removido")</f>
        <v>46255</v>
      </c>
      <c r="U22" s="39" t="str">
        <f t="shared" si="5"/>
        <v>No prazo</v>
      </c>
      <c r="V22" s="39" t="str">
        <f t="shared" si="6"/>
        <v/>
      </c>
      <c r="W22" s="39" t="str">
        <f t="shared" ca="1" si="7"/>
        <v/>
      </c>
    </row>
    <row r="23" spans="1:23" s="60" customFormat="1" ht="28.5" customHeight="1" x14ac:dyDescent="0.2">
      <c r="A23" s="39">
        <v>20</v>
      </c>
      <c r="B23" s="39" t="str">
        <f>_xlfn.XLOOKUP(D23,'LD-ELFA'!F:F,'LD-ELFA'!C:C)</f>
        <v>AI - Automacao E Instrumentacao</v>
      </c>
      <c r="C23" s="39" t="str">
        <f>_xlfn.XLOOKUP(D23,'LD-ELFA'!F:F,'LD-ELFA'!D:D)</f>
        <v>FDA - Folha De Dados</v>
      </c>
      <c r="D23" s="39" t="s">
        <v>27</v>
      </c>
      <c r="E23" s="39" t="str">
        <f>_xlfn.LET(_xlpm.q,_xlfn.XLOOKUP(D23,'LD-ELFA'!F:F,'LD-ELFA'!Q:Q),
   _xlpm.r,_xlfn.XLOOKUP(D23,'LD-ELFA'!F:F,'LD-ELFA'!R:R),
   IF(_xlpm.r = "", _xlpm.q, _xlpm.q &amp; " - " &amp; _xlpm.r))</f>
        <v>FOLHA DE DADOS - SISTEMA SUPERVISÃO DE CONTROLE DE PROCESSOS</v>
      </c>
      <c r="F23" s="63" t="str">
        <f t="shared" si="0"/>
        <v>Básico</v>
      </c>
      <c r="G23" s="63">
        <f>_xlfn.XLOOKUP(D23,'LD-ELFA'!F:F,'LD-ELFA'!G:G)</f>
        <v>0</v>
      </c>
      <c r="H23" s="63">
        <f>_xlfn.XLOOKUP(D23,'LD-ELFA'!F:F,'LD-ELFA'!I:I)</f>
        <v>0</v>
      </c>
      <c r="I23" s="63" t="str">
        <f>IF(_xlfn.XLOOKUP(D23,'LD-ELFA'!F:F,'LD-ELFA'!T:T)="","",_xlfn.XLOOKUP(D23,'LD-ELFA'!F:F,'LD-ELFA'!T:T))</f>
        <v/>
      </c>
      <c r="J23" s="63" t="str">
        <f>IF(K23="Documento a emitir", "",_xlfn.XLOOKUP(D23,'LD-ELFA'!F:F,'LD-ELFA'!N:N))</f>
        <v/>
      </c>
      <c r="K23" s="43" t="str">
        <f>IF(_xlfn.XLOOKUP($D23,'LD-ELFA'!F:F,'LD-ELFA'!U:U)="","Documento a emitir",_xlfn.XLOOKUP($D23,'LD-ELFA'!F:F,'LD-ELFA'!U:U))</f>
        <v>Documento a emitir</v>
      </c>
      <c r="L23" s="43" t="str">
        <f>IF(K23="Documento a emitir","Documento a emitir",IF(K23&lt;&gt;"Documento a emitir",IF(_xlfn.XLOOKUP(D23,'LD-ELFA'!F:F,'LD-ELFA'!W:W)="","",_xlfn.XLOOKUP(D23,'LD-ELFA'!F:F,'LD-ELFA'!W:W)),""))</f>
        <v>Documento a emitir</v>
      </c>
      <c r="M23" s="43" t="str">
        <f>IF(K23="Documento a emitir","",IF(AND(Q23="APC-R  - APC-R - Aprovado com Comentários (Retornar para uma nova Aprovação)",Q23="APC-L  - APC-L  - Aprovado com Comentários (Retornar Aprovado)"),"",IF(OR(_xlfn.XLOOKUP(D23,'LD-ELFA'!F:F,'LD-ELFA'!N:N)="PARA CONHECIMENTO",_xlfn.XLOOKUP(D23,'LD-ELFA'!F:F,'LD-ELFA'!N:N)="PARA CONSTRUÇÃO",_xlfn.XLOOKUP(D23,'LD-ELFA'!F:F,'LD-ELFA'!N:N)="PARA COTAÇÃO",_xlfn.XLOOKUP(D23,'LD-ELFA'!F:F,'LD-ELFA'!N:N)="CANCELADO"),_xlfn.XLOOKUP(D23,'LD-ELFA'!F:F,'LD-ELFA'!U:U),IF(AND(L23="",J23&lt;&gt;"PARA APROVAÇÃO"),"",""))))</f>
        <v/>
      </c>
      <c r="N23" s="63" t="str">
        <f t="shared" ca="1" si="8"/>
        <v>Documento a Emitir</v>
      </c>
      <c r="O23" s="63" t="str">
        <f t="shared" si="2"/>
        <v>Blossom - Documento a emitir</v>
      </c>
      <c r="P23" s="63" t="str">
        <f t="shared" si="3"/>
        <v>Blossom</v>
      </c>
      <c r="Q23" s="63" t="str">
        <f>IF(_xlfn.XLOOKUP(D23,'LD-ELFA'!F:F,'LD-ELFA'!V:V)="","",_xlfn.XLOOKUP(D23,'LD-ELFA'!F:F,'LD-ELFA'!V:V))</f>
        <v/>
      </c>
      <c r="R23" s="40">
        <f>IFERROR(IF(I23&lt;&gt;"","Documento Emitido",_xlfn.XLOOKUP(D23,Cronograma!P:P,Cronograma!Q:Q)),"Documento Removido")</f>
        <v>46220</v>
      </c>
      <c r="S23" s="40" t="str">
        <f t="shared" ca="1" si="4"/>
        <v>No prazo</v>
      </c>
      <c r="T23" s="40">
        <f>IFERROR(IF(I23&lt;&gt;"","Documento Emitido",_xlfn.XLOOKUP(D23,Cronograma!P:P,Cronograma!R:R)),"Documento Removido")</f>
        <v>46220</v>
      </c>
      <c r="U23" s="39" t="str">
        <f t="shared" si="5"/>
        <v>No prazo</v>
      </c>
      <c r="V23" s="39" t="str">
        <f t="shared" si="6"/>
        <v>Semana 1</v>
      </c>
      <c r="W23" s="39" t="str">
        <f t="shared" ca="1" si="7"/>
        <v/>
      </c>
    </row>
    <row r="24" spans="1:23" s="60" customFormat="1" ht="28.5" customHeight="1" x14ac:dyDescent="0.2">
      <c r="A24" s="39">
        <v>21</v>
      </c>
      <c r="B24" s="39" t="str">
        <f>_xlfn.XLOOKUP(D24,'LD-ELFA'!F:F,'LD-ELFA'!C:C)</f>
        <v>AI - Automacao E Instrumentacao</v>
      </c>
      <c r="C24" s="39" t="str">
        <f>_xlfn.XLOOKUP(D24,'LD-ELFA'!F:F,'LD-ELFA'!D:D)</f>
        <v>FDA - Folha De Dados</v>
      </c>
      <c r="D24" s="39" t="s">
        <v>28</v>
      </c>
      <c r="E24" s="39" t="str">
        <f>_xlfn.LET(_xlpm.q,_xlfn.XLOOKUP(D24,'LD-ELFA'!F:F,'LD-ELFA'!Q:Q),
   _xlpm.r,_xlfn.XLOOKUP(D24,'LD-ELFA'!F:F,'LD-ELFA'!R:R),
   IF(_xlpm.r = "", _xlpm.q, _xlpm.q &amp; " - " &amp; _xlpm.r))</f>
        <v>FOLHA DE DADOS - MEDIDOR DE NÍVEL TIPO RADAR</v>
      </c>
      <c r="F24" s="63" t="str">
        <f t="shared" si="0"/>
        <v>Básico</v>
      </c>
      <c r="G24" s="63">
        <f>_xlfn.XLOOKUP(D24,'LD-ELFA'!F:F,'LD-ELFA'!G:G)</f>
        <v>1</v>
      </c>
      <c r="H24" s="63" t="str">
        <f>_xlfn.XLOOKUP(D24,'LD-ELFA'!F:F,'LD-ELFA'!I:I)</f>
        <v>2</v>
      </c>
      <c r="I24" s="63" t="str">
        <f>IF(_xlfn.XLOOKUP(D24,'LD-ELFA'!F:F,'LD-ELFA'!T:T)="","",_xlfn.XLOOKUP(D24,'LD-ELFA'!F:F,'LD-ELFA'!T:T))</f>
        <v>0021</v>
      </c>
      <c r="J24" s="63" t="str">
        <f>IF(K24="Documento a emitir", "",_xlfn.XLOOKUP(D24,'LD-ELFA'!F:F,'LD-ELFA'!N:N))</f>
        <v>PARA COTAÇÃO</v>
      </c>
      <c r="K24" s="43">
        <f>IF(_xlfn.XLOOKUP($D24,'LD-ELFA'!F:F,'LD-ELFA'!U:U)="","Documento a emitir",_xlfn.XLOOKUP($D24,'LD-ELFA'!F:F,'LD-ELFA'!U:U))</f>
        <v>46210.678734525463</v>
      </c>
      <c r="L24" s="43">
        <f>IF(K24="Documento a emitir","Documento a emitir",IF(K24&lt;&gt;"Documento a emitir",IF(_xlfn.XLOOKUP(D24,'LD-ELFA'!F:F,'LD-ELFA'!W:W)="","",_xlfn.XLOOKUP(D24,'LD-ELFA'!F:F,'LD-ELFA'!W:W)),""))</f>
        <v>46212.670122997682</v>
      </c>
      <c r="M24" s="43">
        <f>IF(K24="Documento a emitir","",IF(AND(Q24="APC-R  - APC-R - Aprovado com Comentários (Retornar para uma nova Aprovação)",Q24="APC-L  - APC-L  - Aprovado com Comentários (Retornar Aprovado)"),"",IF(OR(_xlfn.XLOOKUP(D24,'LD-ELFA'!F:F,'LD-ELFA'!N:N)="PARA CONHECIMENTO",_xlfn.XLOOKUP(D24,'LD-ELFA'!F:F,'LD-ELFA'!N:N)="PARA CONSTRUÇÃO",_xlfn.XLOOKUP(D24,'LD-ELFA'!F:F,'LD-ELFA'!N:N)="PARA COTAÇÃO",_xlfn.XLOOKUP(D24,'LD-ELFA'!F:F,'LD-ELFA'!N:N)="CANCELADO"),_xlfn.XLOOKUP(D24,'LD-ELFA'!F:F,'LD-ELFA'!U:U),IF(AND(L24="",J24&lt;&gt;"PARA APROVAÇÃO"),"",""))))</f>
        <v>46210.678734525463</v>
      </c>
      <c r="N24" s="63" t="str">
        <f t="shared" ca="1" si="8"/>
        <v>Documento Concluído</v>
      </c>
      <c r="O24" s="63" t="str">
        <f t="shared" si="2"/>
        <v>Documento Concluído</v>
      </c>
      <c r="P24" s="63" t="str">
        <f t="shared" si="3"/>
        <v>Blossom</v>
      </c>
      <c r="Q24" s="63" t="str">
        <f>IF(_xlfn.XLOOKUP(D24,'LD-ELFA'!F:F,'LD-ELFA'!V:V)="","",_xlfn.XLOOKUP(D24,'LD-ELFA'!F:F,'LD-ELFA'!V:V))</f>
        <v>APR - APROVADO</v>
      </c>
      <c r="R24" s="40" t="str">
        <f>IFERROR(IF(I24&lt;&gt;"","Documento Emitido",_xlfn.XLOOKUP(D24,Cronograma!P:P,Cronograma!Q:Q)),"Documento Removido")</f>
        <v>Documento Emitido</v>
      </c>
      <c r="S24" s="40" t="str">
        <f t="shared" ca="1" si="4"/>
        <v>Documento Emitido</v>
      </c>
      <c r="T24" s="40" t="str">
        <f>IFERROR(IF(I24&lt;&gt;"","Documento Emitido",_xlfn.XLOOKUP(D24,Cronograma!P:P,Cronograma!R:R)),"Documento Removido")</f>
        <v>Documento Emitido</v>
      </c>
      <c r="U24" s="39" t="str">
        <f t="shared" si="5"/>
        <v>Documento Emitido</v>
      </c>
      <c r="V24" s="39" t="str">
        <f t="shared" si="6"/>
        <v>Documento Emitido</v>
      </c>
      <c r="W24" s="39" t="str">
        <f t="shared" ca="1" si="7"/>
        <v>Atendimento de Comentário</v>
      </c>
    </row>
    <row r="25" spans="1:23" s="60" customFormat="1" ht="28.5" customHeight="1" x14ac:dyDescent="0.2">
      <c r="A25" s="39">
        <v>22</v>
      </c>
      <c r="B25" s="39" t="str">
        <f>_xlfn.XLOOKUP(D25,'LD-ELFA'!F:F,'LD-ELFA'!C:C)</f>
        <v>AI - Automacao E Instrumentacao</v>
      </c>
      <c r="C25" s="39" t="str">
        <f>_xlfn.XLOOKUP(D25,'LD-ELFA'!F:F,'LD-ELFA'!D:D)</f>
        <v>FDA - Folha De Dados</v>
      </c>
      <c r="D25" s="39" t="s">
        <v>29</v>
      </c>
      <c r="E25" s="39" t="str">
        <f>_xlfn.LET(_xlpm.q,_xlfn.XLOOKUP(D25,'LD-ELFA'!F:F,'LD-ELFA'!Q:Q),
   _xlpm.r,_xlfn.XLOOKUP(D25,'LD-ELFA'!F:F,'LD-ELFA'!R:R),
   IF(_xlpm.r = "", _xlpm.q, _xlpm.q &amp; " - " &amp; _xlpm.r))</f>
        <v>FOLHA DE DADOS - MEDIDOR DE VAZÃO MAGNÉTICO</v>
      </c>
      <c r="F25" s="63" t="str">
        <f t="shared" si="0"/>
        <v>Básico</v>
      </c>
      <c r="G25" s="63">
        <f>_xlfn.XLOOKUP(D25,'LD-ELFA'!F:F,'LD-ELFA'!G:G)</f>
        <v>0</v>
      </c>
      <c r="H25" s="63">
        <f>_xlfn.XLOOKUP(D25,'LD-ELFA'!F:F,'LD-ELFA'!I:I)</f>
        <v>0</v>
      </c>
      <c r="I25" s="63" t="str">
        <f>IF(_xlfn.XLOOKUP(D25,'LD-ELFA'!F:F,'LD-ELFA'!T:T)="","",_xlfn.XLOOKUP(D25,'LD-ELFA'!F:F,'LD-ELFA'!T:T))</f>
        <v/>
      </c>
      <c r="J25" s="63" t="str">
        <f>IF(K25="Documento a emitir", "",_xlfn.XLOOKUP(D25,'LD-ELFA'!F:F,'LD-ELFA'!N:N))</f>
        <v/>
      </c>
      <c r="K25" s="43" t="str">
        <f>IF(_xlfn.XLOOKUP($D25,'LD-ELFA'!F:F,'LD-ELFA'!U:U)="","Documento a emitir",_xlfn.XLOOKUP($D25,'LD-ELFA'!F:F,'LD-ELFA'!U:U))</f>
        <v>Documento a emitir</v>
      </c>
      <c r="L25" s="43" t="str">
        <f>IF(K25="Documento a emitir","Documento a emitir",IF(K25&lt;&gt;"Documento a emitir",IF(_xlfn.XLOOKUP(D25,'LD-ELFA'!F:F,'LD-ELFA'!W:W)="","",_xlfn.XLOOKUP(D25,'LD-ELFA'!F:F,'LD-ELFA'!W:W)),""))</f>
        <v>Documento a emitir</v>
      </c>
      <c r="M25" s="43" t="str">
        <f>IF(K25="Documento a emitir","",IF(AND(Q25="APC-R  - APC-R - Aprovado com Comentários (Retornar para uma nova Aprovação)",Q25="APC-L  - APC-L  - Aprovado com Comentários (Retornar Aprovado)"),"",IF(OR(_xlfn.XLOOKUP(D25,'LD-ELFA'!F:F,'LD-ELFA'!N:N)="PARA CONHECIMENTO",_xlfn.XLOOKUP(D25,'LD-ELFA'!F:F,'LD-ELFA'!N:N)="PARA CONSTRUÇÃO",_xlfn.XLOOKUP(D25,'LD-ELFA'!F:F,'LD-ELFA'!N:N)="PARA COTAÇÃO",_xlfn.XLOOKUP(D25,'LD-ELFA'!F:F,'LD-ELFA'!N:N)="CANCELADO"),_xlfn.XLOOKUP(D25,'LD-ELFA'!F:F,'LD-ELFA'!U:U),IF(AND(L25="",J25&lt;&gt;"PARA APROVAÇÃO"),"",""))))</f>
        <v/>
      </c>
      <c r="N25" s="63" t="str">
        <f t="shared" ca="1" si="8"/>
        <v>Documento a Emitir</v>
      </c>
      <c r="O25" s="63" t="str">
        <f t="shared" si="2"/>
        <v>Blossom - Documento a emitir</v>
      </c>
      <c r="P25" s="63" t="str">
        <f t="shared" si="3"/>
        <v>Blossom</v>
      </c>
      <c r="Q25" s="63" t="str">
        <f>IF(_xlfn.XLOOKUP(D25,'LD-ELFA'!F:F,'LD-ELFA'!V:V)="","",_xlfn.XLOOKUP(D25,'LD-ELFA'!F:F,'LD-ELFA'!V:V))</f>
        <v/>
      </c>
      <c r="R25" s="40">
        <f>IFERROR(IF(I25&lt;&gt;"","Documento Emitido",_xlfn.XLOOKUP(D25,Cronograma!P:P,Cronograma!Q:Q)),"Documento Removido")</f>
        <v>46265</v>
      </c>
      <c r="S25" s="40" t="str">
        <f t="shared" ca="1" si="4"/>
        <v>No prazo</v>
      </c>
      <c r="T25" s="40">
        <f>IFERROR(IF(I25&lt;&gt;"","Documento Emitido",_xlfn.XLOOKUP(D25,Cronograma!P:P,Cronograma!R:R)),"Documento Removido")</f>
        <v>46265</v>
      </c>
      <c r="U25" s="39" t="str">
        <f t="shared" si="5"/>
        <v>No prazo</v>
      </c>
      <c r="V25" s="39" t="str">
        <f t="shared" si="6"/>
        <v/>
      </c>
      <c r="W25" s="39" t="str">
        <f t="shared" ca="1" si="7"/>
        <v/>
      </c>
    </row>
    <row r="26" spans="1:23" s="60" customFormat="1" ht="28.5" customHeight="1" x14ac:dyDescent="0.2">
      <c r="A26" s="39">
        <v>23</v>
      </c>
      <c r="B26" s="39" t="str">
        <f>_xlfn.XLOOKUP(D26,'LD-ELFA'!F:F,'LD-ELFA'!C:C)</f>
        <v>AI - Automacao E Instrumentacao</v>
      </c>
      <c r="C26" s="39" t="str">
        <f>_xlfn.XLOOKUP(D26,'LD-ELFA'!F:F,'LD-ELFA'!D:D)</f>
        <v>FDA - Folha De Dados</v>
      </c>
      <c r="D26" s="39" t="s">
        <v>30</v>
      </c>
      <c r="E26" s="39" t="str">
        <f>_xlfn.LET(_xlpm.q,_xlfn.XLOOKUP(D26,'LD-ELFA'!F:F,'LD-ELFA'!Q:Q),
   _xlpm.r,_xlfn.XLOOKUP(D26,'LD-ELFA'!F:F,'LD-ELFA'!R:R),
   IF(_xlpm.r = "", _xlpm.q, _xlpm.q &amp; " - " &amp; _xlpm.r))</f>
        <v>FOLHA DE DADOS - MEDIDOR DE TEMPERATURA</v>
      </c>
      <c r="F26" s="63" t="str">
        <f t="shared" si="0"/>
        <v>Básico</v>
      </c>
      <c r="G26" s="63">
        <f>_xlfn.XLOOKUP(D26,'LD-ELFA'!F:F,'LD-ELFA'!G:G)</f>
        <v>0</v>
      </c>
      <c r="H26" s="63">
        <f>_xlfn.XLOOKUP(D26,'LD-ELFA'!F:F,'LD-ELFA'!I:I)</f>
        <v>0</v>
      </c>
      <c r="I26" s="63" t="str">
        <f>IF(_xlfn.XLOOKUP(D26,'LD-ELFA'!F:F,'LD-ELFA'!T:T)="","",_xlfn.XLOOKUP(D26,'LD-ELFA'!F:F,'LD-ELFA'!T:T))</f>
        <v/>
      </c>
      <c r="J26" s="63" t="str">
        <f>IF(K26="Documento a emitir", "",_xlfn.XLOOKUP(D26,'LD-ELFA'!F:F,'LD-ELFA'!N:N))</f>
        <v/>
      </c>
      <c r="K26" s="43" t="str">
        <f>IF(_xlfn.XLOOKUP($D26,'LD-ELFA'!F:F,'LD-ELFA'!U:U)="","Documento a emitir",_xlfn.XLOOKUP($D26,'LD-ELFA'!F:F,'LD-ELFA'!U:U))</f>
        <v>Documento a emitir</v>
      </c>
      <c r="L26" s="43" t="str">
        <f>IF(K26="Documento a emitir","Documento a emitir",IF(K26&lt;&gt;"Documento a emitir",IF(_xlfn.XLOOKUP(D26,'LD-ELFA'!F:F,'LD-ELFA'!W:W)="","",_xlfn.XLOOKUP(D26,'LD-ELFA'!F:F,'LD-ELFA'!W:W)),""))</f>
        <v>Documento a emitir</v>
      </c>
      <c r="M26" s="43" t="str">
        <f>IF(K26="Documento a emitir","",IF(AND(Q26="APC-R  - APC-R - Aprovado com Comentários (Retornar para uma nova Aprovação)",Q26="APC-L  - APC-L  - Aprovado com Comentários (Retornar Aprovado)"),"",IF(OR(_xlfn.XLOOKUP(D26,'LD-ELFA'!F:F,'LD-ELFA'!N:N)="PARA CONHECIMENTO",_xlfn.XLOOKUP(D26,'LD-ELFA'!F:F,'LD-ELFA'!N:N)="PARA CONSTRUÇÃO",_xlfn.XLOOKUP(D26,'LD-ELFA'!F:F,'LD-ELFA'!N:N)="PARA COTAÇÃO",_xlfn.XLOOKUP(D26,'LD-ELFA'!F:F,'LD-ELFA'!N:N)="CANCELADO"),_xlfn.XLOOKUP(D26,'LD-ELFA'!F:F,'LD-ELFA'!U:U),IF(AND(L26="",J26&lt;&gt;"PARA APROVAÇÃO"),"",""))))</f>
        <v/>
      </c>
      <c r="N26" s="63" t="str">
        <f t="shared" ca="1" si="8"/>
        <v>Documento a Emitir</v>
      </c>
      <c r="O26" s="63" t="str">
        <f t="shared" si="2"/>
        <v>Blossom - Documento a emitir</v>
      </c>
      <c r="P26" s="63" t="str">
        <f t="shared" si="3"/>
        <v>Blossom</v>
      </c>
      <c r="Q26" s="63" t="str">
        <f>IF(_xlfn.XLOOKUP(D26,'LD-ELFA'!F:F,'LD-ELFA'!V:V)="","",_xlfn.XLOOKUP(D26,'LD-ELFA'!F:F,'LD-ELFA'!V:V))</f>
        <v/>
      </c>
      <c r="R26" s="40">
        <f>IFERROR(IF(I26&lt;&gt;"","Documento Emitido",_xlfn.XLOOKUP(D26,Cronograma!P:P,Cronograma!Q:Q)),"Documento Removido")</f>
        <v>46265</v>
      </c>
      <c r="S26" s="40" t="str">
        <f t="shared" ca="1" si="4"/>
        <v>No prazo</v>
      </c>
      <c r="T26" s="40">
        <f>IFERROR(IF(I26&lt;&gt;"","Documento Emitido",_xlfn.XLOOKUP(D26,Cronograma!P:P,Cronograma!R:R)),"Documento Removido")</f>
        <v>46265</v>
      </c>
      <c r="U26" s="39" t="str">
        <f t="shared" si="5"/>
        <v>No prazo</v>
      </c>
      <c r="V26" s="39" t="str">
        <f t="shared" si="6"/>
        <v/>
      </c>
      <c r="W26" s="39" t="str">
        <f t="shared" ca="1" si="7"/>
        <v/>
      </c>
    </row>
    <row r="27" spans="1:23" s="60" customFormat="1" ht="28.5" customHeight="1" x14ac:dyDescent="0.2">
      <c r="A27" s="39">
        <v>24</v>
      </c>
      <c r="B27" s="39" t="str">
        <f>_xlfn.XLOOKUP(D27,'LD-ELFA'!F:F,'LD-ELFA'!C:C)</f>
        <v>AI - Automacao E Instrumentacao</v>
      </c>
      <c r="C27" s="39" t="str">
        <f>_xlfn.XLOOKUP(D27,'LD-ELFA'!F:F,'LD-ELFA'!D:D)</f>
        <v>FDA - Folha De Dados</v>
      </c>
      <c r="D27" s="39" t="s">
        <v>31</v>
      </c>
      <c r="E27" s="39" t="str">
        <f>_xlfn.LET(_xlpm.q,_xlfn.XLOOKUP(D27,'LD-ELFA'!F:F,'LD-ELFA'!Q:Q),
   _xlpm.r,_xlfn.XLOOKUP(D27,'LD-ELFA'!F:F,'LD-ELFA'!R:R),
   IF(_xlpm.r = "", _xlpm.q, _xlpm.q &amp; " - " &amp; _xlpm.r))</f>
        <v>FOLHA DE DADOS - MEDIDOR DE PRESSÃO</v>
      </c>
      <c r="F27" s="63" t="str">
        <f t="shared" si="0"/>
        <v>Básico</v>
      </c>
      <c r="G27" s="63">
        <f>_xlfn.XLOOKUP(D27,'LD-ELFA'!F:F,'LD-ELFA'!G:G)</f>
        <v>0</v>
      </c>
      <c r="H27" s="63">
        <f>_xlfn.XLOOKUP(D27,'LD-ELFA'!F:F,'LD-ELFA'!I:I)</f>
        <v>0</v>
      </c>
      <c r="I27" s="63" t="str">
        <f>IF(_xlfn.XLOOKUP(D27,'LD-ELFA'!F:F,'LD-ELFA'!T:T)="","",_xlfn.XLOOKUP(D27,'LD-ELFA'!F:F,'LD-ELFA'!T:T))</f>
        <v/>
      </c>
      <c r="J27" s="63" t="str">
        <f>IF(K27="Documento a emitir", "",_xlfn.XLOOKUP(D27,'LD-ELFA'!F:F,'LD-ELFA'!N:N))</f>
        <v/>
      </c>
      <c r="K27" s="43" t="str">
        <f>IF(_xlfn.XLOOKUP($D27,'LD-ELFA'!F:F,'LD-ELFA'!U:U)="","Documento a emitir",_xlfn.XLOOKUP($D27,'LD-ELFA'!F:F,'LD-ELFA'!U:U))</f>
        <v>Documento a emitir</v>
      </c>
      <c r="L27" s="43" t="str">
        <f>IF(K27="Documento a emitir","Documento a emitir",IF(K27&lt;&gt;"Documento a emitir",IF(_xlfn.XLOOKUP(D27,'LD-ELFA'!F:F,'LD-ELFA'!W:W)="","",_xlfn.XLOOKUP(D27,'LD-ELFA'!F:F,'LD-ELFA'!W:W)),""))</f>
        <v>Documento a emitir</v>
      </c>
      <c r="M27" s="43" t="str">
        <f>IF(K27="Documento a emitir","",IF(AND(Q27="APC-R  - APC-R - Aprovado com Comentários (Retornar para uma nova Aprovação)",Q27="APC-L  - APC-L  - Aprovado com Comentários (Retornar Aprovado)"),"",IF(OR(_xlfn.XLOOKUP(D27,'LD-ELFA'!F:F,'LD-ELFA'!N:N)="PARA CONHECIMENTO",_xlfn.XLOOKUP(D27,'LD-ELFA'!F:F,'LD-ELFA'!N:N)="PARA CONSTRUÇÃO",_xlfn.XLOOKUP(D27,'LD-ELFA'!F:F,'LD-ELFA'!N:N)="PARA COTAÇÃO",_xlfn.XLOOKUP(D27,'LD-ELFA'!F:F,'LD-ELFA'!N:N)="CANCELADO"),_xlfn.XLOOKUP(D27,'LD-ELFA'!F:F,'LD-ELFA'!U:U),IF(AND(L27="",J27&lt;&gt;"PARA APROVAÇÃO"),"",""))))</f>
        <v/>
      </c>
      <c r="N27" s="63" t="str">
        <f t="shared" ca="1" si="8"/>
        <v>Documento a Emitir</v>
      </c>
      <c r="O27" s="63" t="str">
        <f t="shared" si="2"/>
        <v>Blossom - Documento a emitir</v>
      </c>
      <c r="P27" s="63" t="str">
        <f t="shared" si="3"/>
        <v>Blossom</v>
      </c>
      <c r="Q27" s="63" t="str">
        <f>IF(_xlfn.XLOOKUP(D27,'LD-ELFA'!F:F,'LD-ELFA'!V:V)="","",_xlfn.XLOOKUP(D27,'LD-ELFA'!F:F,'LD-ELFA'!V:V))</f>
        <v/>
      </c>
      <c r="R27" s="40">
        <f>IFERROR(IF(I27&lt;&gt;"","Documento Emitido",_xlfn.XLOOKUP(D27,Cronograma!P:P,Cronograma!Q:Q)),"Documento Removido")</f>
        <v>46269</v>
      </c>
      <c r="S27" s="40" t="str">
        <f t="shared" ca="1" si="4"/>
        <v>No prazo</v>
      </c>
      <c r="T27" s="40">
        <f>IFERROR(IF(I27&lt;&gt;"","Documento Emitido",_xlfn.XLOOKUP(D27,Cronograma!P:P,Cronograma!R:R)),"Documento Removido")</f>
        <v>46269</v>
      </c>
      <c r="U27" s="39" t="str">
        <f t="shared" si="5"/>
        <v>No prazo</v>
      </c>
      <c r="V27" s="39" t="str">
        <f t="shared" si="6"/>
        <v/>
      </c>
      <c r="W27" s="39" t="str">
        <f t="shared" ca="1" si="7"/>
        <v/>
      </c>
    </row>
    <row r="28" spans="1:23" s="60" customFormat="1" ht="28.5" customHeight="1" x14ac:dyDescent="0.2">
      <c r="A28" s="39">
        <v>25</v>
      </c>
      <c r="B28" s="39" t="str">
        <f>_xlfn.XLOOKUP(D28,'LD-ELFA'!F:F,'LD-ELFA'!C:C)</f>
        <v>AI - Automacao E Instrumentacao</v>
      </c>
      <c r="C28" s="39" t="str">
        <f>_xlfn.XLOOKUP(D28,'LD-ELFA'!F:F,'LD-ELFA'!D:D)</f>
        <v>FDA - Folha De Dados</v>
      </c>
      <c r="D28" s="39" t="s">
        <v>32</v>
      </c>
      <c r="E28" s="39" t="str">
        <f>_xlfn.LET(_xlpm.q,_xlfn.XLOOKUP(D28,'LD-ELFA'!F:F,'LD-ELFA'!Q:Q),
   _xlpm.r,_xlfn.XLOOKUP(D28,'LD-ELFA'!F:F,'LD-ELFA'!R:R),
   IF(_xlpm.r = "", _xlpm.q, _xlpm.q &amp; " - " &amp; _xlpm.r))</f>
        <v>FOLHA DE DADOS - VÁLVULA AUTO-OPERADA</v>
      </c>
      <c r="F28" s="63" t="str">
        <f t="shared" si="0"/>
        <v>Básico</v>
      </c>
      <c r="G28" s="63">
        <f>_xlfn.XLOOKUP(D28,'LD-ELFA'!F:F,'LD-ELFA'!G:G)</f>
        <v>0</v>
      </c>
      <c r="H28" s="63">
        <f>_xlfn.XLOOKUP(D28,'LD-ELFA'!F:F,'LD-ELFA'!I:I)</f>
        <v>0</v>
      </c>
      <c r="I28" s="63" t="str">
        <f>IF(_xlfn.XLOOKUP(D28,'LD-ELFA'!F:F,'LD-ELFA'!T:T)="","",_xlfn.XLOOKUP(D28,'LD-ELFA'!F:F,'LD-ELFA'!T:T))</f>
        <v/>
      </c>
      <c r="J28" s="63" t="str">
        <f>IF(K28="Documento a emitir", "",_xlfn.XLOOKUP(D28,'LD-ELFA'!F:F,'LD-ELFA'!N:N))</f>
        <v/>
      </c>
      <c r="K28" s="43" t="str">
        <f>IF(_xlfn.XLOOKUP($D28,'LD-ELFA'!F:F,'LD-ELFA'!U:U)="","Documento a emitir",_xlfn.XLOOKUP($D28,'LD-ELFA'!F:F,'LD-ELFA'!U:U))</f>
        <v>Documento a emitir</v>
      </c>
      <c r="L28" s="43" t="str">
        <f>IF(K28="Documento a emitir","Documento a emitir",IF(K28&lt;&gt;"Documento a emitir",IF(_xlfn.XLOOKUP(D28,'LD-ELFA'!F:F,'LD-ELFA'!W:W)="","",_xlfn.XLOOKUP(D28,'LD-ELFA'!F:F,'LD-ELFA'!W:W)),""))</f>
        <v>Documento a emitir</v>
      </c>
      <c r="M28" s="43" t="str">
        <f>IF(K28="Documento a emitir","",IF(AND(Q28="APC-R  - APC-R - Aprovado com Comentários (Retornar para uma nova Aprovação)",Q28="APC-L  - APC-L  - Aprovado com Comentários (Retornar Aprovado)"),"",IF(OR(_xlfn.XLOOKUP(D28,'LD-ELFA'!F:F,'LD-ELFA'!N:N)="PARA CONHECIMENTO",_xlfn.XLOOKUP(D28,'LD-ELFA'!F:F,'LD-ELFA'!N:N)="PARA CONSTRUÇÃO",_xlfn.XLOOKUP(D28,'LD-ELFA'!F:F,'LD-ELFA'!N:N)="PARA COTAÇÃO",_xlfn.XLOOKUP(D28,'LD-ELFA'!F:F,'LD-ELFA'!N:N)="CANCELADO"),_xlfn.XLOOKUP(D28,'LD-ELFA'!F:F,'LD-ELFA'!U:U),IF(AND(L28="",J28&lt;&gt;"PARA APROVAÇÃO"),"",""))))</f>
        <v/>
      </c>
      <c r="N28" s="63" t="str">
        <f t="shared" ca="1" si="8"/>
        <v>Documento a Emitir</v>
      </c>
      <c r="O28" s="63" t="str">
        <f t="shared" si="2"/>
        <v>Blossom - Documento a emitir</v>
      </c>
      <c r="P28" s="63" t="str">
        <f t="shared" si="3"/>
        <v>Blossom</v>
      </c>
      <c r="Q28" s="63" t="str">
        <f>IF(_xlfn.XLOOKUP(D28,'LD-ELFA'!F:F,'LD-ELFA'!V:V)="","",_xlfn.XLOOKUP(D28,'LD-ELFA'!F:F,'LD-ELFA'!V:V))</f>
        <v/>
      </c>
      <c r="R28" s="40">
        <f>IFERROR(IF(I28&lt;&gt;"","Documento Emitido",_xlfn.XLOOKUP(D28,Cronograma!P:P,Cronograma!Q:Q)),"Documento Removido")</f>
        <v>46258</v>
      </c>
      <c r="S28" s="40" t="str">
        <f t="shared" ca="1" si="4"/>
        <v>No prazo</v>
      </c>
      <c r="T28" s="40">
        <f>IFERROR(IF(I28&lt;&gt;"","Documento Emitido",_xlfn.XLOOKUP(D28,Cronograma!P:P,Cronograma!R:R)),"Documento Removido")</f>
        <v>46258</v>
      </c>
      <c r="U28" s="39" t="str">
        <f t="shared" si="5"/>
        <v>No prazo</v>
      </c>
      <c r="V28" s="39" t="str">
        <f t="shared" si="6"/>
        <v/>
      </c>
      <c r="W28" s="39" t="str">
        <f t="shared" ca="1" si="7"/>
        <v/>
      </c>
    </row>
    <row r="29" spans="1:23" s="60" customFormat="1" ht="28.5" customHeight="1" x14ac:dyDescent="0.2">
      <c r="A29" s="39">
        <v>26</v>
      </c>
      <c r="B29" s="39" t="str">
        <f>_xlfn.XLOOKUP(D29,'LD-ELFA'!F:F,'LD-ELFA'!C:C)</f>
        <v>AI - Automacao E Instrumentacao</v>
      </c>
      <c r="C29" s="39" t="str">
        <f>_xlfn.XLOOKUP(D29,'LD-ELFA'!F:F,'LD-ELFA'!D:D)</f>
        <v>FDA - Folha De Dados</v>
      </c>
      <c r="D29" s="39" t="s">
        <v>33</v>
      </c>
      <c r="E29" s="39" t="str">
        <f>_xlfn.LET(_xlpm.q,_xlfn.XLOOKUP(D29,'LD-ELFA'!F:F,'LD-ELFA'!Q:Q),
   _xlpm.r,_xlfn.XLOOKUP(D29,'LD-ELFA'!F:F,'LD-ELFA'!R:R),
   IF(_xlpm.r = "", _xlpm.q, _xlpm.q &amp; " - " &amp; _xlpm.r))</f>
        <v>FOLHA DE DADOS - VÁLVULA ON-OFF</v>
      </c>
      <c r="F29" s="63" t="str">
        <f t="shared" si="0"/>
        <v>Básico</v>
      </c>
      <c r="G29" s="63">
        <f>_xlfn.XLOOKUP(D29,'LD-ELFA'!F:F,'LD-ELFA'!G:G)</f>
        <v>0</v>
      </c>
      <c r="H29" s="63">
        <f>_xlfn.XLOOKUP(D29,'LD-ELFA'!F:F,'LD-ELFA'!I:I)</f>
        <v>0</v>
      </c>
      <c r="I29" s="63" t="str">
        <f>IF(_xlfn.XLOOKUP(D29,'LD-ELFA'!F:F,'LD-ELFA'!T:T)="","",_xlfn.XLOOKUP(D29,'LD-ELFA'!F:F,'LD-ELFA'!T:T))</f>
        <v/>
      </c>
      <c r="J29" s="63" t="str">
        <f>IF(K29="Documento a emitir", "",_xlfn.XLOOKUP(D29,'LD-ELFA'!F:F,'LD-ELFA'!N:N))</f>
        <v/>
      </c>
      <c r="K29" s="43" t="str">
        <f>IF(_xlfn.XLOOKUP($D29,'LD-ELFA'!F:F,'LD-ELFA'!U:U)="","Documento a emitir",_xlfn.XLOOKUP($D29,'LD-ELFA'!F:F,'LD-ELFA'!U:U))</f>
        <v>Documento a emitir</v>
      </c>
      <c r="L29" s="43" t="str">
        <f>IF(K29="Documento a emitir","Documento a emitir",IF(K29&lt;&gt;"Documento a emitir",IF(_xlfn.XLOOKUP(D29,'LD-ELFA'!F:F,'LD-ELFA'!W:W)="","",_xlfn.XLOOKUP(D29,'LD-ELFA'!F:F,'LD-ELFA'!W:W)),""))</f>
        <v>Documento a emitir</v>
      </c>
      <c r="M29" s="43" t="str">
        <f>IF(K29="Documento a emitir","",IF(AND(Q29="APC-R  - APC-R - Aprovado com Comentários (Retornar para uma nova Aprovação)",Q29="APC-L  - APC-L  - Aprovado com Comentários (Retornar Aprovado)"),"",IF(OR(_xlfn.XLOOKUP(D29,'LD-ELFA'!F:F,'LD-ELFA'!N:N)="PARA CONHECIMENTO",_xlfn.XLOOKUP(D29,'LD-ELFA'!F:F,'LD-ELFA'!N:N)="PARA CONSTRUÇÃO",_xlfn.XLOOKUP(D29,'LD-ELFA'!F:F,'LD-ELFA'!N:N)="PARA COTAÇÃO",_xlfn.XLOOKUP(D29,'LD-ELFA'!F:F,'LD-ELFA'!N:N)="CANCELADO"),_xlfn.XLOOKUP(D29,'LD-ELFA'!F:F,'LD-ELFA'!U:U),IF(AND(L29="",J29&lt;&gt;"PARA APROVAÇÃO"),"",""))))</f>
        <v/>
      </c>
      <c r="N29" s="63" t="str">
        <f t="shared" ca="1" si="8"/>
        <v>Documento a Emitir</v>
      </c>
      <c r="O29" s="63" t="str">
        <f t="shared" si="2"/>
        <v>Blossom - Documento a emitir</v>
      </c>
      <c r="P29" s="63" t="str">
        <f t="shared" si="3"/>
        <v>Blossom</v>
      </c>
      <c r="Q29" s="63" t="str">
        <f>IF(_xlfn.XLOOKUP(D29,'LD-ELFA'!F:F,'LD-ELFA'!V:V)="","",_xlfn.XLOOKUP(D29,'LD-ELFA'!F:F,'LD-ELFA'!V:V))</f>
        <v/>
      </c>
      <c r="R29" s="40">
        <f>IFERROR(IF(I29&lt;&gt;"","Documento Emitido",_xlfn.XLOOKUP(D29,Cronograma!P:P,Cronograma!Q:Q)),"Documento Removido")</f>
        <v>46258</v>
      </c>
      <c r="S29" s="40" t="str">
        <f t="shared" ca="1" si="4"/>
        <v>No prazo</v>
      </c>
      <c r="T29" s="40">
        <f>IFERROR(IF(I29&lt;&gt;"","Documento Emitido",_xlfn.XLOOKUP(D29,Cronograma!P:P,Cronograma!R:R)),"Documento Removido")</f>
        <v>46258</v>
      </c>
      <c r="U29" s="39" t="str">
        <f t="shared" si="5"/>
        <v>No prazo</v>
      </c>
      <c r="V29" s="39" t="str">
        <f t="shared" si="6"/>
        <v/>
      </c>
      <c r="W29" s="39" t="str">
        <f t="shared" ca="1" si="7"/>
        <v/>
      </c>
    </row>
    <row r="30" spans="1:23" s="60" customFormat="1" ht="28.5" customHeight="1" x14ac:dyDescent="0.2">
      <c r="A30" s="39">
        <v>27</v>
      </c>
      <c r="B30" s="39" t="str">
        <f>_xlfn.XLOOKUP(D30,'LD-ELFA'!F:F,'LD-ELFA'!C:C)</f>
        <v>AI - Automacao E Instrumentacao</v>
      </c>
      <c r="C30" s="39" t="str">
        <f>_xlfn.XLOOKUP(D30,'LD-ELFA'!F:F,'LD-ELFA'!D:D)</f>
        <v>FDA - Folha De Dados</v>
      </c>
      <c r="D30" s="39" t="s">
        <v>34</v>
      </c>
      <c r="E30" s="39" t="str">
        <f>_xlfn.LET(_xlpm.q,_xlfn.XLOOKUP(D30,'LD-ELFA'!F:F,'LD-ELFA'!Q:Q),
   _xlpm.r,_xlfn.XLOOKUP(D30,'LD-ELFA'!F:F,'LD-ELFA'!R:R),
   IF(_xlpm.r = "", _xlpm.q, _xlpm.q &amp; " - " &amp; _xlpm.r))</f>
        <v>FOLHA DE DADOS - BALANÇA INTEGRADORA</v>
      </c>
      <c r="F30" s="63" t="str">
        <f t="shared" si="0"/>
        <v>Básico</v>
      </c>
      <c r="G30" s="63">
        <f>_xlfn.XLOOKUP(D30,'LD-ELFA'!F:F,'LD-ELFA'!G:G)</f>
        <v>0</v>
      </c>
      <c r="H30" s="63">
        <f>_xlfn.XLOOKUP(D30,'LD-ELFA'!F:F,'LD-ELFA'!I:I)</f>
        <v>0</v>
      </c>
      <c r="I30" s="63" t="str">
        <f>IF(_xlfn.XLOOKUP(D30,'LD-ELFA'!F:F,'LD-ELFA'!T:T)="","",_xlfn.XLOOKUP(D30,'LD-ELFA'!F:F,'LD-ELFA'!T:T))</f>
        <v/>
      </c>
      <c r="J30" s="63" t="str">
        <f>IF(K30="Documento a emitir", "",_xlfn.XLOOKUP(D30,'LD-ELFA'!F:F,'LD-ELFA'!N:N))</f>
        <v/>
      </c>
      <c r="K30" s="43" t="str">
        <f>IF(_xlfn.XLOOKUP($D30,'LD-ELFA'!F:F,'LD-ELFA'!U:U)="","Documento a emitir",_xlfn.XLOOKUP($D30,'LD-ELFA'!F:F,'LD-ELFA'!U:U))</f>
        <v>Documento a emitir</v>
      </c>
      <c r="L30" s="43" t="str">
        <f>IF(K30="Documento a emitir","Documento a emitir",IF(K30&lt;&gt;"Documento a emitir",IF(_xlfn.XLOOKUP(D30,'LD-ELFA'!F:F,'LD-ELFA'!W:W)="","",_xlfn.XLOOKUP(D30,'LD-ELFA'!F:F,'LD-ELFA'!W:W)),""))</f>
        <v>Documento a emitir</v>
      </c>
      <c r="M30" s="43" t="str">
        <f>IF(K30="Documento a emitir","",IF(AND(Q30="APC-R  - APC-R - Aprovado com Comentários (Retornar para uma nova Aprovação)",Q30="APC-L  - APC-L  - Aprovado com Comentários (Retornar Aprovado)"),"",IF(OR(_xlfn.XLOOKUP(D30,'LD-ELFA'!F:F,'LD-ELFA'!N:N)="PARA CONHECIMENTO",_xlfn.XLOOKUP(D30,'LD-ELFA'!F:F,'LD-ELFA'!N:N)="PARA CONSTRUÇÃO",_xlfn.XLOOKUP(D30,'LD-ELFA'!F:F,'LD-ELFA'!N:N)="PARA COTAÇÃO",_xlfn.XLOOKUP(D30,'LD-ELFA'!F:F,'LD-ELFA'!N:N)="CANCELADO"),_xlfn.XLOOKUP(D30,'LD-ELFA'!F:F,'LD-ELFA'!U:U),IF(AND(L30="",J30&lt;&gt;"PARA APROVAÇÃO"),"",""))))</f>
        <v/>
      </c>
      <c r="N30" s="63" t="str">
        <f t="shared" ca="1" si="8"/>
        <v>Documento a Emitir</v>
      </c>
      <c r="O30" s="63" t="str">
        <f t="shared" si="2"/>
        <v>Blossom - Documento a emitir</v>
      </c>
      <c r="P30" s="63" t="str">
        <f t="shared" si="3"/>
        <v>Blossom</v>
      </c>
      <c r="Q30" s="63" t="str">
        <f>IF(_xlfn.XLOOKUP(D30,'LD-ELFA'!F:F,'LD-ELFA'!V:V)="","",_xlfn.XLOOKUP(D30,'LD-ELFA'!F:F,'LD-ELFA'!V:V))</f>
        <v/>
      </c>
      <c r="R30" s="40">
        <f>IFERROR(IF(I30&lt;&gt;"","Documento Emitido",_xlfn.XLOOKUP(D30,Cronograma!P:P,Cronograma!Q:Q)),"Documento Removido")</f>
        <v>46275</v>
      </c>
      <c r="S30" s="40" t="str">
        <f t="shared" ca="1" si="4"/>
        <v>No prazo</v>
      </c>
      <c r="T30" s="40">
        <f>IFERROR(IF(I30&lt;&gt;"","Documento Emitido",_xlfn.XLOOKUP(D30,Cronograma!P:P,Cronograma!R:R)),"Documento Removido")</f>
        <v>46275</v>
      </c>
      <c r="U30" s="39" t="str">
        <f t="shared" si="5"/>
        <v>No prazo</v>
      </c>
      <c r="V30" s="39" t="str">
        <f t="shared" si="6"/>
        <v/>
      </c>
      <c r="W30" s="39" t="str">
        <f t="shared" ca="1" si="7"/>
        <v/>
      </c>
    </row>
    <row r="31" spans="1:23" s="60" customFormat="1" ht="28.5" customHeight="1" x14ac:dyDescent="0.2">
      <c r="A31" s="39">
        <v>28</v>
      </c>
      <c r="B31" s="39" t="str">
        <f>_xlfn.XLOOKUP(D31,'LD-ELFA'!F:F,'LD-ELFA'!C:C)</f>
        <v>AI - Automacao E Instrumentacao</v>
      </c>
      <c r="C31" s="39" t="str">
        <f>_xlfn.XLOOKUP(D31,'LD-ELFA'!F:F,'LD-ELFA'!D:D)</f>
        <v>FDA - Folha De Dados</v>
      </c>
      <c r="D31" s="39" t="s">
        <v>35</v>
      </c>
      <c r="E31" s="39" t="str">
        <f>_xlfn.LET(_xlpm.q,_xlfn.XLOOKUP(D31,'LD-ELFA'!F:F,'LD-ELFA'!Q:Q),
   _xlpm.r,_xlfn.XLOOKUP(D31,'LD-ELFA'!F:F,'LD-ELFA'!R:R),
   IF(_xlpm.r = "", _xlpm.q, _xlpm.q &amp; " - " &amp; _xlpm.r))</f>
        <v>FOLHA DE DADOS - ANALISADOR DE CONDUTIVIDADE</v>
      </c>
      <c r="F31" s="63" t="str">
        <f t="shared" si="0"/>
        <v>Básico</v>
      </c>
      <c r="G31" s="63">
        <f>_xlfn.XLOOKUP(D31,'LD-ELFA'!F:F,'LD-ELFA'!G:G)</f>
        <v>0</v>
      </c>
      <c r="H31" s="63">
        <f>_xlfn.XLOOKUP(D31,'LD-ELFA'!F:F,'LD-ELFA'!I:I)</f>
        <v>0</v>
      </c>
      <c r="I31" s="63" t="str">
        <f>IF(_xlfn.XLOOKUP(D31,'LD-ELFA'!F:F,'LD-ELFA'!T:T)="","",_xlfn.XLOOKUP(D31,'LD-ELFA'!F:F,'LD-ELFA'!T:T))</f>
        <v/>
      </c>
      <c r="J31" s="63" t="str">
        <f>IF(K31="Documento a emitir", "",_xlfn.XLOOKUP(D31,'LD-ELFA'!F:F,'LD-ELFA'!N:N))</f>
        <v/>
      </c>
      <c r="K31" s="43" t="str">
        <f>IF(_xlfn.XLOOKUP($D31,'LD-ELFA'!F:F,'LD-ELFA'!U:U)="","Documento a emitir",_xlfn.XLOOKUP($D31,'LD-ELFA'!F:F,'LD-ELFA'!U:U))</f>
        <v>Documento a emitir</v>
      </c>
      <c r="L31" s="43" t="str">
        <f>IF(K31="Documento a emitir","Documento a emitir",IF(K31&lt;&gt;"Documento a emitir",IF(_xlfn.XLOOKUP(D31,'LD-ELFA'!F:F,'LD-ELFA'!W:W)="","",_xlfn.XLOOKUP(D31,'LD-ELFA'!F:F,'LD-ELFA'!W:W)),""))</f>
        <v>Documento a emitir</v>
      </c>
      <c r="M31" s="43" t="str">
        <f>IF(K31="Documento a emitir","",IF(AND(Q31="APC-R  - APC-R - Aprovado com Comentários (Retornar para uma nova Aprovação)",Q31="APC-L  - APC-L  - Aprovado com Comentários (Retornar Aprovado)"),"",IF(OR(_xlfn.XLOOKUP(D31,'LD-ELFA'!F:F,'LD-ELFA'!N:N)="PARA CONHECIMENTO",_xlfn.XLOOKUP(D31,'LD-ELFA'!F:F,'LD-ELFA'!N:N)="PARA CONSTRUÇÃO",_xlfn.XLOOKUP(D31,'LD-ELFA'!F:F,'LD-ELFA'!N:N)="PARA COTAÇÃO",_xlfn.XLOOKUP(D31,'LD-ELFA'!F:F,'LD-ELFA'!N:N)="CANCELADO"),_xlfn.XLOOKUP(D31,'LD-ELFA'!F:F,'LD-ELFA'!U:U),IF(AND(L31="",J31&lt;&gt;"PARA APROVAÇÃO"),"",""))))</f>
        <v/>
      </c>
      <c r="N31" s="63" t="str">
        <f t="shared" ca="1" si="8"/>
        <v>Documento a Emitir</v>
      </c>
      <c r="O31" s="63" t="str">
        <f t="shared" si="2"/>
        <v>Blossom - Documento a emitir</v>
      </c>
      <c r="P31" s="63" t="str">
        <f t="shared" si="3"/>
        <v>Blossom</v>
      </c>
      <c r="Q31" s="63" t="str">
        <f>IF(_xlfn.XLOOKUP(D31,'LD-ELFA'!F:F,'LD-ELFA'!V:V)="","",_xlfn.XLOOKUP(D31,'LD-ELFA'!F:F,'LD-ELFA'!V:V))</f>
        <v/>
      </c>
      <c r="R31" s="40">
        <f>IFERROR(IF(I31&lt;&gt;"","Documento Emitido",_xlfn.XLOOKUP(D31,Cronograma!P:P,Cronograma!Q:Q)),"Documento Removido")</f>
        <v>46275</v>
      </c>
      <c r="S31" s="40" t="str">
        <f t="shared" ca="1" si="4"/>
        <v>No prazo</v>
      </c>
      <c r="T31" s="40">
        <f>IFERROR(IF(I31&lt;&gt;"","Documento Emitido",_xlfn.XLOOKUP(D31,Cronograma!P:P,Cronograma!R:R)),"Documento Removido")</f>
        <v>46275</v>
      </c>
      <c r="U31" s="39" t="str">
        <f t="shared" si="5"/>
        <v>No prazo</v>
      </c>
      <c r="V31" s="39" t="str">
        <f t="shared" si="6"/>
        <v/>
      </c>
      <c r="W31" s="39" t="str">
        <f t="shared" ca="1" si="7"/>
        <v/>
      </c>
    </row>
    <row r="32" spans="1:23" s="60" customFormat="1" ht="28.5" customHeight="1" x14ac:dyDescent="0.2">
      <c r="A32" s="39">
        <v>29</v>
      </c>
      <c r="B32" s="39" t="str">
        <f>_xlfn.XLOOKUP(D32,'LD-ELFA'!F:F,'LD-ELFA'!C:C)</f>
        <v>AI - Automacao E Instrumentacao</v>
      </c>
      <c r="C32" s="39" t="str">
        <f>_xlfn.XLOOKUP(D32,'LD-ELFA'!F:F,'LD-ELFA'!D:D)</f>
        <v>FDA - Folha De Dados</v>
      </c>
      <c r="D32" s="39" t="s">
        <v>36</v>
      </c>
      <c r="E32" s="39" t="str">
        <f>_xlfn.LET(_xlpm.q,_xlfn.XLOOKUP(D32,'LD-ELFA'!F:F,'LD-ELFA'!Q:Q),
   _xlpm.r,_xlfn.XLOOKUP(D32,'LD-ELFA'!F:F,'LD-ELFA'!R:R),
   IF(_xlpm.r = "", _xlpm.q, _xlpm.q &amp; " - " &amp; _xlpm.r))</f>
        <v>FOLHA DE DADOS - ANALISADOR DE pH</v>
      </c>
      <c r="F32" s="63" t="str">
        <f t="shared" si="0"/>
        <v>Básico</v>
      </c>
      <c r="G32" s="63">
        <f>_xlfn.XLOOKUP(D32,'LD-ELFA'!F:F,'LD-ELFA'!G:G)</f>
        <v>0</v>
      </c>
      <c r="H32" s="63">
        <f>_xlfn.XLOOKUP(D32,'LD-ELFA'!F:F,'LD-ELFA'!I:I)</f>
        <v>0</v>
      </c>
      <c r="I32" s="63" t="str">
        <f>IF(_xlfn.XLOOKUP(D32,'LD-ELFA'!F:F,'LD-ELFA'!T:T)="","",_xlfn.XLOOKUP(D32,'LD-ELFA'!F:F,'LD-ELFA'!T:T))</f>
        <v/>
      </c>
      <c r="J32" s="63" t="str">
        <f>IF(K32="Documento a emitir", "",_xlfn.XLOOKUP(D32,'LD-ELFA'!F:F,'LD-ELFA'!N:N))</f>
        <v/>
      </c>
      <c r="K32" s="43" t="str">
        <f>IF(_xlfn.XLOOKUP($D32,'LD-ELFA'!F:F,'LD-ELFA'!U:U)="","Documento a emitir",_xlfn.XLOOKUP($D32,'LD-ELFA'!F:F,'LD-ELFA'!U:U))</f>
        <v>Documento a emitir</v>
      </c>
      <c r="L32" s="43" t="str">
        <f>IF(K32="Documento a emitir","Documento a emitir",IF(K32&lt;&gt;"Documento a emitir",IF(_xlfn.XLOOKUP(D32,'LD-ELFA'!F:F,'LD-ELFA'!W:W)="","",_xlfn.XLOOKUP(D32,'LD-ELFA'!F:F,'LD-ELFA'!W:W)),""))</f>
        <v>Documento a emitir</v>
      </c>
      <c r="M32" s="43" t="str">
        <f>IF(K32="Documento a emitir","",IF(AND(Q32="APC-R  - APC-R - Aprovado com Comentários (Retornar para uma nova Aprovação)",Q32="APC-L  - APC-L  - Aprovado com Comentários (Retornar Aprovado)"),"",IF(OR(_xlfn.XLOOKUP(D32,'LD-ELFA'!F:F,'LD-ELFA'!N:N)="PARA CONHECIMENTO",_xlfn.XLOOKUP(D32,'LD-ELFA'!F:F,'LD-ELFA'!N:N)="PARA CONSTRUÇÃO",_xlfn.XLOOKUP(D32,'LD-ELFA'!F:F,'LD-ELFA'!N:N)="PARA COTAÇÃO",_xlfn.XLOOKUP(D32,'LD-ELFA'!F:F,'LD-ELFA'!N:N)="CANCELADO"),_xlfn.XLOOKUP(D32,'LD-ELFA'!F:F,'LD-ELFA'!U:U),IF(AND(L32="",J32&lt;&gt;"PARA APROVAÇÃO"),"",""))))</f>
        <v/>
      </c>
      <c r="N32" s="63" t="str">
        <f t="shared" ca="1" si="8"/>
        <v>Documento a Emitir</v>
      </c>
      <c r="O32" s="63" t="str">
        <f t="shared" si="2"/>
        <v>Blossom - Documento a emitir</v>
      </c>
      <c r="P32" s="63" t="str">
        <f t="shared" si="3"/>
        <v>Blossom</v>
      </c>
      <c r="Q32" s="63" t="str">
        <f>IF(_xlfn.XLOOKUP(D32,'LD-ELFA'!F:F,'LD-ELFA'!V:V)="","",_xlfn.XLOOKUP(D32,'LD-ELFA'!F:F,'LD-ELFA'!V:V))</f>
        <v/>
      </c>
      <c r="R32" s="40">
        <f>IFERROR(IF(I32&lt;&gt;"","Documento Emitido",_xlfn.XLOOKUP(D32,Cronograma!P:P,Cronograma!Q:Q)),"Documento Removido")</f>
        <v>46275</v>
      </c>
      <c r="S32" s="40" t="str">
        <f t="shared" ca="1" si="4"/>
        <v>No prazo</v>
      </c>
      <c r="T32" s="40">
        <f>IFERROR(IF(I32&lt;&gt;"","Documento Emitido",_xlfn.XLOOKUP(D32,Cronograma!P:P,Cronograma!R:R)),"Documento Removido")</f>
        <v>46275</v>
      </c>
      <c r="U32" s="39" t="str">
        <f t="shared" si="5"/>
        <v>No prazo</v>
      </c>
      <c r="V32" s="39" t="str">
        <f t="shared" si="6"/>
        <v/>
      </c>
      <c r="W32" s="39" t="str">
        <f t="shared" ca="1" si="7"/>
        <v/>
      </c>
    </row>
    <row r="33" spans="1:23" s="60" customFormat="1" ht="28.5" customHeight="1" x14ac:dyDescent="0.2">
      <c r="A33" s="39">
        <v>30</v>
      </c>
      <c r="B33" s="39" t="str">
        <f>_xlfn.XLOOKUP(D33,'LD-ELFA'!F:F,'LD-ELFA'!C:C)</f>
        <v>AI - Automacao E Instrumentacao</v>
      </c>
      <c r="C33" s="39" t="str">
        <f>_xlfn.XLOOKUP(D33,'LD-ELFA'!F:F,'LD-ELFA'!D:D)</f>
        <v>FDA - Folha De Dados</v>
      </c>
      <c r="D33" s="39" t="s">
        <v>37</v>
      </c>
      <c r="E33" s="39" t="str">
        <f>_xlfn.LET(_xlpm.q,_xlfn.XLOOKUP(D33,'LD-ELFA'!F:F,'LD-ELFA'!Q:Q),
   _xlpm.r,_xlfn.XLOOKUP(D33,'LD-ELFA'!F:F,'LD-ELFA'!R:R),
   IF(_xlpm.r = "", _xlpm.q, _xlpm.q &amp; " - " &amp; _xlpm.r))</f>
        <v>FOLHA DE DADOS - CHAVE DE NÍVEL PORTINHOLA</v>
      </c>
      <c r="F33" s="63" t="str">
        <f t="shared" si="0"/>
        <v>Básico</v>
      </c>
      <c r="G33" s="63">
        <f>_xlfn.XLOOKUP(D33,'LD-ELFA'!F:F,'LD-ELFA'!G:G)</f>
        <v>0</v>
      </c>
      <c r="H33" s="63" t="str">
        <f>_xlfn.XLOOKUP(D33,'LD-ELFA'!F:F,'LD-ELFA'!I:I)</f>
        <v>1</v>
      </c>
      <c r="I33" s="63" t="str">
        <f>IF(_xlfn.XLOOKUP(D33,'LD-ELFA'!F:F,'LD-ELFA'!T:T)="","",_xlfn.XLOOKUP(D33,'LD-ELFA'!F:F,'LD-ELFA'!T:T))</f>
        <v>0007</v>
      </c>
      <c r="J33" s="63" t="str">
        <f>IF(K33="Documento a emitir", "",_xlfn.XLOOKUP(D33,'LD-ELFA'!F:F,'LD-ELFA'!N:N))</f>
        <v>CANCELADO</v>
      </c>
      <c r="K33" s="43">
        <f>IF(_xlfn.XLOOKUP($D33,'LD-ELFA'!F:F,'LD-ELFA'!U:U)="","Documento a emitir",_xlfn.XLOOKUP($D33,'LD-ELFA'!F:F,'LD-ELFA'!U:U))</f>
        <v>46202.537889432868</v>
      </c>
      <c r="L33" s="43">
        <f>IF(K33="Documento a emitir","Documento a emitir",IF(K33&lt;&gt;"Documento a emitir",IF(_xlfn.XLOOKUP(D33,'LD-ELFA'!F:F,'LD-ELFA'!W:W)="","",_xlfn.XLOOKUP(D33,'LD-ELFA'!F:F,'LD-ELFA'!W:W)),""))</f>
        <v>46205.37610065972</v>
      </c>
      <c r="M33" s="43">
        <f>IF(K33="Documento a emitir","",IF(AND(Q33="APC-R  - APC-R - Aprovado com Comentários (Retornar para uma nova Aprovação)",Q33="APC-L  - APC-L  - Aprovado com Comentários (Retornar Aprovado)"),"",IF(OR(_xlfn.XLOOKUP(D33,'LD-ELFA'!F:F,'LD-ELFA'!N:N)="PARA CONHECIMENTO",_xlfn.XLOOKUP(D33,'LD-ELFA'!F:F,'LD-ELFA'!N:N)="PARA CONSTRUÇÃO",_xlfn.XLOOKUP(D33,'LD-ELFA'!F:F,'LD-ELFA'!N:N)="PARA COTAÇÃO",_xlfn.XLOOKUP(D33,'LD-ELFA'!F:F,'LD-ELFA'!N:N)="CANCELADO"),_xlfn.XLOOKUP(D33,'LD-ELFA'!F:F,'LD-ELFA'!U:U),IF(AND(L33="",J33&lt;&gt;"PARA APROVAÇÃO"),"",""))))</f>
        <v>46202.537889432868</v>
      </c>
      <c r="N33" s="63" t="str">
        <f t="shared" ca="1" si="8"/>
        <v>Documento Concluído</v>
      </c>
      <c r="O33" s="63" t="str">
        <f t="shared" si="2"/>
        <v>Documento Concluído</v>
      </c>
      <c r="P33" s="63" t="str">
        <f t="shared" si="3"/>
        <v>Blossom</v>
      </c>
      <c r="Q33" s="63" t="str">
        <f>IF(_xlfn.XLOOKUP(D33,'LD-ELFA'!F:F,'LD-ELFA'!V:V)="","",_xlfn.XLOOKUP(D33,'LD-ELFA'!F:F,'LD-ELFA'!V:V))</f>
        <v>APR - APROVADO</v>
      </c>
      <c r="R33" s="40" t="str">
        <f>IFERROR(IF(I33&lt;&gt;"","Documento Emitido",_xlfn.XLOOKUP(D33,Cronograma!P:P,Cronograma!Q:Q)),"Documento Removido")</f>
        <v>Documento Emitido</v>
      </c>
      <c r="S33" s="40" t="str">
        <f t="shared" ca="1" si="4"/>
        <v>Documento Emitido</v>
      </c>
      <c r="T33" s="40" t="str">
        <f>IFERROR(IF(I33&lt;&gt;"","Documento Emitido",_xlfn.XLOOKUP(D33,Cronograma!P:P,Cronograma!R:R)),"Documento Removido")</f>
        <v>Documento Emitido</v>
      </c>
      <c r="U33" s="39" t="str">
        <f t="shared" si="5"/>
        <v>Documento Emitido</v>
      </c>
      <c r="V33" s="39" t="str">
        <f t="shared" si="6"/>
        <v>Documento Emitido</v>
      </c>
      <c r="W33" s="39" t="str">
        <f t="shared" ca="1" si="7"/>
        <v/>
      </c>
    </row>
    <row r="34" spans="1:23" s="60" customFormat="1" ht="28.5" customHeight="1" x14ac:dyDescent="0.2">
      <c r="A34" s="39">
        <v>31</v>
      </c>
      <c r="B34" s="39" t="str">
        <f>_xlfn.XLOOKUP(D34,'LD-ELFA'!F:F,'LD-ELFA'!C:C)</f>
        <v>AI - Automacao E Instrumentacao</v>
      </c>
      <c r="C34" s="39" t="str">
        <f>_xlfn.XLOOKUP(D34,'LD-ELFA'!F:F,'LD-ELFA'!D:D)</f>
        <v>FDA - Folha De Dados</v>
      </c>
      <c r="D34" s="39" t="s">
        <v>38</v>
      </c>
      <c r="E34" s="39" t="str">
        <f>_xlfn.LET(_xlpm.q,_xlfn.XLOOKUP(D34,'LD-ELFA'!F:F,'LD-ELFA'!Q:Q),
   _xlpm.r,_xlfn.XLOOKUP(D34,'LD-ELFA'!F:F,'LD-ELFA'!R:R),
   IF(_xlpm.r = "", _xlpm.q, _xlpm.q &amp; " - " &amp; _xlpm.r))</f>
        <v>FOLHA DE DADOS - MANÔMETRO</v>
      </c>
      <c r="F34" s="63" t="str">
        <f t="shared" si="0"/>
        <v>Básico</v>
      </c>
      <c r="G34" s="63">
        <f>_xlfn.XLOOKUP(D34,'LD-ELFA'!F:F,'LD-ELFA'!G:G)</f>
        <v>0</v>
      </c>
      <c r="H34" s="63">
        <f>_xlfn.XLOOKUP(D34,'LD-ELFA'!F:F,'LD-ELFA'!I:I)</f>
        <v>0</v>
      </c>
      <c r="I34" s="63" t="str">
        <f>IF(_xlfn.XLOOKUP(D34,'LD-ELFA'!F:F,'LD-ELFA'!T:T)="","",_xlfn.XLOOKUP(D34,'LD-ELFA'!F:F,'LD-ELFA'!T:T))</f>
        <v/>
      </c>
      <c r="J34" s="63" t="str">
        <f>IF(K34="Documento a emitir", "",_xlfn.XLOOKUP(D34,'LD-ELFA'!F:F,'LD-ELFA'!N:N))</f>
        <v/>
      </c>
      <c r="K34" s="43" t="str">
        <f>IF(_xlfn.XLOOKUP($D34,'LD-ELFA'!F:F,'LD-ELFA'!U:U)="","Documento a emitir",_xlfn.XLOOKUP($D34,'LD-ELFA'!F:F,'LD-ELFA'!U:U))</f>
        <v>Documento a emitir</v>
      </c>
      <c r="L34" s="43" t="str">
        <f>IF(K34="Documento a emitir","Documento a emitir",IF(K34&lt;&gt;"Documento a emitir",IF(_xlfn.XLOOKUP(D34,'LD-ELFA'!F:F,'LD-ELFA'!W:W)="","",_xlfn.XLOOKUP(D34,'LD-ELFA'!F:F,'LD-ELFA'!W:W)),""))</f>
        <v>Documento a emitir</v>
      </c>
      <c r="M34" s="43" t="str">
        <f>IF(K34="Documento a emitir","",IF(AND(Q34="APC-R  - APC-R - Aprovado com Comentários (Retornar para uma nova Aprovação)",Q34="APC-L  - APC-L  - Aprovado com Comentários (Retornar Aprovado)"),"",IF(OR(_xlfn.XLOOKUP(D34,'LD-ELFA'!F:F,'LD-ELFA'!N:N)="PARA CONHECIMENTO",_xlfn.XLOOKUP(D34,'LD-ELFA'!F:F,'LD-ELFA'!N:N)="PARA CONSTRUÇÃO",_xlfn.XLOOKUP(D34,'LD-ELFA'!F:F,'LD-ELFA'!N:N)="PARA COTAÇÃO",_xlfn.XLOOKUP(D34,'LD-ELFA'!F:F,'LD-ELFA'!N:N)="CANCELADO"),_xlfn.XLOOKUP(D34,'LD-ELFA'!F:F,'LD-ELFA'!U:U),IF(AND(L34="",J34&lt;&gt;"PARA APROVAÇÃO"),"",""))))</f>
        <v/>
      </c>
      <c r="N34" s="63" t="str">
        <f t="shared" ca="1" si="8"/>
        <v>Documento a Emitir</v>
      </c>
      <c r="O34" s="63" t="str">
        <f t="shared" si="2"/>
        <v>Blossom - Documento a emitir</v>
      </c>
      <c r="P34" s="63" t="str">
        <f t="shared" si="3"/>
        <v>Blossom</v>
      </c>
      <c r="Q34" s="63" t="str">
        <f>IF(_xlfn.XLOOKUP(D34,'LD-ELFA'!F:F,'LD-ELFA'!V:V)="","",_xlfn.XLOOKUP(D34,'LD-ELFA'!F:F,'LD-ELFA'!V:V))</f>
        <v/>
      </c>
      <c r="R34" s="40">
        <f>IFERROR(IF(I34&lt;&gt;"","Documento Emitido",_xlfn.XLOOKUP(D34,Cronograma!P:P,Cronograma!Q:Q)),"Documento Removido")</f>
        <v>46275</v>
      </c>
      <c r="S34" s="40" t="str">
        <f t="shared" ca="1" si="4"/>
        <v>No prazo</v>
      </c>
      <c r="T34" s="40">
        <f>IFERROR(IF(I34&lt;&gt;"","Documento Emitido",_xlfn.XLOOKUP(D34,Cronograma!P:P,Cronograma!R:R)),"Documento Removido")</f>
        <v>46275</v>
      </c>
      <c r="U34" s="39" t="str">
        <f t="shared" si="5"/>
        <v>No prazo</v>
      </c>
      <c r="V34" s="39" t="str">
        <f t="shared" si="6"/>
        <v/>
      </c>
      <c r="W34" s="39" t="str">
        <f t="shared" ca="1" si="7"/>
        <v/>
      </c>
    </row>
    <row r="35" spans="1:23" s="60" customFormat="1" ht="28.5" customHeight="1" x14ac:dyDescent="0.2">
      <c r="A35" s="39">
        <v>32</v>
      </c>
      <c r="B35" s="39" t="str">
        <f>_xlfn.XLOOKUP(D35,'LD-ELFA'!F:F,'LD-ELFA'!C:C)</f>
        <v>AI - Automacao E Instrumentacao</v>
      </c>
      <c r="C35" s="39" t="str">
        <f>_xlfn.XLOOKUP(D35,'LD-ELFA'!F:F,'LD-ELFA'!D:D)</f>
        <v>FDA - Folha De Dados</v>
      </c>
      <c r="D35" s="39" t="s">
        <v>39</v>
      </c>
      <c r="E35" s="39" t="str">
        <f>_xlfn.LET(_xlpm.q,_xlfn.XLOOKUP(D35,'LD-ELFA'!F:F,'LD-ELFA'!Q:Q),
   _xlpm.r,_xlfn.XLOOKUP(D35,'LD-ELFA'!F:F,'LD-ELFA'!R:R),
   IF(_xlpm.r = "", _xlpm.q, _xlpm.q &amp; " - " &amp; _xlpm.r))</f>
        <v>FOLHA DE DADOS - PAINEL PNEUMÁTICO</v>
      </c>
      <c r="F35" s="63" t="str">
        <f t="shared" si="0"/>
        <v>Básico</v>
      </c>
      <c r="G35" s="63">
        <f>_xlfn.XLOOKUP(D35,'LD-ELFA'!F:F,'LD-ELFA'!G:G)</f>
        <v>0</v>
      </c>
      <c r="H35" s="63" t="str">
        <f>_xlfn.XLOOKUP(D35,'LD-ELFA'!F:F,'LD-ELFA'!I:I)</f>
        <v>1</v>
      </c>
      <c r="I35" s="63" t="str">
        <f>IF(_xlfn.XLOOKUP(D35,'LD-ELFA'!F:F,'LD-ELFA'!T:T)="","",_xlfn.XLOOKUP(D35,'LD-ELFA'!F:F,'LD-ELFA'!T:T))</f>
        <v>0021</v>
      </c>
      <c r="J35" s="63" t="str">
        <f>IF(K35="Documento a emitir", "",_xlfn.XLOOKUP(D35,'LD-ELFA'!F:F,'LD-ELFA'!N:N))</f>
        <v>PARA APROVAÇÃO</v>
      </c>
      <c r="K35" s="43">
        <f>IF(_xlfn.XLOOKUP($D35,'LD-ELFA'!F:F,'LD-ELFA'!U:U)="","Documento a emitir",_xlfn.XLOOKUP($D35,'LD-ELFA'!F:F,'LD-ELFA'!U:U))</f>
        <v>46210.67873579861</v>
      </c>
      <c r="L35" s="43">
        <f>IF(K35="Documento a emitir","Documento a emitir",IF(K35&lt;&gt;"Documento a emitir",IF(_xlfn.XLOOKUP(D35,'LD-ELFA'!F:F,'LD-ELFA'!W:W)="","",_xlfn.XLOOKUP(D35,'LD-ELFA'!F:F,'LD-ELFA'!W:W)),""))</f>
        <v>46213.602180127316</v>
      </c>
      <c r="M35" s="43" t="str">
        <f>IF(K35="Documento a emitir","",IF(AND(Q35="APC-R  - APC-R - Aprovado com Comentários (Retornar para uma nova Aprovação)",Q35="APC-L  - APC-L  - Aprovado com Comentários (Retornar Aprovado)"),"",IF(OR(_xlfn.XLOOKUP(D35,'LD-ELFA'!F:F,'LD-ELFA'!N:N)="PARA CONHECIMENTO",_xlfn.XLOOKUP(D35,'LD-ELFA'!F:F,'LD-ELFA'!N:N)="PARA CONSTRUÇÃO",_xlfn.XLOOKUP(D35,'LD-ELFA'!F:F,'LD-ELFA'!N:N)="PARA COTAÇÃO",_xlfn.XLOOKUP(D35,'LD-ELFA'!F:F,'LD-ELFA'!N:N)="CANCELADO"),_xlfn.XLOOKUP(D35,'LD-ELFA'!F:F,'LD-ELFA'!U:U),IF(AND(L35="",J35&lt;&gt;"PARA APROVAÇÃO"),"",""))))</f>
        <v/>
      </c>
      <c r="N35" s="63" t="str">
        <f t="shared" ca="1" si="8"/>
        <v>No prazo</v>
      </c>
      <c r="O35" s="63" t="str">
        <f t="shared" si="2"/>
        <v>Blossom - Atendimento de Comentário</v>
      </c>
      <c r="P35" s="63" t="str">
        <f t="shared" si="3"/>
        <v>Blossom</v>
      </c>
      <c r="Q35" s="63" t="str">
        <f>IF(_xlfn.XLOOKUP(D35,'LD-ELFA'!F:F,'LD-ELFA'!V:V)="","",_xlfn.XLOOKUP(D35,'LD-ELFA'!F:F,'LD-ELFA'!V:V))</f>
        <v>APC-L  - APC-L  - Aprovado com Comentários (Retornar Aprovado)</v>
      </c>
      <c r="R35" s="40" t="str">
        <f>IFERROR(IF(I35&lt;&gt;"","Documento Emitido",_xlfn.XLOOKUP(D35,Cronograma!P:P,Cronograma!Q:Q)),"Documento Removido")</f>
        <v>Documento Emitido</v>
      </c>
      <c r="S35" s="40" t="str">
        <f t="shared" ca="1" si="4"/>
        <v>Documento Emitido</v>
      </c>
      <c r="T35" s="40" t="str">
        <f>IFERROR(IF(I35&lt;&gt;"","Documento Emitido",_xlfn.XLOOKUP(D35,Cronograma!P:P,Cronograma!R:R)),"Documento Removido")</f>
        <v>Documento Emitido</v>
      </c>
      <c r="U35" s="39" t="str">
        <f t="shared" si="5"/>
        <v>Documento Emitido</v>
      </c>
      <c r="V35" s="39" t="str">
        <f t="shared" si="6"/>
        <v>Documento Emitido</v>
      </c>
      <c r="W35" s="39" t="str">
        <f t="shared" ca="1" si="7"/>
        <v>Emissão Semana</v>
      </c>
    </row>
    <row r="36" spans="1:23" s="60" customFormat="1" ht="28.5" customHeight="1" x14ac:dyDescent="0.2">
      <c r="A36" s="39">
        <v>33</v>
      </c>
      <c r="B36" s="39" t="str">
        <f>_xlfn.XLOOKUP(D36,'LD-ELFA'!F:F,'LD-ELFA'!C:C)</f>
        <v>AI - Automacao E Instrumentacao</v>
      </c>
      <c r="C36" s="39" t="str">
        <f>_xlfn.XLOOKUP(D36,'LD-ELFA'!F:F,'LD-ELFA'!D:D)</f>
        <v>FDA - Folha De Dados</v>
      </c>
      <c r="D36" s="39" t="s">
        <v>40</v>
      </c>
      <c r="E36" s="39" t="str">
        <f>_xlfn.LET(_xlpm.q,_xlfn.XLOOKUP(D36,'LD-ELFA'!F:F,'LD-ELFA'!Q:Q),
   _xlpm.r,_xlfn.XLOOKUP(D36,'LD-ELFA'!F:F,'LD-ELFA'!R:R),
   IF(_xlpm.r = "", _xlpm.q, _xlpm.q &amp; " - " &amp; _xlpm.r))</f>
        <v>FOLHA DE DADOS - SENSOR DE POSIÇÃO</v>
      </c>
      <c r="F36" s="63" t="str">
        <f t="shared" si="0"/>
        <v>Básico</v>
      </c>
      <c r="G36" s="63">
        <f>_xlfn.XLOOKUP(D36,'LD-ELFA'!F:F,'LD-ELFA'!G:G)</f>
        <v>1</v>
      </c>
      <c r="H36" s="63" t="str">
        <f>_xlfn.XLOOKUP(D36,'LD-ELFA'!F:F,'LD-ELFA'!I:I)</f>
        <v>2</v>
      </c>
      <c r="I36" s="63" t="str">
        <f>IF(_xlfn.XLOOKUP(D36,'LD-ELFA'!F:F,'LD-ELFA'!T:T)="","",_xlfn.XLOOKUP(D36,'LD-ELFA'!F:F,'LD-ELFA'!T:T))</f>
        <v>0021</v>
      </c>
      <c r="J36" s="63" t="str">
        <f>IF(K36="Documento a emitir", "",_xlfn.XLOOKUP(D36,'LD-ELFA'!F:F,'LD-ELFA'!N:N))</f>
        <v>CANCELADO</v>
      </c>
      <c r="K36" s="43">
        <f>IF(_xlfn.XLOOKUP($D36,'LD-ELFA'!F:F,'LD-ELFA'!U:U)="","Documento a emitir",_xlfn.XLOOKUP($D36,'LD-ELFA'!F:F,'LD-ELFA'!U:U))</f>
        <v>46210.678736377318</v>
      </c>
      <c r="L36" s="43">
        <f>IF(K36="Documento a emitir","Documento a emitir",IF(K36&lt;&gt;"Documento a emitir",IF(_xlfn.XLOOKUP(D36,'LD-ELFA'!F:F,'LD-ELFA'!W:W)="","",_xlfn.XLOOKUP(D36,'LD-ELFA'!F:F,'LD-ELFA'!W:W)),""))</f>
        <v>46212.678822685193</v>
      </c>
      <c r="M36" s="43">
        <f>IF(K36="Documento a emitir","",IF(AND(Q36="APC-R  - APC-R - Aprovado com Comentários (Retornar para uma nova Aprovação)",Q36="APC-L  - APC-L  - Aprovado com Comentários (Retornar Aprovado)"),"",IF(OR(_xlfn.XLOOKUP(D36,'LD-ELFA'!F:F,'LD-ELFA'!N:N)="PARA CONHECIMENTO",_xlfn.XLOOKUP(D36,'LD-ELFA'!F:F,'LD-ELFA'!N:N)="PARA CONSTRUÇÃO",_xlfn.XLOOKUP(D36,'LD-ELFA'!F:F,'LD-ELFA'!N:N)="PARA COTAÇÃO",_xlfn.XLOOKUP(D36,'LD-ELFA'!F:F,'LD-ELFA'!N:N)="CANCELADO"),_xlfn.XLOOKUP(D36,'LD-ELFA'!F:F,'LD-ELFA'!U:U),IF(AND(L36="",J36&lt;&gt;"PARA APROVAÇÃO"),"",""))))</f>
        <v>46210.678736377318</v>
      </c>
      <c r="N36" s="63" t="str">
        <f t="shared" ca="1" si="8"/>
        <v>Documento Concluído</v>
      </c>
      <c r="O36" s="63" t="str">
        <f t="shared" si="2"/>
        <v>Documento Concluído</v>
      </c>
      <c r="P36" s="63" t="str">
        <f t="shared" si="3"/>
        <v>Blossom</v>
      </c>
      <c r="Q36" s="63" t="str">
        <f>IF(_xlfn.XLOOKUP(D36,'LD-ELFA'!F:F,'LD-ELFA'!V:V)="","",_xlfn.XLOOKUP(D36,'LD-ELFA'!F:F,'LD-ELFA'!V:V))</f>
        <v>CLD - CANCELADO</v>
      </c>
      <c r="R36" s="40" t="str">
        <f>IFERROR(IF(I36&lt;&gt;"","Documento Emitido",_xlfn.XLOOKUP(D36,Cronograma!P:P,Cronograma!Q:Q)),"Documento Removido")</f>
        <v>Documento Emitido</v>
      </c>
      <c r="S36" s="40" t="str">
        <f t="shared" ca="1" si="4"/>
        <v>Documento Emitido</v>
      </c>
      <c r="T36" s="40" t="str">
        <f>IFERROR(IF(I36&lt;&gt;"","Documento Emitido",_xlfn.XLOOKUP(D36,Cronograma!P:P,Cronograma!R:R)),"Documento Removido")</f>
        <v>Documento Emitido</v>
      </c>
      <c r="U36" s="39" t="str">
        <f t="shared" si="5"/>
        <v>Documento Emitido</v>
      </c>
      <c r="V36" s="39" t="str">
        <f t="shared" si="6"/>
        <v>Documento Emitido</v>
      </c>
      <c r="W36" s="39" t="str">
        <f t="shared" ca="1" si="7"/>
        <v>Atendimento de Comentário</v>
      </c>
    </row>
    <row r="37" spans="1:23" s="60" customFormat="1" ht="28.5" customHeight="1" x14ac:dyDescent="0.2">
      <c r="A37" s="39">
        <v>34</v>
      </c>
      <c r="B37" s="39" t="str">
        <f>_xlfn.XLOOKUP(D37,'LD-ELFA'!F:F,'LD-ELFA'!C:C)</f>
        <v>AI - Automacao E Instrumentacao</v>
      </c>
      <c r="C37" s="39" t="str">
        <f>_xlfn.XLOOKUP(D37,'LD-ELFA'!F:F,'LD-ELFA'!D:D)</f>
        <v>FDA - Folha De Dados</v>
      </c>
      <c r="D37" s="39" t="s">
        <v>41</v>
      </c>
      <c r="E37" s="39" t="str">
        <f>_xlfn.LET(_xlpm.q,_xlfn.XLOOKUP(D37,'LD-ELFA'!F:F,'LD-ELFA'!Q:Q),
   _xlpm.r,_xlfn.XLOOKUP(D37,'LD-ELFA'!F:F,'LD-ELFA'!R:R),
   IF(_xlpm.r = "", _xlpm.q, _xlpm.q &amp; " - " &amp; _xlpm.r))</f>
        <v>FOLHA DE DADOS - SINALIZADOR LUMINOSO</v>
      </c>
      <c r="F37" s="63" t="str">
        <f t="shared" si="0"/>
        <v>Básico</v>
      </c>
      <c r="G37" s="63">
        <f>_xlfn.XLOOKUP(D37,'LD-ELFA'!F:F,'LD-ELFA'!G:G)</f>
        <v>1</v>
      </c>
      <c r="H37" s="63" t="str">
        <f>_xlfn.XLOOKUP(D37,'LD-ELFA'!F:F,'LD-ELFA'!I:I)</f>
        <v>2</v>
      </c>
      <c r="I37" s="63" t="str">
        <f>IF(_xlfn.XLOOKUP(D37,'LD-ELFA'!F:F,'LD-ELFA'!T:T)="","",_xlfn.XLOOKUP(D37,'LD-ELFA'!F:F,'LD-ELFA'!T:T))</f>
        <v>0033</v>
      </c>
      <c r="J37" s="63" t="str">
        <f>IF(K37="Documento a emitir", "",_xlfn.XLOOKUP(D37,'LD-ELFA'!F:F,'LD-ELFA'!N:N))</f>
        <v>PARA COTAÇÃO</v>
      </c>
      <c r="K37" s="43">
        <f>IF(_xlfn.XLOOKUP($D37,'LD-ELFA'!F:F,'LD-ELFA'!U:U)="","Documento a emitir",_xlfn.XLOOKUP($D37,'LD-ELFA'!F:F,'LD-ELFA'!U:U))</f>
        <v>46213.699927858797</v>
      </c>
      <c r="L37" s="43" t="str">
        <f>IF(K37="Documento a emitir","Documento a emitir",IF(K37&lt;&gt;"Documento a emitir",IF(_xlfn.XLOOKUP(D37,'LD-ELFA'!F:F,'LD-ELFA'!W:W)="","",_xlfn.XLOOKUP(D37,'LD-ELFA'!F:F,'LD-ELFA'!W:W)),""))</f>
        <v/>
      </c>
      <c r="M37" s="43">
        <f>IF(K37="Documento a emitir","",IF(AND(Q37="APC-R  - APC-R - Aprovado com Comentários (Retornar para uma nova Aprovação)",Q37="APC-L  - APC-L  - Aprovado com Comentários (Retornar Aprovado)"),"",IF(OR(_xlfn.XLOOKUP(D37,'LD-ELFA'!F:F,'LD-ELFA'!N:N)="PARA CONHECIMENTO",_xlfn.XLOOKUP(D37,'LD-ELFA'!F:F,'LD-ELFA'!N:N)="PARA CONSTRUÇÃO",_xlfn.XLOOKUP(D37,'LD-ELFA'!F:F,'LD-ELFA'!N:N)="PARA COTAÇÃO",_xlfn.XLOOKUP(D37,'LD-ELFA'!F:F,'LD-ELFA'!N:N)="CANCELADO"),_xlfn.XLOOKUP(D37,'LD-ELFA'!F:F,'LD-ELFA'!U:U),IF(AND(L37="",J37&lt;&gt;"PARA APROVAÇÃO"),"",""))))</f>
        <v>46213.699927858797</v>
      </c>
      <c r="N37" s="63" t="str">
        <f t="shared" ca="1" si="8"/>
        <v>Documento Concluído</v>
      </c>
      <c r="O37" s="63" t="str">
        <f t="shared" si="2"/>
        <v>Documento Concluído</v>
      </c>
      <c r="P37" s="63" t="str">
        <f t="shared" si="3"/>
        <v>Blossom</v>
      </c>
      <c r="Q37" s="63" t="str">
        <f>IF(_xlfn.XLOOKUP(D37,'LD-ELFA'!F:F,'LD-ELFA'!V:V)="","",_xlfn.XLOOKUP(D37,'LD-ELFA'!F:F,'LD-ELFA'!V:V))</f>
        <v/>
      </c>
      <c r="R37" s="40" t="str">
        <f>IFERROR(IF(I37&lt;&gt;"","Documento Emitido",_xlfn.XLOOKUP(D37,Cronograma!P:P,Cronograma!Q:Q)),"Documento Removido")</f>
        <v>Documento Emitido</v>
      </c>
      <c r="S37" s="40" t="str">
        <f t="shared" ca="1" si="4"/>
        <v>Documento Emitido</v>
      </c>
      <c r="T37" s="40" t="str">
        <f>IFERROR(IF(I37&lt;&gt;"","Documento Emitido",_xlfn.XLOOKUP(D37,Cronograma!P:P,Cronograma!R:R)),"Documento Removido")</f>
        <v>Documento Emitido</v>
      </c>
      <c r="U37" s="39" t="str">
        <f t="shared" si="5"/>
        <v>Documento Emitido</v>
      </c>
      <c r="V37" s="39" t="str">
        <f t="shared" si="6"/>
        <v>Documento Emitido</v>
      </c>
      <c r="W37" s="39" t="str">
        <f t="shared" ca="1" si="7"/>
        <v>Atendimento de Comentário</v>
      </c>
    </row>
    <row r="38" spans="1:23" s="60" customFormat="1" ht="28.5" customHeight="1" x14ac:dyDescent="0.2">
      <c r="A38" s="39">
        <v>35</v>
      </c>
      <c r="B38" s="39" t="str">
        <f>_xlfn.XLOOKUP(D38,'LD-ELFA'!F:F,'LD-ELFA'!C:C)</f>
        <v>AI - Automacao E Instrumentacao</v>
      </c>
      <c r="C38" s="39" t="str">
        <f>_xlfn.XLOOKUP(D38,'LD-ELFA'!F:F,'LD-ELFA'!D:D)</f>
        <v>FDA - Folha De Dados</v>
      </c>
      <c r="D38" s="39" t="s">
        <v>42</v>
      </c>
      <c r="E38" s="39" t="str">
        <f>_xlfn.LET(_xlpm.q,_xlfn.XLOOKUP(D38,'LD-ELFA'!F:F,'LD-ELFA'!Q:Q),
   _xlpm.r,_xlfn.XLOOKUP(D38,'LD-ELFA'!F:F,'LD-ELFA'!R:R),
   IF(_xlpm.r = "", _xlpm.q, _xlpm.q &amp; " - " &amp; _xlpm.r))</f>
        <v>FOLHA DE DADOS - VÁLVULA DE ALÍVIO DE PRESSÃO</v>
      </c>
      <c r="F38" s="63" t="str">
        <f t="shared" si="0"/>
        <v>Básico</v>
      </c>
      <c r="G38" s="63">
        <f>_xlfn.XLOOKUP(D38,'LD-ELFA'!F:F,'LD-ELFA'!G:G)</f>
        <v>0</v>
      </c>
      <c r="H38" s="63">
        <f>_xlfn.XLOOKUP(D38,'LD-ELFA'!F:F,'LD-ELFA'!I:I)</f>
        <v>0</v>
      </c>
      <c r="I38" s="63" t="str">
        <f>IF(_xlfn.XLOOKUP(D38,'LD-ELFA'!F:F,'LD-ELFA'!T:T)="","",_xlfn.XLOOKUP(D38,'LD-ELFA'!F:F,'LD-ELFA'!T:T))</f>
        <v/>
      </c>
      <c r="J38" s="63" t="str">
        <f>IF(K38="Documento a emitir", "",_xlfn.XLOOKUP(D38,'LD-ELFA'!F:F,'LD-ELFA'!N:N))</f>
        <v/>
      </c>
      <c r="K38" s="43" t="str">
        <f>IF(_xlfn.XLOOKUP($D38,'LD-ELFA'!F:F,'LD-ELFA'!U:U)="","Documento a emitir",_xlfn.XLOOKUP($D38,'LD-ELFA'!F:F,'LD-ELFA'!U:U))</f>
        <v>Documento a emitir</v>
      </c>
      <c r="L38" s="43" t="str">
        <f>IF(K38="Documento a emitir","Documento a emitir",IF(K38&lt;&gt;"Documento a emitir",IF(_xlfn.XLOOKUP(D38,'LD-ELFA'!F:F,'LD-ELFA'!W:W)="","",_xlfn.XLOOKUP(D38,'LD-ELFA'!F:F,'LD-ELFA'!W:W)),""))</f>
        <v>Documento a emitir</v>
      </c>
      <c r="M38" s="43" t="str">
        <f>IF(K38="Documento a emitir","",IF(AND(Q38="APC-R  - APC-R - Aprovado com Comentários (Retornar para uma nova Aprovação)",Q38="APC-L  - APC-L  - Aprovado com Comentários (Retornar Aprovado)"),"",IF(OR(_xlfn.XLOOKUP(D38,'LD-ELFA'!F:F,'LD-ELFA'!N:N)="PARA CONHECIMENTO",_xlfn.XLOOKUP(D38,'LD-ELFA'!F:F,'LD-ELFA'!N:N)="PARA CONSTRUÇÃO",_xlfn.XLOOKUP(D38,'LD-ELFA'!F:F,'LD-ELFA'!N:N)="PARA COTAÇÃO",_xlfn.XLOOKUP(D38,'LD-ELFA'!F:F,'LD-ELFA'!N:N)="CANCELADO"),_xlfn.XLOOKUP(D38,'LD-ELFA'!F:F,'LD-ELFA'!U:U),IF(AND(L38="",J38&lt;&gt;"PARA APROVAÇÃO"),"",""))))</f>
        <v/>
      </c>
      <c r="N38" s="63" t="str">
        <f t="shared" ca="1" si="8"/>
        <v>Documento a Emitir</v>
      </c>
      <c r="O38" s="63" t="str">
        <f t="shared" si="2"/>
        <v>Blossom - Documento a emitir</v>
      </c>
      <c r="P38" s="63" t="str">
        <f t="shared" si="3"/>
        <v>Blossom</v>
      </c>
      <c r="Q38" s="63" t="str">
        <f>IF(_xlfn.XLOOKUP(D38,'LD-ELFA'!F:F,'LD-ELFA'!V:V)="","",_xlfn.XLOOKUP(D38,'LD-ELFA'!F:F,'LD-ELFA'!V:V))</f>
        <v/>
      </c>
      <c r="R38" s="40">
        <f>IFERROR(IF(I38&lt;&gt;"","Documento Emitido",_xlfn.XLOOKUP(D38,Cronograma!P:P,Cronograma!Q:Q)),"Documento Removido")</f>
        <v>46259</v>
      </c>
      <c r="S38" s="40" t="str">
        <f t="shared" ca="1" si="4"/>
        <v>No prazo</v>
      </c>
      <c r="T38" s="40">
        <f>IFERROR(IF(I38&lt;&gt;"","Documento Emitido",_xlfn.XLOOKUP(D38,Cronograma!P:P,Cronograma!R:R)),"Documento Removido")</f>
        <v>46259</v>
      </c>
      <c r="U38" s="39" t="str">
        <f t="shared" si="5"/>
        <v>No prazo</v>
      </c>
      <c r="V38" s="39" t="str">
        <f t="shared" si="6"/>
        <v/>
      </c>
      <c r="W38" s="39" t="str">
        <f t="shared" ca="1" si="7"/>
        <v/>
      </c>
    </row>
    <row r="39" spans="1:23" s="60" customFormat="1" ht="28.5" customHeight="1" x14ac:dyDescent="0.2">
      <c r="A39" s="39">
        <v>36</v>
      </c>
      <c r="B39" s="39" t="str">
        <f>_xlfn.XLOOKUP(D39,'LD-ELFA'!F:F,'LD-ELFA'!C:C)</f>
        <v>AI - Automacao E Instrumentacao</v>
      </c>
      <c r="C39" s="39" t="str">
        <f>_xlfn.XLOOKUP(D39,'LD-ELFA'!F:F,'LD-ELFA'!D:D)</f>
        <v>FDA - Folha De Dados</v>
      </c>
      <c r="D39" s="39" t="s">
        <v>43</v>
      </c>
      <c r="E39" s="39" t="str">
        <f>_xlfn.LET(_xlpm.q,_xlfn.XLOOKUP(D39,'LD-ELFA'!F:F,'LD-ELFA'!Q:Q),
   _xlpm.r,_xlfn.XLOOKUP(D39,'LD-ELFA'!F:F,'LD-ELFA'!R:R),
   IF(_xlpm.r = "", _xlpm.q, _xlpm.q &amp; " - " &amp; _xlpm.r))</f>
        <v>FOLHA DE DADOS - VÁLVULA DE CONTROLE - ESFERA</v>
      </c>
      <c r="F39" s="63" t="str">
        <f t="shared" si="0"/>
        <v>Básico</v>
      </c>
      <c r="G39" s="63">
        <f>_xlfn.XLOOKUP(D39,'LD-ELFA'!F:F,'LD-ELFA'!G:G)</f>
        <v>0</v>
      </c>
      <c r="H39" s="63">
        <f>_xlfn.XLOOKUP(D39,'LD-ELFA'!F:F,'LD-ELFA'!I:I)</f>
        <v>0</v>
      </c>
      <c r="I39" s="63" t="str">
        <f>IF(_xlfn.XLOOKUP(D39,'LD-ELFA'!F:F,'LD-ELFA'!T:T)="","",_xlfn.XLOOKUP(D39,'LD-ELFA'!F:F,'LD-ELFA'!T:T))</f>
        <v/>
      </c>
      <c r="J39" s="63" t="str">
        <f>IF(K39="Documento a emitir", "",_xlfn.XLOOKUP(D39,'LD-ELFA'!F:F,'LD-ELFA'!N:N))</f>
        <v/>
      </c>
      <c r="K39" s="43" t="str">
        <f>IF(_xlfn.XLOOKUP($D39,'LD-ELFA'!F:F,'LD-ELFA'!U:U)="","Documento a emitir",_xlfn.XLOOKUP($D39,'LD-ELFA'!F:F,'LD-ELFA'!U:U))</f>
        <v>Documento a emitir</v>
      </c>
      <c r="L39" s="43" t="str">
        <f>IF(K39="Documento a emitir","Documento a emitir",IF(K39&lt;&gt;"Documento a emitir",IF(_xlfn.XLOOKUP(D39,'LD-ELFA'!F:F,'LD-ELFA'!W:W)="","",_xlfn.XLOOKUP(D39,'LD-ELFA'!F:F,'LD-ELFA'!W:W)),""))</f>
        <v>Documento a emitir</v>
      </c>
      <c r="M39" s="43" t="str">
        <f>IF(K39="Documento a emitir","",IF(AND(Q39="APC-R  - APC-R - Aprovado com Comentários (Retornar para uma nova Aprovação)",Q39="APC-L  - APC-L  - Aprovado com Comentários (Retornar Aprovado)"),"",IF(OR(_xlfn.XLOOKUP(D39,'LD-ELFA'!F:F,'LD-ELFA'!N:N)="PARA CONHECIMENTO",_xlfn.XLOOKUP(D39,'LD-ELFA'!F:F,'LD-ELFA'!N:N)="PARA CONSTRUÇÃO",_xlfn.XLOOKUP(D39,'LD-ELFA'!F:F,'LD-ELFA'!N:N)="PARA COTAÇÃO",_xlfn.XLOOKUP(D39,'LD-ELFA'!F:F,'LD-ELFA'!N:N)="CANCELADO"),_xlfn.XLOOKUP(D39,'LD-ELFA'!F:F,'LD-ELFA'!U:U),IF(AND(L39="",J39&lt;&gt;"PARA APROVAÇÃO"),"",""))))</f>
        <v/>
      </c>
      <c r="N39" s="63" t="str">
        <f t="shared" ca="1" si="8"/>
        <v>Documento a Emitir</v>
      </c>
      <c r="O39" s="63" t="str">
        <f t="shared" si="2"/>
        <v>Blossom - Documento a emitir</v>
      </c>
      <c r="P39" s="63" t="str">
        <f t="shared" si="3"/>
        <v>Blossom</v>
      </c>
      <c r="Q39" s="63" t="str">
        <f>IF(_xlfn.XLOOKUP(D39,'LD-ELFA'!F:F,'LD-ELFA'!V:V)="","",_xlfn.XLOOKUP(D39,'LD-ELFA'!F:F,'LD-ELFA'!V:V))</f>
        <v/>
      </c>
      <c r="R39" s="40">
        <f>IFERROR(IF(I39&lt;&gt;"","Documento Emitido",_xlfn.XLOOKUP(D39,Cronograma!P:P,Cronograma!Q:Q)),"Documento Removido")</f>
        <v>46255</v>
      </c>
      <c r="S39" s="40" t="str">
        <f t="shared" ca="1" si="4"/>
        <v>No prazo</v>
      </c>
      <c r="T39" s="40">
        <f>IFERROR(IF(I39&lt;&gt;"","Documento Emitido",_xlfn.XLOOKUP(D39,Cronograma!P:P,Cronograma!R:R)),"Documento Removido")</f>
        <v>46255</v>
      </c>
      <c r="U39" s="39" t="str">
        <f t="shared" si="5"/>
        <v>No prazo</v>
      </c>
      <c r="V39" s="39" t="str">
        <f t="shared" si="6"/>
        <v/>
      </c>
      <c r="W39" s="39" t="str">
        <f t="shared" ca="1" si="7"/>
        <v/>
      </c>
    </row>
    <row r="40" spans="1:23" s="60" customFormat="1" ht="28.5" customHeight="1" x14ac:dyDescent="0.2">
      <c r="A40" s="39">
        <v>37</v>
      </c>
      <c r="B40" s="39" t="str">
        <f>_xlfn.XLOOKUP(D40,'LD-ELFA'!F:F,'LD-ELFA'!C:C)</f>
        <v>AI - Automacao E Instrumentacao</v>
      </c>
      <c r="C40" s="39" t="str">
        <f>_xlfn.XLOOKUP(D40,'LD-ELFA'!F:F,'LD-ELFA'!D:D)</f>
        <v>FDA - Folha De Dados</v>
      </c>
      <c r="D40" s="39" t="s">
        <v>44</v>
      </c>
      <c r="E40" s="39" t="str">
        <f>_xlfn.LET(_xlpm.q,_xlfn.XLOOKUP(D40,'LD-ELFA'!F:F,'LD-ELFA'!Q:Q),
   _xlpm.r,_xlfn.XLOOKUP(D40,'LD-ELFA'!F:F,'LD-ELFA'!R:R),
   IF(_xlpm.r = "", _xlpm.q, _xlpm.q &amp; " - " &amp; _xlpm.r))</f>
        <v>FOLHA DE DADOS - VÁLVULA DILÚVIO</v>
      </c>
      <c r="F40" s="63" t="str">
        <f t="shared" si="0"/>
        <v>Básico</v>
      </c>
      <c r="G40" s="63">
        <f>_xlfn.XLOOKUP(D40,'LD-ELFA'!F:F,'LD-ELFA'!G:G)</f>
        <v>0</v>
      </c>
      <c r="H40" s="63">
        <f>_xlfn.XLOOKUP(D40,'LD-ELFA'!F:F,'LD-ELFA'!I:I)</f>
        <v>0</v>
      </c>
      <c r="I40" s="63" t="str">
        <f>IF(_xlfn.XLOOKUP(D40,'LD-ELFA'!F:F,'LD-ELFA'!T:T)="","",_xlfn.XLOOKUP(D40,'LD-ELFA'!F:F,'LD-ELFA'!T:T))</f>
        <v/>
      </c>
      <c r="J40" s="63" t="str">
        <f>IF(K40="Documento a emitir", "",_xlfn.XLOOKUP(D40,'LD-ELFA'!F:F,'LD-ELFA'!N:N))</f>
        <v/>
      </c>
      <c r="K40" s="43" t="str">
        <f>IF(_xlfn.XLOOKUP($D40,'LD-ELFA'!F:F,'LD-ELFA'!U:U)="","Documento a emitir",_xlfn.XLOOKUP($D40,'LD-ELFA'!F:F,'LD-ELFA'!U:U))</f>
        <v>Documento a emitir</v>
      </c>
      <c r="L40" s="43" t="str">
        <f>IF(K40="Documento a emitir","Documento a emitir",IF(K40&lt;&gt;"Documento a emitir",IF(_xlfn.XLOOKUP(D40,'LD-ELFA'!F:F,'LD-ELFA'!W:W)="","",_xlfn.XLOOKUP(D40,'LD-ELFA'!F:F,'LD-ELFA'!W:W)),""))</f>
        <v>Documento a emitir</v>
      </c>
      <c r="M40" s="43" t="str">
        <f>IF(K40="Documento a emitir","",IF(AND(Q40="APC-R  - APC-R - Aprovado com Comentários (Retornar para uma nova Aprovação)",Q40="APC-L  - APC-L  - Aprovado com Comentários (Retornar Aprovado)"),"",IF(OR(_xlfn.XLOOKUP(D40,'LD-ELFA'!F:F,'LD-ELFA'!N:N)="PARA CONHECIMENTO",_xlfn.XLOOKUP(D40,'LD-ELFA'!F:F,'LD-ELFA'!N:N)="PARA CONSTRUÇÃO",_xlfn.XLOOKUP(D40,'LD-ELFA'!F:F,'LD-ELFA'!N:N)="PARA COTAÇÃO",_xlfn.XLOOKUP(D40,'LD-ELFA'!F:F,'LD-ELFA'!N:N)="CANCELADO"),_xlfn.XLOOKUP(D40,'LD-ELFA'!F:F,'LD-ELFA'!U:U),IF(AND(L40="",J40&lt;&gt;"PARA APROVAÇÃO"),"",""))))</f>
        <v/>
      </c>
      <c r="N40" s="63" t="str">
        <f t="shared" ca="1" si="8"/>
        <v>Documento a Emitir</v>
      </c>
      <c r="O40" s="63" t="str">
        <f t="shared" si="2"/>
        <v>Blossom - Documento a emitir</v>
      </c>
      <c r="P40" s="63" t="str">
        <f t="shared" si="3"/>
        <v>Blossom</v>
      </c>
      <c r="Q40" s="63" t="str">
        <f>IF(_xlfn.XLOOKUP(D40,'LD-ELFA'!F:F,'LD-ELFA'!V:V)="","",_xlfn.XLOOKUP(D40,'LD-ELFA'!F:F,'LD-ELFA'!V:V))</f>
        <v/>
      </c>
      <c r="R40" s="40">
        <f>IFERROR(IF(I40&lt;&gt;"","Documento Emitido",_xlfn.XLOOKUP(D40,Cronograma!P:P,Cronograma!Q:Q)),"Documento Removido")</f>
        <v>46259</v>
      </c>
      <c r="S40" s="40" t="str">
        <f t="shared" ca="1" si="4"/>
        <v>No prazo</v>
      </c>
      <c r="T40" s="40">
        <f>IFERROR(IF(I40&lt;&gt;"","Documento Emitido",_xlfn.XLOOKUP(D40,Cronograma!P:P,Cronograma!R:R)),"Documento Removido")</f>
        <v>46259</v>
      </c>
      <c r="U40" s="39" t="str">
        <f t="shared" si="5"/>
        <v>No prazo</v>
      </c>
      <c r="V40" s="39" t="str">
        <f t="shared" si="6"/>
        <v/>
      </c>
      <c r="W40" s="39" t="str">
        <f t="shared" ca="1" si="7"/>
        <v/>
      </c>
    </row>
    <row r="41" spans="1:23" s="60" customFormat="1" ht="28.5" customHeight="1" x14ac:dyDescent="0.2">
      <c r="A41" s="39">
        <v>38</v>
      </c>
      <c r="B41" s="39" t="str">
        <f>_xlfn.XLOOKUP(D41,'LD-ELFA'!F:F,'LD-ELFA'!C:C)</f>
        <v>AI - Automacao E Instrumentacao</v>
      </c>
      <c r="C41" s="39" t="str">
        <f>_xlfn.XLOOKUP(D41,'LD-ELFA'!F:F,'LD-ELFA'!D:D)</f>
        <v>FDA - Folha De Dados</v>
      </c>
      <c r="D41" s="39" t="s">
        <v>45</v>
      </c>
      <c r="E41" s="39" t="str">
        <f>_xlfn.LET(_xlpm.q,_xlfn.XLOOKUP(D41,'LD-ELFA'!F:F,'LD-ELFA'!Q:Q),
   _xlpm.r,_xlfn.XLOOKUP(D41,'LD-ELFA'!F:F,'LD-ELFA'!R:R),
   IF(_xlpm.r = "", _xlpm.q, _xlpm.q &amp; " - " &amp; _xlpm.r))</f>
        <v>FOLHA DE DADOS - VÁLVULA GOVERNO E ALARME</v>
      </c>
      <c r="F41" s="63" t="str">
        <f t="shared" si="0"/>
        <v>Básico</v>
      </c>
      <c r="G41" s="63">
        <f>_xlfn.XLOOKUP(D41,'LD-ELFA'!F:F,'LD-ELFA'!G:G)</f>
        <v>0</v>
      </c>
      <c r="H41" s="63">
        <f>_xlfn.XLOOKUP(D41,'LD-ELFA'!F:F,'LD-ELFA'!I:I)</f>
        <v>0</v>
      </c>
      <c r="I41" s="63" t="str">
        <f>IF(_xlfn.XLOOKUP(D41,'LD-ELFA'!F:F,'LD-ELFA'!T:T)="","",_xlfn.XLOOKUP(D41,'LD-ELFA'!F:F,'LD-ELFA'!T:T))</f>
        <v/>
      </c>
      <c r="J41" s="63" t="str">
        <f>IF(K41="Documento a emitir", "",_xlfn.XLOOKUP(D41,'LD-ELFA'!F:F,'LD-ELFA'!N:N))</f>
        <v/>
      </c>
      <c r="K41" s="43" t="str">
        <f>IF(_xlfn.XLOOKUP($D41,'LD-ELFA'!F:F,'LD-ELFA'!U:U)="","Documento a emitir",_xlfn.XLOOKUP($D41,'LD-ELFA'!F:F,'LD-ELFA'!U:U))</f>
        <v>Documento a emitir</v>
      </c>
      <c r="L41" s="43" t="str">
        <f>IF(K41="Documento a emitir","Documento a emitir",IF(K41&lt;&gt;"Documento a emitir",IF(_xlfn.XLOOKUP(D41,'LD-ELFA'!F:F,'LD-ELFA'!W:W)="","",_xlfn.XLOOKUP(D41,'LD-ELFA'!F:F,'LD-ELFA'!W:W)),""))</f>
        <v>Documento a emitir</v>
      </c>
      <c r="M41" s="43" t="str">
        <f>IF(K41="Documento a emitir","",IF(AND(Q41="APC-R  - APC-R - Aprovado com Comentários (Retornar para uma nova Aprovação)",Q41="APC-L  - APC-L  - Aprovado com Comentários (Retornar Aprovado)"),"",IF(OR(_xlfn.XLOOKUP(D41,'LD-ELFA'!F:F,'LD-ELFA'!N:N)="PARA CONHECIMENTO",_xlfn.XLOOKUP(D41,'LD-ELFA'!F:F,'LD-ELFA'!N:N)="PARA CONSTRUÇÃO",_xlfn.XLOOKUP(D41,'LD-ELFA'!F:F,'LD-ELFA'!N:N)="PARA COTAÇÃO",_xlfn.XLOOKUP(D41,'LD-ELFA'!F:F,'LD-ELFA'!N:N)="CANCELADO"),_xlfn.XLOOKUP(D41,'LD-ELFA'!F:F,'LD-ELFA'!U:U),IF(AND(L41="",J41&lt;&gt;"PARA APROVAÇÃO"),"",""))))</f>
        <v/>
      </c>
      <c r="N41" s="63" t="str">
        <f t="shared" ca="1" si="8"/>
        <v>Documento a Emitir</v>
      </c>
      <c r="O41" s="63" t="str">
        <f t="shared" si="2"/>
        <v>Blossom - Documento a emitir</v>
      </c>
      <c r="P41" s="63" t="str">
        <f t="shared" si="3"/>
        <v>Blossom</v>
      </c>
      <c r="Q41" s="63" t="str">
        <f>IF(_xlfn.XLOOKUP(D41,'LD-ELFA'!F:F,'LD-ELFA'!V:V)="","",_xlfn.XLOOKUP(D41,'LD-ELFA'!F:F,'LD-ELFA'!V:V))</f>
        <v/>
      </c>
      <c r="R41" s="40">
        <f>IFERROR(IF(I41&lt;&gt;"","Documento Emitido",_xlfn.XLOOKUP(D41,Cronograma!P:P,Cronograma!Q:Q)),"Documento Removido")</f>
        <v>46259</v>
      </c>
      <c r="S41" s="40" t="str">
        <f t="shared" ca="1" si="4"/>
        <v>No prazo</v>
      </c>
      <c r="T41" s="40">
        <f>IFERROR(IF(I41&lt;&gt;"","Documento Emitido",_xlfn.XLOOKUP(D41,Cronograma!P:P,Cronograma!R:R)),"Documento Removido")</f>
        <v>46259</v>
      </c>
      <c r="U41" s="39" t="str">
        <f t="shared" si="5"/>
        <v>No prazo</v>
      </c>
      <c r="V41" s="39" t="str">
        <f t="shared" si="6"/>
        <v/>
      </c>
      <c r="W41" s="39" t="str">
        <f t="shared" ca="1" si="7"/>
        <v/>
      </c>
    </row>
    <row r="42" spans="1:23" s="60" customFormat="1" ht="28.5" customHeight="1" x14ac:dyDescent="0.2">
      <c r="A42" s="39">
        <v>39</v>
      </c>
      <c r="B42" s="39" t="str">
        <f>_xlfn.XLOOKUP(D42,'LD-ELFA'!F:F,'LD-ELFA'!C:C)</f>
        <v>AI - Automacao E Instrumentacao</v>
      </c>
      <c r="C42" s="39" t="str">
        <f>_xlfn.XLOOKUP(D42,'LD-ELFA'!F:F,'LD-ELFA'!D:D)</f>
        <v>FDA - Folha De Dados</v>
      </c>
      <c r="D42" s="39" t="s">
        <v>46</v>
      </c>
      <c r="E42" s="39" t="str">
        <f>_xlfn.LET(_xlpm.q,_xlfn.XLOOKUP(D42,'LD-ELFA'!F:F,'LD-ELFA'!Q:Q),
   _xlpm.r,_xlfn.XLOOKUP(D42,'LD-ELFA'!F:F,'LD-ELFA'!R:R),
   IF(_xlpm.r = "", _xlpm.q, _xlpm.q &amp; " - " &amp; _xlpm.r))</f>
        <v>FOLHA DE DADOS - MEDIDOR DE VAZÃO VORTEX</v>
      </c>
      <c r="F42" s="63" t="str">
        <f t="shared" si="0"/>
        <v>Básico</v>
      </c>
      <c r="G42" s="63">
        <f>_xlfn.XLOOKUP(D42,'LD-ELFA'!F:F,'LD-ELFA'!G:G)</f>
        <v>0</v>
      </c>
      <c r="H42" s="63">
        <f>_xlfn.XLOOKUP(D42,'LD-ELFA'!F:F,'LD-ELFA'!I:I)</f>
        <v>0</v>
      </c>
      <c r="I42" s="63" t="str">
        <f>IF(_xlfn.XLOOKUP(D42,'LD-ELFA'!F:F,'LD-ELFA'!T:T)="","",_xlfn.XLOOKUP(D42,'LD-ELFA'!F:F,'LD-ELFA'!T:T))</f>
        <v/>
      </c>
      <c r="J42" s="63" t="str">
        <f>IF(K42="Documento a emitir", "",_xlfn.XLOOKUP(D42,'LD-ELFA'!F:F,'LD-ELFA'!N:N))</f>
        <v/>
      </c>
      <c r="K42" s="43" t="str">
        <f>IF(_xlfn.XLOOKUP($D42,'LD-ELFA'!F:F,'LD-ELFA'!U:U)="","Documento a emitir",_xlfn.XLOOKUP($D42,'LD-ELFA'!F:F,'LD-ELFA'!U:U))</f>
        <v>Documento a emitir</v>
      </c>
      <c r="L42" s="43" t="str">
        <f>IF(K42="Documento a emitir","Documento a emitir",IF(K42&lt;&gt;"Documento a emitir",IF(_xlfn.XLOOKUP(D42,'LD-ELFA'!F:F,'LD-ELFA'!W:W)="","",_xlfn.XLOOKUP(D42,'LD-ELFA'!F:F,'LD-ELFA'!W:W)),""))</f>
        <v>Documento a emitir</v>
      </c>
      <c r="M42" s="43" t="str">
        <f>IF(K42="Documento a emitir","",IF(AND(Q42="APC-R  - APC-R - Aprovado com Comentários (Retornar para uma nova Aprovação)",Q42="APC-L  - APC-L  - Aprovado com Comentários (Retornar Aprovado)"),"",IF(OR(_xlfn.XLOOKUP(D42,'LD-ELFA'!F:F,'LD-ELFA'!N:N)="PARA CONHECIMENTO",_xlfn.XLOOKUP(D42,'LD-ELFA'!F:F,'LD-ELFA'!N:N)="PARA CONSTRUÇÃO",_xlfn.XLOOKUP(D42,'LD-ELFA'!F:F,'LD-ELFA'!N:N)="PARA COTAÇÃO",_xlfn.XLOOKUP(D42,'LD-ELFA'!F:F,'LD-ELFA'!N:N)="CANCELADO"),_xlfn.XLOOKUP(D42,'LD-ELFA'!F:F,'LD-ELFA'!U:U),IF(AND(L42="",J42&lt;&gt;"PARA APROVAÇÃO"),"",""))))</f>
        <v/>
      </c>
      <c r="N42" s="63" t="str">
        <f t="shared" ca="1" si="8"/>
        <v>Documento a Emitir</v>
      </c>
      <c r="O42" s="63" t="str">
        <f t="shared" si="2"/>
        <v>Blossom - Documento a emitir</v>
      </c>
      <c r="P42" s="63" t="str">
        <f t="shared" si="3"/>
        <v>Blossom</v>
      </c>
      <c r="Q42" s="63" t="str">
        <f>IF(_xlfn.XLOOKUP(D42,'LD-ELFA'!F:F,'LD-ELFA'!V:V)="","",_xlfn.XLOOKUP(D42,'LD-ELFA'!F:F,'LD-ELFA'!V:V))</f>
        <v/>
      </c>
      <c r="R42" s="40">
        <f>IFERROR(IF(I42&lt;&gt;"","Documento Emitido",_xlfn.XLOOKUP(D42,Cronograma!P:P,Cronograma!Q:Q)),"Documento Removido")</f>
        <v>46269</v>
      </c>
      <c r="S42" s="40" t="str">
        <f t="shared" ca="1" si="4"/>
        <v>No prazo</v>
      </c>
      <c r="T42" s="40">
        <f>IFERROR(IF(I42&lt;&gt;"","Documento Emitido",_xlfn.XLOOKUP(D42,Cronograma!P:P,Cronograma!R:R)),"Documento Removido")</f>
        <v>46269</v>
      </c>
      <c r="U42" s="39" t="str">
        <f t="shared" si="5"/>
        <v>No prazo</v>
      </c>
      <c r="V42" s="39" t="str">
        <f t="shared" si="6"/>
        <v/>
      </c>
      <c r="W42" s="39" t="str">
        <f t="shared" ca="1" si="7"/>
        <v/>
      </c>
    </row>
    <row r="43" spans="1:23" s="60" customFormat="1" ht="28.5" customHeight="1" x14ac:dyDescent="0.2">
      <c r="A43" s="39">
        <v>40</v>
      </c>
      <c r="B43" s="39" t="str">
        <f>_xlfn.XLOOKUP(D43,'LD-ELFA'!F:F,'LD-ELFA'!C:C)</f>
        <v>AI - Automacao E Instrumentacao</v>
      </c>
      <c r="C43" s="39" t="str">
        <f>_xlfn.XLOOKUP(D43,'LD-ELFA'!F:F,'LD-ELFA'!D:D)</f>
        <v>FDA - Folha De Dados</v>
      </c>
      <c r="D43" s="39" t="s">
        <v>47</v>
      </c>
      <c r="E43" s="39" t="str">
        <f>_xlfn.LET(_xlpm.q,_xlfn.XLOOKUP(D43,'LD-ELFA'!F:F,'LD-ELFA'!Q:Q),
   _xlpm.r,_xlfn.XLOOKUP(D43,'LD-ELFA'!F:F,'LD-ELFA'!R:R),
   IF(_xlpm.r = "", _xlpm.q, _xlpm.q &amp; " - " &amp; _xlpm.r))</f>
        <v>FOLHA DE DADOS - ANALISADOR CNA</v>
      </c>
      <c r="F43" s="63" t="str">
        <f t="shared" si="0"/>
        <v>Básico</v>
      </c>
      <c r="G43" s="63">
        <f>_xlfn.XLOOKUP(D43,'LD-ELFA'!F:F,'LD-ELFA'!G:G)</f>
        <v>1</v>
      </c>
      <c r="H43" s="63" t="str">
        <f>_xlfn.XLOOKUP(D43,'LD-ELFA'!F:F,'LD-ELFA'!I:I)</f>
        <v>2</v>
      </c>
      <c r="I43" s="63" t="str">
        <f>IF(_xlfn.XLOOKUP(D43,'LD-ELFA'!F:F,'LD-ELFA'!T:T)="","",_xlfn.XLOOKUP(D43,'LD-ELFA'!F:F,'LD-ELFA'!T:T))</f>
        <v>0033</v>
      </c>
      <c r="J43" s="63" t="str">
        <f>IF(K43="Documento a emitir", "",_xlfn.XLOOKUP(D43,'LD-ELFA'!F:F,'LD-ELFA'!N:N))</f>
        <v>PARA COTAÇÃO</v>
      </c>
      <c r="K43" s="43">
        <f>IF(_xlfn.XLOOKUP($D43,'LD-ELFA'!F:F,'LD-ELFA'!U:U)="","Documento a emitir",_xlfn.XLOOKUP($D43,'LD-ELFA'!F:F,'LD-ELFA'!U:U))</f>
        <v>46213.699928275462</v>
      </c>
      <c r="L43" s="43" t="str">
        <f>IF(K43="Documento a emitir","Documento a emitir",IF(K43&lt;&gt;"Documento a emitir",IF(_xlfn.XLOOKUP(D43,'LD-ELFA'!F:F,'LD-ELFA'!W:W)="","",_xlfn.XLOOKUP(D43,'LD-ELFA'!F:F,'LD-ELFA'!W:W)),""))</f>
        <v/>
      </c>
      <c r="M43" s="43">
        <f>IF(K43="Documento a emitir","",IF(AND(Q43="APC-R  - APC-R - Aprovado com Comentários (Retornar para uma nova Aprovação)",Q43="APC-L  - APC-L  - Aprovado com Comentários (Retornar Aprovado)"),"",IF(OR(_xlfn.XLOOKUP(D43,'LD-ELFA'!F:F,'LD-ELFA'!N:N)="PARA CONHECIMENTO",_xlfn.XLOOKUP(D43,'LD-ELFA'!F:F,'LD-ELFA'!N:N)="PARA CONSTRUÇÃO",_xlfn.XLOOKUP(D43,'LD-ELFA'!F:F,'LD-ELFA'!N:N)="PARA COTAÇÃO",_xlfn.XLOOKUP(D43,'LD-ELFA'!F:F,'LD-ELFA'!N:N)="CANCELADO"),_xlfn.XLOOKUP(D43,'LD-ELFA'!F:F,'LD-ELFA'!U:U),IF(AND(L43="",J43&lt;&gt;"PARA APROVAÇÃO"),"",""))))</f>
        <v>46213.699928275462</v>
      </c>
      <c r="N43" s="63" t="str">
        <f t="shared" ca="1" si="8"/>
        <v>Documento Concluído</v>
      </c>
      <c r="O43" s="63" t="str">
        <f t="shared" si="2"/>
        <v>Documento Concluído</v>
      </c>
      <c r="P43" s="63" t="str">
        <f t="shared" si="3"/>
        <v>Blossom</v>
      </c>
      <c r="Q43" s="63" t="str">
        <f>IF(_xlfn.XLOOKUP(D43,'LD-ELFA'!F:F,'LD-ELFA'!V:V)="","",_xlfn.XLOOKUP(D43,'LD-ELFA'!F:F,'LD-ELFA'!V:V))</f>
        <v/>
      </c>
      <c r="R43" s="40" t="str">
        <f>IFERROR(IF(I43&lt;&gt;"","Documento Emitido",_xlfn.XLOOKUP(D43,Cronograma!P:P,Cronograma!Q:Q)),"Documento Removido")</f>
        <v>Documento Emitido</v>
      </c>
      <c r="S43" s="40" t="str">
        <f t="shared" ca="1" si="4"/>
        <v>Documento Emitido</v>
      </c>
      <c r="T43" s="40" t="str">
        <f>IFERROR(IF(I43&lt;&gt;"","Documento Emitido",_xlfn.XLOOKUP(D43,Cronograma!P:P,Cronograma!R:R)),"Documento Removido")</f>
        <v>Documento Emitido</v>
      </c>
      <c r="U43" s="39" t="str">
        <f t="shared" si="5"/>
        <v>Documento Emitido</v>
      </c>
      <c r="V43" s="39" t="str">
        <f t="shared" si="6"/>
        <v>Documento Emitido</v>
      </c>
      <c r="W43" s="39" t="str">
        <f t="shared" ca="1" si="7"/>
        <v>Atendimento de Comentário</v>
      </c>
    </row>
    <row r="44" spans="1:23" s="60" customFormat="1" ht="28.5" customHeight="1" x14ac:dyDescent="0.2">
      <c r="A44" s="39">
        <v>41</v>
      </c>
      <c r="B44" s="39" t="str">
        <f>_xlfn.XLOOKUP(D44,'LD-ELFA'!F:F,'LD-ELFA'!C:C)</f>
        <v>AI - Automacao E Instrumentacao</v>
      </c>
      <c r="C44" s="39" t="str">
        <f>_xlfn.XLOOKUP(D44,'LD-ELFA'!F:F,'LD-ELFA'!D:D)</f>
        <v>FDA - Folha De Dados</v>
      </c>
      <c r="D44" s="39" t="s">
        <v>48</v>
      </c>
      <c r="E44" s="39" t="str">
        <f>_xlfn.LET(_xlpm.q,_xlfn.XLOOKUP(D44,'LD-ELFA'!F:F,'LD-ELFA'!Q:Q),
   _xlpm.r,_xlfn.XLOOKUP(D44,'LD-ELFA'!F:F,'LD-ELFA'!R:R),
   IF(_xlpm.r = "", _xlpm.q, _xlpm.q &amp; " - " &amp; _xlpm.r))</f>
        <v>FOLHA DE DADOS - VÁLVULA SOLENOIDE</v>
      </c>
      <c r="F44" s="63" t="str">
        <f t="shared" si="0"/>
        <v>Básico</v>
      </c>
      <c r="G44" s="63">
        <f>_xlfn.XLOOKUP(D44,'LD-ELFA'!F:F,'LD-ELFA'!G:G)</f>
        <v>0</v>
      </c>
      <c r="H44" s="63">
        <f>_xlfn.XLOOKUP(D44,'LD-ELFA'!F:F,'LD-ELFA'!I:I)</f>
        <v>0</v>
      </c>
      <c r="I44" s="63" t="str">
        <f>IF(_xlfn.XLOOKUP(D44,'LD-ELFA'!F:F,'LD-ELFA'!T:T)="","",_xlfn.XLOOKUP(D44,'LD-ELFA'!F:F,'LD-ELFA'!T:T))</f>
        <v/>
      </c>
      <c r="J44" s="63" t="str">
        <f>IF(K44="Documento a emitir", "",_xlfn.XLOOKUP(D44,'LD-ELFA'!F:F,'LD-ELFA'!N:N))</f>
        <v/>
      </c>
      <c r="K44" s="43" t="str">
        <f>IF(_xlfn.XLOOKUP($D44,'LD-ELFA'!F:F,'LD-ELFA'!U:U)="","Documento a emitir",_xlfn.XLOOKUP($D44,'LD-ELFA'!F:F,'LD-ELFA'!U:U))</f>
        <v>Documento a emitir</v>
      </c>
      <c r="L44" s="43" t="str">
        <f>IF(K44="Documento a emitir","Documento a emitir",IF(K44&lt;&gt;"Documento a emitir",IF(_xlfn.XLOOKUP(D44,'LD-ELFA'!F:F,'LD-ELFA'!W:W)="","",_xlfn.XLOOKUP(D44,'LD-ELFA'!F:F,'LD-ELFA'!W:W)),""))</f>
        <v>Documento a emitir</v>
      </c>
      <c r="M44" s="43" t="str">
        <f>IF(K44="Documento a emitir","",IF(AND(Q44="APC-R  - APC-R - Aprovado com Comentários (Retornar para uma nova Aprovação)",Q44="APC-L  - APC-L  - Aprovado com Comentários (Retornar Aprovado)"),"",IF(OR(_xlfn.XLOOKUP(D44,'LD-ELFA'!F:F,'LD-ELFA'!N:N)="PARA CONHECIMENTO",_xlfn.XLOOKUP(D44,'LD-ELFA'!F:F,'LD-ELFA'!N:N)="PARA CONSTRUÇÃO",_xlfn.XLOOKUP(D44,'LD-ELFA'!F:F,'LD-ELFA'!N:N)="PARA COTAÇÃO",_xlfn.XLOOKUP(D44,'LD-ELFA'!F:F,'LD-ELFA'!N:N)="CANCELADO"),_xlfn.XLOOKUP(D44,'LD-ELFA'!F:F,'LD-ELFA'!U:U),IF(AND(L44="",J44&lt;&gt;"PARA APROVAÇÃO"),"",""))))</f>
        <v/>
      </c>
      <c r="N44" s="63" t="str">
        <f t="shared" ca="1" si="8"/>
        <v>Documento a Emitir</v>
      </c>
      <c r="O44" s="63" t="str">
        <f t="shared" si="2"/>
        <v>Blossom - Documento a emitir</v>
      </c>
      <c r="P44" s="63" t="str">
        <f t="shared" si="3"/>
        <v>Blossom</v>
      </c>
      <c r="Q44" s="63" t="str">
        <f>IF(_xlfn.XLOOKUP(D44,'LD-ELFA'!F:F,'LD-ELFA'!V:V)="","",_xlfn.XLOOKUP(D44,'LD-ELFA'!F:F,'LD-ELFA'!V:V))</f>
        <v/>
      </c>
      <c r="R44" s="40">
        <f>IFERROR(IF(I44&lt;&gt;"","Documento Emitido",_xlfn.XLOOKUP(D44,Cronograma!P:P,Cronograma!Q:Q)),"Documento Removido")</f>
        <v>46259</v>
      </c>
      <c r="S44" s="40" t="str">
        <f t="shared" ca="1" si="4"/>
        <v>No prazo</v>
      </c>
      <c r="T44" s="40">
        <f>IFERROR(IF(I44&lt;&gt;"","Documento Emitido",_xlfn.XLOOKUP(D44,Cronograma!P:P,Cronograma!R:R)),"Documento Removido")</f>
        <v>46259</v>
      </c>
      <c r="U44" s="39" t="str">
        <f t="shared" si="5"/>
        <v>No prazo</v>
      </c>
      <c r="V44" s="39" t="str">
        <f t="shared" si="6"/>
        <v/>
      </c>
      <c r="W44" s="39" t="str">
        <f t="shared" ca="1" si="7"/>
        <v/>
      </c>
    </row>
    <row r="45" spans="1:23" s="60" customFormat="1" ht="28.5" customHeight="1" x14ac:dyDescent="0.2">
      <c r="A45" s="39">
        <v>42</v>
      </c>
      <c r="B45" s="39" t="str">
        <f>_xlfn.XLOOKUP(D45,'LD-ELFA'!F:F,'LD-ELFA'!C:C)</f>
        <v>AI - Automacao E Instrumentacao</v>
      </c>
      <c r="C45" s="39" t="str">
        <f>_xlfn.XLOOKUP(D45,'LD-ELFA'!F:F,'LD-ELFA'!D:D)</f>
        <v>FDA - Folha De Dados</v>
      </c>
      <c r="D45" s="39" t="s">
        <v>49</v>
      </c>
      <c r="E45" s="39" t="str">
        <f>_xlfn.LET(_xlpm.q,_xlfn.XLOOKUP(D45,'LD-ELFA'!F:F,'LD-ELFA'!Q:Q),
   _xlpm.r,_xlfn.XLOOKUP(D45,'LD-ELFA'!F:F,'LD-ELFA'!R:R),
   IF(_xlpm.r = "", _xlpm.q, _xlpm.q &amp; " - " &amp; _xlpm.r))</f>
        <v>FOLHA DE DADOS - QDTI AUTOMAÇÃO</v>
      </c>
      <c r="F45" s="63" t="str">
        <f t="shared" si="0"/>
        <v>Básico</v>
      </c>
      <c r="G45" s="63">
        <f>_xlfn.XLOOKUP(D45,'LD-ELFA'!F:F,'LD-ELFA'!G:G)</f>
        <v>0</v>
      </c>
      <c r="H45" s="63">
        <f>_xlfn.XLOOKUP(D45,'LD-ELFA'!F:F,'LD-ELFA'!I:I)</f>
        <v>0</v>
      </c>
      <c r="I45" s="63" t="str">
        <f>IF(_xlfn.XLOOKUP(D45,'LD-ELFA'!F:F,'LD-ELFA'!T:T)="","",_xlfn.XLOOKUP(D45,'LD-ELFA'!F:F,'LD-ELFA'!T:T))</f>
        <v/>
      </c>
      <c r="J45" s="63" t="str">
        <f>IF(K45="Documento a emitir", "",_xlfn.XLOOKUP(D45,'LD-ELFA'!F:F,'LD-ELFA'!N:N))</f>
        <v/>
      </c>
      <c r="K45" s="43" t="str">
        <f>IF(_xlfn.XLOOKUP($D45,'LD-ELFA'!F:F,'LD-ELFA'!U:U)="","Documento a emitir",_xlfn.XLOOKUP($D45,'LD-ELFA'!F:F,'LD-ELFA'!U:U))</f>
        <v>Documento a emitir</v>
      </c>
      <c r="L45" s="43" t="str">
        <f>IF(K45="Documento a emitir","Documento a emitir",IF(K45&lt;&gt;"Documento a emitir",IF(_xlfn.XLOOKUP(D45,'LD-ELFA'!F:F,'LD-ELFA'!W:W)="","",_xlfn.XLOOKUP(D45,'LD-ELFA'!F:F,'LD-ELFA'!W:W)),""))</f>
        <v>Documento a emitir</v>
      </c>
      <c r="M45" s="43" t="str">
        <f>IF(K45="Documento a emitir","",IF(AND(Q45="APC-R  - APC-R - Aprovado com Comentários (Retornar para uma nova Aprovação)",Q45="APC-L  - APC-L  - Aprovado com Comentários (Retornar Aprovado)"),"",IF(OR(_xlfn.XLOOKUP(D45,'LD-ELFA'!F:F,'LD-ELFA'!N:N)="PARA CONHECIMENTO",_xlfn.XLOOKUP(D45,'LD-ELFA'!F:F,'LD-ELFA'!N:N)="PARA CONSTRUÇÃO",_xlfn.XLOOKUP(D45,'LD-ELFA'!F:F,'LD-ELFA'!N:N)="PARA COTAÇÃO",_xlfn.XLOOKUP(D45,'LD-ELFA'!F:F,'LD-ELFA'!N:N)="CANCELADO"),_xlfn.XLOOKUP(D45,'LD-ELFA'!F:F,'LD-ELFA'!U:U),IF(AND(L45="",J45&lt;&gt;"PARA APROVAÇÃO"),"",""))))</f>
        <v/>
      </c>
      <c r="N45" s="63" t="str">
        <f t="shared" ca="1" si="8"/>
        <v>Documento a Emitir</v>
      </c>
      <c r="O45" s="63" t="str">
        <f t="shared" si="2"/>
        <v>Blossom - Documento a emitir</v>
      </c>
      <c r="P45" s="63" t="str">
        <f t="shared" si="3"/>
        <v>Blossom</v>
      </c>
      <c r="Q45" s="63" t="str">
        <f>IF(_xlfn.XLOOKUP(D45,'LD-ELFA'!F:F,'LD-ELFA'!V:V)="","",_xlfn.XLOOKUP(D45,'LD-ELFA'!F:F,'LD-ELFA'!V:V))</f>
        <v/>
      </c>
      <c r="R45" s="40">
        <f>IFERROR(IF(I45&lt;&gt;"","Documento Emitido",_xlfn.XLOOKUP(D45,Cronograma!P:P,Cronograma!Q:Q)),"Documento Removido")</f>
        <v>46225</v>
      </c>
      <c r="S45" s="40" t="str">
        <f t="shared" ca="1" si="4"/>
        <v>No prazo</v>
      </c>
      <c r="T45" s="40">
        <f>IFERROR(IF(I45&lt;&gt;"","Documento Emitido",_xlfn.XLOOKUP(D45,Cronograma!P:P,Cronograma!R:R)),"Documento Removido")</f>
        <v>46225</v>
      </c>
      <c r="U45" s="39" t="str">
        <f t="shared" si="5"/>
        <v>No prazo</v>
      </c>
      <c r="V45" s="39" t="str">
        <f t="shared" si="6"/>
        <v>Semana 2</v>
      </c>
      <c r="W45" s="39" t="str">
        <f t="shared" ca="1" si="7"/>
        <v/>
      </c>
    </row>
    <row r="46" spans="1:23" s="60" customFormat="1" ht="28.5" customHeight="1" x14ac:dyDescent="0.2">
      <c r="A46" s="39">
        <v>43</v>
      </c>
      <c r="B46" s="39" t="str">
        <f>_xlfn.XLOOKUP(D46,'LD-ELFA'!F:F,'LD-ELFA'!C:C)</f>
        <v>AI - Automacao E Instrumentacao</v>
      </c>
      <c r="C46" s="39" t="str">
        <f>_xlfn.XLOOKUP(D46,'LD-ELFA'!F:F,'LD-ELFA'!D:D)</f>
        <v>FDA - Folha De Dados</v>
      </c>
      <c r="D46" s="39" t="s">
        <v>50</v>
      </c>
      <c r="E46" s="39" t="str">
        <f>_xlfn.LET(_xlpm.q,_xlfn.XLOOKUP(D46,'LD-ELFA'!F:F,'LD-ELFA'!Q:Q),
   _xlpm.r,_xlfn.XLOOKUP(D46,'LD-ELFA'!F:F,'LD-ELFA'!R:R),
   IF(_xlpm.r = "", _xlpm.q, _xlpm.q &amp; " - " &amp; _xlpm.r))</f>
        <v>FOLHA DE DADOS - SDACI</v>
      </c>
      <c r="F46" s="63" t="str">
        <f t="shared" si="0"/>
        <v>Básico</v>
      </c>
      <c r="G46" s="63">
        <f>_xlfn.XLOOKUP(D46,'LD-ELFA'!F:F,'LD-ELFA'!G:G)</f>
        <v>0</v>
      </c>
      <c r="H46" s="63">
        <f>_xlfn.XLOOKUP(D46,'LD-ELFA'!F:F,'LD-ELFA'!I:I)</f>
        <v>0</v>
      </c>
      <c r="I46" s="63" t="str">
        <f>IF(_xlfn.XLOOKUP(D46,'LD-ELFA'!F:F,'LD-ELFA'!T:T)="","",_xlfn.XLOOKUP(D46,'LD-ELFA'!F:F,'LD-ELFA'!T:T))</f>
        <v/>
      </c>
      <c r="J46" s="63" t="str">
        <f>IF(K46="Documento a emitir", "",_xlfn.XLOOKUP(D46,'LD-ELFA'!F:F,'LD-ELFA'!N:N))</f>
        <v/>
      </c>
      <c r="K46" s="43" t="str">
        <f>IF(_xlfn.XLOOKUP($D46,'LD-ELFA'!F:F,'LD-ELFA'!U:U)="","Documento a emitir",_xlfn.XLOOKUP($D46,'LD-ELFA'!F:F,'LD-ELFA'!U:U))</f>
        <v>Documento a emitir</v>
      </c>
      <c r="L46" s="43" t="str">
        <f>IF(K46="Documento a emitir","Documento a emitir",IF(K46&lt;&gt;"Documento a emitir",IF(_xlfn.XLOOKUP(D46,'LD-ELFA'!F:F,'LD-ELFA'!W:W)="","",_xlfn.XLOOKUP(D46,'LD-ELFA'!F:F,'LD-ELFA'!W:W)),""))</f>
        <v>Documento a emitir</v>
      </c>
      <c r="M46" s="43" t="str">
        <f>IF(K46="Documento a emitir","",IF(AND(Q46="APC-R  - APC-R - Aprovado com Comentários (Retornar para uma nova Aprovação)",Q46="APC-L  - APC-L  - Aprovado com Comentários (Retornar Aprovado)"),"",IF(OR(_xlfn.XLOOKUP(D46,'LD-ELFA'!F:F,'LD-ELFA'!N:N)="PARA CONHECIMENTO",_xlfn.XLOOKUP(D46,'LD-ELFA'!F:F,'LD-ELFA'!N:N)="PARA CONSTRUÇÃO",_xlfn.XLOOKUP(D46,'LD-ELFA'!F:F,'LD-ELFA'!N:N)="PARA COTAÇÃO",_xlfn.XLOOKUP(D46,'LD-ELFA'!F:F,'LD-ELFA'!N:N)="CANCELADO"),_xlfn.XLOOKUP(D46,'LD-ELFA'!F:F,'LD-ELFA'!U:U),IF(AND(L46="",J46&lt;&gt;"PARA APROVAÇÃO"),"",""))))</f>
        <v/>
      </c>
      <c r="N46" s="63" t="str">
        <f t="shared" ca="1" si="8"/>
        <v>Documento a Emitir</v>
      </c>
      <c r="O46" s="63" t="str">
        <f t="shared" si="2"/>
        <v>Blossom - Documento a emitir</v>
      </c>
      <c r="P46" s="63" t="str">
        <f t="shared" si="3"/>
        <v>Blossom</v>
      </c>
      <c r="Q46" s="63" t="str">
        <f>IF(_xlfn.XLOOKUP(D46,'LD-ELFA'!F:F,'LD-ELFA'!V:V)="","",_xlfn.XLOOKUP(D46,'LD-ELFA'!F:F,'LD-ELFA'!V:V))</f>
        <v/>
      </c>
      <c r="R46" s="40">
        <f>IFERROR(IF(I46&lt;&gt;"","Documento Emitido",_xlfn.XLOOKUP(D46,Cronograma!P:P,Cronograma!Q:Q)),"Documento Removido")</f>
        <v>46252</v>
      </c>
      <c r="S46" s="40" t="str">
        <f t="shared" ca="1" si="4"/>
        <v>No prazo</v>
      </c>
      <c r="T46" s="40">
        <f>IFERROR(IF(I46&lt;&gt;"","Documento Emitido",_xlfn.XLOOKUP(D46,Cronograma!P:P,Cronograma!R:R)),"Documento Removido")</f>
        <v>46252</v>
      </c>
      <c r="U46" s="39" t="str">
        <f t="shared" si="5"/>
        <v>No prazo</v>
      </c>
      <c r="V46" s="39" t="str">
        <f t="shared" si="6"/>
        <v/>
      </c>
      <c r="W46" s="39" t="str">
        <f t="shared" ca="1" si="7"/>
        <v/>
      </c>
    </row>
    <row r="47" spans="1:23" s="60" customFormat="1" ht="28.5" customHeight="1" x14ac:dyDescent="0.2">
      <c r="A47" s="39">
        <v>44</v>
      </c>
      <c r="B47" s="39" t="str">
        <f>_xlfn.XLOOKUP(D47,'LD-ELFA'!F:F,'LD-ELFA'!C:C)</f>
        <v>AI - Automacao E Instrumentacao</v>
      </c>
      <c r="C47" s="39" t="str">
        <f>_xlfn.XLOOKUP(D47,'LD-ELFA'!F:F,'LD-ELFA'!D:D)</f>
        <v>FDA - Folha De Dados</v>
      </c>
      <c r="D47" s="39" t="s">
        <v>51</v>
      </c>
      <c r="E47" s="39" t="str">
        <f>_xlfn.LET(_xlpm.q,_xlfn.XLOOKUP(D47,'LD-ELFA'!F:F,'LD-ELFA'!Q:Q),
   _xlpm.r,_xlfn.XLOOKUP(D47,'LD-ELFA'!F:F,'LD-ELFA'!R:R),
   IF(_xlpm.r = "", _xlpm.q, _xlpm.q &amp; " - " &amp; _xlpm.r))</f>
        <v>FOLHA DE DADOS - AUTOMAÇÃO DE SUBESTAÇÕES</v>
      </c>
      <c r="F47" s="63" t="str">
        <f t="shared" si="0"/>
        <v>Básico</v>
      </c>
      <c r="G47" s="63">
        <f>_xlfn.XLOOKUP(D47,'LD-ELFA'!F:F,'LD-ELFA'!G:G)</f>
        <v>0</v>
      </c>
      <c r="H47" s="63">
        <f>_xlfn.XLOOKUP(D47,'LD-ELFA'!F:F,'LD-ELFA'!I:I)</f>
        <v>0</v>
      </c>
      <c r="I47" s="63" t="str">
        <f>IF(_xlfn.XLOOKUP(D47,'LD-ELFA'!F:F,'LD-ELFA'!T:T)="","",_xlfn.XLOOKUP(D47,'LD-ELFA'!F:F,'LD-ELFA'!T:T))</f>
        <v/>
      </c>
      <c r="J47" s="63" t="str">
        <f>IF(K47="Documento a emitir", "",_xlfn.XLOOKUP(D47,'LD-ELFA'!F:F,'LD-ELFA'!N:N))</f>
        <v/>
      </c>
      <c r="K47" s="43" t="str">
        <f>IF(_xlfn.XLOOKUP($D47,'LD-ELFA'!F:F,'LD-ELFA'!U:U)="","Documento a emitir",_xlfn.XLOOKUP($D47,'LD-ELFA'!F:F,'LD-ELFA'!U:U))</f>
        <v>Documento a emitir</v>
      </c>
      <c r="L47" s="43" t="str">
        <f>IF(K47="Documento a emitir","Documento a emitir",IF(K47&lt;&gt;"Documento a emitir",IF(_xlfn.XLOOKUP(D47,'LD-ELFA'!F:F,'LD-ELFA'!W:W)="","",_xlfn.XLOOKUP(D47,'LD-ELFA'!F:F,'LD-ELFA'!W:W)),""))</f>
        <v>Documento a emitir</v>
      </c>
      <c r="M47" s="43" t="str">
        <f>IF(K47="Documento a emitir","",IF(AND(Q47="APC-R  - APC-R - Aprovado com Comentários (Retornar para uma nova Aprovação)",Q47="APC-L  - APC-L  - Aprovado com Comentários (Retornar Aprovado)"),"",IF(OR(_xlfn.XLOOKUP(D47,'LD-ELFA'!F:F,'LD-ELFA'!N:N)="PARA CONHECIMENTO",_xlfn.XLOOKUP(D47,'LD-ELFA'!F:F,'LD-ELFA'!N:N)="PARA CONSTRUÇÃO",_xlfn.XLOOKUP(D47,'LD-ELFA'!F:F,'LD-ELFA'!N:N)="PARA COTAÇÃO",_xlfn.XLOOKUP(D47,'LD-ELFA'!F:F,'LD-ELFA'!N:N)="CANCELADO"),_xlfn.XLOOKUP(D47,'LD-ELFA'!F:F,'LD-ELFA'!U:U),IF(AND(L47="",J47&lt;&gt;"PARA APROVAÇÃO"),"",""))))</f>
        <v/>
      </c>
      <c r="N47" s="63" t="str">
        <f t="shared" ca="1" si="8"/>
        <v>Documento a Emitir</v>
      </c>
      <c r="O47" s="63" t="str">
        <f t="shared" si="2"/>
        <v>Blossom - Documento a emitir</v>
      </c>
      <c r="P47" s="63" t="str">
        <f t="shared" si="3"/>
        <v>Blossom</v>
      </c>
      <c r="Q47" s="63" t="str">
        <f>IF(_xlfn.XLOOKUP(D47,'LD-ELFA'!F:F,'LD-ELFA'!V:V)="","",_xlfn.XLOOKUP(D47,'LD-ELFA'!F:F,'LD-ELFA'!V:V))</f>
        <v/>
      </c>
      <c r="R47" s="40">
        <f>IFERROR(IF(I47&lt;&gt;"","Documento Emitido",_xlfn.XLOOKUP(D47,Cronograma!P:P,Cronograma!Q:Q)),"Documento Removido")</f>
        <v>46220</v>
      </c>
      <c r="S47" s="40" t="str">
        <f t="shared" ca="1" si="4"/>
        <v>No prazo</v>
      </c>
      <c r="T47" s="40">
        <f>IFERROR(IF(I47&lt;&gt;"","Documento Emitido",_xlfn.XLOOKUP(D47,Cronograma!P:P,Cronograma!R:R)),"Documento Removido")</f>
        <v>46220</v>
      </c>
      <c r="U47" s="39" t="str">
        <f t="shared" si="5"/>
        <v>No prazo</v>
      </c>
      <c r="V47" s="39" t="str">
        <f t="shared" si="6"/>
        <v>Semana 1</v>
      </c>
      <c r="W47" s="39" t="str">
        <f t="shared" ca="1" si="7"/>
        <v/>
      </c>
    </row>
    <row r="48" spans="1:23" s="60" customFormat="1" ht="28.5" customHeight="1" x14ac:dyDescent="0.2">
      <c r="A48" s="39">
        <v>45</v>
      </c>
      <c r="B48" s="39" t="str">
        <f>_xlfn.XLOOKUP(D48,'LD-ELFA'!F:F,'LD-ELFA'!C:C)</f>
        <v>AI - Automacao E Instrumentacao</v>
      </c>
      <c r="C48" s="39" t="str">
        <f>_xlfn.XLOOKUP(D48,'LD-ELFA'!F:F,'LD-ELFA'!D:D)</f>
        <v>FDA - Folha De Dados</v>
      </c>
      <c r="D48" s="39" t="s">
        <v>52</v>
      </c>
      <c r="E48" s="39" t="str">
        <f>_xlfn.LET(_xlpm.q,_xlfn.XLOOKUP(D48,'LD-ELFA'!F:F,'LD-ELFA'!Q:Q),
   _xlpm.r,_xlfn.XLOOKUP(D48,'LD-ELFA'!F:F,'LD-ELFA'!R:R),
   IF(_xlpm.r = "", _xlpm.q, _xlpm.q &amp; " - " &amp; _xlpm.r))</f>
        <v>FOLHA DE DADOS - REDE DE DADOS E TELEFONIA</v>
      </c>
      <c r="F48" s="63" t="str">
        <f t="shared" si="0"/>
        <v>Básico</v>
      </c>
      <c r="G48" s="63">
        <f>_xlfn.XLOOKUP(D48,'LD-ELFA'!F:F,'LD-ELFA'!G:G)</f>
        <v>0</v>
      </c>
      <c r="H48" s="63">
        <f>_xlfn.XLOOKUP(D48,'LD-ELFA'!F:F,'LD-ELFA'!I:I)</f>
        <v>0</v>
      </c>
      <c r="I48" s="63" t="str">
        <f>IF(_xlfn.XLOOKUP(D48,'LD-ELFA'!F:F,'LD-ELFA'!T:T)="","",_xlfn.XLOOKUP(D48,'LD-ELFA'!F:F,'LD-ELFA'!T:T))</f>
        <v/>
      </c>
      <c r="J48" s="63" t="str">
        <f>IF(K48="Documento a emitir", "",_xlfn.XLOOKUP(D48,'LD-ELFA'!F:F,'LD-ELFA'!N:N))</f>
        <v/>
      </c>
      <c r="K48" s="43" t="str">
        <f>IF(_xlfn.XLOOKUP($D48,'LD-ELFA'!F:F,'LD-ELFA'!U:U)="","Documento a emitir",_xlfn.XLOOKUP($D48,'LD-ELFA'!F:F,'LD-ELFA'!U:U))</f>
        <v>Documento a emitir</v>
      </c>
      <c r="L48" s="43" t="str">
        <f>IF(K48="Documento a emitir","Documento a emitir",IF(K48&lt;&gt;"Documento a emitir",IF(_xlfn.XLOOKUP(D48,'LD-ELFA'!F:F,'LD-ELFA'!W:W)="","",_xlfn.XLOOKUP(D48,'LD-ELFA'!F:F,'LD-ELFA'!W:W)),""))</f>
        <v>Documento a emitir</v>
      </c>
      <c r="M48" s="43" t="str">
        <f>IF(K48="Documento a emitir","",IF(AND(Q48="APC-R  - APC-R - Aprovado com Comentários (Retornar para uma nova Aprovação)",Q48="APC-L  - APC-L  - Aprovado com Comentários (Retornar Aprovado)"),"",IF(OR(_xlfn.XLOOKUP(D48,'LD-ELFA'!F:F,'LD-ELFA'!N:N)="PARA CONHECIMENTO",_xlfn.XLOOKUP(D48,'LD-ELFA'!F:F,'LD-ELFA'!N:N)="PARA CONSTRUÇÃO",_xlfn.XLOOKUP(D48,'LD-ELFA'!F:F,'LD-ELFA'!N:N)="PARA COTAÇÃO",_xlfn.XLOOKUP(D48,'LD-ELFA'!F:F,'LD-ELFA'!N:N)="CANCELADO"),_xlfn.XLOOKUP(D48,'LD-ELFA'!F:F,'LD-ELFA'!U:U),IF(AND(L48="",J48&lt;&gt;"PARA APROVAÇÃO"),"",""))))</f>
        <v/>
      </c>
      <c r="N48" s="63" t="str">
        <f t="shared" ca="1" si="8"/>
        <v>Documento a Emitir</v>
      </c>
      <c r="O48" s="63" t="str">
        <f t="shared" si="2"/>
        <v>Blossom - Documento a emitir</v>
      </c>
      <c r="P48" s="63" t="str">
        <f t="shared" si="3"/>
        <v>Blossom</v>
      </c>
      <c r="Q48" s="63" t="str">
        <f>IF(_xlfn.XLOOKUP(D48,'LD-ELFA'!F:F,'LD-ELFA'!V:V)="","",_xlfn.XLOOKUP(D48,'LD-ELFA'!F:F,'LD-ELFA'!V:V))</f>
        <v/>
      </c>
      <c r="R48" s="40">
        <f>IFERROR(IF(I48&lt;&gt;"","Documento Emitido",_xlfn.XLOOKUP(D48,Cronograma!P:P,Cronograma!Q:Q)),"Documento Removido")</f>
        <v>46244</v>
      </c>
      <c r="S48" s="40" t="str">
        <f t="shared" ca="1" si="4"/>
        <v>No prazo</v>
      </c>
      <c r="T48" s="40">
        <f>IFERROR(IF(I48&lt;&gt;"","Documento Emitido",_xlfn.XLOOKUP(D48,Cronograma!P:P,Cronograma!R:R)),"Documento Removido")</f>
        <v>46244</v>
      </c>
      <c r="U48" s="39" t="str">
        <f t="shared" si="5"/>
        <v>No prazo</v>
      </c>
      <c r="V48" s="39" t="str">
        <f t="shared" si="6"/>
        <v/>
      </c>
      <c r="W48" s="39" t="str">
        <f t="shared" ca="1" si="7"/>
        <v/>
      </c>
    </row>
    <row r="49" spans="1:23" s="60" customFormat="1" ht="28.5" customHeight="1" x14ac:dyDescent="0.2">
      <c r="A49" s="39">
        <v>46</v>
      </c>
      <c r="B49" s="39" t="str">
        <f>_xlfn.XLOOKUP(D49,'LD-ELFA'!F:F,'LD-ELFA'!C:C)</f>
        <v>AI - Automacao E Instrumentacao</v>
      </c>
      <c r="C49" s="39" t="str">
        <f>_xlfn.XLOOKUP(D49,'LD-ELFA'!F:F,'LD-ELFA'!D:D)</f>
        <v>FDA - Folha De Dados</v>
      </c>
      <c r="D49" s="39" t="s">
        <v>53</v>
      </c>
      <c r="E49" s="39" t="str">
        <f>_xlfn.LET(_xlpm.q,_xlfn.XLOOKUP(D49,'LD-ELFA'!F:F,'LD-ELFA'!Q:Q),
   _xlpm.r,_xlfn.XLOOKUP(D49,'LD-ELFA'!F:F,'LD-ELFA'!R:R),
   IF(_xlpm.r = "", _xlpm.q, _xlpm.q &amp; " - " &amp; _xlpm.r))</f>
        <v>FOLHA DE DADOS - SEGURANÇA PATRIMONIAL</v>
      </c>
      <c r="F49" s="63" t="str">
        <f t="shared" si="0"/>
        <v>Básico</v>
      </c>
      <c r="G49" s="63">
        <f>_xlfn.XLOOKUP(D49,'LD-ELFA'!F:F,'LD-ELFA'!G:G)</f>
        <v>0</v>
      </c>
      <c r="H49" s="63">
        <f>_xlfn.XLOOKUP(D49,'LD-ELFA'!F:F,'LD-ELFA'!I:I)</f>
        <v>0</v>
      </c>
      <c r="I49" s="63" t="str">
        <f>IF(_xlfn.XLOOKUP(D49,'LD-ELFA'!F:F,'LD-ELFA'!T:T)="","",_xlfn.XLOOKUP(D49,'LD-ELFA'!F:F,'LD-ELFA'!T:T))</f>
        <v/>
      </c>
      <c r="J49" s="63" t="str">
        <f>IF(K49="Documento a emitir", "",_xlfn.XLOOKUP(D49,'LD-ELFA'!F:F,'LD-ELFA'!N:N))</f>
        <v/>
      </c>
      <c r="K49" s="43" t="str">
        <f>IF(_xlfn.XLOOKUP($D49,'LD-ELFA'!F:F,'LD-ELFA'!U:U)="","Documento a emitir",_xlfn.XLOOKUP($D49,'LD-ELFA'!F:F,'LD-ELFA'!U:U))</f>
        <v>Documento a emitir</v>
      </c>
      <c r="L49" s="43" t="str">
        <f>IF(K49="Documento a emitir","Documento a emitir",IF(K49&lt;&gt;"Documento a emitir",IF(_xlfn.XLOOKUP(D49,'LD-ELFA'!F:F,'LD-ELFA'!W:W)="","",_xlfn.XLOOKUP(D49,'LD-ELFA'!F:F,'LD-ELFA'!W:W)),""))</f>
        <v>Documento a emitir</v>
      </c>
      <c r="M49" s="43" t="str">
        <f>IF(K49="Documento a emitir","",IF(AND(Q49="APC-R  - APC-R - Aprovado com Comentários (Retornar para uma nova Aprovação)",Q49="APC-L  - APC-L  - Aprovado com Comentários (Retornar Aprovado)"),"",IF(OR(_xlfn.XLOOKUP(D49,'LD-ELFA'!F:F,'LD-ELFA'!N:N)="PARA CONHECIMENTO",_xlfn.XLOOKUP(D49,'LD-ELFA'!F:F,'LD-ELFA'!N:N)="PARA CONSTRUÇÃO",_xlfn.XLOOKUP(D49,'LD-ELFA'!F:F,'LD-ELFA'!N:N)="PARA COTAÇÃO",_xlfn.XLOOKUP(D49,'LD-ELFA'!F:F,'LD-ELFA'!N:N)="CANCELADO"),_xlfn.XLOOKUP(D49,'LD-ELFA'!F:F,'LD-ELFA'!U:U),IF(AND(L49="",J49&lt;&gt;"PARA APROVAÇÃO"),"",""))))</f>
        <v/>
      </c>
      <c r="N49" s="63" t="str">
        <f t="shared" ca="1" si="8"/>
        <v>Documento a Emitir</v>
      </c>
      <c r="O49" s="63" t="str">
        <f t="shared" si="2"/>
        <v>Blossom - Documento a emitir</v>
      </c>
      <c r="P49" s="63" t="str">
        <f t="shared" si="3"/>
        <v>Blossom</v>
      </c>
      <c r="Q49" s="63" t="str">
        <f>IF(_xlfn.XLOOKUP(D49,'LD-ELFA'!F:F,'LD-ELFA'!V:V)="","",_xlfn.XLOOKUP(D49,'LD-ELFA'!F:F,'LD-ELFA'!V:V))</f>
        <v/>
      </c>
      <c r="R49" s="40">
        <f>IFERROR(IF(I49&lt;&gt;"","Documento Emitido",_xlfn.XLOOKUP(D49,Cronograma!P:P,Cronograma!Q:Q)),"Documento Removido")</f>
        <v>46239</v>
      </c>
      <c r="S49" s="40" t="str">
        <f t="shared" ca="1" si="4"/>
        <v>No prazo</v>
      </c>
      <c r="T49" s="40">
        <f>IFERROR(IF(I49&lt;&gt;"","Documento Emitido",_xlfn.XLOOKUP(D49,Cronograma!P:P,Cronograma!R:R)),"Documento Removido")</f>
        <v>46239</v>
      </c>
      <c r="U49" s="39" t="str">
        <f t="shared" si="5"/>
        <v>No prazo</v>
      </c>
      <c r="V49" s="39" t="str">
        <f t="shared" si="6"/>
        <v/>
      </c>
      <c r="W49" s="39" t="str">
        <f t="shared" ca="1" si="7"/>
        <v/>
      </c>
    </row>
    <row r="50" spans="1:23" s="60" customFormat="1" ht="28.5" customHeight="1" x14ac:dyDescent="0.2">
      <c r="A50" s="39">
        <v>47</v>
      </c>
      <c r="B50" s="39" t="str">
        <f>_xlfn.XLOOKUP(D50,'LD-ELFA'!F:F,'LD-ELFA'!C:C)</f>
        <v>AI - Automacao E Instrumentacao</v>
      </c>
      <c r="C50" s="39" t="str">
        <f>_xlfn.XLOOKUP(D50,'LD-ELFA'!F:F,'LD-ELFA'!D:D)</f>
        <v>FDA - Folha De Dados</v>
      </c>
      <c r="D50" s="39" t="s">
        <v>54</v>
      </c>
      <c r="E50" s="39" t="str">
        <f>_xlfn.LET(_xlpm.q,_xlfn.XLOOKUP(D50,'LD-ELFA'!F:F,'LD-ELFA'!Q:Q),
   _xlpm.r,_xlfn.XLOOKUP(D50,'LD-ELFA'!F:F,'LD-ELFA'!R:R),
   IF(_xlpm.r = "", _xlpm.q, _xlpm.q &amp; " - " &amp; _xlpm.r))</f>
        <v>FOLHA DE DADOS - CFTV DE PROCESSO</v>
      </c>
      <c r="F50" s="63" t="str">
        <f t="shared" si="0"/>
        <v>Básico</v>
      </c>
      <c r="G50" s="63">
        <f>_xlfn.XLOOKUP(D50,'LD-ELFA'!F:F,'LD-ELFA'!G:G)</f>
        <v>0</v>
      </c>
      <c r="H50" s="63">
        <f>_xlfn.XLOOKUP(D50,'LD-ELFA'!F:F,'LD-ELFA'!I:I)</f>
        <v>0</v>
      </c>
      <c r="I50" s="63" t="str">
        <f>IF(_xlfn.XLOOKUP(D50,'LD-ELFA'!F:F,'LD-ELFA'!T:T)="","",_xlfn.XLOOKUP(D50,'LD-ELFA'!F:F,'LD-ELFA'!T:T))</f>
        <v/>
      </c>
      <c r="J50" s="63" t="str">
        <f>IF(K50="Documento a emitir", "",_xlfn.XLOOKUP(D50,'LD-ELFA'!F:F,'LD-ELFA'!N:N))</f>
        <v/>
      </c>
      <c r="K50" s="43" t="str">
        <f>IF(_xlfn.XLOOKUP($D50,'LD-ELFA'!F:F,'LD-ELFA'!U:U)="","Documento a emitir",_xlfn.XLOOKUP($D50,'LD-ELFA'!F:F,'LD-ELFA'!U:U))</f>
        <v>Documento a emitir</v>
      </c>
      <c r="L50" s="43" t="str">
        <f>IF(K50="Documento a emitir","Documento a emitir",IF(K50&lt;&gt;"Documento a emitir",IF(_xlfn.XLOOKUP(D50,'LD-ELFA'!F:F,'LD-ELFA'!W:W)="","",_xlfn.XLOOKUP(D50,'LD-ELFA'!F:F,'LD-ELFA'!W:W)),""))</f>
        <v>Documento a emitir</v>
      </c>
      <c r="M50" s="43" t="str">
        <f>IF(K50="Documento a emitir","",IF(AND(Q50="APC-R  - APC-R - Aprovado com Comentários (Retornar para uma nova Aprovação)",Q50="APC-L  - APC-L  - Aprovado com Comentários (Retornar Aprovado)"),"",IF(OR(_xlfn.XLOOKUP(D50,'LD-ELFA'!F:F,'LD-ELFA'!N:N)="PARA CONHECIMENTO",_xlfn.XLOOKUP(D50,'LD-ELFA'!F:F,'LD-ELFA'!N:N)="PARA CONSTRUÇÃO",_xlfn.XLOOKUP(D50,'LD-ELFA'!F:F,'LD-ELFA'!N:N)="PARA COTAÇÃO",_xlfn.XLOOKUP(D50,'LD-ELFA'!F:F,'LD-ELFA'!N:N)="CANCELADO"),_xlfn.XLOOKUP(D50,'LD-ELFA'!F:F,'LD-ELFA'!U:U),IF(AND(L50="",J50&lt;&gt;"PARA APROVAÇÃO"),"",""))))</f>
        <v/>
      </c>
      <c r="N50" s="63" t="str">
        <f t="shared" ca="1" si="8"/>
        <v>Documento a Emitir</v>
      </c>
      <c r="O50" s="63" t="str">
        <f t="shared" si="2"/>
        <v>Blossom - Documento a emitir</v>
      </c>
      <c r="P50" s="63" t="str">
        <f t="shared" si="3"/>
        <v>Blossom</v>
      </c>
      <c r="Q50" s="63" t="str">
        <f>IF(_xlfn.XLOOKUP(D50,'LD-ELFA'!F:F,'LD-ELFA'!V:V)="","",_xlfn.XLOOKUP(D50,'LD-ELFA'!F:F,'LD-ELFA'!V:V))</f>
        <v/>
      </c>
      <c r="R50" s="40">
        <f>IFERROR(IF(I50&lt;&gt;"","Documento Emitido",_xlfn.XLOOKUP(D50,Cronograma!P:P,Cronograma!Q:Q)),"Documento Removido")</f>
        <v>46233</v>
      </c>
      <c r="S50" s="40" t="str">
        <f t="shared" ca="1" si="4"/>
        <v>No prazo</v>
      </c>
      <c r="T50" s="40">
        <f>IFERROR(IF(I50&lt;&gt;"","Documento Emitido",_xlfn.XLOOKUP(D50,Cronograma!P:P,Cronograma!R:R)),"Documento Removido")</f>
        <v>46233</v>
      </c>
      <c r="U50" s="39" t="str">
        <f t="shared" si="5"/>
        <v>No prazo</v>
      </c>
      <c r="V50" s="39" t="str">
        <f t="shared" si="6"/>
        <v>Semana 3</v>
      </c>
      <c r="W50" s="39" t="str">
        <f t="shared" ca="1" si="7"/>
        <v/>
      </c>
    </row>
    <row r="51" spans="1:23" s="60" customFormat="1" ht="28.5" customHeight="1" x14ac:dyDescent="0.2">
      <c r="A51" s="39">
        <v>48</v>
      </c>
      <c r="B51" s="39" t="str">
        <f>_xlfn.XLOOKUP(D51,'LD-ELFA'!F:F,'LD-ELFA'!C:C)</f>
        <v>AI - Automacao E Instrumentacao</v>
      </c>
      <c r="C51" s="39" t="str">
        <f>_xlfn.XLOOKUP(D51,'LD-ELFA'!F:F,'LD-ELFA'!D:D)</f>
        <v>FDA - Folha De Dados</v>
      </c>
      <c r="D51" s="39" t="s">
        <v>55</v>
      </c>
      <c r="E51" s="39" t="str">
        <f>_xlfn.LET(_xlpm.q,_xlfn.XLOOKUP(D51,'LD-ELFA'!F:F,'LD-ELFA'!Q:Q),
   _xlpm.r,_xlfn.XLOOKUP(D51,'LD-ELFA'!F:F,'LD-ELFA'!R:R),
   IF(_xlpm.r = "", _xlpm.q, _xlpm.q &amp; " - " &amp; _xlpm.r))</f>
        <v>FOLHA DE DADOS - INFRAESTRUTURA E BACKBONE</v>
      </c>
      <c r="F51" s="63" t="str">
        <f t="shared" si="0"/>
        <v>Básico</v>
      </c>
      <c r="G51" s="63">
        <f>_xlfn.XLOOKUP(D51,'LD-ELFA'!F:F,'LD-ELFA'!G:G)</f>
        <v>0</v>
      </c>
      <c r="H51" s="63">
        <f>_xlfn.XLOOKUP(D51,'LD-ELFA'!F:F,'LD-ELFA'!I:I)</f>
        <v>0</v>
      </c>
      <c r="I51" s="63" t="str">
        <f>IF(_xlfn.XLOOKUP(D51,'LD-ELFA'!F:F,'LD-ELFA'!T:T)="","",_xlfn.XLOOKUP(D51,'LD-ELFA'!F:F,'LD-ELFA'!T:T))</f>
        <v/>
      </c>
      <c r="J51" s="63" t="str">
        <f>IF(K51="Documento a emitir", "",_xlfn.XLOOKUP(D51,'LD-ELFA'!F:F,'LD-ELFA'!N:N))</f>
        <v/>
      </c>
      <c r="K51" s="43" t="str">
        <f>IF(_xlfn.XLOOKUP($D51,'LD-ELFA'!F:F,'LD-ELFA'!U:U)="","Documento a emitir",_xlfn.XLOOKUP($D51,'LD-ELFA'!F:F,'LD-ELFA'!U:U))</f>
        <v>Documento a emitir</v>
      </c>
      <c r="L51" s="43" t="str">
        <f>IF(K51="Documento a emitir","Documento a emitir",IF(K51&lt;&gt;"Documento a emitir",IF(_xlfn.XLOOKUP(D51,'LD-ELFA'!F:F,'LD-ELFA'!W:W)="","",_xlfn.XLOOKUP(D51,'LD-ELFA'!F:F,'LD-ELFA'!W:W)),""))</f>
        <v>Documento a emitir</v>
      </c>
      <c r="M51" s="43" t="str">
        <f>IF(K51="Documento a emitir","",IF(AND(Q51="APC-R  - APC-R - Aprovado com Comentários (Retornar para uma nova Aprovação)",Q51="APC-L  - APC-L  - Aprovado com Comentários (Retornar Aprovado)"),"",IF(OR(_xlfn.XLOOKUP(D51,'LD-ELFA'!F:F,'LD-ELFA'!N:N)="PARA CONHECIMENTO",_xlfn.XLOOKUP(D51,'LD-ELFA'!F:F,'LD-ELFA'!N:N)="PARA CONSTRUÇÃO",_xlfn.XLOOKUP(D51,'LD-ELFA'!F:F,'LD-ELFA'!N:N)="PARA COTAÇÃO",_xlfn.XLOOKUP(D51,'LD-ELFA'!F:F,'LD-ELFA'!N:N)="CANCELADO"),_xlfn.XLOOKUP(D51,'LD-ELFA'!F:F,'LD-ELFA'!U:U),IF(AND(L51="",J51&lt;&gt;"PARA APROVAÇÃO"),"",""))))</f>
        <v/>
      </c>
      <c r="N51" s="63" t="str">
        <f t="shared" ca="1" si="8"/>
        <v>Documento a Emitir</v>
      </c>
      <c r="O51" s="63" t="str">
        <f t="shared" si="2"/>
        <v>Blossom - Documento a emitir</v>
      </c>
      <c r="P51" s="63" t="str">
        <f t="shared" si="3"/>
        <v>Blossom</v>
      </c>
      <c r="Q51" s="63" t="str">
        <f>IF(_xlfn.XLOOKUP(D51,'LD-ELFA'!F:F,'LD-ELFA'!V:V)="","",_xlfn.XLOOKUP(D51,'LD-ELFA'!F:F,'LD-ELFA'!V:V))</f>
        <v/>
      </c>
      <c r="R51" s="40">
        <f>IFERROR(IF(I51&lt;&gt;"","Documento Emitido",_xlfn.XLOOKUP(D51,Cronograma!P:P,Cronograma!Q:Q)),"Documento Removido")</f>
        <v>46247</v>
      </c>
      <c r="S51" s="40" t="str">
        <f t="shared" ca="1" si="4"/>
        <v>No prazo</v>
      </c>
      <c r="T51" s="40">
        <f>IFERROR(IF(I51&lt;&gt;"","Documento Emitido",_xlfn.XLOOKUP(D51,Cronograma!P:P,Cronograma!R:R)),"Documento Removido")</f>
        <v>46247</v>
      </c>
      <c r="U51" s="39" t="str">
        <f t="shared" si="5"/>
        <v>No prazo</v>
      </c>
      <c r="V51" s="39" t="str">
        <f t="shared" si="6"/>
        <v/>
      </c>
      <c r="W51" s="39" t="str">
        <f t="shared" ca="1" si="7"/>
        <v/>
      </c>
    </row>
    <row r="52" spans="1:23" s="60" customFormat="1" ht="28.5" customHeight="1" x14ac:dyDescent="0.2">
      <c r="A52" s="39">
        <v>49</v>
      </c>
      <c r="B52" s="39" t="e">
        <f>_xlfn.XLOOKUP(D52,'LD-ELFA'!F:F,'LD-ELFA'!C:C)</f>
        <v>#N/A</v>
      </c>
      <c r="C52" s="39" t="e">
        <f>_xlfn.XLOOKUP(D52,'LD-ELFA'!F:F,'LD-ELFA'!D:D)</f>
        <v>#N/A</v>
      </c>
      <c r="D52" s="39" t="s">
        <v>56</v>
      </c>
      <c r="E52" s="39" t="e">
        <f>_xlfn.LET(_xlpm.q,_xlfn.XLOOKUP(D52,'LD-ELFA'!F:F,'LD-ELFA'!Q:Q),
   _xlpm.r,_xlfn.XLOOKUP(D52,'LD-ELFA'!F:F,'LD-ELFA'!R:R),
   IF(_xlpm.r = "", _xlpm.q, _xlpm.q &amp; " - " &amp; _xlpm.r))</f>
        <v>#N/A</v>
      </c>
      <c r="F52" s="63" t="str">
        <f t="shared" si="0"/>
        <v>Básico</v>
      </c>
      <c r="G52" s="63" t="e">
        <f>_xlfn.XLOOKUP(D52,'LD-ELFA'!F:F,'LD-ELFA'!G:G)</f>
        <v>#N/A</v>
      </c>
      <c r="H52" s="63" t="e">
        <f>_xlfn.XLOOKUP(D52,'LD-ELFA'!F:F,'LD-ELFA'!I:I)</f>
        <v>#N/A</v>
      </c>
      <c r="I52" s="63" t="e">
        <f>IF(_xlfn.XLOOKUP(D52,'LD-ELFA'!F:F,'LD-ELFA'!T:T)="","",_xlfn.XLOOKUP(D52,'LD-ELFA'!F:F,'LD-ELFA'!T:T))</f>
        <v>#N/A</v>
      </c>
      <c r="J52" s="63" t="e">
        <f>IF(K52="Documento a emitir", "",_xlfn.XLOOKUP(D52,'LD-ELFA'!F:F,'LD-ELFA'!N:N))</f>
        <v>#N/A</v>
      </c>
      <c r="K52" s="43" t="e">
        <f>IF(_xlfn.XLOOKUP($D52,'LD-ELFA'!F:F,'LD-ELFA'!U:U)="","Documento a emitir",_xlfn.XLOOKUP($D52,'LD-ELFA'!F:F,'LD-ELFA'!U:U))</f>
        <v>#N/A</v>
      </c>
      <c r="L52" s="43" t="e">
        <f>IF(K52="Documento a emitir","Documento a emitir",IF(K52&lt;&gt;"Documento a emitir",IF(_xlfn.XLOOKUP(D52,'LD-ELFA'!F:F,'LD-ELFA'!W:W)="","",_xlfn.XLOOKUP(D52,'LD-ELFA'!F:F,'LD-ELFA'!W:W)),""))</f>
        <v>#N/A</v>
      </c>
      <c r="M52" s="43" t="e">
        <f>IF(K52="Documento a emitir","",IF(AND(Q52="APC-R  - APC-R - Aprovado com Comentários (Retornar para uma nova Aprovação)",Q52="APC-L  - APC-L  - Aprovado com Comentários (Retornar Aprovado)"),"",IF(OR(_xlfn.XLOOKUP(D52,'LD-ELFA'!F:F,'LD-ELFA'!N:N)="PARA CONHECIMENTO",_xlfn.XLOOKUP(D52,'LD-ELFA'!F:F,'LD-ELFA'!N:N)="PARA CONSTRUÇÃO",_xlfn.XLOOKUP(D52,'LD-ELFA'!F:F,'LD-ELFA'!N:N)="PARA COTAÇÃO",_xlfn.XLOOKUP(D52,'LD-ELFA'!F:F,'LD-ELFA'!N:N)="CANCELADO"),_xlfn.XLOOKUP(D52,'LD-ELFA'!F:F,'LD-ELFA'!U:U),IF(AND(L52="",J52&lt;&gt;"PARA APROVAÇÃO"),"",""))))</f>
        <v>#N/A</v>
      </c>
      <c r="N52" s="63" t="str">
        <f t="shared" ref="N52:N59" ca="1" si="9">IF(O52="Documento Concluído","Documento Concluído",IF(O52="Cliente - Atendimento de Comentário",IF(TODAY()&lt;=(K52+3),"No prazo","Atrasado"),IF(O52="Cliente - Atendimento de Comentário",IF(TODAY()&lt;=(WORKDAY(K52,3,0)),"No prazo","Atrasado"),IF(O52="Blossom - Emissão Final",IF(TODAY()&lt;=(WORKDAY(L52,3,0)),"No prazo","Atrasado"),IF(O52="Blossom - Atendimento de Comentário",IF(TODAY()&lt;=(WORKDAY(L52,3,0)),"No prazo","Atrasado"),IF(O52="Blossom - Documento a emitir","Documento a Emitir",IF(O52="Documento Removido","Documento Removido","ERRO")))))))</f>
        <v>Documento Removido</v>
      </c>
      <c r="O52" s="63" t="str">
        <f t="shared" si="2"/>
        <v>Documento Removido</v>
      </c>
      <c r="P52" s="63" t="str">
        <f t="shared" si="3"/>
        <v>Blossom</v>
      </c>
      <c r="Q52" s="63" t="e">
        <f>IF(_xlfn.XLOOKUP(D52,'LD-ELFA'!F:F,'LD-ELFA'!V:V)="","",_xlfn.XLOOKUP(D52,'LD-ELFA'!F:F,'LD-ELFA'!V:V))</f>
        <v>#N/A</v>
      </c>
      <c r="R52" s="40" t="str">
        <f>IFERROR(IF(I52&lt;&gt;"","Documento Emitido",_xlfn.XLOOKUP(D52,Cronograma!P:P,Cronograma!Q:Q)),"Documento Removido")</f>
        <v>Documento Removido</v>
      </c>
      <c r="S52" s="40" t="str">
        <f t="shared" ca="1" si="4"/>
        <v>Documento Removido</v>
      </c>
      <c r="T52" s="40" t="str">
        <f>IFERROR(IF(I52&lt;&gt;"","Documento Emitido",_xlfn.XLOOKUP(D52,Cronograma!P:P,Cronograma!R:R)),"Documento Removido")</f>
        <v>Documento Removido</v>
      </c>
      <c r="U52" s="39" t="str">
        <f t="shared" si="5"/>
        <v>Documento Removido</v>
      </c>
      <c r="V52" s="39" t="str">
        <f t="shared" si="6"/>
        <v>Documento Removido</v>
      </c>
      <c r="W52" s="39" t="e">
        <f t="shared" ca="1" si="7"/>
        <v>#N/A</v>
      </c>
    </row>
    <row r="53" spans="1:23" s="60" customFormat="1" ht="28.5" customHeight="1" x14ac:dyDescent="0.2">
      <c r="A53" s="39">
        <v>50</v>
      </c>
      <c r="B53" s="39" t="e">
        <f>_xlfn.XLOOKUP(D53,'LD-ELFA'!F:F,'LD-ELFA'!C:C)</f>
        <v>#N/A</v>
      </c>
      <c r="C53" s="39" t="e">
        <f>_xlfn.XLOOKUP(D53,'LD-ELFA'!F:F,'LD-ELFA'!D:D)</f>
        <v>#N/A</v>
      </c>
      <c r="D53" s="39" t="s">
        <v>57</v>
      </c>
      <c r="E53" s="39" t="e">
        <f>_xlfn.LET(_xlpm.q,_xlfn.XLOOKUP(D53,'LD-ELFA'!F:F,'LD-ELFA'!Q:Q),
   _xlpm.r,_xlfn.XLOOKUP(D53,'LD-ELFA'!F:F,'LD-ELFA'!R:R),
   IF(_xlpm.r = "", _xlpm.q, _xlpm.q &amp; " - " &amp; _xlpm.r))</f>
        <v>#N/A</v>
      </c>
      <c r="F53" s="63" t="str">
        <f t="shared" si="0"/>
        <v>Básico</v>
      </c>
      <c r="G53" s="63" t="e">
        <f>_xlfn.XLOOKUP(D53,'LD-ELFA'!F:F,'LD-ELFA'!G:G)</f>
        <v>#N/A</v>
      </c>
      <c r="H53" s="63" t="e">
        <f>_xlfn.XLOOKUP(D53,'LD-ELFA'!F:F,'LD-ELFA'!I:I)</f>
        <v>#N/A</v>
      </c>
      <c r="I53" s="63" t="e">
        <f>IF(_xlfn.XLOOKUP(D53,'LD-ELFA'!F:F,'LD-ELFA'!T:T)="","",_xlfn.XLOOKUP(D53,'LD-ELFA'!F:F,'LD-ELFA'!T:T))</f>
        <v>#N/A</v>
      </c>
      <c r="J53" s="63" t="e">
        <f>IF(K53="Documento a emitir", "",_xlfn.XLOOKUP(D53,'LD-ELFA'!F:F,'LD-ELFA'!N:N))</f>
        <v>#N/A</v>
      </c>
      <c r="K53" s="43" t="e">
        <f>IF(_xlfn.XLOOKUP($D53,'LD-ELFA'!F:F,'LD-ELFA'!U:U)="","Documento a emitir",_xlfn.XLOOKUP($D53,'LD-ELFA'!F:F,'LD-ELFA'!U:U))</f>
        <v>#N/A</v>
      </c>
      <c r="L53" s="43" t="e">
        <f>IF(K53="Documento a emitir","Documento a emitir",IF(K53&lt;&gt;"Documento a emitir",IF(_xlfn.XLOOKUP(D53,'LD-ELFA'!F:F,'LD-ELFA'!W:W)="","",_xlfn.XLOOKUP(D53,'LD-ELFA'!F:F,'LD-ELFA'!W:W)),""))</f>
        <v>#N/A</v>
      </c>
      <c r="M53" s="43" t="e">
        <f>IF(K53="Documento a emitir","",IF(AND(Q53="APC-R  - APC-R - Aprovado com Comentários (Retornar para uma nova Aprovação)",Q53="APC-L  - APC-L  - Aprovado com Comentários (Retornar Aprovado)"),"",IF(OR(_xlfn.XLOOKUP(D53,'LD-ELFA'!F:F,'LD-ELFA'!N:N)="PARA CONHECIMENTO",_xlfn.XLOOKUP(D53,'LD-ELFA'!F:F,'LD-ELFA'!N:N)="PARA CONSTRUÇÃO",_xlfn.XLOOKUP(D53,'LD-ELFA'!F:F,'LD-ELFA'!N:N)="PARA COTAÇÃO",_xlfn.XLOOKUP(D53,'LD-ELFA'!F:F,'LD-ELFA'!N:N)="CANCELADO"),_xlfn.XLOOKUP(D53,'LD-ELFA'!F:F,'LD-ELFA'!U:U),IF(AND(L53="",J53&lt;&gt;"PARA APROVAÇÃO"),"",""))))</f>
        <v>#N/A</v>
      </c>
      <c r="N53" s="63" t="str">
        <f t="shared" ca="1" si="9"/>
        <v>Documento Removido</v>
      </c>
      <c r="O53" s="63" t="str">
        <f t="shared" si="2"/>
        <v>Documento Removido</v>
      </c>
      <c r="P53" s="63" t="str">
        <f t="shared" si="3"/>
        <v>Blossom</v>
      </c>
      <c r="Q53" s="63" t="e">
        <f>IF(_xlfn.XLOOKUP(D53,'LD-ELFA'!F:F,'LD-ELFA'!V:V)="","",_xlfn.XLOOKUP(D53,'LD-ELFA'!F:F,'LD-ELFA'!V:V))</f>
        <v>#N/A</v>
      </c>
      <c r="R53" s="40" t="str">
        <f>IFERROR(IF(I53&lt;&gt;"","Documento Emitido",_xlfn.XLOOKUP(D53,Cronograma!P:P,Cronograma!Q:Q)),"Documento Removido")</f>
        <v>Documento Removido</v>
      </c>
      <c r="S53" s="40" t="str">
        <f t="shared" ca="1" si="4"/>
        <v>Documento Removido</v>
      </c>
      <c r="T53" s="40" t="str">
        <f>IFERROR(IF(I53&lt;&gt;"","Documento Emitido",_xlfn.XLOOKUP(D53,Cronograma!P:P,Cronograma!R:R)),"Documento Removido")</f>
        <v>Documento Removido</v>
      </c>
      <c r="U53" s="39" t="str">
        <f t="shared" si="5"/>
        <v>Documento Removido</v>
      </c>
      <c r="V53" s="39" t="str">
        <f t="shared" si="6"/>
        <v>Documento Removido</v>
      </c>
      <c r="W53" s="39" t="e">
        <f t="shared" ca="1" si="7"/>
        <v>#N/A</v>
      </c>
    </row>
    <row r="54" spans="1:23" s="60" customFormat="1" ht="28.5" customHeight="1" x14ac:dyDescent="0.2">
      <c r="A54" s="39">
        <v>51</v>
      </c>
      <c r="B54" s="39" t="e">
        <f>_xlfn.XLOOKUP(D54,'LD-ELFA'!F:F,'LD-ELFA'!C:C)</f>
        <v>#N/A</v>
      </c>
      <c r="C54" s="39" t="e">
        <f>_xlfn.XLOOKUP(D54,'LD-ELFA'!F:F,'LD-ELFA'!D:D)</f>
        <v>#N/A</v>
      </c>
      <c r="D54" s="39" t="s">
        <v>58</v>
      </c>
      <c r="E54" s="39" t="e">
        <f>_xlfn.LET(_xlpm.q,_xlfn.XLOOKUP(D54,'LD-ELFA'!F:F,'LD-ELFA'!Q:Q),
   _xlpm.r,_xlfn.XLOOKUP(D54,'LD-ELFA'!F:F,'LD-ELFA'!R:R),
   IF(_xlpm.r = "", _xlpm.q, _xlpm.q &amp; " - " &amp; _xlpm.r))</f>
        <v>#N/A</v>
      </c>
      <c r="F54" s="63" t="str">
        <f t="shared" si="0"/>
        <v>Básico</v>
      </c>
      <c r="G54" s="63" t="e">
        <f>_xlfn.XLOOKUP(D54,'LD-ELFA'!F:F,'LD-ELFA'!G:G)</f>
        <v>#N/A</v>
      </c>
      <c r="H54" s="63" t="e">
        <f>_xlfn.XLOOKUP(D54,'LD-ELFA'!F:F,'LD-ELFA'!I:I)</f>
        <v>#N/A</v>
      </c>
      <c r="I54" s="63" t="e">
        <f>IF(_xlfn.XLOOKUP(D54,'LD-ELFA'!F:F,'LD-ELFA'!T:T)="","",_xlfn.XLOOKUP(D54,'LD-ELFA'!F:F,'LD-ELFA'!T:T))</f>
        <v>#N/A</v>
      </c>
      <c r="J54" s="63" t="e">
        <f>IF(K54="Documento a emitir", "",_xlfn.XLOOKUP(D54,'LD-ELFA'!F:F,'LD-ELFA'!N:N))</f>
        <v>#N/A</v>
      </c>
      <c r="K54" s="43" t="e">
        <f>IF(_xlfn.XLOOKUP($D54,'LD-ELFA'!F:F,'LD-ELFA'!U:U)="","Documento a emitir",_xlfn.XLOOKUP($D54,'LD-ELFA'!F:F,'LD-ELFA'!U:U))</f>
        <v>#N/A</v>
      </c>
      <c r="L54" s="43" t="e">
        <f>IF(K54="Documento a emitir","Documento a emitir",IF(K54&lt;&gt;"Documento a emitir",IF(_xlfn.XLOOKUP(D54,'LD-ELFA'!F:F,'LD-ELFA'!W:W)="","",_xlfn.XLOOKUP(D54,'LD-ELFA'!F:F,'LD-ELFA'!W:W)),""))</f>
        <v>#N/A</v>
      </c>
      <c r="M54" s="43" t="e">
        <f>IF(K54="Documento a emitir","",IF(AND(Q54="APC-R  - APC-R - Aprovado com Comentários (Retornar para uma nova Aprovação)",Q54="APC-L  - APC-L  - Aprovado com Comentários (Retornar Aprovado)"),"",IF(OR(_xlfn.XLOOKUP(D54,'LD-ELFA'!F:F,'LD-ELFA'!N:N)="PARA CONHECIMENTO",_xlfn.XLOOKUP(D54,'LD-ELFA'!F:F,'LD-ELFA'!N:N)="PARA CONSTRUÇÃO",_xlfn.XLOOKUP(D54,'LD-ELFA'!F:F,'LD-ELFA'!N:N)="PARA COTAÇÃO",_xlfn.XLOOKUP(D54,'LD-ELFA'!F:F,'LD-ELFA'!N:N)="CANCELADO"),_xlfn.XLOOKUP(D54,'LD-ELFA'!F:F,'LD-ELFA'!U:U),IF(AND(L54="",J54&lt;&gt;"PARA APROVAÇÃO"),"",""))))</f>
        <v>#N/A</v>
      </c>
      <c r="N54" s="63" t="str">
        <f t="shared" ca="1" si="9"/>
        <v>Documento Removido</v>
      </c>
      <c r="O54" s="63" t="str">
        <f t="shared" si="2"/>
        <v>Documento Removido</v>
      </c>
      <c r="P54" s="63" t="str">
        <f t="shared" si="3"/>
        <v>Blossom</v>
      </c>
      <c r="Q54" s="63" t="e">
        <f>IF(_xlfn.XLOOKUP(D54,'LD-ELFA'!F:F,'LD-ELFA'!V:V)="","",_xlfn.XLOOKUP(D54,'LD-ELFA'!F:F,'LD-ELFA'!V:V))</f>
        <v>#N/A</v>
      </c>
      <c r="R54" s="40" t="str">
        <f>IFERROR(IF(I54&lt;&gt;"","Documento Emitido",_xlfn.XLOOKUP(D54,Cronograma!P:P,Cronograma!Q:Q)),"Documento Removido")</f>
        <v>Documento Removido</v>
      </c>
      <c r="S54" s="40" t="str">
        <f t="shared" ca="1" si="4"/>
        <v>Documento Removido</v>
      </c>
      <c r="T54" s="40" t="str">
        <f>IFERROR(IF(I54&lt;&gt;"","Documento Emitido",_xlfn.XLOOKUP(D54,Cronograma!P:P,Cronograma!R:R)),"Documento Removido")</f>
        <v>Documento Removido</v>
      </c>
      <c r="U54" s="39" t="str">
        <f t="shared" si="5"/>
        <v>Documento Removido</v>
      </c>
      <c r="V54" s="39" t="str">
        <f t="shared" si="6"/>
        <v>Documento Removido</v>
      </c>
      <c r="W54" s="39" t="e">
        <f t="shared" ca="1" si="7"/>
        <v>#N/A</v>
      </c>
    </row>
    <row r="55" spans="1:23" s="60" customFormat="1" ht="28.5" customHeight="1" x14ac:dyDescent="0.2">
      <c r="A55" s="39">
        <v>52</v>
      </c>
      <c r="B55" s="39" t="e">
        <f>_xlfn.XLOOKUP(D55,'LD-ELFA'!F:F,'LD-ELFA'!C:C)</f>
        <v>#N/A</v>
      </c>
      <c r="C55" s="39" t="e">
        <f>_xlfn.XLOOKUP(D55,'LD-ELFA'!F:F,'LD-ELFA'!D:D)</f>
        <v>#N/A</v>
      </c>
      <c r="D55" s="39" t="s">
        <v>59</v>
      </c>
      <c r="E55" s="39" t="e">
        <f>_xlfn.LET(_xlpm.q,_xlfn.XLOOKUP(D55,'LD-ELFA'!F:F,'LD-ELFA'!Q:Q),
   _xlpm.r,_xlfn.XLOOKUP(D55,'LD-ELFA'!F:F,'LD-ELFA'!R:R),
   IF(_xlpm.r = "", _xlpm.q, _xlpm.q &amp; " - " &amp; _xlpm.r))</f>
        <v>#N/A</v>
      </c>
      <c r="F55" s="63" t="str">
        <f t="shared" si="0"/>
        <v>Básico</v>
      </c>
      <c r="G55" s="63" t="e">
        <f>_xlfn.XLOOKUP(D55,'LD-ELFA'!F:F,'LD-ELFA'!G:G)</f>
        <v>#N/A</v>
      </c>
      <c r="H55" s="63" t="e">
        <f>_xlfn.XLOOKUP(D55,'LD-ELFA'!F:F,'LD-ELFA'!I:I)</f>
        <v>#N/A</v>
      </c>
      <c r="I55" s="63" t="e">
        <f>IF(_xlfn.XLOOKUP(D55,'LD-ELFA'!F:F,'LD-ELFA'!T:T)="","",_xlfn.XLOOKUP(D55,'LD-ELFA'!F:F,'LD-ELFA'!T:T))</f>
        <v>#N/A</v>
      </c>
      <c r="J55" s="63" t="e">
        <f>IF(K55="Documento a emitir", "",_xlfn.XLOOKUP(D55,'LD-ELFA'!F:F,'LD-ELFA'!N:N))</f>
        <v>#N/A</v>
      </c>
      <c r="K55" s="43" t="e">
        <f>IF(_xlfn.XLOOKUP($D55,'LD-ELFA'!F:F,'LD-ELFA'!U:U)="","Documento a emitir",_xlfn.XLOOKUP($D55,'LD-ELFA'!F:F,'LD-ELFA'!U:U))</f>
        <v>#N/A</v>
      </c>
      <c r="L55" s="43" t="e">
        <f>IF(K55="Documento a emitir","Documento a emitir",IF(K55&lt;&gt;"Documento a emitir",IF(_xlfn.XLOOKUP(D55,'LD-ELFA'!F:F,'LD-ELFA'!W:W)="","",_xlfn.XLOOKUP(D55,'LD-ELFA'!F:F,'LD-ELFA'!W:W)),""))</f>
        <v>#N/A</v>
      </c>
      <c r="M55" s="43" t="e">
        <f>IF(K55="Documento a emitir","",IF(AND(Q55="APC-R  - APC-R - Aprovado com Comentários (Retornar para uma nova Aprovação)",Q55="APC-L  - APC-L  - Aprovado com Comentários (Retornar Aprovado)"),"",IF(OR(_xlfn.XLOOKUP(D55,'LD-ELFA'!F:F,'LD-ELFA'!N:N)="PARA CONHECIMENTO",_xlfn.XLOOKUP(D55,'LD-ELFA'!F:F,'LD-ELFA'!N:N)="PARA CONSTRUÇÃO",_xlfn.XLOOKUP(D55,'LD-ELFA'!F:F,'LD-ELFA'!N:N)="PARA COTAÇÃO",_xlfn.XLOOKUP(D55,'LD-ELFA'!F:F,'LD-ELFA'!N:N)="CANCELADO"),_xlfn.XLOOKUP(D55,'LD-ELFA'!F:F,'LD-ELFA'!U:U),IF(AND(L55="",J55&lt;&gt;"PARA APROVAÇÃO"),"",""))))</f>
        <v>#N/A</v>
      </c>
      <c r="N55" s="63" t="str">
        <f t="shared" ca="1" si="9"/>
        <v>Documento Removido</v>
      </c>
      <c r="O55" s="63" t="str">
        <f t="shared" si="2"/>
        <v>Documento Removido</v>
      </c>
      <c r="P55" s="63" t="str">
        <f t="shared" si="3"/>
        <v>Blossom</v>
      </c>
      <c r="Q55" s="63" t="e">
        <f>IF(_xlfn.XLOOKUP(D55,'LD-ELFA'!F:F,'LD-ELFA'!V:V)="","",_xlfn.XLOOKUP(D55,'LD-ELFA'!F:F,'LD-ELFA'!V:V))</f>
        <v>#N/A</v>
      </c>
      <c r="R55" s="40" t="str">
        <f>IFERROR(IF(I55&lt;&gt;"","Documento Emitido",_xlfn.XLOOKUP(D55,Cronograma!P:P,Cronograma!Q:Q)),"Documento Removido")</f>
        <v>Documento Removido</v>
      </c>
      <c r="S55" s="40" t="str">
        <f t="shared" ca="1" si="4"/>
        <v>Documento Removido</v>
      </c>
      <c r="T55" s="40" t="str">
        <f>IFERROR(IF(I55&lt;&gt;"","Documento Emitido",_xlfn.XLOOKUP(D55,Cronograma!P:P,Cronograma!R:R)),"Documento Removido")</f>
        <v>Documento Removido</v>
      </c>
      <c r="U55" s="39" t="str">
        <f t="shared" si="5"/>
        <v>Documento Removido</v>
      </c>
      <c r="V55" s="39" t="str">
        <f t="shared" si="6"/>
        <v>Documento Removido</v>
      </c>
      <c r="W55" s="39" t="e">
        <f t="shared" ca="1" si="7"/>
        <v>#N/A</v>
      </c>
    </row>
    <row r="56" spans="1:23" s="60" customFormat="1" ht="28.5" customHeight="1" x14ac:dyDescent="0.2">
      <c r="A56" s="39">
        <v>53</v>
      </c>
      <c r="B56" s="39" t="e">
        <f>_xlfn.XLOOKUP(D56,'LD-ELFA'!F:F,'LD-ELFA'!C:C)</f>
        <v>#N/A</v>
      </c>
      <c r="C56" s="39" t="e">
        <f>_xlfn.XLOOKUP(D56,'LD-ELFA'!F:F,'LD-ELFA'!D:D)</f>
        <v>#N/A</v>
      </c>
      <c r="D56" s="39" t="s">
        <v>60</v>
      </c>
      <c r="E56" s="39" t="e">
        <f>_xlfn.LET(_xlpm.q,_xlfn.XLOOKUP(D56,'LD-ELFA'!F:F,'LD-ELFA'!Q:Q),
   _xlpm.r,_xlfn.XLOOKUP(D56,'LD-ELFA'!F:F,'LD-ELFA'!R:R),
   IF(_xlpm.r = "", _xlpm.q, _xlpm.q &amp; " - " &amp; _xlpm.r))</f>
        <v>#N/A</v>
      </c>
      <c r="F56" s="63" t="str">
        <f t="shared" si="0"/>
        <v>Básico</v>
      </c>
      <c r="G56" s="63" t="e">
        <f>_xlfn.XLOOKUP(D56,'LD-ELFA'!F:F,'LD-ELFA'!G:G)</f>
        <v>#N/A</v>
      </c>
      <c r="H56" s="63" t="e">
        <f>_xlfn.XLOOKUP(D56,'LD-ELFA'!F:F,'LD-ELFA'!I:I)</f>
        <v>#N/A</v>
      </c>
      <c r="I56" s="63" t="e">
        <f>IF(_xlfn.XLOOKUP(D56,'LD-ELFA'!F:F,'LD-ELFA'!T:T)="","",_xlfn.XLOOKUP(D56,'LD-ELFA'!F:F,'LD-ELFA'!T:T))</f>
        <v>#N/A</v>
      </c>
      <c r="J56" s="63" t="e">
        <f>IF(K56="Documento a emitir", "",_xlfn.XLOOKUP(D56,'LD-ELFA'!F:F,'LD-ELFA'!N:N))</f>
        <v>#N/A</v>
      </c>
      <c r="K56" s="43" t="e">
        <f>IF(_xlfn.XLOOKUP($D56,'LD-ELFA'!F:F,'LD-ELFA'!U:U)="","Documento a emitir",_xlfn.XLOOKUP($D56,'LD-ELFA'!F:F,'LD-ELFA'!U:U))</f>
        <v>#N/A</v>
      </c>
      <c r="L56" s="43" t="e">
        <f>IF(K56="Documento a emitir","Documento a emitir",IF(K56&lt;&gt;"Documento a emitir",IF(_xlfn.XLOOKUP(D56,'LD-ELFA'!F:F,'LD-ELFA'!W:W)="","",_xlfn.XLOOKUP(D56,'LD-ELFA'!F:F,'LD-ELFA'!W:W)),""))</f>
        <v>#N/A</v>
      </c>
      <c r="M56" s="43" t="e">
        <f>IF(K56="Documento a emitir","",IF(AND(Q56="APC-R  - APC-R - Aprovado com Comentários (Retornar para uma nova Aprovação)",Q56="APC-L  - APC-L  - Aprovado com Comentários (Retornar Aprovado)"),"",IF(OR(_xlfn.XLOOKUP(D56,'LD-ELFA'!F:F,'LD-ELFA'!N:N)="PARA CONHECIMENTO",_xlfn.XLOOKUP(D56,'LD-ELFA'!F:F,'LD-ELFA'!N:N)="PARA CONSTRUÇÃO",_xlfn.XLOOKUP(D56,'LD-ELFA'!F:F,'LD-ELFA'!N:N)="PARA COTAÇÃO",_xlfn.XLOOKUP(D56,'LD-ELFA'!F:F,'LD-ELFA'!N:N)="CANCELADO"),_xlfn.XLOOKUP(D56,'LD-ELFA'!F:F,'LD-ELFA'!U:U),IF(AND(L56="",J56&lt;&gt;"PARA APROVAÇÃO"),"",""))))</f>
        <v>#N/A</v>
      </c>
      <c r="N56" s="63" t="str">
        <f t="shared" ca="1" si="9"/>
        <v>Documento Removido</v>
      </c>
      <c r="O56" s="63" t="str">
        <f t="shared" si="2"/>
        <v>Documento Removido</v>
      </c>
      <c r="P56" s="63" t="str">
        <f t="shared" si="3"/>
        <v>Blossom</v>
      </c>
      <c r="Q56" s="63" t="e">
        <f>IF(_xlfn.XLOOKUP(D56,'LD-ELFA'!F:F,'LD-ELFA'!V:V)="","",_xlfn.XLOOKUP(D56,'LD-ELFA'!F:F,'LD-ELFA'!V:V))</f>
        <v>#N/A</v>
      </c>
      <c r="R56" s="40" t="str">
        <f>IFERROR(IF(I56&lt;&gt;"","Documento Emitido",_xlfn.XLOOKUP(D56,Cronograma!P:P,Cronograma!Q:Q)),"Documento Removido")</f>
        <v>Documento Removido</v>
      </c>
      <c r="S56" s="40" t="str">
        <f t="shared" ca="1" si="4"/>
        <v>Documento Removido</v>
      </c>
      <c r="T56" s="40" t="str">
        <f>IFERROR(IF(I56&lt;&gt;"","Documento Emitido",_xlfn.XLOOKUP(D56,Cronograma!P:P,Cronograma!R:R)),"Documento Removido")</f>
        <v>Documento Removido</v>
      </c>
      <c r="U56" s="39" t="str">
        <f t="shared" si="5"/>
        <v>Documento Removido</v>
      </c>
      <c r="V56" s="39" t="str">
        <f t="shared" si="6"/>
        <v>Documento Removido</v>
      </c>
      <c r="W56" s="39" t="e">
        <f t="shared" ca="1" si="7"/>
        <v>#N/A</v>
      </c>
    </row>
    <row r="57" spans="1:23" s="60" customFormat="1" ht="28.5" customHeight="1" x14ac:dyDescent="0.2">
      <c r="A57" s="39">
        <v>54</v>
      </c>
      <c r="B57" s="39" t="e">
        <f>_xlfn.XLOOKUP(D57,'LD-ELFA'!F:F,'LD-ELFA'!C:C)</f>
        <v>#N/A</v>
      </c>
      <c r="C57" s="39" t="e">
        <f>_xlfn.XLOOKUP(D57,'LD-ELFA'!F:F,'LD-ELFA'!D:D)</f>
        <v>#N/A</v>
      </c>
      <c r="D57" s="39" t="s">
        <v>61</v>
      </c>
      <c r="E57" s="39" t="e">
        <f>_xlfn.LET(_xlpm.q,_xlfn.XLOOKUP(D57,'LD-ELFA'!F:F,'LD-ELFA'!Q:Q),
   _xlpm.r,_xlfn.XLOOKUP(D57,'LD-ELFA'!F:F,'LD-ELFA'!R:R),
   IF(_xlpm.r = "", _xlpm.q, _xlpm.q &amp; " - " &amp; _xlpm.r))</f>
        <v>#N/A</v>
      </c>
      <c r="F57" s="63" t="str">
        <f t="shared" si="0"/>
        <v>Básico</v>
      </c>
      <c r="G57" s="63" t="e">
        <f>_xlfn.XLOOKUP(D57,'LD-ELFA'!F:F,'LD-ELFA'!G:G)</f>
        <v>#N/A</v>
      </c>
      <c r="H57" s="63" t="e">
        <f>_xlfn.XLOOKUP(D57,'LD-ELFA'!F:F,'LD-ELFA'!I:I)</f>
        <v>#N/A</v>
      </c>
      <c r="I57" s="63" t="e">
        <f>IF(_xlfn.XLOOKUP(D57,'LD-ELFA'!F:F,'LD-ELFA'!T:T)="","",_xlfn.XLOOKUP(D57,'LD-ELFA'!F:F,'LD-ELFA'!T:T))</f>
        <v>#N/A</v>
      </c>
      <c r="J57" s="63" t="e">
        <f>IF(K57="Documento a emitir", "",_xlfn.XLOOKUP(D57,'LD-ELFA'!F:F,'LD-ELFA'!N:N))</f>
        <v>#N/A</v>
      </c>
      <c r="K57" s="43" t="e">
        <f>IF(_xlfn.XLOOKUP($D57,'LD-ELFA'!F:F,'LD-ELFA'!U:U)="","Documento a emitir",_xlfn.XLOOKUP($D57,'LD-ELFA'!F:F,'LD-ELFA'!U:U))</f>
        <v>#N/A</v>
      </c>
      <c r="L57" s="43" t="e">
        <f>IF(K57="Documento a emitir","Documento a emitir",IF(K57&lt;&gt;"Documento a emitir",IF(_xlfn.XLOOKUP(D57,'LD-ELFA'!F:F,'LD-ELFA'!W:W)="","",_xlfn.XLOOKUP(D57,'LD-ELFA'!F:F,'LD-ELFA'!W:W)),""))</f>
        <v>#N/A</v>
      </c>
      <c r="M57" s="43" t="e">
        <f>IF(K57="Documento a emitir","",IF(AND(Q57="APC-R  - APC-R - Aprovado com Comentários (Retornar para uma nova Aprovação)",Q57="APC-L  - APC-L  - Aprovado com Comentários (Retornar Aprovado)"),"",IF(OR(_xlfn.XLOOKUP(D57,'LD-ELFA'!F:F,'LD-ELFA'!N:N)="PARA CONHECIMENTO",_xlfn.XLOOKUP(D57,'LD-ELFA'!F:F,'LD-ELFA'!N:N)="PARA CONSTRUÇÃO",_xlfn.XLOOKUP(D57,'LD-ELFA'!F:F,'LD-ELFA'!N:N)="PARA COTAÇÃO",_xlfn.XLOOKUP(D57,'LD-ELFA'!F:F,'LD-ELFA'!N:N)="CANCELADO"),_xlfn.XLOOKUP(D57,'LD-ELFA'!F:F,'LD-ELFA'!U:U),IF(AND(L57="",J57&lt;&gt;"PARA APROVAÇÃO"),"",""))))</f>
        <v>#N/A</v>
      </c>
      <c r="N57" s="63" t="str">
        <f t="shared" ca="1" si="9"/>
        <v>Documento Removido</v>
      </c>
      <c r="O57" s="63" t="str">
        <f t="shared" si="2"/>
        <v>Documento Removido</v>
      </c>
      <c r="P57" s="63" t="str">
        <f t="shared" si="3"/>
        <v>Blossom</v>
      </c>
      <c r="Q57" s="63" t="e">
        <f>IF(_xlfn.XLOOKUP(D57,'LD-ELFA'!F:F,'LD-ELFA'!V:V)="","",_xlfn.XLOOKUP(D57,'LD-ELFA'!F:F,'LD-ELFA'!V:V))</f>
        <v>#N/A</v>
      </c>
      <c r="R57" s="40" t="str">
        <f>IFERROR(IF(I57&lt;&gt;"","Documento Emitido",_xlfn.XLOOKUP(D57,Cronograma!P:P,Cronograma!Q:Q)),"Documento Removido")</f>
        <v>Documento Removido</v>
      </c>
      <c r="S57" s="40" t="str">
        <f t="shared" ca="1" si="4"/>
        <v>Documento Removido</v>
      </c>
      <c r="T57" s="40" t="str">
        <f>IFERROR(IF(I57&lt;&gt;"","Documento Emitido",_xlfn.XLOOKUP(D57,Cronograma!P:P,Cronograma!R:R)),"Documento Removido")</f>
        <v>Documento Removido</v>
      </c>
      <c r="U57" s="39" t="str">
        <f t="shared" si="5"/>
        <v>Documento Removido</v>
      </c>
      <c r="V57" s="39" t="str">
        <f t="shared" si="6"/>
        <v>Documento Removido</v>
      </c>
      <c r="W57" s="39" t="e">
        <f t="shared" ca="1" si="7"/>
        <v>#N/A</v>
      </c>
    </row>
    <row r="58" spans="1:23" s="60" customFormat="1" ht="28.5" customHeight="1" x14ac:dyDescent="0.2">
      <c r="A58" s="39">
        <v>55</v>
      </c>
      <c r="B58" s="39" t="e">
        <f>_xlfn.XLOOKUP(D58,'LD-ELFA'!F:F,'LD-ELFA'!C:C)</f>
        <v>#N/A</v>
      </c>
      <c r="C58" s="39" t="e">
        <f>_xlfn.XLOOKUP(D58,'LD-ELFA'!F:F,'LD-ELFA'!D:D)</f>
        <v>#N/A</v>
      </c>
      <c r="D58" s="39" t="s">
        <v>62</v>
      </c>
      <c r="E58" s="39" t="e">
        <f>_xlfn.LET(_xlpm.q,_xlfn.XLOOKUP(D58,'LD-ELFA'!F:F,'LD-ELFA'!Q:Q),
   _xlpm.r,_xlfn.XLOOKUP(D58,'LD-ELFA'!F:F,'LD-ELFA'!R:R),
   IF(_xlpm.r = "", _xlpm.q, _xlpm.q &amp; " - " &amp; _xlpm.r))</f>
        <v>#N/A</v>
      </c>
      <c r="F58" s="63" t="str">
        <f t="shared" si="0"/>
        <v>Básico</v>
      </c>
      <c r="G58" s="63" t="e">
        <f>_xlfn.XLOOKUP(D58,'LD-ELFA'!F:F,'LD-ELFA'!G:G)</f>
        <v>#N/A</v>
      </c>
      <c r="H58" s="63" t="e">
        <f>_xlfn.XLOOKUP(D58,'LD-ELFA'!F:F,'LD-ELFA'!I:I)</f>
        <v>#N/A</v>
      </c>
      <c r="I58" s="63" t="e">
        <f>IF(_xlfn.XLOOKUP(D58,'LD-ELFA'!F:F,'LD-ELFA'!T:T)="","",_xlfn.XLOOKUP(D58,'LD-ELFA'!F:F,'LD-ELFA'!T:T))</f>
        <v>#N/A</v>
      </c>
      <c r="J58" s="63" t="e">
        <f>IF(K58="Documento a emitir", "",_xlfn.XLOOKUP(D58,'LD-ELFA'!F:F,'LD-ELFA'!N:N))</f>
        <v>#N/A</v>
      </c>
      <c r="K58" s="43" t="e">
        <f>IF(_xlfn.XLOOKUP($D58,'LD-ELFA'!F:F,'LD-ELFA'!U:U)="","Documento a emitir",_xlfn.XLOOKUP($D58,'LD-ELFA'!F:F,'LD-ELFA'!U:U))</f>
        <v>#N/A</v>
      </c>
      <c r="L58" s="43" t="e">
        <f>IF(K58="Documento a emitir","Documento a emitir",IF(K58&lt;&gt;"Documento a emitir",IF(_xlfn.XLOOKUP(D58,'LD-ELFA'!F:F,'LD-ELFA'!W:W)="","",_xlfn.XLOOKUP(D58,'LD-ELFA'!F:F,'LD-ELFA'!W:W)),""))</f>
        <v>#N/A</v>
      </c>
      <c r="M58" s="43" t="e">
        <f>IF(K58="Documento a emitir","",IF(AND(Q58="APC-R  - APC-R - Aprovado com Comentários (Retornar para uma nova Aprovação)",Q58="APC-L  - APC-L  - Aprovado com Comentários (Retornar Aprovado)"),"",IF(OR(_xlfn.XLOOKUP(D58,'LD-ELFA'!F:F,'LD-ELFA'!N:N)="PARA CONHECIMENTO",_xlfn.XLOOKUP(D58,'LD-ELFA'!F:F,'LD-ELFA'!N:N)="PARA CONSTRUÇÃO",_xlfn.XLOOKUP(D58,'LD-ELFA'!F:F,'LD-ELFA'!N:N)="PARA COTAÇÃO",_xlfn.XLOOKUP(D58,'LD-ELFA'!F:F,'LD-ELFA'!N:N)="CANCELADO"),_xlfn.XLOOKUP(D58,'LD-ELFA'!F:F,'LD-ELFA'!U:U),IF(AND(L58="",J58&lt;&gt;"PARA APROVAÇÃO"),"",""))))</f>
        <v>#N/A</v>
      </c>
      <c r="N58" s="63" t="str">
        <f t="shared" ca="1" si="9"/>
        <v>Documento Removido</v>
      </c>
      <c r="O58" s="63" t="str">
        <f t="shared" si="2"/>
        <v>Documento Removido</v>
      </c>
      <c r="P58" s="63" t="str">
        <f t="shared" si="3"/>
        <v>Blossom</v>
      </c>
      <c r="Q58" s="63" t="e">
        <f>IF(_xlfn.XLOOKUP(D58,'LD-ELFA'!F:F,'LD-ELFA'!V:V)="","",_xlfn.XLOOKUP(D58,'LD-ELFA'!F:F,'LD-ELFA'!V:V))</f>
        <v>#N/A</v>
      </c>
      <c r="R58" s="40" t="str">
        <f>IFERROR(IF(I58&lt;&gt;"","Documento Emitido",_xlfn.XLOOKUP(D58,Cronograma!P:P,Cronograma!Q:Q)),"Documento Removido")</f>
        <v>Documento Removido</v>
      </c>
      <c r="S58" s="40" t="str">
        <f t="shared" ca="1" si="4"/>
        <v>Documento Removido</v>
      </c>
      <c r="T58" s="40" t="str">
        <f>IFERROR(IF(I58&lt;&gt;"","Documento Emitido",_xlfn.XLOOKUP(D58,Cronograma!P:P,Cronograma!R:R)),"Documento Removido")</f>
        <v>Documento Removido</v>
      </c>
      <c r="U58" s="39" t="str">
        <f t="shared" si="5"/>
        <v>Documento Removido</v>
      </c>
      <c r="V58" s="39" t="str">
        <f t="shared" si="6"/>
        <v>Documento Removido</v>
      </c>
      <c r="W58" s="39" t="e">
        <f t="shared" ca="1" si="7"/>
        <v>#N/A</v>
      </c>
    </row>
    <row r="59" spans="1:23" s="60" customFormat="1" ht="28.5" customHeight="1" x14ac:dyDescent="0.2">
      <c r="A59" s="39">
        <v>56</v>
      </c>
      <c r="B59" s="39" t="str">
        <f>_xlfn.XLOOKUP(D59,'LD-ELFA'!F:F,'LD-ELFA'!C:C)</f>
        <v>AI - Automacao E Instrumentacao</v>
      </c>
      <c r="C59" s="39" t="str">
        <f>_xlfn.XLOOKUP(D59,'LD-ELFA'!F:F,'LD-ELFA'!D:D)</f>
        <v>FDA - Folha De Dados</v>
      </c>
      <c r="D59" s="39" t="s">
        <v>63</v>
      </c>
      <c r="E59" s="39" t="str">
        <f>_xlfn.LET(_xlpm.q,_xlfn.XLOOKUP(D59,'LD-ELFA'!F:F,'LD-ELFA'!Q:Q),
   _xlpm.r,_xlfn.XLOOKUP(D59,'LD-ELFA'!F:F,'LD-ELFA'!R:R),
   IF(_xlpm.r = "", _xlpm.q, _xlpm.q &amp; " - " &amp; _xlpm.r))</f>
        <v>FOLHA DE DADOS - CHAVE DE NÍVEL CAPACITIVA</v>
      </c>
      <c r="F59" s="63" t="str">
        <f t="shared" si="0"/>
        <v>Básico</v>
      </c>
      <c r="G59" s="63">
        <f>_xlfn.XLOOKUP(D59,'LD-ELFA'!F:F,'LD-ELFA'!G:G)</f>
        <v>0</v>
      </c>
      <c r="H59" s="63" t="str">
        <f>_xlfn.XLOOKUP(D59,'LD-ELFA'!F:F,'LD-ELFA'!I:I)</f>
        <v>A</v>
      </c>
      <c r="I59" s="63" t="str">
        <f>IF(_xlfn.XLOOKUP(D59,'LD-ELFA'!F:F,'LD-ELFA'!T:T)="","",_xlfn.XLOOKUP(D59,'LD-ELFA'!F:F,'LD-ELFA'!T:T))</f>
        <v>0033</v>
      </c>
      <c r="J59" s="63" t="str">
        <f>IF(K59="Documento a emitir", "",_xlfn.XLOOKUP(D59,'LD-ELFA'!F:F,'LD-ELFA'!N:N))</f>
        <v>PARA APROVAÇÃO</v>
      </c>
      <c r="K59" s="43">
        <f>IF(_xlfn.XLOOKUP($D59,'LD-ELFA'!F:F,'LD-ELFA'!U:U)="","Documento a emitir",_xlfn.XLOOKUP($D59,'LD-ELFA'!F:F,'LD-ELFA'!U:U))</f>
        <v>46213.699928784721</v>
      </c>
      <c r="L59" s="43" t="str">
        <f>IF(K59="Documento a emitir","Documento a emitir",IF(K59&lt;&gt;"Documento a emitir",IF(_xlfn.XLOOKUP(D59,'LD-ELFA'!F:F,'LD-ELFA'!W:W)="","",_xlfn.XLOOKUP(D59,'LD-ELFA'!F:F,'LD-ELFA'!W:W)),""))</f>
        <v/>
      </c>
      <c r="M59" s="43" t="str">
        <f>IF(K59="Documento a emitir","",IF(AND(Q59="APC-R  - APC-R - Aprovado com Comentários (Retornar para uma nova Aprovação)",Q59="APC-L  - APC-L  - Aprovado com Comentários (Retornar Aprovado)"),"",IF(OR(_xlfn.XLOOKUP(D59,'LD-ELFA'!F:F,'LD-ELFA'!N:N)="PARA CONHECIMENTO",_xlfn.XLOOKUP(D59,'LD-ELFA'!F:F,'LD-ELFA'!N:N)="PARA CONSTRUÇÃO",_xlfn.XLOOKUP(D59,'LD-ELFA'!F:F,'LD-ELFA'!N:N)="PARA COTAÇÃO",_xlfn.XLOOKUP(D59,'LD-ELFA'!F:F,'LD-ELFA'!N:N)="CANCELADO"),_xlfn.XLOOKUP(D59,'LD-ELFA'!F:F,'LD-ELFA'!U:U),IF(AND(L59="",J59&lt;&gt;"PARA APROVAÇÃO"),"",""))))</f>
        <v/>
      </c>
      <c r="N59" s="63" t="str">
        <f t="shared" ca="1" si="9"/>
        <v>Atrasado</v>
      </c>
      <c r="O59" s="63" t="str">
        <f t="shared" si="2"/>
        <v>Cliente - Atendimento de Comentário</v>
      </c>
      <c r="P59" s="63" t="str">
        <f t="shared" si="3"/>
        <v>Circlua</v>
      </c>
      <c r="Q59" s="63" t="str">
        <f>IF(_xlfn.XLOOKUP(D59,'LD-ELFA'!F:F,'LD-ELFA'!V:V)="","",_xlfn.XLOOKUP(D59,'LD-ELFA'!F:F,'LD-ELFA'!V:V))</f>
        <v/>
      </c>
      <c r="R59" s="40" t="str">
        <f>IFERROR(IF(I59&lt;&gt;"","Documento Emitido",_xlfn.XLOOKUP(D59,Cronograma!P:P,Cronograma!Q:Q)),"Documento Removido")</f>
        <v>Documento Emitido</v>
      </c>
      <c r="S59" s="40" t="str">
        <f t="shared" ca="1" si="4"/>
        <v>Documento Emitido</v>
      </c>
      <c r="T59" s="40" t="str">
        <f>IFERROR(IF(I59&lt;&gt;"","Documento Emitido",_xlfn.XLOOKUP(D59,Cronograma!P:P,Cronograma!R:R)),"Documento Removido")</f>
        <v>Documento Emitido</v>
      </c>
      <c r="U59" s="39" t="str">
        <f t="shared" si="5"/>
        <v>Documento Emitido</v>
      </c>
      <c r="V59" s="39" t="str">
        <f t="shared" si="6"/>
        <v>Documento Emitido</v>
      </c>
      <c r="W59" s="39" t="str">
        <f t="shared" ca="1" si="7"/>
        <v>Emissão Semana</v>
      </c>
    </row>
    <row r="60" spans="1:23" s="60" customFormat="1" ht="28.5" customHeight="1" x14ac:dyDescent="0.2">
      <c r="A60" s="39">
        <v>57</v>
      </c>
      <c r="B60" s="39" t="str">
        <f>_xlfn.XLOOKUP(D60,'LD-ELFA'!F:F,'LD-ELFA'!C:C)</f>
        <v>AI - Automacao E Instrumentacao</v>
      </c>
      <c r="C60" s="39" t="str">
        <f>_xlfn.XLOOKUP(D60,'LD-ELFA'!F:F,'LD-ELFA'!D:D)</f>
        <v>LEI - Lista De Equipamentos E Instrumentos</v>
      </c>
      <c r="D60" s="39" t="s">
        <v>64</v>
      </c>
      <c r="E60" s="39" t="str">
        <f>_xlfn.LET(_xlpm.q,_xlfn.XLOOKUP(D60,'LD-ELFA'!F:F,'LD-ELFA'!Q:Q),
   _xlpm.r,_xlfn.XLOOKUP(D60,'LD-ELFA'!F:F,'LD-ELFA'!R:R),
   IF(_xlpm.r = "", _xlpm.q, _xlpm.q &amp; " - " &amp; _xlpm.r))</f>
        <v>LISTA DE EQUIPAMENTOS DE AUTOMAÇÃO</v>
      </c>
      <c r="F60" s="63" t="str">
        <f t="shared" si="0"/>
        <v>Básico</v>
      </c>
      <c r="G60" s="63">
        <f>_xlfn.XLOOKUP(D60,'LD-ELFA'!F:F,'LD-ELFA'!G:G)</f>
        <v>0</v>
      </c>
      <c r="H60" s="63">
        <f>_xlfn.XLOOKUP(D60,'LD-ELFA'!F:F,'LD-ELFA'!I:I)</f>
        <v>0</v>
      </c>
      <c r="I60" s="63" t="str">
        <f>IF(_xlfn.XLOOKUP(D60,'LD-ELFA'!F:F,'LD-ELFA'!T:T)="","",_xlfn.XLOOKUP(D60,'LD-ELFA'!F:F,'LD-ELFA'!T:T))</f>
        <v/>
      </c>
      <c r="J60" s="63" t="str">
        <f>IF(K60="Documento a emitir", "",_xlfn.XLOOKUP(D60,'LD-ELFA'!F:F,'LD-ELFA'!N:N))</f>
        <v/>
      </c>
      <c r="K60" s="43" t="str">
        <f>IF(_xlfn.XLOOKUP($D60,'LD-ELFA'!F:F,'LD-ELFA'!U:U)="","Documento a emitir",_xlfn.XLOOKUP($D60,'LD-ELFA'!F:F,'LD-ELFA'!U:U))</f>
        <v>Documento a emitir</v>
      </c>
      <c r="L60" s="43" t="str">
        <f>IF(K60="Documento a emitir","Documento a emitir",IF(K60&lt;&gt;"Documento a emitir",IF(_xlfn.XLOOKUP(D60,'LD-ELFA'!F:F,'LD-ELFA'!W:W)="","",_xlfn.XLOOKUP(D60,'LD-ELFA'!F:F,'LD-ELFA'!W:W)),""))</f>
        <v>Documento a emitir</v>
      </c>
      <c r="M60" s="43" t="str">
        <f>IF(K60="Documento a emitir","",IF(AND(Q60="APC-R  - APC-R - Aprovado com Comentários (Retornar para uma nova Aprovação)",Q60="APC-L  - APC-L  - Aprovado com Comentários (Retornar Aprovado)"),"",IF(OR(_xlfn.XLOOKUP(D60,'LD-ELFA'!F:F,'LD-ELFA'!N:N)="PARA CONHECIMENTO",_xlfn.XLOOKUP(D60,'LD-ELFA'!F:F,'LD-ELFA'!N:N)="PARA CONSTRUÇÃO",_xlfn.XLOOKUP(D60,'LD-ELFA'!F:F,'LD-ELFA'!N:N)="PARA COTAÇÃO",_xlfn.XLOOKUP(D60,'LD-ELFA'!F:F,'LD-ELFA'!N:N)="CANCELADO"),_xlfn.XLOOKUP(D60,'LD-ELFA'!F:F,'LD-ELFA'!U:U),IF(AND(L60="",J60&lt;&gt;"PARA APROVAÇÃO"),"",""))))</f>
        <v/>
      </c>
      <c r="N60" s="63" t="str">
        <f ca="1">IF(O60="Documento Concluído","Documento Concluído",IF(O60="Cliente - Atendimento de Comentário",IF(TODAY()&lt;=(K60+3),"No prazo","Atrasado"),IF(O60="Cliente - Atendimento de Comentário",IF(TODAY()&lt;=(WORKDAY(K60,3,0)),"No prazo","Atrasado"),IF(O60="Blossom - Emissão Final",IF(TODAY()&lt;=(WORKDAY(L60,3,0)),"No prazo","Atrasado"),IF(O60="Blossom - Atendimento de Comentário",IF(TODAY()&lt;=(WORKDAY(L60,3,0)),"No prazo","Atrasado"),IF(O60="Blossom - Documento a emitir","Documento a Emitir","ERRO"))))))</f>
        <v>Documento a Emitir</v>
      </c>
      <c r="O60" s="63" t="str">
        <f t="shared" si="2"/>
        <v>Blossom - Documento a emitir</v>
      </c>
      <c r="P60" s="63" t="str">
        <f t="shared" si="3"/>
        <v>Blossom</v>
      </c>
      <c r="Q60" s="63" t="str">
        <f>IF(_xlfn.XLOOKUP(D60,'LD-ELFA'!F:F,'LD-ELFA'!V:V)="","",_xlfn.XLOOKUP(D60,'LD-ELFA'!F:F,'LD-ELFA'!V:V))</f>
        <v/>
      </c>
      <c r="R60" s="40">
        <f>IFERROR(IF(I60&lt;&gt;"","Documento Emitido",_xlfn.XLOOKUP(D60,Cronograma!P:P,Cronograma!Q:Q)),"Documento Removido")</f>
        <v>46227</v>
      </c>
      <c r="S60" s="40" t="str">
        <f t="shared" ca="1" si="4"/>
        <v>No prazo</v>
      </c>
      <c r="T60" s="40">
        <f>IFERROR(IF(I60&lt;&gt;"","Documento Emitido",_xlfn.XLOOKUP(D60,Cronograma!P:P,Cronograma!R:R)),"Documento Removido")</f>
        <v>46227</v>
      </c>
      <c r="U60" s="39" t="str">
        <f t="shared" si="5"/>
        <v>No prazo</v>
      </c>
      <c r="V60" s="39" t="str">
        <f t="shared" si="6"/>
        <v>Semana 2</v>
      </c>
      <c r="W60" s="39" t="str">
        <f t="shared" ca="1" si="7"/>
        <v/>
      </c>
    </row>
    <row r="61" spans="1:23" s="60" customFormat="1" ht="28.5" customHeight="1" x14ac:dyDescent="0.2">
      <c r="A61" s="39">
        <v>58</v>
      </c>
      <c r="B61" s="39" t="str">
        <f>_xlfn.XLOOKUP(D61,'LD-ELFA'!F:F,'LD-ELFA'!C:C)</f>
        <v>AI - Automacao E Instrumentacao</v>
      </c>
      <c r="C61" s="39" t="str">
        <f>_xlfn.XLOOKUP(D61,'LD-ELFA'!F:F,'LD-ELFA'!D:D)</f>
        <v>LEI - Lista De Equipamentos E Instrumentos</v>
      </c>
      <c r="D61" s="39" t="s">
        <v>65</v>
      </c>
      <c r="E61" s="39" t="str">
        <f>_xlfn.LET(_xlpm.q,_xlfn.XLOOKUP(D61,'LD-ELFA'!F:F,'LD-ELFA'!Q:Q),
   _xlpm.r,_xlfn.XLOOKUP(D61,'LD-ELFA'!F:F,'LD-ELFA'!R:R),
   IF(_xlpm.r = "", _xlpm.q, _xlpm.q &amp; " - " &amp; _xlpm.r))</f>
        <v>LISTA DE EQUIPAMENTOS DE TELECOM</v>
      </c>
      <c r="F61" s="63" t="str">
        <f t="shared" si="0"/>
        <v>Básico</v>
      </c>
      <c r="G61" s="63">
        <f>_xlfn.XLOOKUP(D61,'LD-ELFA'!F:F,'LD-ELFA'!G:G)</f>
        <v>0</v>
      </c>
      <c r="H61" s="63">
        <f>_xlfn.XLOOKUP(D61,'LD-ELFA'!F:F,'LD-ELFA'!I:I)</f>
        <v>0</v>
      </c>
      <c r="I61" s="63" t="str">
        <f>IF(_xlfn.XLOOKUP(D61,'LD-ELFA'!F:F,'LD-ELFA'!T:T)="","",_xlfn.XLOOKUP(D61,'LD-ELFA'!F:F,'LD-ELFA'!T:T))</f>
        <v/>
      </c>
      <c r="J61" s="63" t="str">
        <f>IF(K61="Documento a emitir", "",_xlfn.XLOOKUP(D61,'LD-ELFA'!F:F,'LD-ELFA'!N:N))</f>
        <v/>
      </c>
      <c r="K61" s="43" t="str">
        <f>IF(_xlfn.XLOOKUP($D61,'LD-ELFA'!F:F,'LD-ELFA'!U:U)="","Documento a emitir",_xlfn.XLOOKUP($D61,'LD-ELFA'!F:F,'LD-ELFA'!U:U))</f>
        <v>Documento a emitir</v>
      </c>
      <c r="L61" s="43" t="str">
        <f>IF(K61="Documento a emitir","Documento a emitir",IF(K61&lt;&gt;"Documento a emitir",IF(_xlfn.XLOOKUP(D61,'LD-ELFA'!F:F,'LD-ELFA'!W:W)="","",_xlfn.XLOOKUP(D61,'LD-ELFA'!F:F,'LD-ELFA'!W:W)),""))</f>
        <v>Documento a emitir</v>
      </c>
      <c r="M61" s="43" t="str">
        <f>IF(K61="Documento a emitir","",IF(AND(Q61="APC-R  - APC-R - Aprovado com Comentários (Retornar para uma nova Aprovação)",Q61="APC-L  - APC-L  - Aprovado com Comentários (Retornar Aprovado)"),"",IF(OR(_xlfn.XLOOKUP(D61,'LD-ELFA'!F:F,'LD-ELFA'!N:N)="PARA CONHECIMENTO",_xlfn.XLOOKUP(D61,'LD-ELFA'!F:F,'LD-ELFA'!N:N)="PARA CONSTRUÇÃO",_xlfn.XLOOKUP(D61,'LD-ELFA'!F:F,'LD-ELFA'!N:N)="PARA COTAÇÃO",_xlfn.XLOOKUP(D61,'LD-ELFA'!F:F,'LD-ELFA'!N:N)="CANCELADO"),_xlfn.XLOOKUP(D61,'LD-ELFA'!F:F,'LD-ELFA'!U:U),IF(AND(L61="",J61&lt;&gt;"PARA APROVAÇÃO"),"",""))))</f>
        <v/>
      </c>
      <c r="N61" s="63" t="str">
        <f ca="1">IF(O61="Documento Concluído","Documento Concluído",IF(O61="Cliente - Atendimento de Comentário",IF(TODAY()&lt;=(K61+3),"No prazo","Atrasado"),IF(O61="Cliente - Atendimento de Comentário",IF(TODAY()&lt;=(WORKDAY(K61,3,0)),"No prazo","Atrasado"),IF(O61="Blossom - Emissão Final",IF(TODAY()&lt;=(WORKDAY(L61,3,0)),"No prazo","Atrasado"),IF(O61="Blossom - Atendimento de Comentário",IF(TODAY()&lt;=(WORKDAY(L61,3,0)),"No prazo","Atrasado"),IF(O61="Blossom - Documento a emitir","Documento a Emitir","ERRO"))))))</f>
        <v>Documento a Emitir</v>
      </c>
      <c r="O61" s="63" t="str">
        <f t="shared" si="2"/>
        <v>Blossom - Documento a emitir</v>
      </c>
      <c r="P61" s="63" t="str">
        <f t="shared" si="3"/>
        <v>Blossom</v>
      </c>
      <c r="Q61" s="63" t="str">
        <f>IF(_xlfn.XLOOKUP(D61,'LD-ELFA'!F:F,'LD-ELFA'!V:V)="","",_xlfn.XLOOKUP(D61,'LD-ELFA'!F:F,'LD-ELFA'!V:V))</f>
        <v/>
      </c>
      <c r="R61" s="40">
        <f>IFERROR(IF(I61&lt;&gt;"","Documento Emitido",_xlfn.XLOOKUP(D61,Cronograma!P:P,Cronograma!Q:Q)),"Documento Removido")</f>
        <v>46254</v>
      </c>
      <c r="S61" s="40" t="str">
        <f t="shared" ca="1" si="4"/>
        <v>No prazo</v>
      </c>
      <c r="T61" s="40">
        <f>IFERROR(IF(I61&lt;&gt;"","Documento Emitido",_xlfn.XLOOKUP(D61,Cronograma!P:P,Cronograma!R:R)),"Documento Removido")</f>
        <v>46254</v>
      </c>
      <c r="U61" s="39" t="str">
        <f t="shared" si="5"/>
        <v>No prazo</v>
      </c>
      <c r="V61" s="39" t="str">
        <f t="shared" si="6"/>
        <v/>
      </c>
      <c r="W61" s="39" t="str">
        <f t="shared" ca="1" si="7"/>
        <v/>
      </c>
    </row>
    <row r="62" spans="1:23" s="60" customFormat="1" ht="28.5" customHeight="1" x14ac:dyDescent="0.2">
      <c r="A62" s="39">
        <v>59</v>
      </c>
      <c r="B62" s="39" t="str">
        <f>_xlfn.XLOOKUP(D62,'LD-ELFA'!F:F,'LD-ELFA'!C:C)</f>
        <v>AI - Automacao E Instrumentacao</v>
      </c>
      <c r="C62" s="39" t="str">
        <f>_xlfn.XLOOKUP(D62,'LD-ELFA'!F:F,'LD-ELFA'!D:D)</f>
        <v>LEI - Lista De Equipamentos E Instrumentos</v>
      </c>
      <c r="D62" s="39" t="s">
        <v>66</v>
      </c>
      <c r="E62" s="39" t="str">
        <f>_xlfn.LET(_xlpm.q,_xlfn.XLOOKUP(D62,'LD-ELFA'!F:F,'LD-ELFA'!Q:Q),
   _xlpm.r,_xlfn.XLOOKUP(D62,'LD-ELFA'!F:F,'LD-ELFA'!R:R),
   IF(_xlpm.r = "", _xlpm.q, _xlpm.q &amp; " - " &amp; _xlpm.r))</f>
        <v>LISTA DE INSTRUMENTOS</v>
      </c>
      <c r="F62" s="63" t="str">
        <f t="shared" si="0"/>
        <v>Básico</v>
      </c>
      <c r="G62" s="63">
        <f>_xlfn.XLOOKUP(D62,'LD-ELFA'!F:F,'LD-ELFA'!G:G)</f>
        <v>0</v>
      </c>
      <c r="H62" s="63" t="str">
        <f>_xlfn.XLOOKUP(D62,'LD-ELFA'!F:F,'LD-ELFA'!I:I)</f>
        <v>1</v>
      </c>
      <c r="I62" s="63" t="str">
        <f>IF(_xlfn.XLOOKUP(D62,'LD-ELFA'!F:F,'LD-ELFA'!T:T)="","",_xlfn.XLOOKUP(D62,'LD-ELFA'!F:F,'LD-ELFA'!T:T))</f>
        <v>0005</v>
      </c>
      <c r="J62" s="63" t="str">
        <f>IF(K62="Documento a emitir", "",_xlfn.XLOOKUP(D62,'LD-ELFA'!F:F,'LD-ELFA'!N:N))</f>
        <v>PARA APROVAÇÃO</v>
      </c>
      <c r="K62" s="43">
        <f>IF(_xlfn.XLOOKUP($D62,'LD-ELFA'!F:F,'LD-ELFA'!U:U)="","Documento a emitir",_xlfn.XLOOKUP($D62,'LD-ELFA'!F:F,'LD-ELFA'!U:U))</f>
        <v>46199.699325266207</v>
      </c>
      <c r="L62" s="43">
        <f>IF(K62="Documento a emitir","Documento a emitir",IF(K62&lt;&gt;"Documento a emitir",IF(_xlfn.XLOOKUP(D62,'LD-ELFA'!F:F,'LD-ELFA'!W:W)="","",_xlfn.XLOOKUP(D62,'LD-ELFA'!F:F,'LD-ELFA'!W:W)),""))</f>
        <v>46204.712519097222</v>
      </c>
      <c r="M62" s="43" t="str">
        <f>IF(K62="Documento a emitir","",IF(AND(Q62="APC-R  - APC-R - Aprovado com Comentários (Retornar para uma nova Aprovação)",Q62="APC-L  - APC-L  - Aprovado com Comentários (Retornar Aprovado)"),"",IF(OR(_xlfn.XLOOKUP(D62,'LD-ELFA'!F:F,'LD-ELFA'!N:N)="PARA CONHECIMENTO",_xlfn.XLOOKUP(D62,'LD-ELFA'!F:F,'LD-ELFA'!N:N)="PARA CONSTRUÇÃO",_xlfn.XLOOKUP(D62,'LD-ELFA'!F:F,'LD-ELFA'!N:N)="PARA COTAÇÃO",_xlfn.XLOOKUP(D62,'LD-ELFA'!F:F,'LD-ELFA'!N:N)="CANCELADO"),_xlfn.XLOOKUP(D62,'LD-ELFA'!F:F,'LD-ELFA'!U:U),IF(AND(L62="",J62&lt;&gt;"PARA APROVAÇÃO"),"",""))))</f>
        <v/>
      </c>
      <c r="N62" s="63" t="str">
        <f ca="1">IF(O62="Documento Concluído","Documento Concluído",IF(O62="Cliente - Atendimento de Comentário",IF(TODAY()&lt;=(K62+3),"No prazo","Atrasado"),IF(O62="Cliente - Atendimento de Comentário",IF(TODAY()&lt;=(WORKDAY(K62,3,0)),"No prazo","Atrasado"),IF(O62="Blossom - Emissão Final",IF(TODAY()&lt;=(WORKDAY(L62,3,0)),"No prazo","Atrasado"),IF(O62="Blossom - Atendimento de Comentário",IF(TODAY()&lt;=(WORKDAY(L62,3,0)),"No prazo","Atrasado"),IF(O62="Blossom - Documento a emitir","Documento a Emitir","ERRO"))))))</f>
        <v>Atrasado</v>
      </c>
      <c r="O62" s="63" t="str">
        <f t="shared" si="2"/>
        <v>Blossom - Atendimento de Comentário</v>
      </c>
      <c r="P62" s="63" t="str">
        <f t="shared" si="3"/>
        <v>Blossom</v>
      </c>
      <c r="Q62" s="63" t="str">
        <f>IF(_xlfn.XLOOKUP(D62,'LD-ELFA'!F:F,'LD-ELFA'!V:V)="","",_xlfn.XLOOKUP(D62,'LD-ELFA'!F:F,'LD-ELFA'!V:V))</f>
        <v>APC-L  - APC-L  - Aprovado com Comentários (Retornar Aprovado)</v>
      </c>
      <c r="R62" s="40" t="str">
        <f>IFERROR(IF(I62&lt;&gt;"","Documento Emitido",_xlfn.XLOOKUP(D62,Cronograma!P:P,Cronograma!Q:Q)),"Documento Removido")</f>
        <v>Documento Emitido</v>
      </c>
      <c r="S62" s="40" t="str">
        <f t="shared" ca="1" si="4"/>
        <v>Documento Emitido</v>
      </c>
      <c r="T62" s="40" t="str">
        <f>IFERROR(IF(I62&lt;&gt;"","Documento Emitido",_xlfn.XLOOKUP(D62,Cronograma!P:P,Cronograma!R:R)),"Documento Removido")</f>
        <v>Documento Emitido</v>
      </c>
      <c r="U62" s="39" t="str">
        <f t="shared" si="5"/>
        <v>Documento Emitido</v>
      </c>
      <c r="V62" s="39" t="str">
        <f t="shared" si="6"/>
        <v>Documento Emitido</v>
      </c>
      <c r="W62" s="39" t="str">
        <f t="shared" ca="1" si="7"/>
        <v/>
      </c>
    </row>
    <row r="63" spans="1:23" s="60" customFormat="1" ht="28.5" customHeight="1" x14ac:dyDescent="0.2">
      <c r="A63" s="39">
        <v>60</v>
      </c>
      <c r="B63" s="39" t="e">
        <f>_xlfn.XLOOKUP(D63,'LD-ELFA'!F:F,'LD-ELFA'!C:C)</f>
        <v>#N/A</v>
      </c>
      <c r="C63" s="39" t="e">
        <f>_xlfn.XLOOKUP(D63,'LD-ELFA'!F:F,'LD-ELFA'!D:D)</f>
        <v>#N/A</v>
      </c>
      <c r="D63" s="39" t="s">
        <v>67</v>
      </c>
      <c r="E63" s="39" t="e">
        <f>_xlfn.LET(_xlpm.q,_xlfn.XLOOKUP(D63,'LD-ELFA'!F:F,'LD-ELFA'!Q:Q),
   _xlpm.r,_xlfn.XLOOKUP(D63,'LD-ELFA'!F:F,'LD-ELFA'!R:R),
   IF(_xlpm.r = "", _xlpm.q, _xlpm.q &amp; " - " &amp; _xlpm.r))</f>
        <v>#N/A</v>
      </c>
      <c r="F63" s="63" t="str">
        <f t="shared" si="0"/>
        <v>Básico</v>
      </c>
      <c r="G63" s="63" t="e">
        <f>_xlfn.XLOOKUP(D63,'LD-ELFA'!F:F,'LD-ELFA'!G:G)</f>
        <v>#N/A</v>
      </c>
      <c r="H63" s="63" t="e">
        <f>_xlfn.XLOOKUP(D63,'LD-ELFA'!F:F,'LD-ELFA'!I:I)</f>
        <v>#N/A</v>
      </c>
      <c r="I63" s="63" t="e">
        <f>IF(_xlfn.XLOOKUP(D63,'LD-ELFA'!F:F,'LD-ELFA'!T:T)="","",_xlfn.XLOOKUP(D63,'LD-ELFA'!F:F,'LD-ELFA'!T:T))</f>
        <v>#N/A</v>
      </c>
      <c r="J63" s="63" t="e">
        <f>IF(K63="Documento a emitir", "",_xlfn.XLOOKUP(D63,'LD-ELFA'!F:F,'LD-ELFA'!N:N))</f>
        <v>#N/A</v>
      </c>
      <c r="K63" s="43" t="e">
        <f>IF(_xlfn.XLOOKUP($D63,'LD-ELFA'!F:F,'LD-ELFA'!U:U)="","Documento a emitir",_xlfn.XLOOKUP($D63,'LD-ELFA'!F:F,'LD-ELFA'!U:U))</f>
        <v>#N/A</v>
      </c>
      <c r="L63" s="43" t="e">
        <f>IF(K63="Documento a emitir","Documento a emitir",IF(K63&lt;&gt;"Documento a emitir",IF(_xlfn.XLOOKUP(D63,'LD-ELFA'!F:F,'LD-ELFA'!W:W)="","",_xlfn.XLOOKUP(D63,'LD-ELFA'!F:F,'LD-ELFA'!W:W)),""))</f>
        <v>#N/A</v>
      </c>
      <c r="M63" s="43" t="e">
        <f>IF(K63="Documento a emitir","",IF(AND(Q63="APC-R  - APC-R - Aprovado com Comentários (Retornar para uma nova Aprovação)",Q63="APC-L  - APC-L  - Aprovado com Comentários (Retornar Aprovado)"),"",IF(OR(_xlfn.XLOOKUP(D63,'LD-ELFA'!F:F,'LD-ELFA'!N:N)="PARA CONHECIMENTO",_xlfn.XLOOKUP(D63,'LD-ELFA'!F:F,'LD-ELFA'!N:N)="PARA CONSTRUÇÃO",_xlfn.XLOOKUP(D63,'LD-ELFA'!F:F,'LD-ELFA'!N:N)="PARA COTAÇÃO",_xlfn.XLOOKUP(D63,'LD-ELFA'!F:F,'LD-ELFA'!N:N)="CANCELADO"),_xlfn.XLOOKUP(D63,'LD-ELFA'!F:F,'LD-ELFA'!U:U),IF(AND(L63="",J63&lt;&gt;"PARA APROVAÇÃO"),"",""))))</f>
        <v>#N/A</v>
      </c>
      <c r="N63" s="63" t="str">
        <f ca="1">IF(O63="Documento Concluído","Documento Concluído",IF(O63="Cliente - Atendimento de Comentário",IF(TODAY()&lt;=(K63+3),"No prazo","Atrasado"),IF(O63="Cliente - Atendimento de Comentário",IF(TODAY()&lt;=(WORKDAY(K63,3,0)),"No prazo","Atrasado"),IF(O63="Blossom - Emissão Final",IF(TODAY()&lt;=(WORKDAY(L63,3,0)),"No prazo","Atrasado"),IF(O63="Blossom - Atendimento de Comentário",IF(TODAY()&lt;=(WORKDAY(L63,3,0)),"No prazo","Atrasado"),IF(O63="Blossom - Documento a emitir","Documento a Emitir",IF(O63="Documento Removido","Documento Removido","ERRO")))))))</f>
        <v>Documento Removido</v>
      </c>
      <c r="O63" s="63" t="str">
        <f t="shared" si="2"/>
        <v>Documento Removido</v>
      </c>
      <c r="P63" s="63" t="str">
        <f t="shared" si="3"/>
        <v>Blossom</v>
      </c>
      <c r="Q63" s="63" t="e">
        <f>IF(_xlfn.XLOOKUP(D63,'LD-ELFA'!F:F,'LD-ELFA'!V:V)="","",_xlfn.XLOOKUP(D63,'LD-ELFA'!F:F,'LD-ELFA'!V:V))</f>
        <v>#N/A</v>
      </c>
      <c r="R63" s="40" t="str">
        <f>IFERROR(IF(I63&lt;&gt;"","Documento Emitido",_xlfn.XLOOKUP(D63,Cronograma!P:P,Cronograma!Q:Q)),"Documento Removido")</f>
        <v>Documento Removido</v>
      </c>
      <c r="S63" s="40" t="str">
        <f t="shared" ca="1" si="4"/>
        <v>Documento Removido</v>
      </c>
      <c r="T63" s="40" t="str">
        <f>IFERROR(IF(I63&lt;&gt;"","Documento Emitido",_xlfn.XLOOKUP(D63,Cronograma!P:P,Cronograma!R:R)),"Documento Removido")</f>
        <v>Documento Removido</v>
      </c>
      <c r="U63" s="39" t="str">
        <f t="shared" si="5"/>
        <v>Documento Removido</v>
      </c>
      <c r="V63" s="39" t="str">
        <f t="shared" si="6"/>
        <v>Documento Removido</v>
      </c>
      <c r="W63" s="39" t="e">
        <f t="shared" ca="1" si="7"/>
        <v>#N/A</v>
      </c>
    </row>
    <row r="64" spans="1:23" s="60" customFormat="1" ht="28.5" customHeight="1" x14ac:dyDescent="0.2">
      <c r="A64" s="39">
        <v>61</v>
      </c>
      <c r="B64" s="39" t="e">
        <f>_xlfn.XLOOKUP(D64,'LD-ELFA'!F:F,'LD-ELFA'!C:C)</f>
        <v>#N/A</v>
      </c>
      <c r="C64" s="39" t="e">
        <f>_xlfn.XLOOKUP(D64,'LD-ELFA'!F:F,'LD-ELFA'!D:D)</f>
        <v>#N/A</v>
      </c>
      <c r="D64" s="39" t="s">
        <v>68</v>
      </c>
      <c r="E64" s="39" t="e">
        <f>_xlfn.LET(_xlpm.q,_xlfn.XLOOKUP(D64,'LD-ELFA'!F:F,'LD-ELFA'!Q:Q),
   _xlpm.r,_xlfn.XLOOKUP(D64,'LD-ELFA'!F:F,'LD-ELFA'!R:R),
   IF(_xlpm.r = "", _xlpm.q, _xlpm.q &amp; " - " &amp; _xlpm.r))</f>
        <v>#N/A</v>
      </c>
      <c r="F64" s="63" t="str">
        <f t="shared" si="0"/>
        <v>Básico</v>
      </c>
      <c r="G64" s="63" t="e">
        <f>_xlfn.XLOOKUP(D64,'LD-ELFA'!F:F,'LD-ELFA'!G:G)</f>
        <v>#N/A</v>
      </c>
      <c r="H64" s="63" t="e">
        <f>_xlfn.XLOOKUP(D64,'LD-ELFA'!F:F,'LD-ELFA'!I:I)</f>
        <v>#N/A</v>
      </c>
      <c r="I64" s="63" t="e">
        <f>IF(_xlfn.XLOOKUP(D64,'LD-ELFA'!F:F,'LD-ELFA'!T:T)="","",_xlfn.XLOOKUP(D64,'LD-ELFA'!F:F,'LD-ELFA'!T:T))</f>
        <v>#N/A</v>
      </c>
      <c r="J64" s="63" t="e">
        <f>IF(K64="Documento a emitir", "",_xlfn.XLOOKUP(D64,'LD-ELFA'!F:F,'LD-ELFA'!N:N))</f>
        <v>#N/A</v>
      </c>
      <c r="K64" s="43" t="e">
        <f>IF(_xlfn.XLOOKUP($D64,'LD-ELFA'!F:F,'LD-ELFA'!U:U)="","Documento a emitir",_xlfn.XLOOKUP($D64,'LD-ELFA'!F:F,'LD-ELFA'!U:U))</f>
        <v>#N/A</v>
      </c>
      <c r="L64" s="43" t="e">
        <f>IF(K64="Documento a emitir","Documento a emitir",IF(K64&lt;&gt;"Documento a emitir",IF(_xlfn.XLOOKUP(D64,'LD-ELFA'!F:F,'LD-ELFA'!W:W)="","",_xlfn.XLOOKUP(D64,'LD-ELFA'!F:F,'LD-ELFA'!W:W)),""))</f>
        <v>#N/A</v>
      </c>
      <c r="M64" s="43" t="e">
        <f>IF(K64="Documento a emitir","",IF(AND(Q64="APC-R  - APC-R - Aprovado com Comentários (Retornar para uma nova Aprovação)",Q64="APC-L  - APC-L  - Aprovado com Comentários (Retornar Aprovado)"),"",IF(OR(_xlfn.XLOOKUP(D64,'LD-ELFA'!F:F,'LD-ELFA'!N:N)="PARA CONHECIMENTO",_xlfn.XLOOKUP(D64,'LD-ELFA'!F:F,'LD-ELFA'!N:N)="PARA CONSTRUÇÃO",_xlfn.XLOOKUP(D64,'LD-ELFA'!F:F,'LD-ELFA'!N:N)="PARA COTAÇÃO",_xlfn.XLOOKUP(D64,'LD-ELFA'!F:F,'LD-ELFA'!N:N)="CANCELADO"),_xlfn.XLOOKUP(D64,'LD-ELFA'!F:F,'LD-ELFA'!U:U),IF(AND(L64="",J64&lt;&gt;"PARA APROVAÇÃO"),"",""))))</f>
        <v>#N/A</v>
      </c>
      <c r="N64" s="63" t="str">
        <f ca="1">IF(O64="Documento Concluído","Documento Concluído",IF(O64="Cliente - Atendimento de Comentário",IF(TODAY()&lt;=(K64+3),"No prazo","Atrasado"),IF(O64="Cliente - Atendimento de Comentário",IF(TODAY()&lt;=(WORKDAY(K64,3,0)),"No prazo","Atrasado"),IF(O64="Blossom - Emissão Final",IF(TODAY()&lt;=(WORKDAY(L64,3,0)),"No prazo","Atrasado"),IF(O64="Blossom - Atendimento de Comentário",IF(TODAY()&lt;=(WORKDAY(L64,3,0)),"No prazo","Atrasado"),IF(O64="Blossom - Documento a emitir","Documento a Emitir",IF(O64="Documento Removido","Documento Removido","ERRO")))))))</f>
        <v>Documento Removido</v>
      </c>
      <c r="O64" s="63" t="str">
        <f t="shared" si="2"/>
        <v>Documento Removido</v>
      </c>
      <c r="P64" s="63" t="str">
        <f t="shared" si="3"/>
        <v>Blossom</v>
      </c>
      <c r="Q64" s="63" t="e">
        <f>IF(_xlfn.XLOOKUP(D64,'LD-ELFA'!F:F,'LD-ELFA'!V:V)="","",_xlfn.XLOOKUP(D64,'LD-ELFA'!F:F,'LD-ELFA'!V:V))</f>
        <v>#N/A</v>
      </c>
      <c r="R64" s="40" t="str">
        <f>IFERROR(IF(I64&lt;&gt;"","Documento Emitido",_xlfn.XLOOKUP(D64,Cronograma!P:P,Cronograma!Q:Q)),"Documento Removido")</f>
        <v>Documento Removido</v>
      </c>
      <c r="S64" s="40" t="str">
        <f t="shared" ca="1" si="4"/>
        <v>Documento Removido</v>
      </c>
      <c r="T64" s="40" t="str">
        <f>IFERROR(IF(I64&lt;&gt;"","Documento Emitido",_xlfn.XLOOKUP(D64,Cronograma!P:P,Cronograma!R:R)),"Documento Removido")</f>
        <v>Documento Removido</v>
      </c>
      <c r="U64" s="39" t="str">
        <f t="shared" si="5"/>
        <v>Documento Removido</v>
      </c>
      <c r="V64" s="39" t="str">
        <f t="shared" si="6"/>
        <v>Documento Removido</v>
      </c>
      <c r="W64" s="39" t="e">
        <f t="shared" ca="1" si="7"/>
        <v>#N/A</v>
      </c>
    </row>
    <row r="65" spans="1:23" s="60" customFormat="1" ht="28.5" customHeight="1" x14ac:dyDescent="0.2">
      <c r="A65" s="39">
        <v>62</v>
      </c>
      <c r="B65" s="39" t="e">
        <f>_xlfn.XLOOKUP(D65,'LD-ELFA'!F:F,'LD-ELFA'!C:C)</f>
        <v>#N/A</v>
      </c>
      <c r="C65" s="39" t="e">
        <f>_xlfn.XLOOKUP(D65,'LD-ELFA'!F:F,'LD-ELFA'!D:D)</f>
        <v>#N/A</v>
      </c>
      <c r="D65" s="39" t="s">
        <v>69</v>
      </c>
      <c r="E65" s="39" t="e">
        <f>_xlfn.LET(_xlpm.q,_xlfn.XLOOKUP(D65,'LD-ELFA'!F:F,'LD-ELFA'!Q:Q),
   _xlpm.r,_xlfn.XLOOKUP(D65,'LD-ELFA'!F:F,'LD-ELFA'!R:R),
   IF(_xlpm.r = "", _xlpm.q, _xlpm.q &amp; " - " &amp; _xlpm.r))</f>
        <v>#N/A</v>
      </c>
      <c r="F65" s="63" t="str">
        <f t="shared" si="0"/>
        <v>Básico</v>
      </c>
      <c r="G65" s="63" t="e">
        <f>_xlfn.XLOOKUP(D65,'LD-ELFA'!F:F,'LD-ELFA'!G:G)</f>
        <v>#N/A</v>
      </c>
      <c r="H65" s="63" t="e">
        <f>_xlfn.XLOOKUP(D65,'LD-ELFA'!F:F,'LD-ELFA'!I:I)</f>
        <v>#N/A</v>
      </c>
      <c r="I65" s="63" t="e">
        <f>IF(_xlfn.XLOOKUP(D65,'LD-ELFA'!F:F,'LD-ELFA'!T:T)="","",_xlfn.XLOOKUP(D65,'LD-ELFA'!F:F,'LD-ELFA'!T:T))</f>
        <v>#N/A</v>
      </c>
      <c r="J65" s="63" t="e">
        <f>IF(K65="Documento a emitir", "",_xlfn.XLOOKUP(D65,'LD-ELFA'!F:F,'LD-ELFA'!N:N))</f>
        <v>#N/A</v>
      </c>
      <c r="K65" s="43" t="e">
        <f>IF(_xlfn.XLOOKUP($D65,'LD-ELFA'!F:F,'LD-ELFA'!U:U)="","Documento a emitir",_xlfn.XLOOKUP($D65,'LD-ELFA'!F:F,'LD-ELFA'!U:U))</f>
        <v>#N/A</v>
      </c>
      <c r="L65" s="43" t="e">
        <f>IF(K65="Documento a emitir","Documento a emitir",IF(K65&lt;&gt;"Documento a emitir",IF(_xlfn.XLOOKUP(D65,'LD-ELFA'!F:F,'LD-ELFA'!W:W)="","",_xlfn.XLOOKUP(D65,'LD-ELFA'!F:F,'LD-ELFA'!W:W)),""))</f>
        <v>#N/A</v>
      </c>
      <c r="M65" s="43" t="e">
        <f>IF(K65="Documento a emitir","",IF(AND(Q65="APC-R  - APC-R - Aprovado com Comentários (Retornar para uma nova Aprovação)",Q65="APC-L  - APC-L  - Aprovado com Comentários (Retornar Aprovado)"),"",IF(OR(_xlfn.XLOOKUP(D65,'LD-ELFA'!F:F,'LD-ELFA'!N:N)="PARA CONHECIMENTO",_xlfn.XLOOKUP(D65,'LD-ELFA'!F:F,'LD-ELFA'!N:N)="PARA CONSTRUÇÃO",_xlfn.XLOOKUP(D65,'LD-ELFA'!F:F,'LD-ELFA'!N:N)="PARA COTAÇÃO",_xlfn.XLOOKUP(D65,'LD-ELFA'!F:F,'LD-ELFA'!N:N)="CANCELADO"),_xlfn.XLOOKUP(D65,'LD-ELFA'!F:F,'LD-ELFA'!U:U),IF(AND(L65="",J65&lt;&gt;"PARA APROVAÇÃO"),"",""))))</f>
        <v>#N/A</v>
      </c>
      <c r="N65" s="63" t="str">
        <f ca="1">IF(O65="Documento Concluído","Documento Concluído",IF(O65="Cliente - Atendimento de Comentário",IF(TODAY()&lt;=(K65+3),"No prazo","Atrasado"),IF(O65="Cliente - Atendimento de Comentário",IF(TODAY()&lt;=(WORKDAY(K65,3,0)),"No prazo","Atrasado"),IF(O65="Blossom - Emissão Final",IF(TODAY()&lt;=(WORKDAY(L65,3,0)),"No prazo","Atrasado"),IF(O65="Blossom - Atendimento de Comentário",IF(TODAY()&lt;=(WORKDAY(L65,3,0)),"No prazo","Atrasado"),IF(O65="Blossom - Documento a emitir","Documento a Emitir",IF(O65="Documento Removido","Documento Removido","ERRO")))))))</f>
        <v>Documento Removido</v>
      </c>
      <c r="O65" s="63" t="str">
        <f t="shared" si="2"/>
        <v>Documento Removido</v>
      </c>
      <c r="P65" s="63" t="str">
        <f t="shared" si="3"/>
        <v>Blossom</v>
      </c>
      <c r="Q65" s="63" t="e">
        <f>IF(_xlfn.XLOOKUP(D65,'LD-ELFA'!F:F,'LD-ELFA'!V:V)="","",_xlfn.XLOOKUP(D65,'LD-ELFA'!F:F,'LD-ELFA'!V:V))</f>
        <v>#N/A</v>
      </c>
      <c r="R65" s="40" t="str">
        <f>IFERROR(IF(I65&lt;&gt;"","Documento Emitido",_xlfn.XLOOKUP(D65,Cronograma!P:P,Cronograma!Q:Q)),"Documento Removido")</f>
        <v>Documento Removido</v>
      </c>
      <c r="S65" s="40" t="str">
        <f t="shared" ca="1" si="4"/>
        <v>Documento Removido</v>
      </c>
      <c r="T65" s="40" t="str">
        <f>IFERROR(IF(I65&lt;&gt;"","Documento Emitido",_xlfn.XLOOKUP(D65,Cronograma!P:P,Cronograma!R:R)),"Documento Removido")</f>
        <v>Documento Removido</v>
      </c>
      <c r="U65" s="39" t="str">
        <f t="shared" si="5"/>
        <v>Documento Removido</v>
      </c>
      <c r="V65" s="39" t="str">
        <f t="shared" si="6"/>
        <v>Documento Removido</v>
      </c>
      <c r="W65" s="39" t="e">
        <f t="shared" ca="1" si="7"/>
        <v>#N/A</v>
      </c>
    </row>
    <row r="66" spans="1:23" s="60" customFormat="1" ht="28.5" customHeight="1" x14ac:dyDescent="0.2">
      <c r="A66" s="39">
        <v>63</v>
      </c>
      <c r="B66" s="39" t="str">
        <f>_xlfn.XLOOKUP(D66,'LD-ELFA'!F:F,'LD-ELFA'!C:C)</f>
        <v>AI - Automacao E Instrumentacao</v>
      </c>
      <c r="C66" s="39" t="str">
        <f>_xlfn.XLOOKUP(D66,'LD-ELFA'!F:F,'LD-ELFA'!D:D)</f>
        <v>RES - Relação De Entradas E Saídas</v>
      </c>
      <c r="D66" s="39" t="s">
        <v>70</v>
      </c>
      <c r="E66" s="39" t="str">
        <f>_xlfn.LET(_xlpm.q,_xlfn.XLOOKUP(D66,'LD-ELFA'!F:F,'LD-ELFA'!Q:Q),
   _xlpm.r,_xlfn.XLOOKUP(D66,'LD-ELFA'!F:F,'LD-ELFA'!R:R),
   IF(_xlpm.r = "", _xlpm.q, _xlpm.q &amp; " - " &amp; _xlpm.r))</f>
        <v>LISTA PRELIMINAR DE ENTRADAS E SAÍDAS</v>
      </c>
      <c r="F66" s="63" t="str">
        <f t="shared" si="0"/>
        <v>Básico</v>
      </c>
      <c r="G66" s="63">
        <f>_xlfn.XLOOKUP(D66,'LD-ELFA'!F:F,'LD-ELFA'!G:G)</f>
        <v>0</v>
      </c>
      <c r="H66" s="63">
        <f>_xlfn.XLOOKUP(D66,'LD-ELFA'!F:F,'LD-ELFA'!I:I)</f>
        <v>0</v>
      </c>
      <c r="I66" s="63" t="str">
        <f>IF(_xlfn.XLOOKUP(D66,'LD-ELFA'!F:F,'LD-ELFA'!T:T)="","",_xlfn.XLOOKUP(D66,'LD-ELFA'!F:F,'LD-ELFA'!T:T))</f>
        <v/>
      </c>
      <c r="J66" s="63" t="str">
        <f>IF(K66="Documento a emitir", "",_xlfn.XLOOKUP(D66,'LD-ELFA'!F:F,'LD-ELFA'!N:N))</f>
        <v/>
      </c>
      <c r="K66" s="43" t="str">
        <f>IF(_xlfn.XLOOKUP($D66,'LD-ELFA'!F:F,'LD-ELFA'!U:U)="","Documento a emitir",_xlfn.XLOOKUP($D66,'LD-ELFA'!F:F,'LD-ELFA'!U:U))</f>
        <v>Documento a emitir</v>
      </c>
      <c r="L66" s="43" t="str">
        <f>IF(K66="Documento a emitir","Documento a emitir",IF(K66&lt;&gt;"Documento a emitir",IF(_xlfn.XLOOKUP(D66,'LD-ELFA'!F:F,'LD-ELFA'!W:W)="","",_xlfn.XLOOKUP(D66,'LD-ELFA'!F:F,'LD-ELFA'!W:W)),""))</f>
        <v>Documento a emitir</v>
      </c>
      <c r="M66" s="43" t="str">
        <f>IF(K66="Documento a emitir","",IF(AND(Q66="APC-R  - APC-R - Aprovado com Comentários (Retornar para uma nova Aprovação)",Q66="APC-L  - APC-L  - Aprovado com Comentários (Retornar Aprovado)"),"",IF(OR(_xlfn.XLOOKUP(D66,'LD-ELFA'!F:F,'LD-ELFA'!N:N)="PARA CONHECIMENTO",_xlfn.XLOOKUP(D66,'LD-ELFA'!F:F,'LD-ELFA'!N:N)="PARA CONSTRUÇÃO",_xlfn.XLOOKUP(D66,'LD-ELFA'!F:F,'LD-ELFA'!N:N)="PARA COTAÇÃO",_xlfn.XLOOKUP(D66,'LD-ELFA'!F:F,'LD-ELFA'!N:N)="CANCELADO"),_xlfn.XLOOKUP(D66,'LD-ELFA'!F:F,'LD-ELFA'!U:U),IF(AND(L66="",J66&lt;&gt;"PARA APROVAÇÃO"),"",""))))</f>
        <v/>
      </c>
      <c r="N66" s="63" t="str">
        <f ca="1">IF(O66="Documento Concluído","Documento Concluído",IF(O66="Cliente - Atendimento de Comentário",IF(TODAY()&lt;=(K66+3),"No prazo","Atrasado"),IF(O66="Cliente - Atendimento de Comentário",IF(TODAY()&lt;=(WORKDAY(K66,3,0)),"No prazo","Atrasado"),IF(O66="Blossom - Emissão Final",IF(TODAY()&lt;=(WORKDAY(L66,3,0)),"No prazo","Atrasado"),IF(O66="Blossom - Atendimento de Comentário",IF(TODAY()&lt;=(WORKDAY(L66,3,0)),"No prazo","Atrasado"),IF(O66="Blossom - Documento a emitir","Documento a Emitir","ERRO"))))))</f>
        <v>Documento a Emitir</v>
      </c>
      <c r="O66" s="63" t="str">
        <f t="shared" si="2"/>
        <v>Blossom - Documento a emitir</v>
      </c>
      <c r="P66" s="63" t="str">
        <f t="shared" si="3"/>
        <v>Blossom</v>
      </c>
      <c r="Q66" s="63" t="str">
        <f>IF(_xlfn.XLOOKUP(D66,'LD-ELFA'!F:F,'LD-ELFA'!V:V)="","",_xlfn.XLOOKUP(D66,'LD-ELFA'!F:F,'LD-ELFA'!V:V))</f>
        <v/>
      </c>
      <c r="R66" s="40">
        <f>IFERROR(IF(I66&lt;&gt;"","Documento Emitido",_xlfn.XLOOKUP(D66,Cronograma!P:P,Cronograma!Q:Q)),"Documento Removido")</f>
        <v>46220</v>
      </c>
      <c r="S66" s="40" t="str">
        <f t="shared" ca="1" si="4"/>
        <v>No prazo</v>
      </c>
      <c r="T66" s="40">
        <f>IFERROR(IF(I66&lt;&gt;"","Documento Emitido",_xlfn.XLOOKUP(D66,Cronograma!P:P,Cronograma!R:R)),"Documento Removido")</f>
        <v>46220</v>
      </c>
      <c r="U66" s="39" t="str">
        <f t="shared" si="5"/>
        <v>No prazo</v>
      </c>
      <c r="V66" s="39" t="str">
        <f t="shared" si="6"/>
        <v>Semana 1</v>
      </c>
      <c r="W66" s="39" t="str">
        <f t="shared" ca="1" si="7"/>
        <v/>
      </c>
    </row>
    <row r="67" spans="1:23" s="60" customFormat="1" ht="28.5" customHeight="1" x14ac:dyDescent="0.2">
      <c r="A67" s="39">
        <v>64</v>
      </c>
      <c r="B67" s="39" t="e">
        <f>_xlfn.XLOOKUP(D67,'LD-ELFA'!F:F,'LD-ELFA'!C:C)</f>
        <v>#N/A</v>
      </c>
      <c r="C67" s="39" t="e">
        <f>_xlfn.XLOOKUP(D67,'LD-ELFA'!F:F,'LD-ELFA'!D:D)</f>
        <v>#N/A</v>
      </c>
      <c r="D67" s="39" t="s">
        <v>71</v>
      </c>
      <c r="E67" s="39" t="e">
        <f>_xlfn.LET(_xlpm.q,_xlfn.XLOOKUP(D67,'LD-ELFA'!F:F,'LD-ELFA'!Q:Q),
   _xlpm.r,_xlfn.XLOOKUP(D67,'LD-ELFA'!F:F,'LD-ELFA'!R:R),
   IF(_xlpm.r = "", _xlpm.q, _xlpm.q &amp; " - " &amp; _xlpm.r))</f>
        <v>#N/A</v>
      </c>
      <c r="F67" s="63" t="str">
        <f t="shared" si="0"/>
        <v>Básico</v>
      </c>
      <c r="G67" s="63" t="e">
        <f>_xlfn.XLOOKUP(D67,'LD-ELFA'!F:F,'LD-ELFA'!G:G)</f>
        <v>#N/A</v>
      </c>
      <c r="H67" s="63" t="e">
        <f>_xlfn.XLOOKUP(D67,'LD-ELFA'!F:F,'LD-ELFA'!I:I)</f>
        <v>#N/A</v>
      </c>
      <c r="I67" s="63" t="e">
        <f>IF(_xlfn.XLOOKUP(D67,'LD-ELFA'!F:F,'LD-ELFA'!T:T)="","",_xlfn.XLOOKUP(D67,'LD-ELFA'!F:F,'LD-ELFA'!T:T))</f>
        <v>#N/A</v>
      </c>
      <c r="J67" s="63" t="e">
        <f>IF(K67="Documento a emitir", "",_xlfn.XLOOKUP(D67,'LD-ELFA'!F:F,'LD-ELFA'!N:N))</f>
        <v>#N/A</v>
      </c>
      <c r="K67" s="43" t="e">
        <f>IF(_xlfn.XLOOKUP($D67,'LD-ELFA'!F:F,'LD-ELFA'!U:U)="","Documento a emitir",_xlfn.XLOOKUP($D67,'LD-ELFA'!F:F,'LD-ELFA'!U:U))</f>
        <v>#N/A</v>
      </c>
      <c r="L67" s="43" t="e">
        <f>IF(K67="Documento a emitir","Documento a emitir",IF(K67&lt;&gt;"Documento a emitir",IF(_xlfn.XLOOKUP(D67,'LD-ELFA'!F:F,'LD-ELFA'!W:W)="","",_xlfn.XLOOKUP(D67,'LD-ELFA'!F:F,'LD-ELFA'!W:W)),""))</f>
        <v>#N/A</v>
      </c>
      <c r="M67" s="43" t="e">
        <f>IF(K67="Documento a emitir","",IF(AND(Q67="APC-R  - APC-R - Aprovado com Comentários (Retornar para uma nova Aprovação)",Q67="APC-L  - APC-L  - Aprovado com Comentários (Retornar Aprovado)"),"",IF(OR(_xlfn.XLOOKUP(D67,'LD-ELFA'!F:F,'LD-ELFA'!N:N)="PARA CONHECIMENTO",_xlfn.XLOOKUP(D67,'LD-ELFA'!F:F,'LD-ELFA'!N:N)="PARA CONSTRUÇÃO",_xlfn.XLOOKUP(D67,'LD-ELFA'!F:F,'LD-ELFA'!N:N)="PARA COTAÇÃO",_xlfn.XLOOKUP(D67,'LD-ELFA'!F:F,'LD-ELFA'!N:N)="CANCELADO"),_xlfn.XLOOKUP(D67,'LD-ELFA'!F:F,'LD-ELFA'!U:U),IF(AND(L67="",J67&lt;&gt;"PARA APROVAÇÃO"),"",""))))</f>
        <v>#N/A</v>
      </c>
      <c r="N67" s="63" t="str">
        <f ca="1">IF(O67="Documento Concluído","Documento Concluído",IF(O67="Cliente - Atendimento de Comentário",IF(TODAY()&lt;=(K67+3),"No prazo","Atrasado"),IF(O67="Cliente - Atendimento de Comentário",IF(TODAY()&lt;=(WORKDAY(K67,3,0)),"No prazo","Atrasado"),IF(O67="Blossom - Emissão Final",IF(TODAY()&lt;=(WORKDAY(L67,3,0)),"No prazo","Atrasado"),IF(O67="Blossom - Atendimento de Comentário",IF(TODAY()&lt;=(WORKDAY(L67,3,0)),"No prazo","Atrasado"),IF(O67="Blossom - Documento a emitir","Documento a Emitir",IF(O67="Documento Removido","Documento Removido","ERRO")))))))</f>
        <v>Documento Removido</v>
      </c>
      <c r="O67" s="63" t="str">
        <f t="shared" si="2"/>
        <v>Documento Removido</v>
      </c>
      <c r="P67" s="63" t="str">
        <f t="shared" si="3"/>
        <v>Blossom</v>
      </c>
      <c r="Q67" s="63" t="e">
        <f>IF(_xlfn.XLOOKUP(D67,'LD-ELFA'!F:F,'LD-ELFA'!V:V)="","",_xlfn.XLOOKUP(D67,'LD-ELFA'!F:F,'LD-ELFA'!V:V))</f>
        <v>#N/A</v>
      </c>
      <c r="R67" s="40" t="str">
        <f>IFERROR(IF(I67&lt;&gt;"","Documento Emitido",_xlfn.XLOOKUP(D67,Cronograma!P:P,Cronograma!Q:Q)),"Documento Removido")</f>
        <v>Documento Removido</v>
      </c>
      <c r="S67" s="40" t="str">
        <f t="shared" ca="1" si="4"/>
        <v>Documento Removido</v>
      </c>
      <c r="T67" s="40" t="str">
        <f>IFERROR(IF(I67&lt;&gt;"","Documento Emitido",_xlfn.XLOOKUP(D67,Cronograma!P:P,Cronograma!R:R)),"Documento Removido")</f>
        <v>Documento Removido</v>
      </c>
      <c r="U67" s="39" t="str">
        <f t="shared" si="5"/>
        <v>Documento Removido</v>
      </c>
      <c r="V67" s="39" t="str">
        <f t="shared" si="6"/>
        <v>Documento Removido</v>
      </c>
      <c r="W67" s="39" t="e">
        <f t="shared" ca="1" si="7"/>
        <v>#N/A</v>
      </c>
    </row>
    <row r="68" spans="1:23" s="60" customFormat="1" ht="28.5" customHeight="1" x14ac:dyDescent="0.2">
      <c r="A68" s="39">
        <v>65</v>
      </c>
      <c r="B68" s="39" t="str">
        <f>_xlfn.XLOOKUP(D68,'LD-ELFA'!F:F,'LD-ELFA'!C:C)</f>
        <v>AR - Arquitetura</v>
      </c>
      <c r="C68" s="39" t="str">
        <f>_xlfn.XLOOKUP(D68,'LD-ELFA'!F:F,'LD-ELFA'!D:D)</f>
        <v>CPR - Critério De Projeto</v>
      </c>
      <c r="D68" s="39" t="s">
        <v>72</v>
      </c>
      <c r="E68" s="39" t="str">
        <f>_xlfn.LET(_xlpm.q,_xlfn.XLOOKUP(D68,'LD-ELFA'!F:F,'LD-ELFA'!Q:Q),
   _xlpm.r,_xlfn.XLOOKUP(D68,'LD-ELFA'!F:F,'LD-ELFA'!R:R),
   IF(_xlpm.r = "", _xlpm.q, _xlpm.q &amp; " - " &amp; _xlpm.r))</f>
        <v>CRITÉRIOS DE PROJETO - ARQUITETURA</v>
      </c>
      <c r="F68" s="63" t="str">
        <f t="shared" ref="F68:F131" si="10">IF(ISNUMBER(VALUE(RIGHT(D68,4))),
IF(AND(VALUE(RIGHT(D68,4))&gt;=1000, VALUE(RIGHT(D68,4))&lt;2000), "Conceitual",
IF(AND(VALUE(RIGHT(D68,4))&gt;=2000, VALUE(RIGHT(D68,4))&lt;3000), "Básico",
IF(AND(VALUE(RIGHT(D68,4))&gt;=3000, VALUE(RIGHT(D68,4))&lt;4000), "Detalhado", ""))),
"")</f>
        <v>Básico</v>
      </c>
      <c r="G68" s="63">
        <f>_xlfn.XLOOKUP(D68,'LD-ELFA'!F:F,'LD-ELFA'!G:G)</f>
        <v>2</v>
      </c>
      <c r="H68" s="63" t="str">
        <f>_xlfn.XLOOKUP(D68,'LD-ELFA'!F:F,'LD-ELFA'!I:I)</f>
        <v>5</v>
      </c>
      <c r="I68" s="63" t="str">
        <f>IF(_xlfn.XLOOKUP(D68,'LD-ELFA'!F:F,'LD-ELFA'!T:T)="","",_xlfn.XLOOKUP(D68,'LD-ELFA'!F:F,'LD-ELFA'!T:T))</f>
        <v>0032</v>
      </c>
      <c r="J68" s="63" t="str">
        <f>IF(K68="Documento a emitir", "",_xlfn.XLOOKUP(D68,'LD-ELFA'!F:F,'LD-ELFA'!N:N))</f>
        <v>PARA CONHECIMENTO</v>
      </c>
      <c r="K68" s="43">
        <f>IF(_xlfn.XLOOKUP($D68,'LD-ELFA'!F:F,'LD-ELFA'!U:U)="","Documento a emitir",_xlfn.XLOOKUP($D68,'LD-ELFA'!F:F,'LD-ELFA'!U:U))</f>
        <v>46213.699656053243</v>
      </c>
      <c r="L68" s="43" t="str">
        <f>IF(K68="Documento a emitir","Documento a emitir",IF(K68&lt;&gt;"Documento a emitir",IF(_xlfn.XLOOKUP(D68,'LD-ELFA'!F:F,'LD-ELFA'!W:W)="","",_xlfn.XLOOKUP(D68,'LD-ELFA'!F:F,'LD-ELFA'!W:W)),""))</f>
        <v/>
      </c>
      <c r="M68" s="43">
        <f>IF(K68="Documento a emitir","",IF(AND(Q68="APC-R  - APC-R - Aprovado com Comentários (Retornar para uma nova Aprovação)",Q68="APC-L  - APC-L  - Aprovado com Comentários (Retornar Aprovado)"),"",IF(OR(_xlfn.XLOOKUP(D68,'LD-ELFA'!F:F,'LD-ELFA'!N:N)="PARA CONHECIMENTO",_xlfn.XLOOKUP(D68,'LD-ELFA'!F:F,'LD-ELFA'!N:N)="PARA CONSTRUÇÃO",_xlfn.XLOOKUP(D68,'LD-ELFA'!F:F,'LD-ELFA'!N:N)="PARA COTAÇÃO",_xlfn.XLOOKUP(D68,'LD-ELFA'!F:F,'LD-ELFA'!N:N)="CANCELADO"),_xlfn.XLOOKUP(D68,'LD-ELFA'!F:F,'LD-ELFA'!U:U),IF(AND(L68="",J68&lt;&gt;"PARA APROVAÇÃO"),"",""))))</f>
        <v>46213.699656053243</v>
      </c>
      <c r="N68" s="63" t="str">
        <f t="shared" ref="N68:N101" ca="1" si="11">IF(O68="Documento Concluído","Documento Concluído",IF(O68="Cliente - Atendimento de Comentário",IF(TODAY()&lt;=(K68+3),"No prazo","Atrasado"),IF(O68="Cliente - Atendimento de Comentário",IF(TODAY()&lt;=(WORKDAY(K68,3,0)),"No prazo","Atrasado"),IF(O68="Blossom - Emissão Final",IF(TODAY()&lt;=(WORKDAY(L68,3,0)),"No prazo","Atrasado"),IF(O68="Blossom - Atendimento de Comentário",IF(TODAY()&lt;=(WORKDAY(L68,3,0)),"No prazo","Atrasado"),IF(O68="Blossom - Documento a emitir","Documento a Emitir","ERRO"))))))</f>
        <v>Documento Concluído</v>
      </c>
      <c r="O68" s="63" t="str">
        <f t="shared" ref="O68:O131" si="12">IF(R68="Documento Removido","Documento Removido",IF(M68&lt;&gt;"","Documento Concluído",IF(AND(M68="",Q68="PARA APROVAÇÃO"),"Blossom - Emissão Final",IF(AND(M68="",Q68="APC-L  - APC-L  - Aprovado com Comentários (Retornar Aprovado)",Q68="APC-R  - APC-R - Aprovado com Comentários (Retornar para uma nova Aprovação)"),"Blossom - Atendimento de Comentário",IF(AND(L68&lt;&gt;"",J68="PARA APROVAÇÃO"),"Blossom - Atendimento de Comentário",IF(AND(L68&lt;&gt;"",J68="PRELIMINAR"),"Blossom - Atendimento de Comentário",IF(AND(L68="",J68&lt;&gt;"PARA APROVAÇÃO"),"Cliente - Atendimento de Comentário",IF(AND(L68="",J68&lt;&gt;"PRELIMINAR"),"Cliente - Atendimento de Comentário",IF(AND(K68&lt;&gt;"Documento a emitir",J68="PARA APROVAÇÃO"),"Cliente - Atendimento de Comentário",IF(K68="Documento a emitir","Blossom - Documento a emitir","ERRO"))))))))))</f>
        <v>Documento Concluído</v>
      </c>
      <c r="P68" s="63" t="str">
        <f t="shared" ref="P68:P131" si="13">IF(O68="Documento finalizado","Documento finalizado",IF(ISNUMBER(FIND("Cliente",O68)),"Circlua","Blossom"))</f>
        <v>Blossom</v>
      </c>
      <c r="Q68" s="63" t="str">
        <f>IF(_xlfn.XLOOKUP(D68,'LD-ELFA'!F:F,'LD-ELFA'!V:V)="","",_xlfn.XLOOKUP(D68,'LD-ELFA'!F:F,'LD-ELFA'!V:V))</f>
        <v/>
      </c>
      <c r="R68" s="40" t="str">
        <f>IFERROR(IF(I68&lt;&gt;"","Documento Emitido",_xlfn.XLOOKUP(D68,Cronograma!P:P,Cronograma!Q:Q)),"Documento Removido")</f>
        <v>Documento Emitido</v>
      </c>
      <c r="S68" s="40" t="str">
        <f t="shared" ref="S68:S131" ca="1" si="14">IFERROR(IF(K68&lt;&gt;"Documento a emitir","Documento Emitido",IF(R68&lt;TODAY(),"Emissão Atrasada","No prazo")),"Documento Removido")</f>
        <v>Documento Emitido</v>
      </c>
      <c r="T68" s="40" t="str">
        <f>IFERROR(IF(I68&lt;&gt;"","Documento Emitido",_xlfn.XLOOKUP(D68,Cronograma!P:P,Cronograma!R:R)),"Documento Removido")</f>
        <v>Documento Emitido</v>
      </c>
      <c r="U68" s="39" t="str">
        <f t="shared" ref="U68:U131" si="15">IFERROR(IF(K68&lt;&gt;"Documento a emitir","Documento Emitido",IF(T68&lt;R68,"Emissão Atrasada","No prazo")),"Documento Removido")</f>
        <v>Documento Emitido</v>
      </c>
      <c r="V68" s="39" t="str">
        <f t="shared" ref="V68:V131" si="16">IF(R68="Documento Emitido","Documento Emitido",
IF(R68="Documento Removido","Documento Removido",
IF(AND(R68-$D$1&gt;=0,R68-$D$1&lt;=7),"Semana 1",
IF(AND(R68-$D$1&gt;7,R68-$D$1&lt;=14),"Semana 2",IF(AND(R68-$D$1&gt;14,R68-$D$1&lt;=21),"Semana 3","")))))</f>
        <v>Documento Emitido</v>
      </c>
      <c r="W68" s="39" t="str">
        <f t="shared" ref="W68:W131" ca="1" si="17">IF(OR(K68="Documento a emitir", K68="Documento Emitido"), "",
IF(AND(ISNUMBER(K68),
K68&gt;=TODAY()-WEEKDAY(TODAY(),2)-6,
K68&lt;=TODAY()-WEEKDAY(TODAY(),2)+5),
IF(G68=0, "Emissão Semana", "Atendimento de Comentário"),
""))</f>
        <v>Atendimento de Comentário</v>
      </c>
    </row>
    <row r="69" spans="1:23" s="60" customFormat="1" ht="28.5" customHeight="1" x14ac:dyDescent="0.2">
      <c r="A69" s="39">
        <v>66</v>
      </c>
      <c r="B69" s="39" t="str">
        <f>_xlfn.XLOOKUP(D69,'LD-ELFA'!F:F,'LD-ELFA'!C:C)</f>
        <v>AR - Arquitetura</v>
      </c>
      <c r="C69" s="39" t="str">
        <f>_xlfn.XLOOKUP(D69,'LD-ELFA'!F:F,'LD-ELFA'!D:D)</f>
        <v>DBA - Desenho Básico</v>
      </c>
      <c r="D69" s="39" t="s">
        <v>73</v>
      </c>
      <c r="E69" s="39" t="str">
        <f>_xlfn.LET(_xlpm.q,_xlfn.XLOOKUP(D69,'LD-ELFA'!F:F,'LD-ELFA'!Q:Q),
   _xlpm.r,_xlfn.XLOOKUP(D69,'LD-ELFA'!F:F,'LD-ELFA'!R:R),
   IF(_xlpm.r = "", _xlpm.q, _xlpm.q &amp; " - " &amp; _xlpm.r))</f>
        <v>PLANTA E CORTES</v>
      </c>
      <c r="F69" s="63" t="str">
        <f t="shared" si="10"/>
        <v>Básico</v>
      </c>
      <c r="G69" s="63">
        <f>_xlfn.XLOOKUP(D69,'LD-ELFA'!F:F,'LD-ELFA'!G:G)</f>
        <v>0</v>
      </c>
      <c r="H69" s="63">
        <f>_xlfn.XLOOKUP(D69,'LD-ELFA'!F:F,'LD-ELFA'!I:I)</f>
        <v>0</v>
      </c>
      <c r="I69" s="63" t="str">
        <f>IF(_xlfn.XLOOKUP(D69,'LD-ELFA'!F:F,'LD-ELFA'!T:T)="","",_xlfn.XLOOKUP(D69,'LD-ELFA'!F:F,'LD-ELFA'!T:T))</f>
        <v/>
      </c>
      <c r="J69" s="63" t="str">
        <f>IF(K69="Documento a emitir", "",_xlfn.XLOOKUP(D69,'LD-ELFA'!F:F,'LD-ELFA'!N:N))</f>
        <v/>
      </c>
      <c r="K69" s="43" t="str">
        <f>IF(_xlfn.XLOOKUP($D69,'LD-ELFA'!F:F,'LD-ELFA'!U:U)="","Documento a emitir",_xlfn.XLOOKUP($D69,'LD-ELFA'!F:F,'LD-ELFA'!U:U))</f>
        <v>Documento a emitir</v>
      </c>
      <c r="L69" s="43" t="str">
        <f>IF(K69="Documento a emitir","Documento a emitir",IF(K69&lt;&gt;"Documento a emitir",IF(_xlfn.XLOOKUP(D69,'LD-ELFA'!F:F,'LD-ELFA'!W:W)="","",_xlfn.XLOOKUP(D69,'LD-ELFA'!F:F,'LD-ELFA'!W:W)),""))</f>
        <v>Documento a emitir</v>
      </c>
      <c r="M69" s="43" t="str">
        <f>IF(K69="Documento a emitir","",IF(AND(Q69="APC-R  - APC-R - Aprovado com Comentários (Retornar para uma nova Aprovação)",Q69="APC-L  - APC-L  - Aprovado com Comentários (Retornar Aprovado)"),"",IF(OR(_xlfn.XLOOKUP(D69,'LD-ELFA'!F:F,'LD-ELFA'!N:N)="PARA CONHECIMENTO",_xlfn.XLOOKUP(D69,'LD-ELFA'!F:F,'LD-ELFA'!N:N)="PARA CONSTRUÇÃO",_xlfn.XLOOKUP(D69,'LD-ELFA'!F:F,'LD-ELFA'!N:N)="PARA COTAÇÃO",_xlfn.XLOOKUP(D69,'LD-ELFA'!F:F,'LD-ELFA'!N:N)="CANCELADO"),_xlfn.XLOOKUP(D69,'LD-ELFA'!F:F,'LD-ELFA'!U:U),IF(AND(L69="",J69&lt;&gt;"PARA APROVAÇÃO"),"",""))))</f>
        <v/>
      </c>
      <c r="N69" s="63" t="str">
        <f t="shared" ca="1" si="11"/>
        <v>Documento a Emitir</v>
      </c>
      <c r="O69" s="63" t="str">
        <f t="shared" si="12"/>
        <v>Blossom - Documento a emitir</v>
      </c>
      <c r="P69" s="63" t="str">
        <f t="shared" si="13"/>
        <v>Blossom</v>
      </c>
      <c r="Q69" s="63" t="str">
        <f>IF(_xlfn.XLOOKUP(D69,'LD-ELFA'!F:F,'LD-ELFA'!V:V)="","",_xlfn.XLOOKUP(D69,'LD-ELFA'!F:F,'LD-ELFA'!V:V))</f>
        <v/>
      </c>
      <c r="R69" s="40">
        <f>IFERROR(IF(I69&lt;&gt;"","Documento Emitido",_xlfn.XLOOKUP(D69,Cronograma!P:P,Cronograma!Q:Q)),"Documento Removido")</f>
        <v>46233</v>
      </c>
      <c r="S69" s="40" t="str">
        <f t="shared" ca="1" si="14"/>
        <v>No prazo</v>
      </c>
      <c r="T69" s="40">
        <f>IFERROR(IF(I69&lt;&gt;"","Documento Emitido",_xlfn.XLOOKUP(D69,Cronograma!P:P,Cronograma!R:R)),"Documento Removido")</f>
        <v>46232</v>
      </c>
      <c r="U69" s="39" t="str">
        <f t="shared" si="15"/>
        <v>Emissão Atrasada</v>
      </c>
      <c r="V69" s="39" t="str">
        <f t="shared" si="16"/>
        <v>Semana 3</v>
      </c>
      <c r="W69" s="39" t="str">
        <f t="shared" ca="1" si="17"/>
        <v/>
      </c>
    </row>
    <row r="70" spans="1:23" s="60" customFormat="1" ht="28.5" customHeight="1" x14ac:dyDescent="0.2">
      <c r="A70" s="39">
        <v>67</v>
      </c>
      <c r="B70" s="39" t="str">
        <f>_xlfn.XLOOKUP(D70,'LD-ELFA'!F:F,'LD-ELFA'!C:C)</f>
        <v>AR - Arquitetura</v>
      </c>
      <c r="C70" s="39" t="str">
        <f>_xlfn.XLOOKUP(D70,'LD-ELFA'!F:F,'LD-ELFA'!D:D)</f>
        <v>DBA - Desenho Básico</v>
      </c>
      <c r="D70" s="39" t="s">
        <v>74</v>
      </c>
      <c r="E70" s="39" t="str">
        <f>_xlfn.LET(_xlpm.q,_xlfn.XLOOKUP(D70,'LD-ELFA'!F:F,'LD-ELFA'!Q:Q),
   _xlpm.r,_xlfn.XLOOKUP(D70,'LD-ELFA'!F:F,'LD-ELFA'!R:R),
   IF(_xlpm.r = "", _xlpm.q, _xlpm.q &amp; " - " &amp; _xlpm.r))</f>
        <v>PLANTA E CORTES</v>
      </c>
      <c r="F70" s="63" t="str">
        <f t="shared" si="10"/>
        <v>Básico</v>
      </c>
      <c r="G70" s="63">
        <f>_xlfn.XLOOKUP(D70,'LD-ELFA'!F:F,'LD-ELFA'!G:G)</f>
        <v>0</v>
      </c>
      <c r="H70" s="63">
        <f>_xlfn.XLOOKUP(D70,'LD-ELFA'!F:F,'LD-ELFA'!I:I)</f>
        <v>0</v>
      </c>
      <c r="I70" s="63" t="str">
        <f>IF(_xlfn.XLOOKUP(D70,'LD-ELFA'!F:F,'LD-ELFA'!T:T)="","",_xlfn.XLOOKUP(D70,'LD-ELFA'!F:F,'LD-ELFA'!T:T))</f>
        <v/>
      </c>
      <c r="J70" s="63" t="str">
        <f>IF(K70="Documento a emitir", "",_xlfn.XLOOKUP(D70,'LD-ELFA'!F:F,'LD-ELFA'!N:N))</f>
        <v/>
      </c>
      <c r="K70" s="43" t="str">
        <f>IF(_xlfn.XLOOKUP($D70,'LD-ELFA'!F:F,'LD-ELFA'!U:U)="","Documento a emitir",_xlfn.XLOOKUP($D70,'LD-ELFA'!F:F,'LD-ELFA'!U:U))</f>
        <v>Documento a emitir</v>
      </c>
      <c r="L70" s="43" t="str">
        <f>IF(K70="Documento a emitir","Documento a emitir",IF(K70&lt;&gt;"Documento a emitir",IF(_xlfn.XLOOKUP(D70,'LD-ELFA'!F:F,'LD-ELFA'!W:W)="","",_xlfn.XLOOKUP(D70,'LD-ELFA'!F:F,'LD-ELFA'!W:W)),""))</f>
        <v>Documento a emitir</v>
      </c>
      <c r="M70" s="43" t="str">
        <f>IF(K70="Documento a emitir","",IF(AND(Q70="APC-R  - APC-R - Aprovado com Comentários (Retornar para uma nova Aprovação)",Q70="APC-L  - APC-L  - Aprovado com Comentários (Retornar Aprovado)"),"",IF(OR(_xlfn.XLOOKUP(D70,'LD-ELFA'!F:F,'LD-ELFA'!N:N)="PARA CONHECIMENTO",_xlfn.XLOOKUP(D70,'LD-ELFA'!F:F,'LD-ELFA'!N:N)="PARA CONSTRUÇÃO",_xlfn.XLOOKUP(D70,'LD-ELFA'!F:F,'LD-ELFA'!N:N)="PARA COTAÇÃO",_xlfn.XLOOKUP(D70,'LD-ELFA'!F:F,'LD-ELFA'!N:N)="CANCELADO"),_xlfn.XLOOKUP(D70,'LD-ELFA'!F:F,'LD-ELFA'!U:U),IF(AND(L70="",J70&lt;&gt;"PARA APROVAÇÃO"),"",""))))</f>
        <v/>
      </c>
      <c r="N70" s="63" t="str">
        <f t="shared" ca="1" si="11"/>
        <v>Documento a Emitir</v>
      </c>
      <c r="O70" s="63" t="str">
        <f t="shared" si="12"/>
        <v>Blossom - Documento a emitir</v>
      </c>
      <c r="P70" s="63" t="str">
        <f t="shared" si="13"/>
        <v>Blossom</v>
      </c>
      <c r="Q70" s="63" t="str">
        <f>IF(_xlfn.XLOOKUP(D70,'LD-ELFA'!F:F,'LD-ELFA'!V:V)="","",_xlfn.XLOOKUP(D70,'LD-ELFA'!F:F,'LD-ELFA'!V:V))</f>
        <v/>
      </c>
      <c r="R70" s="40">
        <f>IFERROR(IF(I70&lt;&gt;"","Documento Emitido",_xlfn.XLOOKUP(D70,Cronograma!P:P,Cronograma!Q:Q)),"Documento Removido")</f>
        <v>46233</v>
      </c>
      <c r="S70" s="40" t="str">
        <f t="shared" ca="1" si="14"/>
        <v>No prazo</v>
      </c>
      <c r="T70" s="40">
        <f>IFERROR(IF(I70&lt;&gt;"","Documento Emitido",_xlfn.XLOOKUP(D70,Cronograma!P:P,Cronograma!R:R)),"Documento Removido")</f>
        <v>46244</v>
      </c>
      <c r="U70" s="39" t="str">
        <f t="shared" si="15"/>
        <v>No prazo</v>
      </c>
      <c r="V70" s="39" t="str">
        <f t="shared" si="16"/>
        <v>Semana 3</v>
      </c>
      <c r="W70" s="39" t="str">
        <f t="shared" ca="1" si="17"/>
        <v/>
      </c>
    </row>
    <row r="71" spans="1:23" s="60" customFormat="1" ht="28.5" customHeight="1" x14ac:dyDescent="0.2">
      <c r="A71" s="39">
        <v>68</v>
      </c>
      <c r="B71" s="39" t="str">
        <f>_xlfn.XLOOKUP(D71,'LD-ELFA'!F:F,'LD-ELFA'!C:C)</f>
        <v>AR - Arquitetura</v>
      </c>
      <c r="C71" s="39" t="str">
        <f>_xlfn.XLOOKUP(D71,'LD-ELFA'!F:F,'LD-ELFA'!D:D)</f>
        <v>DBA - Desenho Básico</v>
      </c>
      <c r="D71" s="39" t="s">
        <v>75</v>
      </c>
      <c r="E71" s="39" t="str">
        <f>_xlfn.LET(_xlpm.q,_xlfn.XLOOKUP(D71,'LD-ELFA'!F:F,'LD-ELFA'!Q:Q),
   _xlpm.r,_xlfn.XLOOKUP(D71,'LD-ELFA'!F:F,'LD-ELFA'!R:R),
   IF(_xlpm.r = "", _xlpm.q, _xlpm.q &amp; " - " &amp; _xlpm.r))</f>
        <v>PLANTA E CORTES</v>
      </c>
      <c r="F71" s="63" t="str">
        <f t="shared" si="10"/>
        <v>Básico</v>
      </c>
      <c r="G71" s="63">
        <f>_xlfn.XLOOKUP(D71,'LD-ELFA'!F:F,'LD-ELFA'!G:G)</f>
        <v>0</v>
      </c>
      <c r="H71" s="63">
        <f>_xlfn.XLOOKUP(D71,'LD-ELFA'!F:F,'LD-ELFA'!I:I)</f>
        <v>0</v>
      </c>
      <c r="I71" s="63" t="str">
        <f>IF(_xlfn.XLOOKUP(D71,'LD-ELFA'!F:F,'LD-ELFA'!T:T)="","",_xlfn.XLOOKUP(D71,'LD-ELFA'!F:F,'LD-ELFA'!T:T))</f>
        <v/>
      </c>
      <c r="J71" s="63" t="str">
        <f>IF(K71="Documento a emitir", "",_xlfn.XLOOKUP(D71,'LD-ELFA'!F:F,'LD-ELFA'!N:N))</f>
        <v/>
      </c>
      <c r="K71" s="43" t="str">
        <f>IF(_xlfn.XLOOKUP($D71,'LD-ELFA'!F:F,'LD-ELFA'!U:U)="","Documento a emitir",_xlfn.XLOOKUP($D71,'LD-ELFA'!F:F,'LD-ELFA'!U:U))</f>
        <v>Documento a emitir</v>
      </c>
      <c r="L71" s="43" t="str">
        <f>IF(K71="Documento a emitir","Documento a emitir",IF(K71&lt;&gt;"Documento a emitir",IF(_xlfn.XLOOKUP(D71,'LD-ELFA'!F:F,'LD-ELFA'!W:W)="","",_xlfn.XLOOKUP(D71,'LD-ELFA'!F:F,'LD-ELFA'!W:W)),""))</f>
        <v>Documento a emitir</v>
      </c>
      <c r="M71" s="43" t="str">
        <f>IF(K71="Documento a emitir","",IF(AND(Q71="APC-R  - APC-R - Aprovado com Comentários (Retornar para uma nova Aprovação)",Q71="APC-L  - APC-L  - Aprovado com Comentários (Retornar Aprovado)"),"",IF(OR(_xlfn.XLOOKUP(D71,'LD-ELFA'!F:F,'LD-ELFA'!N:N)="PARA CONHECIMENTO",_xlfn.XLOOKUP(D71,'LD-ELFA'!F:F,'LD-ELFA'!N:N)="PARA CONSTRUÇÃO",_xlfn.XLOOKUP(D71,'LD-ELFA'!F:F,'LD-ELFA'!N:N)="PARA COTAÇÃO",_xlfn.XLOOKUP(D71,'LD-ELFA'!F:F,'LD-ELFA'!N:N)="CANCELADO"),_xlfn.XLOOKUP(D71,'LD-ELFA'!F:F,'LD-ELFA'!U:U),IF(AND(L71="",J71&lt;&gt;"PARA APROVAÇÃO"),"",""))))</f>
        <v/>
      </c>
      <c r="N71" s="63" t="str">
        <f t="shared" ca="1" si="11"/>
        <v>Documento a Emitir</v>
      </c>
      <c r="O71" s="63" t="str">
        <f t="shared" si="12"/>
        <v>Blossom - Documento a emitir</v>
      </c>
      <c r="P71" s="63" t="str">
        <f t="shared" si="13"/>
        <v>Blossom</v>
      </c>
      <c r="Q71" s="63" t="str">
        <f>IF(_xlfn.XLOOKUP(D71,'LD-ELFA'!F:F,'LD-ELFA'!V:V)="","",_xlfn.XLOOKUP(D71,'LD-ELFA'!F:F,'LD-ELFA'!V:V))</f>
        <v/>
      </c>
      <c r="R71" s="40">
        <f>IFERROR(IF(I71&lt;&gt;"","Documento Emitido",_xlfn.XLOOKUP(D71,Cronograma!P:P,Cronograma!Q:Q)),"Documento Removido")</f>
        <v>46233</v>
      </c>
      <c r="S71" s="40" t="str">
        <f t="shared" ca="1" si="14"/>
        <v>No prazo</v>
      </c>
      <c r="T71" s="40">
        <f>IFERROR(IF(I71&lt;&gt;"","Documento Emitido",_xlfn.XLOOKUP(D71,Cronograma!P:P,Cronograma!R:R)),"Documento Removido")</f>
        <v>46254</v>
      </c>
      <c r="U71" s="39" t="str">
        <f t="shared" si="15"/>
        <v>No prazo</v>
      </c>
      <c r="V71" s="39" t="str">
        <f t="shared" si="16"/>
        <v>Semana 3</v>
      </c>
      <c r="W71" s="39" t="str">
        <f t="shared" ca="1" si="17"/>
        <v/>
      </c>
    </row>
    <row r="72" spans="1:23" s="60" customFormat="1" ht="28.5" customHeight="1" x14ac:dyDescent="0.2">
      <c r="A72" s="39">
        <v>69</v>
      </c>
      <c r="B72" s="39" t="str">
        <f>_xlfn.XLOOKUP(D72,'LD-ELFA'!F:F,'LD-ELFA'!C:C)</f>
        <v>AR - Arquitetura</v>
      </c>
      <c r="C72" s="39" t="str">
        <f>_xlfn.XLOOKUP(D72,'LD-ELFA'!F:F,'LD-ELFA'!D:D)</f>
        <v>DBA - Desenho Básico</v>
      </c>
      <c r="D72" s="39" t="s">
        <v>76</v>
      </c>
      <c r="E72" s="39" t="str">
        <f>_xlfn.LET(_xlpm.q,_xlfn.XLOOKUP(D72,'LD-ELFA'!F:F,'LD-ELFA'!Q:Q),
   _xlpm.r,_xlfn.XLOOKUP(D72,'LD-ELFA'!F:F,'LD-ELFA'!R:R),
   IF(_xlpm.r = "", _xlpm.q, _xlpm.q &amp; " - " &amp; _xlpm.r))</f>
        <v>PLANTA E CORTES</v>
      </c>
      <c r="F72" s="63" t="str">
        <f t="shared" si="10"/>
        <v>Básico</v>
      </c>
      <c r="G72" s="63">
        <f>_xlfn.XLOOKUP(D72,'LD-ELFA'!F:F,'LD-ELFA'!G:G)</f>
        <v>0</v>
      </c>
      <c r="H72" s="63">
        <f>_xlfn.XLOOKUP(D72,'LD-ELFA'!F:F,'LD-ELFA'!I:I)</f>
        <v>0</v>
      </c>
      <c r="I72" s="63" t="str">
        <f>IF(_xlfn.XLOOKUP(D72,'LD-ELFA'!F:F,'LD-ELFA'!T:T)="","",_xlfn.XLOOKUP(D72,'LD-ELFA'!F:F,'LD-ELFA'!T:T))</f>
        <v/>
      </c>
      <c r="J72" s="63" t="str">
        <f>IF(K72="Documento a emitir", "",_xlfn.XLOOKUP(D72,'LD-ELFA'!F:F,'LD-ELFA'!N:N))</f>
        <v/>
      </c>
      <c r="K72" s="43" t="str">
        <f>IF(_xlfn.XLOOKUP($D72,'LD-ELFA'!F:F,'LD-ELFA'!U:U)="","Documento a emitir",_xlfn.XLOOKUP($D72,'LD-ELFA'!F:F,'LD-ELFA'!U:U))</f>
        <v>Documento a emitir</v>
      </c>
      <c r="L72" s="43" t="str">
        <f>IF(K72="Documento a emitir","Documento a emitir",IF(K72&lt;&gt;"Documento a emitir",IF(_xlfn.XLOOKUP(D72,'LD-ELFA'!F:F,'LD-ELFA'!W:W)="","",_xlfn.XLOOKUP(D72,'LD-ELFA'!F:F,'LD-ELFA'!W:W)),""))</f>
        <v>Documento a emitir</v>
      </c>
      <c r="M72" s="43" t="str">
        <f>IF(K72="Documento a emitir","",IF(AND(Q72="APC-R  - APC-R - Aprovado com Comentários (Retornar para uma nova Aprovação)",Q72="APC-L  - APC-L  - Aprovado com Comentários (Retornar Aprovado)"),"",IF(OR(_xlfn.XLOOKUP(D72,'LD-ELFA'!F:F,'LD-ELFA'!N:N)="PARA CONHECIMENTO",_xlfn.XLOOKUP(D72,'LD-ELFA'!F:F,'LD-ELFA'!N:N)="PARA CONSTRUÇÃO",_xlfn.XLOOKUP(D72,'LD-ELFA'!F:F,'LD-ELFA'!N:N)="PARA COTAÇÃO",_xlfn.XLOOKUP(D72,'LD-ELFA'!F:F,'LD-ELFA'!N:N)="CANCELADO"),_xlfn.XLOOKUP(D72,'LD-ELFA'!F:F,'LD-ELFA'!U:U),IF(AND(L72="",J72&lt;&gt;"PARA APROVAÇÃO"),"",""))))</f>
        <v/>
      </c>
      <c r="N72" s="63" t="str">
        <f t="shared" ca="1" si="11"/>
        <v>Documento a Emitir</v>
      </c>
      <c r="O72" s="63" t="str">
        <f t="shared" si="12"/>
        <v>Blossom - Documento a emitir</v>
      </c>
      <c r="P72" s="63" t="str">
        <f t="shared" si="13"/>
        <v>Blossom</v>
      </c>
      <c r="Q72" s="63" t="str">
        <f>IF(_xlfn.XLOOKUP(D72,'LD-ELFA'!F:F,'LD-ELFA'!V:V)="","",_xlfn.XLOOKUP(D72,'LD-ELFA'!F:F,'LD-ELFA'!V:V))</f>
        <v/>
      </c>
      <c r="R72" s="40">
        <f>IFERROR(IF(I72&lt;&gt;"","Documento Emitido",_xlfn.XLOOKUP(D72,Cronograma!P:P,Cronograma!Q:Q)),"Documento Removido")</f>
        <v>46218</v>
      </c>
      <c r="S72" s="40" t="str">
        <f t="shared" ca="1" si="14"/>
        <v>No prazo</v>
      </c>
      <c r="T72" s="40">
        <f>IFERROR(IF(I72&lt;&gt;"","Documento Emitido",_xlfn.XLOOKUP(D72,Cronograma!P:P,Cronograma!R:R)),"Documento Removido")</f>
        <v>46211</v>
      </c>
      <c r="U72" s="39" t="str">
        <f t="shared" si="15"/>
        <v>Emissão Atrasada</v>
      </c>
      <c r="V72" s="39" t="str">
        <f t="shared" si="16"/>
        <v>Semana 1</v>
      </c>
      <c r="W72" s="39" t="str">
        <f t="shared" ca="1" si="17"/>
        <v/>
      </c>
    </row>
    <row r="73" spans="1:23" s="60" customFormat="1" ht="28.5" customHeight="1" x14ac:dyDescent="0.2">
      <c r="A73" s="39">
        <v>70</v>
      </c>
      <c r="B73" s="39" t="str">
        <f>_xlfn.XLOOKUP(D73,'LD-ELFA'!F:F,'LD-ELFA'!C:C)</f>
        <v>AR - Arquitetura</v>
      </c>
      <c r="C73" s="39" t="str">
        <f>_xlfn.XLOOKUP(D73,'LD-ELFA'!F:F,'LD-ELFA'!D:D)</f>
        <v>DBA - Desenho Básico</v>
      </c>
      <c r="D73" s="39" t="s">
        <v>77</v>
      </c>
      <c r="E73" s="39" t="str">
        <f>_xlfn.LET(_xlpm.q,_xlfn.XLOOKUP(D73,'LD-ELFA'!F:F,'LD-ELFA'!Q:Q),
   _xlpm.r,_xlfn.XLOOKUP(D73,'LD-ELFA'!F:F,'LD-ELFA'!R:R),
   IF(_xlpm.r = "", _xlpm.q, _xlpm.q &amp; " - " &amp; _xlpm.r))</f>
        <v>PLANTA E CORTES</v>
      </c>
      <c r="F73" s="63" t="str">
        <f t="shared" si="10"/>
        <v>Básico</v>
      </c>
      <c r="G73" s="63">
        <f>_xlfn.XLOOKUP(D73,'LD-ELFA'!F:F,'LD-ELFA'!G:G)</f>
        <v>0</v>
      </c>
      <c r="H73" s="63">
        <f>_xlfn.XLOOKUP(D73,'LD-ELFA'!F:F,'LD-ELFA'!I:I)</f>
        <v>0</v>
      </c>
      <c r="I73" s="63" t="str">
        <f>IF(_xlfn.XLOOKUP(D73,'LD-ELFA'!F:F,'LD-ELFA'!T:T)="","",_xlfn.XLOOKUP(D73,'LD-ELFA'!F:F,'LD-ELFA'!T:T))</f>
        <v/>
      </c>
      <c r="J73" s="63" t="str">
        <f>IF(K73="Documento a emitir", "",_xlfn.XLOOKUP(D73,'LD-ELFA'!F:F,'LD-ELFA'!N:N))</f>
        <v/>
      </c>
      <c r="K73" s="43" t="str">
        <f>IF(_xlfn.XLOOKUP($D73,'LD-ELFA'!F:F,'LD-ELFA'!U:U)="","Documento a emitir",_xlfn.XLOOKUP($D73,'LD-ELFA'!F:F,'LD-ELFA'!U:U))</f>
        <v>Documento a emitir</v>
      </c>
      <c r="L73" s="43" t="str">
        <f>IF(K73="Documento a emitir","Documento a emitir",IF(K73&lt;&gt;"Documento a emitir",IF(_xlfn.XLOOKUP(D73,'LD-ELFA'!F:F,'LD-ELFA'!W:W)="","",_xlfn.XLOOKUP(D73,'LD-ELFA'!F:F,'LD-ELFA'!W:W)),""))</f>
        <v>Documento a emitir</v>
      </c>
      <c r="M73" s="43" t="str">
        <f>IF(K73="Documento a emitir","",IF(AND(Q73="APC-R  - APC-R - Aprovado com Comentários (Retornar para uma nova Aprovação)",Q73="APC-L  - APC-L  - Aprovado com Comentários (Retornar Aprovado)"),"",IF(OR(_xlfn.XLOOKUP(D73,'LD-ELFA'!F:F,'LD-ELFA'!N:N)="PARA CONHECIMENTO",_xlfn.XLOOKUP(D73,'LD-ELFA'!F:F,'LD-ELFA'!N:N)="PARA CONSTRUÇÃO",_xlfn.XLOOKUP(D73,'LD-ELFA'!F:F,'LD-ELFA'!N:N)="PARA COTAÇÃO",_xlfn.XLOOKUP(D73,'LD-ELFA'!F:F,'LD-ELFA'!N:N)="CANCELADO"),_xlfn.XLOOKUP(D73,'LD-ELFA'!F:F,'LD-ELFA'!U:U),IF(AND(L73="",J73&lt;&gt;"PARA APROVAÇÃO"),"",""))))</f>
        <v/>
      </c>
      <c r="N73" s="63" t="str">
        <f t="shared" ca="1" si="11"/>
        <v>Documento a Emitir</v>
      </c>
      <c r="O73" s="63" t="str">
        <f t="shared" si="12"/>
        <v>Blossom - Documento a emitir</v>
      </c>
      <c r="P73" s="63" t="str">
        <f t="shared" si="13"/>
        <v>Blossom</v>
      </c>
      <c r="Q73" s="63" t="str">
        <f>IF(_xlfn.XLOOKUP(D73,'LD-ELFA'!F:F,'LD-ELFA'!V:V)="","",_xlfn.XLOOKUP(D73,'LD-ELFA'!F:F,'LD-ELFA'!V:V))</f>
        <v/>
      </c>
      <c r="R73" s="40">
        <f>IFERROR(IF(I73&lt;&gt;"","Documento Emitido",_xlfn.XLOOKUP(D73,Cronograma!P:P,Cronograma!Q:Q)),"Documento Removido")</f>
        <v>46219</v>
      </c>
      <c r="S73" s="40" t="str">
        <f t="shared" ca="1" si="14"/>
        <v>No prazo</v>
      </c>
      <c r="T73" s="40">
        <f>IFERROR(IF(I73&lt;&gt;"","Documento Emitido",_xlfn.XLOOKUP(D73,Cronograma!P:P,Cronograma!R:R)),"Documento Removido")</f>
        <v>46216</v>
      </c>
      <c r="U73" s="39" t="str">
        <f t="shared" si="15"/>
        <v>Emissão Atrasada</v>
      </c>
      <c r="V73" s="39" t="str">
        <f t="shared" si="16"/>
        <v>Semana 1</v>
      </c>
      <c r="W73" s="39" t="str">
        <f t="shared" ca="1" si="17"/>
        <v/>
      </c>
    </row>
    <row r="74" spans="1:23" s="60" customFormat="1" ht="28.5" customHeight="1" x14ac:dyDescent="0.2">
      <c r="A74" s="39">
        <v>71</v>
      </c>
      <c r="B74" s="39" t="str">
        <f>_xlfn.XLOOKUP(D74,'LD-ELFA'!F:F,'LD-ELFA'!C:C)</f>
        <v>AR - Arquitetura</v>
      </c>
      <c r="C74" s="39" t="str">
        <f>_xlfn.XLOOKUP(D74,'LD-ELFA'!F:F,'LD-ELFA'!D:D)</f>
        <v>DBA - Desenho Básico</v>
      </c>
      <c r="D74" s="39" t="s">
        <v>78</v>
      </c>
      <c r="E74" s="39" t="str">
        <f>_xlfn.LET(_xlpm.q,_xlfn.XLOOKUP(D74,'LD-ELFA'!F:F,'LD-ELFA'!Q:Q),
   _xlpm.r,_xlfn.XLOOKUP(D74,'LD-ELFA'!F:F,'LD-ELFA'!R:R),
   IF(_xlpm.r = "", _xlpm.q, _xlpm.q &amp; " - " &amp; _xlpm.r))</f>
        <v>PLANTA E CORTES</v>
      </c>
      <c r="F74" s="63" t="str">
        <f t="shared" si="10"/>
        <v>Básico</v>
      </c>
      <c r="G74" s="63">
        <f>_xlfn.XLOOKUP(D74,'LD-ELFA'!F:F,'LD-ELFA'!G:G)</f>
        <v>0</v>
      </c>
      <c r="H74" s="63">
        <f>_xlfn.XLOOKUP(D74,'LD-ELFA'!F:F,'LD-ELFA'!I:I)</f>
        <v>0</v>
      </c>
      <c r="I74" s="63" t="str">
        <f>IF(_xlfn.XLOOKUP(D74,'LD-ELFA'!F:F,'LD-ELFA'!T:T)="","",_xlfn.XLOOKUP(D74,'LD-ELFA'!F:F,'LD-ELFA'!T:T))</f>
        <v/>
      </c>
      <c r="J74" s="63" t="str">
        <f>IF(K74="Documento a emitir", "",_xlfn.XLOOKUP(D74,'LD-ELFA'!F:F,'LD-ELFA'!N:N))</f>
        <v/>
      </c>
      <c r="K74" s="43" t="str">
        <f>IF(_xlfn.XLOOKUP($D74,'LD-ELFA'!F:F,'LD-ELFA'!U:U)="","Documento a emitir",_xlfn.XLOOKUP($D74,'LD-ELFA'!F:F,'LD-ELFA'!U:U))</f>
        <v>Documento a emitir</v>
      </c>
      <c r="L74" s="43" t="str">
        <f>IF(K74="Documento a emitir","Documento a emitir",IF(K74&lt;&gt;"Documento a emitir",IF(_xlfn.XLOOKUP(D74,'LD-ELFA'!F:F,'LD-ELFA'!W:W)="","",_xlfn.XLOOKUP(D74,'LD-ELFA'!F:F,'LD-ELFA'!W:W)),""))</f>
        <v>Documento a emitir</v>
      </c>
      <c r="M74" s="43" t="str">
        <f>IF(K74="Documento a emitir","",IF(AND(Q74="APC-R  - APC-R - Aprovado com Comentários (Retornar para uma nova Aprovação)",Q74="APC-L  - APC-L  - Aprovado com Comentários (Retornar Aprovado)"),"",IF(OR(_xlfn.XLOOKUP(D74,'LD-ELFA'!F:F,'LD-ELFA'!N:N)="PARA CONHECIMENTO",_xlfn.XLOOKUP(D74,'LD-ELFA'!F:F,'LD-ELFA'!N:N)="PARA CONSTRUÇÃO",_xlfn.XLOOKUP(D74,'LD-ELFA'!F:F,'LD-ELFA'!N:N)="PARA COTAÇÃO",_xlfn.XLOOKUP(D74,'LD-ELFA'!F:F,'LD-ELFA'!N:N)="CANCELADO"),_xlfn.XLOOKUP(D74,'LD-ELFA'!F:F,'LD-ELFA'!U:U),IF(AND(L74="",J74&lt;&gt;"PARA APROVAÇÃO"),"",""))))</f>
        <v/>
      </c>
      <c r="N74" s="63" t="str">
        <f t="shared" ca="1" si="11"/>
        <v>Documento a Emitir</v>
      </c>
      <c r="O74" s="63" t="str">
        <f t="shared" si="12"/>
        <v>Blossom - Documento a emitir</v>
      </c>
      <c r="P74" s="63" t="str">
        <f t="shared" si="13"/>
        <v>Blossom</v>
      </c>
      <c r="Q74" s="63" t="str">
        <f>IF(_xlfn.XLOOKUP(D74,'LD-ELFA'!F:F,'LD-ELFA'!V:V)="","",_xlfn.XLOOKUP(D74,'LD-ELFA'!F:F,'LD-ELFA'!V:V))</f>
        <v/>
      </c>
      <c r="R74" s="40">
        <f>IFERROR(IF(I74&lt;&gt;"","Documento Emitido",_xlfn.XLOOKUP(D74,Cronograma!P:P,Cronograma!Q:Q)),"Documento Removido")</f>
        <v>46224</v>
      </c>
      <c r="S74" s="40" t="str">
        <f t="shared" ca="1" si="14"/>
        <v>No prazo</v>
      </c>
      <c r="T74" s="40">
        <f>IFERROR(IF(I74&lt;&gt;"","Documento Emitido",_xlfn.XLOOKUP(D74,Cronograma!P:P,Cronograma!R:R)),"Documento Removido")</f>
        <v>46219</v>
      </c>
      <c r="U74" s="39" t="str">
        <f t="shared" si="15"/>
        <v>Emissão Atrasada</v>
      </c>
      <c r="V74" s="39" t="str">
        <f t="shared" si="16"/>
        <v>Semana 2</v>
      </c>
      <c r="W74" s="39" t="str">
        <f t="shared" ca="1" si="17"/>
        <v/>
      </c>
    </row>
    <row r="75" spans="1:23" s="60" customFormat="1" ht="28.5" customHeight="1" x14ac:dyDescent="0.2">
      <c r="A75" s="39">
        <v>72</v>
      </c>
      <c r="B75" s="39" t="str">
        <f>_xlfn.XLOOKUP(D75,'LD-ELFA'!F:F,'LD-ELFA'!C:C)</f>
        <v>AR - Arquitetura</v>
      </c>
      <c r="C75" s="39" t="str">
        <f>_xlfn.XLOOKUP(D75,'LD-ELFA'!F:F,'LD-ELFA'!D:D)</f>
        <v>DBA - Desenho Básico</v>
      </c>
      <c r="D75" s="39" t="s">
        <v>79</v>
      </c>
      <c r="E75" s="39" t="str">
        <f>_xlfn.LET(_xlpm.q,_xlfn.XLOOKUP(D75,'LD-ELFA'!F:F,'LD-ELFA'!Q:Q),
   _xlpm.r,_xlfn.XLOOKUP(D75,'LD-ELFA'!F:F,'LD-ELFA'!R:R),
   IF(_xlpm.r = "", _xlpm.q, _xlpm.q &amp; " - " &amp; _xlpm.r))</f>
        <v>PLANTA E CORTES</v>
      </c>
      <c r="F75" s="63" t="str">
        <f t="shared" si="10"/>
        <v>Básico</v>
      </c>
      <c r="G75" s="63">
        <f>_xlfn.XLOOKUP(D75,'LD-ELFA'!F:F,'LD-ELFA'!G:G)</f>
        <v>0</v>
      </c>
      <c r="H75" s="63">
        <f>_xlfn.XLOOKUP(D75,'LD-ELFA'!F:F,'LD-ELFA'!I:I)</f>
        <v>0</v>
      </c>
      <c r="I75" s="63" t="str">
        <f>IF(_xlfn.XLOOKUP(D75,'LD-ELFA'!F:F,'LD-ELFA'!T:T)="","",_xlfn.XLOOKUP(D75,'LD-ELFA'!F:F,'LD-ELFA'!T:T))</f>
        <v/>
      </c>
      <c r="J75" s="63" t="str">
        <f>IF(K75="Documento a emitir", "",_xlfn.XLOOKUP(D75,'LD-ELFA'!F:F,'LD-ELFA'!N:N))</f>
        <v/>
      </c>
      <c r="K75" s="43" t="str">
        <f>IF(_xlfn.XLOOKUP($D75,'LD-ELFA'!F:F,'LD-ELFA'!U:U)="","Documento a emitir",_xlfn.XLOOKUP($D75,'LD-ELFA'!F:F,'LD-ELFA'!U:U))</f>
        <v>Documento a emitir</v>
      </c>
      <c r="L75" s="43" t="str">
        <f>IF(K75="Documento a emitir","Documento a emitir",IF(K75&lt;&gt;"Documento a emitir",IF(_xlfn.XLOOKUP(D75,'LD-ELFA'!F:F,'LD-ELFA'!W:W)="","",_xlfn.XLOOKUP(D75,'LD-ELFA'!F:F,'LD-ELFA'!W:W)),""))</f>
        <v>Documento a emitir</v>
      </c>
      <c r="M75" s="43" t="str">
        <f>IF(K75="Documento a emitir","",IF(AND(Q75="APC-R  - APC-R - Aprovado com Comentários (Retornar para uma nova Aprovação)",Q75="APC-L  - APC-L  - Aprovado com Comentários (Retornar Aprovado)"),"",IF(OR(_xlfn.XLOOKUP(D75,'LD-ELFA'!F:F,'LD-ELFA'!N:N)="PARA CONHECIMENTO",_xlfn.XLOOKUP(D75,'LD-ELFA'!F:F,'LD-ELFA'!N:N)="PARA CONSTRUÇÃO",_xlfn.XLOOKUP(D75,'LD-ELFA'!F:F,'LD-ELFA'!N:N)="PARA COTAÇÃO",_xlfn.XLOOKUP(D75,'LD-ELFA'!F:F,'LD-ELFA'!N:N)="CANCELADO"),_xlfn.XLOOKUP(D75,'LD-ELFA'!F:F,'LD-ELFA'!U:U),IF(AND(L75="",J75&lt;&gt;"PARA APROVAÇÃO"),"",""))))</f>
        <v/>
      </c>
      <c r="N75" s="63" t="str">
        <f t="shared" ca="1" si="11"/>
        <v>Documento a Emitir</v>
      </c>
      <c r="O75" s="63" t="str">
        <f t="shared" si="12"/>
        <v>Blossom - Documento a emitir</v>
      </c>
      <c r="P75" s="63" t="str">
        <f t="shared" si="13"/>
        <v>Blossom</v>
      </c>
      <c r="Q75" s="63" t="str">
        <f>IF(_xlfn.XLOOKUP(D75,'LD-ELFA'!F:F,'LD-ELFA'!V:V)="","",_xlfn.XLOOKUP(D75,'LD-ELFA'!F:F,'LD-ELFA'!V:V))</f>
        <v/>
      </c>
      <c r="R75" s="40">
        <f>IFERROR(IF(I75&lt;&gt;"","Documento Emitido",_xlfn.XLOOKUP(D75,Cronograma!P:P,Cronograma!Q:Q)),"Documento Removido")</f>
        <v>46227</v>
      </c>
      <c r="S75" s="40" t="str">
        <f t="shared" ca="1" si="14"/>
        <v>No prazo</v>
      </c>
      <c r="T75" s="40">
        <f>IFERROR(IF(I75&lt;&gt;"","Documento Emitido",_xlfn.XLOOKUP(D75,Cronograma!P:P,Cronograma!R:R)),"Documento Removido")</f>
        <v>46224</v>
      </c>
      <c r="U75" s="39" t="str">
        <f t="shared" si="15"/>
        <v>Emissão Atrasada</v>
      </c>
      <c r="V75" s="39" t="str">
        <f t="shared" si="16"/>
        <v>Semana 2</v>
      </c>
      <c r="W75" s="39" t="str">
        <f t="shared" ca="1" si="17"/>
        <v/>
      </c>
    </row>
    <row r="76" spans="1:23" s="60" customFormat="1" ht="28.5" customHeight="1" x14ac:dyDescent="0.2">
      <c r="A76" s="39">
        <v>73</v>
      </c>
      <c r="B76" s="39" t="str">
        <f>_xlfn.XLOOKUP(D76,'LD-ELFA'!F:F,'LD-ELFA'!C:C)</f>
        <v>AR - Arquitetura</v>
      </c>
      <c r="C76" s="39" t="str">
        <f>_xlfn.XLOOKUP(D76,'LD-ELFA'!F:F,'LD-ELFA'!D:D)</f>
        <v>PQU - Planilha De Quantitativos</v>
      </c>
      <c r="D76" s="39" t="s">
        <v>80</v>
      </c>
      <c r="E76" s="39" t="str">
        <f>_xlfn.LET(_xlpm.q,_xlfn.XLOOKUP(D76,'LD-ELFA'!F:F,'LD-ELFA'!Q:Q),
   _xlpm.r,_xlfn.XLOOKUP(D76,'LD-ELFA'!F:F,'LD-ELFA'!R:R),
   IF(_xlpm.r = "", _xlpm.q, _xlpm.q &amp; " - " &amp; _xlpm.r))</f>
        <v>PLANILHA DE QUANTIDADES -PACOTE DE OBRAS CIVIS-ESCRITÓRIO CENTRAL / SALA DE CONTROLE E LABORATÓRIO</v>
      </c>
      <c r="F76" s="63" t="str">
        <f t="shared" si="10"/>
        <v>Básico</v>
      </c>
      <c r="G76" s="63">
        <f>_xlfn.XLOOKUP(D76,'LD-ELFA'!F:F,'LD-ELFA'!G:G)</f>
        <v>0</v>
      </c>
      <c r="H76" s="63">
        <f>_xlfn.XLOOKUP(D76,'LD-ELFA'!F:F,'LD-ELFA'!I:I)</f>
        <v>0</v>
      </c>
      <c r="I76" s="63" t="str">
        <f>IF(_xlfn.XLOOKUP(D76,'LD-ELFA'!F:F,'LD-ELFA'!T:T)="","",_xlfn.XLOOKUP(D76,'LD-ELFA'!F:F,'LD-ELFA'!T:T))</f>
        <v/>
      </c>
      <c r="J76" s="63" t="str">
        <f>IF(K76="Documento a emitir", "",_xlfn.XLOOKUP(D76,'LD-ELFA'!F:F,'LD-ELFA'!N:N))</f>
        <v/>
      </c>
      <c r="K76" s="43" t="str">
        <f>IF(_xlfn.XLOOKUP($D76,'LD-ELFA'!F:F,'LD-ELFA'!U:U)="","Documento a emitir",_xlfn.XLOOKUP($D76,'LD-ELFA'!F:F,'LD-ELFA'!U:U))</f>
        <v>Documento a emitir</v>
      </c>
      <c r="L76" s="43" t="str">
        <f>IF(K76="Documento a emitir","Documento a emitir",IF(K76&lt;&gt;"Documento a emitir",IF(_xlfn.XLOOKUP(D76,'LD-ELFA'!F:F,'LD-ELFA'!W:W)="","",_xlfn.XLOOKUP(D76,'LD-ELFA'!F:F,'LD-ELFA'!W:W)),""))</f>
        <v>Documento a emitir</v>
      </c>
      <c r="M76" s="43" t="str">
        <f>IF(K76="Documento a emitir","",IF(AND(Q76="APC-R  - APC-R - Aprovado com Comentários (Retornar para uma nova Aprovação)",Q76="APC-L  - APC-L  - Aprovado com Comentários (Retornar Aprovado)"),"",IF(OR(_xlfn.XLOOKUP(D76,'LD-ELFA'!F:F,'LD-ELFA'!N:N)="PARA CONHECIMENTO",_xlfn.XLOOKUP(D76,'LD-ELFA'!F:F,'LD-ELFA'!N:N)="PARA CONSTRUÇÃO",_xlfn.XLOOKUP(D76,'LD-ELFA'!F:F,'LD-ELFA'!N:N)="PARA COTAÇÃO",_xlfn.XLOOKUP(D76,'LD-ELFA'!F:F,'LD-ELFA'!N:N)="CANCELADO"),_xlfn.XLOOKUP(D76,'LD-ELFA'!F:F,'LD-ELFA'!U:U),IF(AND(L76="",J76&lt;&gt;"PARA APROVAÇÃO"),"",""))))</f>
        <v/>
      </c>
      <c r="N76" s="63" t="str">
        <f t="shared" ca="1" si="11"/>
        <v>Documento a Emitir</v>
      </c>
      <c r="O76" s="63" t="str">
        <f t="shared" si="12"/>
        <v>Blossom - Documento a emitir</v>
      </c>
      <c r="P76" s="63" t="str">
        <f t="shared" si="13"/>
        <v>Blossom</v>
      </c>
      <c r="Q76" s="63" t="str">
        <f>IF(_xlfn.XLOOKUP(D76,'LD-ELFA'!F:F,'LD-ELFA'!V:V)="","",_xlfn.XLOOKUP(D76,'LD-ELFA'!F:F,'LD-ELFA'!V:V))</f>
        <v/>
      </c>
      <c r="R76" s="40">
        <f>IFERROR(IF(I76&lt;&gt;"","Documento Emitido",_xlfn.XLOOKUP(D76,Cronograma!P:P,Cronograma!Q:Q)),"Documento Removido")</f>
        <v>46223</v>
      </c>
      <c r="S76" s="40" t="str">
        <f t="shared" ca="1" si="14"/>
        <v>No prazo</v>
      </c>
      <c r="T76" s="40">
        <f>IFERROR(IF(I76&lt;&gt;"","Documento Emitido",_xlfn.XLOOKUP(D76,Cronograma!P:P,Cronograma!R:R)),"Documento Removido")</f>
        <v>46231</v>
      </c>
      <c r="U76" s="39" t="str">
        <f t="shared" si="15"/>
        <v>No prazo</v>
      </c>
      <c r="V76" s="39" t="str">
        <f t="shared" si="16"/>
        <v>Semana 2</v>
      </c>
      <c r="W76" s="39" t="str">
        <f t="shared" ca="1" si="17"/>
        <v/>
      </c>
    </row>
    <row r="77" spans="1:23" s="60" customFormat="1" ht="28.5" customHeight="1" x14ac:dyDescent="0.2">
      <c r="A77" s="39">
        <v>74</v>
      </c>
      <c r="B77" s="39" t="str">
        <f>_xlfn.XLOOKUP(D77,'LD-ELFA'!F:F,'LD-ELFA'!C:C)</f>
        <v>AR - Arquitetura</v>
      </c>
      <c r="C77" s="39" t="str">
        <f>_xlfn.XLOOKUP(D77,'LD-ELFA'!F:F,'LD-ELFA'!D:D)</f>
        <v>PQU - Planilha De Quantitativos</v>
      </c>
      <c r="D77" s="39" t="s">
        <v>81</v>
      </c>
      <c r="E77" s="39" t="str">
        <f>_xlfn.LET(_xlpm.q,_xlfn.XLOOKUP(D77,'LD-ELFA'!F:F,'LD-ELFA'!Q:Q),
   _xlpm.r,_xlfn.XLOOKUP(D77,'LD-ELFA'!F:F,'LD-ELFA'!R:R),
   IF(_xlpm.r = "", _xlpm.q, _xlpm.q &amp; " - " &amp; _xlpm.r))</f>
        <v>PLANILHA DE QUANTIDADES -PACOTE DE OBRAS CIVIS-VEST. / PAR. ÔNIBUS / REFEIT. / P. MÉDICO E B. INCÊNDIO</v>
      </c>
      <c r="F77" s="63" t="str">
        <f t="shared" si="10"/>
        <v>Básico</v>
      </c>
      <c r="G77" s="63">
        <f>_xlfn.XLOOKUP(D77,'LD-ELFA'!F:F,'LD-ELFA'!G:G)</f>
        <v>0</v>
      </c>
      <c r="H77" s="63">
        <f>_xlfn.XLOOKUP(D77,'LD-ELFA'!F:F,'LD-ELFA'!I:I)</f>
        <v>0</v>
      </c>
      <c r="I77" s="63" t="str">
        <f>IF(_xlfn.XLOOKUP(D77,'LD-ELFA'!F:F,'LD-ELFA'!T:T)="","",_xlfn.XLOOKUP(D77,'LD-ELFA'!F:F,'LD-ELFA'!T:T))</f>
        <v/>
      </c>
      <c r="J77" s="63" t="str">
        <f>IF(K77="Documento a emitir", "",_xlfn.XLOOKUP(D77,'LD-ELFA'!F:F,'LD-ELFA'!N:N))</f>
        <v/>
      </c>
      <c r="K77" s="43" t="str">
        <f>IF(_xlfn.XLOOKUP($D77,'LD-ELFA'!F:F,'LD-ELFA'!U:U)="","Documento a emitir",_xlfn.XLOOKUP($D77,'LD-ELFA'!F:F,'LD-ELFA'!U:U))</f>
        <v>Documento a emitir</v>
      </c>
      <c r="L77" s="43" t="str">
        <f>IF(K77="Documento a emitir","Documento a emitir",IF(K77&lt;&gt;"Documento a emitir",IF(_xlfn.XLOOKUP(D77,'LD-ELFA'!F:F,'LD-ELFA'!W:W)="","",_xlfn.XLOOKUP(D77,'LD-ELFA'!F:F,'LD-ELFA'!W:W)),""))</f>
        <v>Documento a emitir</v>
      </c>
      <c r="M77" s="43" t="str">
        <f>IF(K77="Documento a emitir","",IF(AND(Q77="APC-R  - APC-R - Aprovado com Comentários (Retornar para uma nova Aprovação)",Q77="APC-L  - APC-L  - Aprovado com Comentários (Retornar Aprovado)"),"",IF(OR(_xlfn.XLOOKUP(D77,'LD-ELFA'!F:F,'LD-ELFA'!N:N)="PARA CONHECIMENTO",_xlfn.XLOOKUP(D77,'LD-ELFA'!F:F,'LD-ELFA'!N:N)="PARA CONSTRUÇÃO",_xlfn.XLOOKUP(D77,'LD-ELFA'!F:F,'LD-ELFA'!N:N)="PARA COTAÇÃO",_xlfn.XLOOKUP(D77,'LD-ELFA'!F:F,'LD-ELFA'!N:N)="CANCELADO"),_xlfn.XLOOKUP(D77,'LD-ELFA'!F:F,'LD-ELFA'!U:U),IF(AND(L77="",J77&lt;&gt;"PARA APROVAÇÃO"),"",""))))</f>
        <v/>
      </c>
      <c r="N77" s="63" t="str">
        <f t="shared" ca="1" si="11"/>
        <v>Documento a Emitir</v>
      </c>
      <c r="O77" s="63" t="str">
        <f t="shared" si="12"/>
        <v>Blossom - Documento a emitir</v>
      </c>
      <c r="P77" s="63" t="str">
        <f t="shared" si="13"/>
        <v>Blossom</v>
      </c>
      <c r="Q77" s="63" t="str">
        <f>IF(_xlfn.XLOOKUP(D77,'LD-ELFA'!F:F,'LD-ELFA'!V:V)="","",_xlfn.XLOOKUP(D77,'LD-ELFA'!F:F,'LD-ELFA'!V:V))</f>
        <v/>
      </c>
      <c r="R77" s="40">
        <f>IFERROR(IF(I77&lt;&gt;"","Documento Emitido",_xlfn.XLOOKUP(D77,Cronograma!P:P,Cronograma!Q:Q)),"Documento Removido")</f>
        <v>46223</v>
      </c>
      <c r="S77" s="40" t="str">
        <f t="shared" ca="1" si="14"/>
        <v>No prazo</v>
      </c>
      <c r="T77" s="40">
        <f>IFERROR(IF(I77&lt;&gt;"","Documento Emitido",_xlfn.XLOOKUP(D77,Cronograma!P:P,Cronograma!R:R)),"Documento Removido")</f>
        <v>46231</v>
      </c>
      <c r="U77" s="39" t="str">
        <f t="shared" si="15"/>
        <v>No prazo</v>
      </c>
      <c r="V77" s="39" t="str">
        <f t="shared" si="16"/>
        <v>Semana 2</v>
      </c>
      <c r="W77" s="39" t="str">
        <f t="shared" ca="1" si="17"/>
        <v/>
      </c>
    </row>
    <row r="78" spans="1:23" s="60" customFormat="1" ht="28.5" customHeight="1" x14ac:dyDescent="0.2">
      <c r="A78" s="39">
        <v>75</v>
      </c>
      <c r="B78" s="39" t="str">
        <f>_xlfn.XLOOKUP(D78,'LD-ELFA'!F:F,'LD-ELFA'!C:C)</f>
        <v>AR - Arquitetura</v>
      </c>
      <c r="C78" s="39" t="str">
        <f>_xlfn.XLOOKUP(D78,'LD-ELFA'!F:F,'LD-ELFA'!D:D)</f>
        <v>RTE - Relatório Técnico</v>
      </c>
      <c r="D78" s="39" t="s">
        <v>82</v>
      </c>
      <c r="E78" s="39" t="str">
        <f>_xlfn.LET(_xlpm.q,_xlfn.XLOOKUP(D78,'LD-ELFA'!F:F,'LD-ELFA'!Q:Q),
   _xlpm.r,_xlfn.XLOOKUP(D78,'LD-ELFA'!F:F,'LD-ELFA'!R:R),
   IF(_xlpm.r = "", _xlpm.q, _xlpm.q &amp; " - " &amp; _xlpm.r))</f>
        <v>RELATÓRIO DO SISTEMA DE PROTEÇÃO E COMBATE A INCÊNDIO  - CLASSIFICAÇÃO RISCO</v>
      </c>
      <c r="F78" s="63" t="str">
        <f t="shared" si="10"/>
        <v>Básico</v>
      </c>
      <c r="G78" s="63">
        <f>_xlfn.XLOOKUP(D78,'LD-ELFA'!F:F,'LD-ELFA'!G:G)</f>
        <v>0</v>
      </c>
      <c r="H78" s="63">
        <f>_xlfn.XLOOKUP(D78,'LD-ELFA'!F:F,'LD-ELFA'!I:I)</f>
        <v>0</v>
      </c>
      <c r="I78" s="63" t="str">
        <f>IF(_xlfn.XLOOKUP(D78,'LD-ELFA'!F:F,'LD-ELFA'!T:T)="","",_xlfn.XLOOKUP(D78,'LD-ELFA'!F:F,'LD-ELFA'!T:T))</f>
        <v/>
      </c>
      <c r="J78" s="63" t="str">
        <f>IF(K78="Documento a emitir", "",_xlfn.XLOOKUP(D78,'LD-ELFA'!F:F,'LD-ELFA'!N:N))</f>
        <v/>
      </c>
      <c r="K78" s="43" t="str">
        <f>IF(_xlfn.XLOOKUP($D78,'LD-ELFA'!F:F,'LD-ELFA'!U:U)="","Documento a emitir",_xlfn.XLOOKUP($D78,'LD-ELFA'!F:F,'LD-ELFA'!U:U))</f>
        <v>Documento a emitir</v>
      </c>
      <c r="L78" s="43" t="str">
        <f>IF(K78="Documento a emitir","Documento a emitir",IF(K78&lt;&gt;"Documento a emitir",IF(_xlfn.XLOOKUP(D78,'LD-ELFA'!F:F,'LD-ELFA'!W:W)="","",_xlfn.XLOOKUP(D78,'LD-ELFA'!F:F,'LD-ELFA'!W:W)),""))</f>
        <v>Documento a emitir</v>
      </c>
      <c r="M78" s="43" t="str">
        <f>IF(K78="Documento a emitir","",IF(AND(Q78="APC-R  - APC-R - Aprovado com Comentários (Retornar para uma nova Aprovação)",Q78="APC-L  - APC-L  - Aprovado com Comentários (Retornar Aprovado)"),"",IF(OR(_xlfn.XLOOKUP(D78,'LD-ELFA'!F:F,'LD-ELFA'!N:N)="PARA CONHECIMENTO",_xlfn.XLOOKUP(D78,'LD-ELFA'!F:F,'LD-ELFA'!N:N)="PARA CONSTRUÇÃO",_xlfn.XLOOKUP(D78,'LD-ELFA'!F:F,'LD-ELFA'!N:N)="PARA COTAÇÃO",_xlfn.XLOOKUP(D78,'LD-ELFA'!F:F,'LD-ELFA'!N:N)="CANCELADO"),_xlfn.XLOOKUP(D78,'LD-ELFA'!F:F,'LD-ELFA'!U:U),IF(AND(L78="",J78&lt;&gt;"PARA APROVAÇÃO"),"",""))))</f>
        <v/>
      </c>
      <c r="N78" s="63" t="str">
        <f t="shared" ca="1" si="11"/>
        <v>Documento a Emitir</v>
      </c>
      <c r="O78" s="63" t="str">
        <f t="shared" si="12"/>
        <v>Blossom - Documento a emitir</v>
      </c>
      <c r="P78" s="63" t="str">
        <f t="shared" si="13"/>
        <v>Blossom</v>
      </c>
      <c r="Q78" s="63" t="str">
        <f>IF(_xlfn.XLOOKUP(D78,'LD-ELFA'!F:F,'LD-ELFA'!V:V)="","",_xlfn.XLOOKUP(D78,'LD-ELFA'!F:F,'LD-ELFA'!V:V))</f>
        <v/>
      </c>
      <c r="R78" s="40">
        <f>IFERROR(IF(I78&lt;&gt;"","Documento Emitido",_xlfn.XLOOKUP(D78,Cronograma!P:P,Cronograma!Q:Q)),"Documento Removido")</f>
        <v>46239</v>
      </c>
      <c r="S78" s="40" t="str">
        <f t="shared" ca="1" si="14"/>
        <v>No prazo</v>
      </c>
      <c r="T78" s="40">
        <f>IFERROR(IF(I78&lt;&gt;"","Documento Emitido",_xlfn.XLOOKUP(D78,Cronograma!P:P,Cronograma!R:R)),"Documento Removido")</f>
        <v>46206</v>
      </c>
      <c r="U78" s="39" t="str">
        <f t="shared" si="15"/>
        <v>Emissão Atrasada</v>
      </c>
      <c r="V78" s="39" t="str">
        <f t="shared" si="16"/>
        <v/>
      </c>
      <c r="W78" s="39" t="str">
        <f t="shared" ca="1" si="17"/>
        <v/>
      </c>
    </row>
    <row r="79" spans="1:23" s="60" customFormat="1" ht="28.5" customHeight="1" x14ac:dyDescent="0.2">
      <c r="A79" s="39">
        <v>76</v>
      </c>
      <c r="B79" s="39" t="str">
        <f>_xlfn.XLOOKUP(D79,'LD-ELFA'!F:F,'LD-ELFA'!C:C)</f>
        <v>CC - Concreto</v>
      </c>
      <c r="C79" s="39" t="str">
        <f>_xlfn.XLOOKUP(D79,'LD-ELFA'!F:F,'LD-ELFA'!D:D)</f>
        <v>DBA - Desenho Básico</v>
      </c>
      <c r="D79" s="39" t="s">
        <v>83</v>
      </c>
      <c r="E79" s="39" t="str">
        <f>_xlfn.LET(_xlpm.q,_xlfn.XLOOKUP(D79,'LD-ELFA'!F:F,'LD-ELFA'!Q:Q),
   _xlpm.r,_xlfn.XLOOKUP(D79,'LD-ELFA'!F:F,'LD-ELFA'!R:R),
   IF(_xlpm.r = "", _xlpm.q, _xlpm.q &amp; " - " &amp; _xlpm.r))</f>
        <v>LOCAÇÃO E FORMA - VIADUTO - SUPERESTRUTURA / TABULEIRO 1/4</v>
      </c>
      <c r="F79" s="63" t="str">
        <f t="shared" si="10"/>
        <v>Básico</v>
      </c>
      <c r="G79" s="63">
        <f>_xlfn.XLOOKUP(D79,'LD-ELFA'!F:F,'LD-ELFA'!G:G)</f>
        <v>0</v>
      </c>
      <c r="H79" s="63">
        <f>_xlfn.XLOOKUP(D79,'LD-ELFA'!F:F,'LD-ELFA'!I:I)</f>
        <v>0</v>
      </c>
      <c r="I79" s="63" t="str">
        <f>IF(_xlfn.XLOOKUP(D79,'LD-ELFA'!F:F,'LD-ELFA'!T:T)="","",_xlfn.XLOOKUP(D79,'LD-ELFA'!F:F,'LD-ELFA'!T:T))</f>
        <v/>
      </c>
      <c r="J79" s="63" t="str">
        <f>IF(K79="Documento a emitir", "",_xlfn.XLOOKUP(D79,'LD-ELFA'!F:F,'LD-ELFA'!N:N))</f>
        <v/>
      </c>
      <c r="K79" s="43" t="str">
        <f>IF(_xlfn.XLOOKUP($D79,'LD-ELFA'!F:F,'LD-ELFA'!U:U)="","Documento a emitir",_xlfn.XLOOKUP($D79,'LD-ELFA'!F:F,'LD-ELFA'!U:U))</f>
        <v>Documento a emitir</v>
      </c>
      <c r="L79" s="43" t="str">
        <f>IF(K79="Documento a emitir","Documento a emitir",IF(K79&lt;&gt;"Documento a emitir",IF(_xlfn.XLOOKUP(D79,'LD-ELFA'!F:F,'LD-ELFA'!W:W)="","",_xlfn.XLOOKUP(D79,'LD-ELFA'!F:F,'LD-ELFA'!W:W)),""))</f>
        <v>Documento a emitir</v>
      </c>
      <c r="M79" s="43" t="str">
        <f>IF(K79="Documento a emitir","",IF(AND(Q79="APC-R  - APC-R - Aprovado com Comentários (Retornar para uma nova Aprovação)",Q79="APC-L  - APC-L  - Aprovado com Comentários (Retornar Aprovado)"),"",IF(OR(_xlfn.XLOOKUP(D79,'LD-ELFA'!F:F,'LD-ELFA'!N:N)="PARA CONHECIMENTO",_xlfn.XLOOKUP(D79,'LD-ELFA'!F:F,'LD-ELFA'!N:N)="PARA CONSTRUÇÃO",_xlfn.XLOOKUP(D79,'LD-ELFA'!F:F,'LD-ELFA'!N:N)="PARA COTAÇÃO",_xlfn.XLOOKUP(D79,'LD-ELFA'!F:F,'LD-ELFA'!N:N)="CANCELADO"),_xlfn.XLOOKUP(D79,'LD-ELFA'!F:F,'LD-ELFA'!U:U),IF(AND(L79="",J79&lt;&gt;"PARA APROVAÇÃO"),"",""))))</f>
        <v/>
      </c>
      <c r="N79" s="63" t="str">
        <f t="shared" ca="1" si="11"/>
        <v>Documento a Emitir</v>
      </c>
      <c r="O79" s="63" t="str">
        <f t="shared" si="12"/>
        <v>Blossom - Documento a emitir</v>
      </c>
      <c r="P79" s="63" t="str">
        <f t="shared" si="13"/>
        <v>Blossom</v>
      </c>
      <c r="Q79" s="63" t="str">
        <f>IF(_xlfn.XLOOKUP(D79,'LD-ELFA'!F:F,'LD-ELFA'!V:V)="","",_xlfn.XLOOKUP(D79,'LD-ELFA'!F:F,'LD-ELFA'!V:V))</f>
        <v/>
      </c>
      <c r="R79" s="40">
        <f>IFERROR(IF(I79&lt;&gt;"","Documento Emitido",_xlfn.XLOOKUP(D79,Cronograma!P:P,Cronograma!Q:Q)),"Documento Removido")</f>
        <v>46246</v>
      </c>
      <c r="S79" s="40" t="str">
        <f t="shared" ca="1" si="14"/>
        <v>No prazo</v>
      </c>
      <c r="T79" s="40">
        <f>IFERROR(IF(I79&lt;&gt;"","Documento Emitido",_xlfn.XLOOKUP(D79,Cronograma!P:P,Cronograma!R:R)),"Documento Removido")</f>
        <v>46246</v>
      </c>
      <c r="U79" s="39" t="str">
        <f t="shared" si="15"/>
        <v>No prazo</v>
      </c>
      <c r="V79" s="39" t="str">
        <f t="shared" si="16"/>
        <v/>
      </c>
      <c r="W79" s="39" t="str">
        <f t="shared" ca="1" si="17"/>
        <v/>
      </c>
    </row>
    <row r="80" spans="1:23" s="60" customFormat="1" ht="28.5" customHeight="1" x14ac:dyDescent="0.2">
      <c r="A80" s="39">
        <v>77</v>
      </c>
      <c r="B80" s="39" t="str">
        <f>_xlfn.XLOOKUP(D80,'LD-ELFA'!F:F,'LD-ELFA'!C:C)</f>
        <v>CC - Concreto</v>
      </c>
      <c r="C80" s="39" t="str">
        <f>_xlfn.XLOOKUP(D80,'LD-ELFA'!F:F,'LD-ELFA'!D:D)</f>
        <v>DBA - Desenho Básico</v>
      </c>
      <c r="D80" s="39" t="s">
        <v>84</v>
      </c>
      <c r="E80" s="39" t="str">
        <f>_xlfn.LET(_xlpm.q,_xlfn.XLOOKUP(D80,'LD-ELFA'!F:F,'LD-ELFA'!Q:Q),
   _xlpm.r,_xlfn.XLOOKUP(D80,'LD-ELFA'!F:F,'LD-ELFA'!R:R),
   IF(_xlpm.r = "", _xlpm.q, _xlpm.q &amp; " - " &amp; _xlpm.r))</f>
        <v>LOCAÇÃO E FORMA - VIADUTO - SUPERESTRUTURA / TABULEIRO 2/4</v>
      </c>
      <c r="F80" s="63" t="str">
        <f t="shared" si="10"/>
        <v>Básico</v>
      </c>
      <c r="G80" s="63">
        <f>_xlfn.XLOOKUP(D80,'LD-ELFA'!F:F,'LD-ELFA'!G:G)</f>
        <v>0</v>
      </c>
      <c r="H80" s="63">
        <f>_xlfn.XLOOKUP(D80,'LD-ELFA'!F:F,'LD-ELFA'!I:I)</f>
        <v>0</v>
      </c>
      <c r="I80" s="63" t="str">
        <f>IF(_xlfn.XLOOKUP(D80,'LD-ELFA'!F:F,'LD-ELFA'!T:T)="","",_xlfn.XLOOKUP(D80,'LD-ELFA'!F:F,'LD-ELFA'!T:T))</f>
        <v/>
      </c>
      <c r="J80" s="63" t="str">
        <f>IF(K80="Documento a emitir", "",_xlfn.XLOOKUP(D80,'LD-ELFA'!F:F,'LD-ELFA'!N:N))</f>
        <v/>
      </c>
      <c r="K80" s="43" t="str">
        <f>IF(_xlfn.XLOOKUP($D80,'LD-ELFA'!F:F,'LD-ELFA'!U:U)="","Documento a emitir",_xlfn.XLOOKUP($D80,'LD-ELFA'!F:F,'LD-ELFA'!U:U))</f>
        <v>Documento a emitir</v>
      </c>
      <c r="L80" s="43" t="str">
        <f>IF(K80="Documento a emitir","Documento a emitir",IF(K80&lt;&gt;"Documento a emitir",IF(_xlfn.XLOOKUP(D80,'LD-ELFA'!F:F,'LD-ELFA'!W:W)="","",_xlfn.XLOOKUP(D80,'LD-ELFA'!F:F,'LD-ELFA'!W:W)),""))</f>
        <v>Documento a emitir</v>
      </c>
      <c r="M80" s="43" t="str">
        <f>IF(K80="Documento a emitir","",IF(AND(Q80="APC-R  - APC-R - Aprovado com Comentários (Retornar para uma nova Aprovação)",Q80="APC-L  - APC-L  - Aprovado com Comentários (Retornar Aprovado)"),"",IF(OR(_xlfn.XLOOKUP(D80,'LD-ELFA'!F:F,'LD-ELFA'!N:N)="PARA CONHECIMENTO",_xlfn.XLOOKUP(D80,'LD-ELFA'!F:F,'LD-ELFA'!N:N)="PARA CONSTRUÇÃO",_xlfn.XLOOKUP(D80,'LD-ELFA'!F:F,'LD-ELFA'!N:N)="PARA COTAÇÃO",_xlfn.XLOOKUP(D80,'LD-ELFA'!F:F,'LD-ELFA'!N:N)="CANCELADO"),_xlfn.XLOOKUP(D80,'LD-ELFA'!F:F,'LD-ELFA'!U:U),IF(AND(L80="",J80&lt;&gt;"PARA APROVAÇÃO"),"",""))))</f>
        <v/>
      </c>
      <c r="N80" s="63" t="str">
        <f t="shared" ca="1" si="11"/>
        <v>Documento a Emitir</v>
      </c>
      <c r="O80" s="63" t="str">
        <f t="shared" si="12"/>
        <v>Blossom - Documento a emitir</v>
      </c>
      <c r="P80" s="63" t="str">
        <f t="shared" si="13"/>
        <v>Blossom</v>
      </c>
      <c r="Q80" s="63" t="str">
        <f>IF(_xlfn.XLOOKUP(D80,'LD-ELFA'!F:F,'LD-ELFA'!V:V)="","",_xlfn.XLOOKUP(D80,'LD-ELFA'!F:F,'LD-ELFA'!V:V))</f>
        <v/>
      </c>
      <c r="R80" s="40">
        <f>IFERROR(IF(I80&lt;&gt;"","Documento Emitido",_xlfn.XLOOKUP(D80,Cronograma!P:P,Cronograma!Q:Q)),"Documento Removido")</f>
        <v>46246</v>
      </c>
      <c r="S80" s="40" t="str">
        <f t="shared" ca="1" si="14"/>
        <v>No prazo</v>
      </c>
      <c r="T80" s="40">
        <f>IFERROR(IF(I80&lt;&gt;"","Documento Emitido",_xlfn.XLOOKUP(D80,Cronograma!P:P,Cronograma!R:R)),"Documento Removido")</f>
        <v>46246</v>
      </c>
      <c r="U80" s="39" t="str">
        <f t="shared" si="15"/>
        <v>No prazo</v>
      </c>
      <c r="V80" s="39" t="str">
        <f t="shared" si="16"/>
        <v/>
      </c>
      <c r="W80" s="39" t="str">
        <f t="shared" ca="1" si="17"/>
        <v/>
      </c>
    </row>
    <row r="81" spans="1:23" s="60" customFormat="1" ht="28.5" customHeight="1" x14ac:dyDescent="0.2">
      <c r="A81" s="39">
        <v>78</v>
      </c>
      <c r="B81" s="39" t="str">
        <f>_xlfn.XLOOKUP(D81,'LD-ELFA'!F:F,'LD-ELFA'!C:C)</f>
        <v>CC - Concreto</v>
      </c>
      <c r="C81" s="39" t="str">
        <f>_xlfn.XLOOKUP(D81,'LD-ELFA'!F:F,'LD-ELFA'!D:D)</f>
        <v>DBA - Desenho Básico</v>
      </c>
      <c r="D81" s="39" t="s">
        <v>85</v>
      </c>
      <c r="E81" s="39" t="str">
        <f>_xlfn.LET(_xlpm.q,_xlfn.XLOOKUP(D81,'LD-ELFA'!F:F,'LD-ELFA'!Q:Q),
   _xlpm.r,_xlfn.XLOOKUP(D81,'LD-ELFA'!F:F,'LD-ELFA'!R:R),
   IF(_xlpm.r = "", _xlpm.q, _xlpm.q &amp; " - " &amp; _xlpm.r))</f>
        <v>LOCAÇÃO E FORMA - VIADUTO - SUPERESTRUTURA / TABULEIRO 3/4</v>
      </c>
      <c r="F81" s="63" t="str">
        <f t="shared" si="10"/>
        <v>Básico</v>
      </c>
      <c r="G81" s="63">
        <f>_xlfn.XLOOKUP(D81,'LD-ELFA'!F:F,'LD-ELFA'!G:G)</f>
        <v>0</v>
      </c>
      <c r="H81" s="63">
        <f>_xlfn.XLOOKUP(D81,'LD-ELFA'!F:F,'LD-ELFA'!I:I)</f>
        <v>0</v>
      </c>
      <c r="I81" s="63" t="str">
        <f>IF(_xlfn.XLOOKUP(D81,'LD-ELFA'!F:F,'LD-ELFA'!T:T)="","",_xlfn.XLOOKUP(D81,'LD-ELFA'!F:F,'LD-ELFA'!T:T))</f>
        <v/>
      </c>
      <c r="J81" s="63" t="str">
        <f>IF(K81="Documento a emitir", "",_xlfn.XLOOKUP(D81,'LD-ELFA'!F:F,'LD-ELFA'!N:N))</f>
        <v/>
      </c>
      <c r="K81" s="43" t="str">
        <f>IF(_xlfn.XLOOKUP($D81,'LD-ELFA'!F:F,'LD-ELFA'!U:U)="","Documento a emitir",_xlfn.XLOOKUP($D81,'LD-ELFA'!F:F,'LD-ELFA'!U:U))</f>
        <v>Documento a emitir</v>
      </c>
      <c r="L81" s="43" t="str">
        <f>IF(K81="Documento a emitir","Documento a emitir",IF(K81&lt;&gt;"Documento a emitir",IF(_xlfn.XLOOKUP(D81,'LD-ELFA'!F:F,'LD-ELFA'!W:W)="","",_xlfn.XLOOKUP(D81,'LD-ELFA'!F:F,'LD-ELFA'!W:W)),""))</f>
        <v>Documento a emitir</v>
      </c>
      <c r="M81" s="43" t="str">
        <f>IF(K81="Documento a emitir","",IF(AND(Q81="APC-R  - APC-R - Aprovado com Comentários (Retornar para uma nova Aprovação)",Q81="APC-L  - APC-L  - Aprovado com Comentários (Retornar Aprovado)"),"",IF(OR(_xlfn.XLOOKUP(D81,'LD-ELFA'!F:F,'LD-ELFA'!N:N)="PARA CONHECIMENTO",_xlfn.XLOOKUP(D81,'LD-ELFA'!F:F,'LD-ELFA'!N:N)="PARA CONSTRUÇÃO",_xlfn.XLOOKUP(D81,'LD-ELFA'!F:F,'LD-ELFA'!N:N)="PARA COTAÇÃO",_xlfn.XLOOKUP(D81,'LD-ELFA'!F:F,'LD-ELFA'!N:N)="CANCELADO"),_xlfn.XLOOKUP(D81,'LD-ELFA'!F:F,'LD-ELFA'!U:U),IF(AND(L81="",J81&lt;&gt;"PARA APROVAÇÃO"),"",""))))</f>
        <v/>
      </c>
      <c r="N81" s="63" t="str">
        <f t="shared" ca="1" si="11"/>
        <v>Documento a Emitir</v>
      </c>
      <c r="O81" s="63" t="str">
        <f t="shared" si="12"/>
        <v>Blossom - Documento a emitir</v>
      </c>
      <c r="P81" s="63" t="str">
        <f t="shared" si="13"/>
        <v>Blossom</v>
      </c>
      <c r="Q81" s="63" t="str">
        <f>IF(_xlfn.XLOOKUP(D81,'LD-ELFA'!F:F,'LD-ELFA'!V:V)="","",_xlfn.XLOOKUP(D81,'LD-ELFA'!F:F,'LD-ELFA'!V:V))</f>
        <v/>
      </c>
      <c r="R81" s="40">
        <f>IFERROR(IF(I81&lt;&gt;"","Documento Emitido",_xlfn.XLOOKUP(D81,Cronograma!P:P,Cronograma!Q:Q)),"Documento Removido")</f>
        <v>46246</v>
      </c>
      <c r="S81" s="40" t="str">
        <f t="shared" ca="1" si="14"/>
        <v>No prazo</v>
      </c>
      <c r="T81" s="40">
        <f>IFERROR(IF(I81&lt;&gt;"","Documento Emitido",_xlfn.XLOOKUP(D81,Cronograma!P:P,Cronograma!R:R)),"Documento Removido")</f>
        <v>46246</v>
      </c>
      <c r="U81" s="39" t="str">
        <f t="shared" si="15"/>
        <v>No prazo</v>
      </c>
      <c r="V81" s="39" t="str">
        <f t="shared" si="16"/>
        <v/>
      </c>
      <c r="W81" s="39" t="str">
        <f t="shared" ca="1" si="17"/>
        <v/>
      </c>
    </row>
    <row r="82" spans="1:23" s="60" customFormat="1" ht="28.5" customHeight="1" x14ac:dyDescent="0.2">
      <c r="A82" s="39">
        <v>79</v>
      </c>
      <c r="B82" s="39" t="str">
        <f>_xlfn.XLOOKUP(D82,'LD-ELFA'!F:F,'LD-ELFA'!C:C)</f>
        <v>CC - Concreto</v>
      </c>
      <c r="C82" s="39" t="str">
        <f>_xlfn.XLOOKUP(D82,'LD-ELFA'!F:F,'LD-ELFA'!D:D)</f>
        <v>DBA - Desenho Básico</v>
      </c>
      <c r="D82" s="39" t="s">
        <v>86</v>
      </c>
      <c r="E82" s="39" t="str">
        <f>_xlfn.LET(_xlpm.q,_xlfn.XLOOKUP(D82,'LD-ELFA'!F:F,'LD-ELFA'!Q:Q),
   _xlpm.r,_xlfn.XLOOKUP(D82,'LD-ELFA'!F:F,'LD-ELFA'!R:R),
   IF(_xlpm.r = "", _xlpm.q, _xlpm.q &amp; " - " &amp; _xlpm.r))</f>
        <v>LOCAÇÃO E FORMA - VIADUTO - SUPERESTRUTURA / TABULEIRO 4/4</v>
      </c>
      <c r="F82" s="63" t="str">
        <f t="shared" si="10"/>
        <v>Básico</v>
      </c>
      <c r="G82" s="63">
        <f>_xlfn.XLOOKUP(D82,'LD-ELFA'!F:F,'LD-ELFA'!G:G)</f>
        <v>0</v>
      </c>
      <c r="H82" s="63">
        <f>_xlfn.XLOOKUP(D82,'LD-ELFA'!F:F,'LD-ELFA'!I:I)</f>
        <v>0</v>
      </c>
      <c r="I82" s="63" t="str">
        <f>IF(_xlfn.XLOOKUP(D82,'LD-ELFA'!F:F,'LD-ELFA'!T:T)="","",_xlfn.XLOOKUP(D82,'LD-ELFA'!F:F,'LD-ELFA'!T:T))</f>
        <v/>
      </c>
      <c r="J82" s="63" t="str">
        <f>IF(K82="Documento a emitir", "",_xlfn.XLOOKUP(D82,'LD-ELFA'!F:F,'LD-ELFA'!N:N))</f>
        <v/>
      </c>
      <c r="K82" s="43" t="str">
        <f>IF(_xlfn.XLOOKUP($D82,'LD-ELFA'!F:F,'LD-ELFA'!U:U)="","Documento a emitir",_xlfn.XLOOKUP($D82,'LD-ELFA'!F:F,'LD-ELFA'!U:U))</f>
        <v>Documento a emitir</v>
      </c>
      <c r="L82" s="43" t="str">
        <f>IF(K82="Documento a emitir","Documento a emitir",IF(K82&lt;&gt;"Documento a emitir",IF(_xlfn.XLOOKUP(D82,'LD-ELFA'!F:F,'LD-ELFA'!W:W)="","",_xlfn.XLOOKUP(D82,'LD-ELFA'!F:F,'LD-ELFA'!W:W)),""))</f>
        <v>Documento a emitir</v>
      </c>
      <c r="M82" s="43" t="str">
        <f>IF(K82="Documento a emitir","",IF(AND(Q82="APC-R  - APC-R - Aprovado com Comentários (Retornar para uma nova Aprovação)",Q82="APC-L  - APC-L  - Aprovado com Comentários (Retornar Aprovado)"),"",IF(OR(_xlfn.XLOOKUP(D82,'LD-ELFA'!F:F,'LD-ELFA'!N:N)="PARA CONHECIMENTO",_xlfn.XLOOKUP(D82,'LD-ELFA'!F:F,'LD-ELFA'!N:N)="PARA CONSTRUÇÃO",_xlfn.XLOOKUP(D82,'LD-ELFA'!F:F,'LD-ELFA'!N:N)="PARA COTAÇÃO",_xlfn.XLOOKUP(D82,'LD-ELFA'!F:F,'LD-ELFA'!N:N)="CANCELADO"),_xlfn.XLOOKUP(D82,'LD-ELFA'!F:F,'LD-ELFA'!U:U),IF(AND(L82="",J82&lt;&gt;"PARA APROVAÇÃO"),"",""))))</f>
        <v/>
      </c>
      <c r="N82" s="63" t="str">
        <f t="shared" ca="1" si="11"/>
        <v>Documento a Emitir</v>
      </c>
      <c r="O82" s="63" t="str">
        <f t="shared" si="12"/>
        <v>Blossom - Documento a emitir</v>
      </c>
      <c r="P82" s="63" t="str">
        <f t="shared" si="13"/>
        <v>Blossom</v>
      </c>
      <c r="Q82" s="63" t="str">
        <f>IF(_xlfn.XLOOKUP(D82,'LD-ELFA'!F:F,'LD-ELFA'!V:V)="","",_xlfn.XLOOKUP(D82,'LD-ELFA'!F:F,'LD-ELFA'!V:V))</f>
        <v/>
      </c>
      <c r="R82" s="40">
        <f>IFERROR(IF(I82&lt;&gt;"","Documento Emitido",_xlfn.XLOOKUP(D82,Cronograma!P:P,Cronograma!Q:Q)),"Documento Removido")</f>
        <v>46246</v>
      </c>
      <c r="S82" s="40" t="str">
        <f t="shared" ca="1" si="14"/>
        <v>No prazo</v>
      </c>
      <c r="T82" s="40">
        <f>IFERROR(IF(I82&lt;&gt;"","Documento Emitido",_xlfn.XLOOKUP(D82,Cronograma!P:P,Cronograma!R:R)),"Documento Removido")</f>
        <v>46246</v>
      </c>
      <c r="U82" s="39" t="str">
        <f t="shared" si="15"/>
        <v>No prazo</v>
      </c>
      <c r="V82" s="39" t="str">
        <f t="shared" si="16"/>
        <v/>
      </c>
      <c r="W82" s="39" t="str">
        <f t="shared" ca="1" si="17"/>
        <v/>
      </c>
    </row>
    <row r="83" spans="1:23" s="60" customFormat="1" ht="28.5" customHeight="1" x14ac:dyDescent="0.2">
      <c r="A83" s="39">
        <v>80</v>
      </c>
      <c r="B83" s="39" t="str">
        <f>_xlfn.XLOOKUP(D83,'LD-ELFA'!F:F,'LD-ELFA'!C:C)</f>
        <v>CC - Concreto</v>
      </c>
      <c r="C83" s="39" t="str">
        <f>_xlfn.XLOOKUP(D83,'LD-ELFA'!F:F,'LD-ELFA'!D:D)</f>
        <v>DBA - Desenho Básico</v>
      </c>
      <c r="D83" s="39" t="s">
        <v>87</v>
      </c>
      <c r="E83" s="39" t="str">
        <f>_xlfn.LET(_xlpm.q,_xlfn.XLOOKUP(D83,'LD-ELFA'!F:F,'LD-ELFA'!Q:Q),
   _xlpm.r,_xlfn.XLOOKUP(D83,'LD-ELFA'!F:F,'LD-ELFA'!R:R),
   IF(_xlpm.r = "", _xlpm.q, _xlpm.q &amp; " - " &amp; _xlpm.r))</f>
        <v>LOCAÇÃO E FORMA - VIADUTO - FUNDAÇÕES 1/2</v>
      </c>
      <c r="F83" s="63" t="str">
        <f t="shared" si="10"/>
        <v>Básico</v>
      </c>
      <c r="G83" s="63">
        <f>_xlfn.XLOOKUP(D83,'LD-ELFA'!F:F,'LD-ELFA'!G:G)</f>
        <v>0</v>
      </c>
      <c r="H83" s="63">
        <f>_xlfn.XLOOKUP(D83,'LD-ELFA'!F:F,'LD-ELFA'!I:I)</f>
        <v>0</v>
      </c>
      <c r="I83" s="63" t="str">
        <f>IF(_xlfn.XLOOKUP(D83,'LD-ELFA'!F:F,'LD-ELFA'!T:T)="","",_xlfn.XLOOKUP(D83,'LD-ELFA'!F:F,'LD-ELFA'!T:T))</f>
        <v/>
      </c>
      <c r="J83" s="63" t="str">
        <f>IF(K83="Documento a emitir", "",_xlfn.XLOOKUP(D83,'LD-ELFA'!F:F,'LD-ELFA'!N:N))</f>
        <v/>
      </c>
      <c r="K83" s="43" t="str">
        <f>IF(_xlfn.XLOOKUP($D83,'LD-ELFA'!F:F,'LD-ELFA'!U:U)="","Documento a emitir",_xlfn.XLOOKUP($D83,'LD-ELFA'!F:F,'LD-ELFA'!U:U))</f>
        <v>Documento a emitir</v>
      </c>
      <c r="L83" s="43" t="str">
        <f>IF(K83="Documento a emitir","Documento a emitir",IF(K83&lt;&gt;"Documento a emitir",IF(_xlfn.XLOOKUP(D83,'LD-ELFA'!F:F,'LD-ELFA'!W:W)="","",_xlfn.XLOOKUP(D83,'LD-ELFA'!F:F,'LD-ELFA'!W:W)),""))</f>
        <v>Documento a emitir</v>
      </c>
      <c r="M83" s="43" t="str">
        <f>IF(K83="Documento a emitir","",IF(AND(Q83="APC-R  - APC-R - Aprovado com Comentários (Retornar para uma nova Aprovação)",Q83="APC-L  - APC-L  - Aprovado com Comentários (Retornar Aprovado)"),"",IF(OR(_xlfn.XLOOKUP(D83,'LD-ELFA'!F:F,'LD-ELFA'!N:N)="PARA CONHECIMENTO",_xlfn.XLOOKUP(D83,'LD-ELFA'!F:F,'LD-ELFA'!N:N)="PARA CONSTRUÇÃO",_xlfn.XLOOKUP(D83,'LD-ELFA'!F:F,'LD-ELFA'!N:N)="PARA COTAÇÃO",_xlfn.XLOOKUP(D83,'LD-ELFA'!F:F,'LD-ELFA'!N:N)="CANCELADO"),_xlfn.XLOOKUP(D83,'LD-ELFA'!F:F,'LD-ELFA'!U:U),IF(AND(L83="",J83&lt;&gt;"PARA APROVAÇÃO"),"",""))))</f>
        <v/>
      </c>
      <c r="N83" s="63" t="str">
        <f t="shared" ca="1" si="11"/>
        <v>Documento a Emitir</v>
      </c>
      <c r="O83" s="63" t="str">
        <f t="shared" si="12"/>
        <v>Blossom - Documento a emitir</v>
      </c>
      <c r="P83" s="63" t="str">
        <f t="shared" si="13"/>
        <v>Blossom</v>
      </c>
      <c r="Q83" s="63" t="str">
        <f>IF(_xlfn.XLOOKUP(D83,'LD-ELFA'!F:F,'LD-ELFA'!V:V)="","",_xlfn.XLOOKUP(D83,'LD-ELFA'!F:F,'LD-ELFA'!V:V))</f>
        <v/>
      </c>
      <c r="R83" s="40">
        <f>IFERROR(IF(I83&lt;&gt;"","Documento Emitido",_xlfn.XLOOKUP(D83,Cronograma!P:P,Cronograma!Q:Q)),"Documento Removido")</f>
        <v>46246</v>
      </c>
      <c r="S83" s="40" t="str">
        <f t="shared" ca="1" si="14"/>
        <v>No prazo</v>
      </c>
      <c r="T83" s="40">
        <f>IFERROR(IF(I83&lt;&gt;"","Documento Emitido",_xlfn.XLOOKUP(D83,Cronograma!P:P,Cronograma!R:R)),"Documento Removido")</f>
        <v>46246</v>
      </c>
      <c r="U83" s="39" t="str">
        <f t="shared" si="15"/>
        <v>No prazo</v>
      </c>
      <c r="V83" s="39" t="str">
        <f t="shared" si="16"/>
        <v/>
      </c>
      <c r="W83" s="39" t="str">
        <f t="shared" ca="1" si="17"/>
        <v/>
      </c>
    </row>
    <row r="84" spans="1:23" s="60" customFormat="1" ht="28.5" customHeight="1" x14ac:dyDescent="0.2">
      <c r="A84" s="39">
        <v>81</v>
      </c>
      <c r="B84" s="39" t="str">
        <f>_xlfn.XLOOKUP(D84,'LD-ELFA'!F:F,'LD-ELFA'!C:C)</f>
        <v>CC - Concreto</v>
      </c>
      <c r="C84" s="39" t="str">
        <f>_xlfn.XLOOKUP(D84,'LD-ELFA'!F:F,'LD-ELFA'!D:D)</f>
        <v>DBA - Desenho Básico</v>
      </c>
      <c r="D84" s="39" t="s">
        <v>88</v>
      </c>
      <c r="E84" s="39" t="str">
        <f>_xlfn.LET(_xlpm.q,_xlfn.XLOOKUP(D84,'LD-ELFA'!F:F,'LD-ELFA'!Q:Q),
   _xlpm.r,_xlfn.XLOOKUP(D84,'LD-ELFA'!F:F,'LD-ELFA'!R:R),
   IF(_xlpm.r = "", _xlpm.q, _xlpm.q &amp; " - " &amp; _xlpm.r))</f>
        <v>LOCAÇÃO E FORMA - VIADUTO - FUNDAÇÕES 2/2</v>
      </c>
      <c r="F84" s="63" t="str">
        <f t="shared" si="10"/>
        <v>Básico</v>
      </c>
      <c r="G84" s="63">
        <f>_xlfn.XLOOKUP(D84,'LD-ELFA'!F:F,'LD-ELFA'!G:G)</f>
        <v>0</v>
      </c>
      <c r="H84" s="63">
        <f>_xlfn.XLOOKUP(D84,'LD-ELFA'!F:F,'LD-ELFA'!I:I)</f>
        <v>0</v>
      </c>
      <c r="I84" s="63" t="str">
        <f>IF(_xlfn.XLOOKUP(D84,'LD-ELFA'!F:F,'LD-ELFA'!T:T)="","",_xlfn.XLOOKUP(D84,'LD-ELFA'!F:F,'LD-ELFA'!T:T))</f>
        <v/>
      </c>
      <c r="J84" s="63" t="str">
        <f>IF(K84="Documento a emitir", "",_xlfn.XLOOKUP(D84,'LD-ELFA'!F:F,'LD-ELFA'!N:N))</f>
        <v/>
      </c>
      <c r="K84" s="43" t="str">
        <f>IF(_xlfn.XLOOKUP($D84,'LD-ELFA'!F:F,'LD-ELFA'!U:U)="","Documento a emitir",_xlfn.XLOOKUP($D84,'LD-ELFA'!F:F,'LD-ELFA'!U:U))</f>
        <v>Documento a emitir</v>
      </c>
      <c r="L84" s="43" t="str">
        <f>IF(K84="Documento a emitir","Documento a emitir",IF(K84&lt;&gt;"Documento a emitir",IF(_xlfn.XLOOKUP(D84,'LD-ELFA'!F:F,'LD-ELFA'!W:W)="","",_xlfn.XLOOKUP(D84,'LD-ELFA'!F:F,'LD-ELFA'!W:W)),""))</f>
        <v>Documento a emitir</v>
      </c>
      <c r="M84" s="43" t="str">
        <f>IF(K84="Documento a emitir","",IF(AND(Q84="APC-R  - APC-R - Aprovado com Comentários (Retornar para uma nova Aprovação)",Q84="APC-L  - APC-L  - Aprovado com Comentários (Retornar Aprovado)"),"",IF(OR(_xlfn.XLOOKUP(D84,'LD-ELFA'!F:F,'LD-ELFA'!N:N)="PARA CONHECIMENTO",_xlfn.XLOOKUP(D84,'LD-ELFA'!F:F,'LD-ELFA'!N:N)="PARA CONSTRUÇÃO",_xlfn.XLOOKUP(D84,'LD-ELFA'!F:F,'LD-ELFA'!N:N)="PARA COTAÇÃO",_xlfn.XLOOKUP(D84,'LD-ELFA'!F:F,'LD-ELFA'!N:N)="CANCELADO"),_xlfn.XLOOKUP(D84,'LD-ELFA'!F:F,'LD-ELFA'!U:U),IF(AND(L84="",J84&lt;&gt;"PARA APROVAÇÃO"),"",""))))</f>
        <v/>
      </c>
      <c r="N84" s="63" t="str">
        <f t="shared" ca="1" si="11"/>
        <v>Documento a Emitir</v>
      </c>
      <c r="O84" s="63" t="str">
        <f t="shared" si="12"/>
        <v>Blossom - Documento a emitir</v>
      </c>
      <c r="P84" s="63" t="str">
        <f t="shared" si="13"/>
        <v>Blossom</v>
      </c>
      <c r="Q84" s="63" t="str">
        <f>IF(_xlfn.XLOOKUP(D84,'LD-ELFA'!F:F,'LD-ELFA'!V:V)="","",_xlfn.XLOOKUP(D84,'LD-ELFA'!F:F,'LD-ELFA'!V:V))</f>
        <v/>
      </c>
      <c r="R84" s="40">
        <f>IFERROR(IF(I84&lt;&gt;"","Documento Emitido",_xlfn.XLOOKUP(D84,Cronograma!P:P,Cronograma!Q:Q)),"Documento Removido")</f>
        <v>46246</v>
      </c>
      <c r="S84" s="40" t="str">
        <f t="shared" ca="1" si="14"/>
        <v>No prazo</v>
      </c>
      <c r="T84" s="40">
        <f>IFERROR(IF(I84&lt;&gt;"","Documento Emitido",_xlfn.XLOOKUP(D84,Cronograma!P:P,Cronograma!R:R)),"Documento Removido")</f>
        <v>46246</v>
      </c>
      <c r="U84" s="39" t="str">
        <f t="shared" si="15"/>
        <v>No prazo</v>
      </c>
      <c r="V84" s="39" t="str">
        <f t="shared" si="16"/>
        <v/>
      </c>
      <c r="W84" s="39" t="str">
        <f t="shared" ca="1" si="17"/>
        <v/>
      </c>
    </row>
    <row r="85" spans="1:23" s="60" customFormat="1" ht="28.5" customHeight="1" x14ac:dyDescent="0.2">
      <c r="A85" s="39">
        <v>82</v>
      </c>
      <c r="B85" s="39" t="str">
        <f>_xlfn.XLOOKUP(D85,'LD-ELFA'!F:F,'LD-ELFA'!C:C)</f>
        <v>CC - Concreto</v>
      </c>
      <c r="C85" s="39" t="str">
        <f>_xlfn.XLOOKUP(D85,'LD-ELFA'!F:F,'LD-ELFA'!D:D)</f>
        <v>DBA - Desenho Básico</v>
      </c>
      <c r="D85" s="39" t="s">
        <v>89</v>
      </c>
      <c r="E85" s="39" t="str">
        <f>_xlfn.LET(_xlpm.q,_xlfn.XLOOKUP(D85,'LD-ELFA'!F:F,'LD-ELFA'!Q:Q),
   _xlpm.r,_xlfn.XLOOKUP(D85,'LD-ELFA'!F:F,'LD-ELFA'!R:R),
   IF(_xlpm.r = "", _xlpm.q, _xlpm.q &amp; " - " &amp; _xlpm.r))</f>
        <v>VIADUTO SOBRE ESTRADA DE FERRO CARAJÁS - ALTERNATIVA 1 - PLANTA DE LOCAÇÃO E PERFIL - FORMA - PLANTA E CORTE - NIVEL BÁSICO</v>
      </c>
      <c r="F85" s="63" t="str">
        <f t="shared" si="10"/>
        <v>Básico</v>
      </c>
      <c r="G85" s="63">
        <f>_xlfn.XLOOKUP(D85,'LD-ELFA'!F:F,'LD-ELFA'!G:G)</f>
        <v>0</v>
      </c>
      <c r="H85" s="63">
        <f>_xlfn.XLOOKUP(D85,'LD-ELFA'!F:F,'LD-ELFA'!I:I)</f>
        <v>0</v>
      </c>
      <c r="I85" s="63" t="str">
        <f>IF(_xlfn.XLOOKUP(D85,'LD-ELFA'!F:F,'LD-ELFA'!T:T)="","",_xlfn.XLOOKUP(D85,'LD-ELFA'!F:F,'LD-ELFA'!T:T))</f>
        <v/>
      </c>
      <c r="J85" s="63" t="str">
        <f>IF(K85="Documento a emitir", "",_xlfn.XLOOKUP(D85,'LD-ELFA'!F:F,'LD-ELFA'!N:N))</f>
        <v/>
      </c>
      <c r="K85" s="43" t="str">
        <f>IF(_xlfn.XLOOKUP($D85,'LD-ELFA'!F:F,'LD-ELFA'!U:U)="","Documento a emitir",_xlfn.XLOOKUP($D85,'LD-ELFA'!F:F,'LD-ELFA'!U:U))</f>
        <v>Documento a emitir</v>
      </c>
      <c r="L85" s="43" t="str">
        <f>IF(K85="Documento a emitir","Documento a emitir",IF(K85&lt;&gt;"Documento a emitir",IF(_xlfn.XLOOKUP(D85,'LD-ELFA'!F:F,'LD-ELFA'!W:W)="","",_xlfn.XLOOKUP(D85,'LD-ELFA'!F:F,'LD-ELFA'!W:W)),""))</f>
        <v>Documento a emitir</v>
      </c>
      <c r="M85" s="43" t="str">
        <f>IF(K85="Documento a emitir","",IF(AND(Q85="APC-R  - APC-R - Aprovado com Comentários (Retornar para uma nova Aprovação)",Q85="APC-L  - APC-L  - Aprovado com Comentários (Retornar Aprovado)"),"",IF(OR(_xlfn.XLOOKUP(D85,'LD-ELFA'!F:F,'LD-ELFA'!N:N)="PARA CONHECIMENTO",_xlfn.XLOOKUP(D85,'LD-ELFA'!F:F,'LD-ELFA'!N:N)="PARA CONSTRUÇÃO",_xlfn.XLOOKUP(D85,'LD-ELFA'!F:F,'LD-ELFA'!N:N)="PARA COTAÇÃO",_xlfn.XLOOKUP(D85,'LD-ELFA'!F:F,'LD-ELFA'!N:N)="CANCELADO"),_xlfn.XLOOKUP(D85,'LD-ELFA'!F:F,'LD-ELFA'!U:U),IF(AND(L85="",J85&lt;&gt;"PARA APROVAÇÃO"),"",""))))</f>
        <v/>
      </c>
      <c r="N85" s="63" t="str">
        <f t="shared" ca="1" si="11"/>
        <v>Documento a Emitir</v>
      </c>
      <c r="O85" s="63" t="str">
        <f t="shared" si="12"/>
        <v>Blossom - Documento a emitir</v>
      </c>
      <c r="P85" s="63" t="str">
        <f t="shared" si="13"/>
        <v>Blossom</v>
      </c>
      <c r="Q85" s="63" t="str">
        <f>IF(_xlfn.XLOOKUP(D85,'LD-ELFA'!F:F,'LD-ELFA'!V:V)="","",_xlfn.XLOOKUP(D85,'LD-ELFA'!F:F,'LD-ELFA'!V:V))</f>
        <v/>
      </c>
      <c r="R85" s="40">
        <f>IFERROR(IF(I85&lt;&gt;"","Documento Emitido",_xlfn.XLOOKUP(D85,Cronograma!P:P,Cronograma!Q:Q)),"Documento Removido")</f>
        <v>46246</v>
      </c>
      <c r="S85" s="40" t="str">
        <f t="shared" ca="1" si="14"/>
        <v>No prazo</v>
      </c>
      <c r="T85" s="40">
        <f>IFERROR(IF(I85&lt;&gt;"","Documento Emitido",_xlfn.XLOOKUP(D85,Cronograma!P:P,Cronograma!R:R)),"Documento Removido")</f>
        <v>46246</v>
      </c>
      <c r="U85" s="39" t="str">
        <f t="shared" si="15"/>
        <v>No prazo</v>
      </c>
      <c r="V85" s="39" t="str">
        <f t="shared" si="16"/>
        <v/>
      </c>
      <c r="W85" s="39" t="str">
        <f t="shared" ca="1" si="17"/>
        <v/>
      </c>
    </row>
    <row r="86" spans="1:23" s="60" customFormat="1" ht="28.5" customHeight="1" x14ac:dyDescent="0.2">
      <c r="A86" s="39">
        <v>83</v>
      </c>
      <c r="B86" s="39" t="str">
        <f>_xlfn.XLOOKUP(D86,'LD-ELFA'!F:F,'LD-ELFA'!C:C)</f>
        <v>CC - Concreto</v>
      </c>
      <c r="C86" s="39" t="str">
        <f>_xlfn.XLOOKUP(D86,'LD-ELFA'!F:F,'LD-ELFA'!D:D)</f>
        <v>DBA - Desenho Básico</v>
      </c>
      <c r="D86" s="39" t="s">
        <v>90</v>
      </c>
      <c r="E86" s="39" t="str">
        <f>_xlfn.LET(_xlpm.q,_xlfn.XLOOKUP(D86,'LD-ELFA'!F:F,'LD-ELFA'!Q:Q),
   _xlpm.r,_xlfn.XLOOKUP(D86,'LD-ELFA'!F:F,'LD-ELFA'!R:R),
   IF(_xlpm.r = "", _xlpm.q, _xlpm.q &amp; " - " &amp; _xlpm.r))</f>
        <v>LOCAÇÃO E FORMA - ESTRUTURAS DE CONCRETO - DRENAGEM FORÇADA</v>
      </c>
      <c r="F86" s="63" t="str">
        <f t="shared" si="10"/>
        <v>Básico</v>
      </c>
      <c r="G86" s="63">
        <f>_xlfn.XLOOKUP(D86,'LD-ELFA'!F:F,'LD-ELFA'!G:G)</f>
        <v>0</v>
      </c>
      <c r="H86" s="63">
        <f>_xlfn.XLOOKUP(D86,'LD-ELFA'!F:F,'LD-ELFA'!I:I)</f>
        <v>0</v>
      </c>
      <c r="I86" s="63" t="str">
        <f>IF(_xlfn.XLOOKUP(D86,'LD-ELFA'!F:F,'LD-ELFA'!T:T)="","",_xlfn.XLOOKUP(D86,'LD-ELFA'!F:F,'LD-ELFA'!T:T))</f>
        <v/>
      </c>
      <c r="J86" s="63" t="str">
        <f>IF(K86="Documento a emitir", "",_xlfn.XLOOKUP(D86,'LD-ELFA'!F:F,'LD-ELFA'!N:N))</f>
        <v/>
      </c>
      <c r="K86" s="43" t="str">
        <f>IF(_xlfn.XLOOKUP($D86,'LD-ELFA'!F:F,'LD-ELFA'!U:U)="","Documento a emitir",_xlfn.XLOOKUP($D86,'LD-ELFA'!F:F,'LD-ELFA'!U:U))</f>
        <v>Documento a emitir</v>
      </c>
      <c r="L86" s="43" t="str">
        <f>IF(K86="Documento a emitir","Documento a emitir",IF(K86&lt;&gt;"Documento a emitir",IF(_xlfn.XLOOKUP(D86,'LD-ELFA'!F:F,'LD-ELFA'!W:W)="","",_xlfn.XLOOKUP(D86,'LD-ELFA'!F:F,'LD-ELFA'!W:W)),""))</f>
        <v>Documento a emitir</v>
      </c>
      <c r="M86" s="43" t="str">
        <f>IF(K86="Documento a emitir","",IF(AND(Q86="APC-R  - APC-R - Aprovado com Comentários (Retornar para uma nova Aprovação)",Q86="APC-L  - APC-L  - Aprovado com Comentários (Retornar Aprovado)"),"",IF(OR(_xlfn.XLOOKUP(D86,'LD-ELFA'!F:F,'LD-ELFA'!N:N)="PARA CONHECIMENTO",_xlfn.XLOOKUP(D86,'LD-ELFA'!F:F,'LD-ELFA'!N:N)="PARA CONSTRUÇÃO",_xlfn.XLOOKUP(D86,'LD-ELFA'!F:F,'LD-ELFA'!N:N)="PARA COTAÇÃO",_xlfn.XLOOKUP(D86,'LD-ELFA'!F:F,'LD-ELFA'!N:N)="CANCELADO"),_xlfn.XLOOKUP(D86,'LD-ELFA'!F:F,'LD-ELFA'!U:U),IF(AND(L86="",J86&lt;&gt;"PARA APROVAÇÃO"),"",""))))</f>
        <v/>
      </c>
      <c r="N86" s="63" t="str">
        <f t="shared" ca="1" si="11"/>
        <v>Documento a Emitir</v>
      </c>
      <c r="O86" s="63" t="str">
        <f t="shared" si="12"/>
        <v>Blossom - Documento a emitir</v>
      </c>
      <c r="P86" s="63" t="str">
        <f t="shared" si="13"/>
        <v>Blossom</v>
      </c>
      <c r="Q86" s="63" t="str">
        <f>IF(_xlfn.XLOOKUP(D86,'LD-ELFA'!F:F,'LD-ELFA'!V:V)="","",_xlfn.XLOOKUP(D86,'LD-ELFA'!F:F,'LD-ELFA'!V:V))</f>
        <v/>
      </c>
      <c r="R86" s="40">
        <f>IFERROR(IF(I86&lt;&gt;"","Documento Emitido",_xlfn.XLOOKUP(D86,Cronograma!P:P,Cronograma!Q:Q)),"Documento Removido")</f>
        <v>46238</v>
      </c>
      <c r="S86" s="40" t="str">
        <f t="shared" ca="1" si="14"/>
        <v>No prazo</v>
      </c>
      <c r="T86" s="40">
        <f>IFERROR(IF(I86&lt;&gt;"","Documento Emitido",_xlfn.XLOOKUP(D86,Cronograma!P:P,Cronograma!R:R)),"Documento Removido")</f>
        <v>46241</v>
      </c>
      <c r="U86" s="39" t="str">
        <f t="shared" si="15"/>
        <v>No prazo</v>
      </c>
      <c r="V86" s="39" t="str">
        <f t="shared" si="16"/>
        <v/>
      </c>
      <c r="W86" s="39" t="str">
        <f t="shared" ca="1" si="17"/>
        <v/>
      </c>
    </row>
    <row r="87" spans="1:23" s="60" customFormat="1" ht="28.5" customHeight="1" x14ac:dyDescent="0.2">
      <c r="A87" s="39">
        <v>84</v>
      </c>
      <c r="B87" s="39" t="str">
        <f>_xlfn.XLOOKUP(D87,'LD-ELFA'!F:F,'LD-ELFA'!C:C)</f>
        <v>CC - Concreto</v>
      </c>
      <c r="C87" s="39" t="str">
        <f>_xlfn.XLOOKUP(D87,'LD-ELFA'!F:F,'LD-ELFA'!D:D)</f>
        <v>MCA - Memória De Cálculo</v>
      </c>
      <c r="D87" s="39" t="s">
        <v>91</v>
      </c>
      <c r="E87" s="39" t="str">
        <f>_xlfn.LET(_xlpm.q,_xlfn.XLOOKUP(D87,'LD-ELFA'!F:F,'LD-ELFA'!Q:Q),
   _xlpm.r,_xlfn.XLOOKUP(D87,'LD-ELFA'!F:F,'LD-ELFA'!R:R),
   IF(_xlpm.r = "", _xlpm.q, _xlpm.q &amp; " - " &amp; _xlpm.r))</f>
        <v>MEMÓRIA DE CÁLCULO - ESTRUTURAS DE CONCRETO / FUNDAÇÕES</v>
      </c>
      <c r="F87" s="63" t="str">
        <f t="shared" si="10"/>
        <v>Básico</v>
      </c>
      <c r="G87" s="63">
        <f>_xlfn.XLOOKUP(D87,'LD-ELFA'!F:F,'LD-ELFA'!G:G)</f>
        <v>0</v>
      </c>
      <c r="H87" s="63">
        <f>_xlfn.XLOOKUP(D87,'LD-ELFA'!F:F,'LD-ELFA'!I:I)</f>
        <v>0</v>
      </c>
      <c r="I87" s="63" t="str">
        <f>IF(_xlfn.XLOOKUP(D87,'LD-ELFA'!F:F,'LD-ELFA'!T:T)="","",_xlfn.XLOOKUP(D87,'LD-ELFA'!F:F,'LD-ELFA'!T:T))</f>
        <v/>
      </c>
      <c r="J87" s="63" t="str">
        <f>IF(K87="Documento a emitir", "",_xlfn.XLOOKUP(D87,'LD-ELFA'!F:F,'LD-ELFA'!N:N))</f>
        <v/>
      </c>
      <c r="K87" s="43" t="str">
        <f>IF(_xlfn.XLOOKUP($D87,'LD-ELFA'!F:F,'LD-ELFA'!U:U)="","Documento a emitir",_xlfn.XLOOKUP($D87,'LD-ELFA'!F:F,'LD-ELFA'!U:U))</f>
        <v>Documento a emitir</v>
      </c>
      <c r="L87" s="43" t="str">
        <f>IF(K87="Documento a emitir","Documento a emitir",IF(K87&lt;&gt;"Documento a emitir",IF(_xlfn.XLOOKUP(D87,'LD-ELFA'!F:F,'LD-ELFA'!W:W)="","",_xlfn.XLOOKUP(D87,'LD-ELFA'!F:F,'LD-ELFA'!W:W)),""))</f>
        <v>Documento a emitir</v>
      </c>
      <c r="M87" s="43" t="str">
        <f>IF(K87="Documento a emitir","",IF(AND(Q87="APC-R  - APC-R - Aprovado com Comentários (Retornar para uma nova Aprovação)",Q87="APC-L  - APC-L  - Aprovado com Comentários (Retornar Aprovado)"),"",IF(OR(_xlfn.XLOOKUP(D87,'LD-ELFA'!F:F,'LD-ELFA'!N:N)="PARA CONHECIMENTO",_xlfn.XLOOKUP(D87,'LD-ELFA'!F:F,'LD-ELFA'!N:N)="PARA CONSTRUÇÃO",_xlfn.XLOOKUP(D87,'LD-ELFA'!F:F,'LD-ELFA'!N:N)="PARA COTAÇÃO",_xlfn.XLOOKUP(D87,'LD-ELFA'!F:F,'LD-ELFA'!N:N)="CANCELADO"),_xlfn.XLOOKUP(D87,'LD-ELFA'!F:F,'LD-ELFA'!U:U),IF(AND(L87="",J87&lt;&gt;"PARA APROVAÇÃO"),"",""))))</f>
        <v/>
      </c>
      <c r="N87" s="63" t="str">
        <f t="shared" ca="1" si="11"/>
        <v>Documento a Emitir</v>
      </c>
      <c r="O87" s="63" t="str">
        <f t="shared" si="12"/>
        <v>Blossom - Documento a emitir</v>
      </c>
      <c r="P87" s="63" t="str">
        <f t="shared" si="13"/>
        <v>Blossom</v>
      </c>
      <c r="Q87" s="63" t="str">
        <f>IF(_xlfn.XLOOKUP(D87,'LD-ELFA'!F:F,'LD-ELFA'!V:V)="","",_xlfn.XLOOKUP(D87,'LD-ELFA'!F:F,'LD-ELFA'!V:V))</f>
        <v/>
      </c>
      <c r="R87" s="40">
        <f>IFERROR(IF(I87&lt;&gt;"","Documento Emitido",_xlfn.XLOOKUP(D87,Cronograma!P:P,Cronograma!Q:Q)),"Documento Removido")</f>
        <v>46244</v>
      </c>
      <c r="S87" s="40" t="str">
        <f t="shared" ca="1" si="14"/>
        <v>No prazo</v>
      </c>
      <c r="T87" s="40">
        <f>IFERROR(IF(I87&lt;&gt;"","Documento Emitido",_xlfn.XLOOKUP(D87,Cronograma!P:P,Cronograma!R:R)),"Documento Removido")</f>
        <v>46241</v>
      </c>
      <c r="U87" s="39" t="str">
        <f t="shared" si="15"/>
        <v>Emissão Atrasada</v>
      </c>
      <c r="V87" s="39" t="str">
        <f t="shared" si="16"/>
        <v/>
      </c>
      <c r="W87" s="39" t="str">
        <f t="shared" ca="1" si="17"/>
        <v/>
      </c>
    </row>
    <row r="88" spans="1:23" s="60" customFormat="1" ht="28.5" customHeight="1" x14ac:dyDescent="0.2">
      <c r="A88" s="39">
        <v>85</v>
      </c>
      <c r="B88" s="39" t="str">
        <f>_xlfn.XLOOKUP(D88,'LD-ELFA'!F:F,'LD-ELFA'!C:C)</f>
        <v>CC - Concreto</v>
      </c>
      <c r="C88" s="39" t="str">
        <f>_xlfn.XLOOKUP(D88,'LD-ELFA'!F:F,'LD-ELFA'!D:D)</f>
        <v>MCA - Memória De Cálculo</v>
      </c>
      <c r="D88" s="39" t="s">
        <v>92</v>
      </c>
      <c r="E88" s="39" t="str">
        <f>_xlfn.LET(_xlpm.q,_xlfn.XLOOKUP(D88,'LD-ELFA'!F:F,'LD-ELFA'!Q:Q),
   _xlpm.r,_xlfn.XLOOKUP(D88,'LD-ELFA'!F:F,'LD-ELFA'!R:R),
   IF(_xlpm.r = "", _xlpm.q, _xlpm.q &amp; " - " &amp; _xlpm.r))</f>
        <v>MEMÓRIA DE CÁLCULO - ESTRUTURAS DE CONCRETO / FUNDAÇÕES</v>
      </c>
      <c r="F88" s="63" t="str">
        <f t="shared" si="10"/>
        <v>Básico</v>
      </c>
      <c r="G88" s="63">
        <f>_xlfn.XLOOKUP(D88,'LD-ELFA'!F:F,'LD-ELFA'!G:G)</f>
        <v>0</v>
      </c>
      <c r="H88" s="63">
        <f>_xlfn.XLOOKUP(D88,'LD-ELFA'!F:F,'LD-ELFA'!I:I)</f>
        <v>0</v>
      </c>
      <c r="I88" s="63" t="str">
        <f>IF(_xlfn.XLOOKUP(D88,'LD-ELFA'!F:F,'LD-ELFA'!T:T)="","",_xlfn.XLOOKUP(D88,'LD-ELFA'!F:F,'LD-ELFA'!T:T))</f>
        <v/>
      </c>
      <c r="J88" s="63" t="str">
        <f>IF(K88="Documento a emitir", "",_xlfn.XLOOKUP(D88,'LD-ELFA'!F:F,'LD-ELFA'!N:N))</f>
        <v/>
      </c>
      <c r="K88" s="43" t="str">
        <f>IF(_xlfn.XLOOKUP($D88,'LD-ELFA'!F:F,'LD-ELFA'!U:U)="","Documento a emitir",_xlfn.XLOOKUP($D88,'LD-ELFA'!F:F,'LD-ELFA'!U:U))</f>
        <v>Documento a emitir</v>
      </c>
      <c r="L88" s="43" t="str">
        <f>IF(K88="Documento a emitir","Documento a emitir",IF(K88&lt;&gt;"Documento a emitir",IF(_xlfn.XLOOKUP(D88,'LD-ELFA'!F:F,'LD-ELFA'!W:W)="","",_xlfn.XLOOKUP(D88,'LD-ELFA'!F:F,'LD-ELFA'!W:W)),""))</f>
        <v>Documento a emitir</v>
      </c>
      <c r="M88" s="43" t="str">
        <f>IF(K88="Documento a emitir","",IF(AND(Q88="APC-R  - APC-R - Aprovado com Comentários (Retornar para uma nova Aprovação)",Q88="APC-L  - APC-L  - Aprovado com Comentários (Retornar Aprovado)"),"",IF(OR(_xlfn.XLOOKUP(D88,'LD-ELFA'!F:F,'LD-ELFA'!N:N)="PARA CONHECIMENTO",_xlfn.XLOOKUP(D88,'LD-ELFA'!F:F,'LD-ELFA'!N:N)="PARA CONSTRUÇÃO",_xlfn.XLOOKUP(D88,'LD-ELFA'!F:F,'LD-ELFA'!N:N)="PARA COTAÇÃO",_xlfn.XLOOKUP(D88,'LD-ELFA'!F:F,'LD-ELFA'!N:N)="CANCELADO"),_xlfn.XLOOKUP(D88,'LD-ELFA'!F:F,'LD-ELFA'!U:U),IF(AND(L88="",J88&lt;&gt;"PARA APROVAÇÃO"),"",""))))</f>
        <v/>
      </c>
      <c r="N88" s="63" t="str">
        <f t="shared" ca="1" si="11"/>
        <v>Documento a Emitir</v>
      </c>
      <c r="O88" s="63" t="str">
        <f t="shared" si="12"/>
        <v>Blossom - Documento a emitir</v>
      </c>
      <c r="P88" s="63" t="str">
        <f t="shared" si="13"/>
        <v>Blossom</v>
      </c>
      <c r="Q88" s="63" t="str">
        <f>IF(_xlfn.XLOOKUP(D88,'LD-ELFA'!F:F,'LD-ELFA'!V:V)="","",_xlfn.XLOOKUP(D88,'LD-ELFA'!F:F,'LD-ELFA'!V:V))</f>
        <v/>
      </c>
      <c r="R88" s="40">
        <f>IFERROR(IF(I88&lt;&gt;"","Documento Emitido",_xlfn.XLOOKUP(D88,Cronograma!P:P,Cronograma!Q:Q)),"Documento Removido")</f>
        <v>46240</v>
      </c>
      <c r="S88" s="40" t="str">
        <f t="shared" ca="1" si="14"/>
        <v>No prazo</v>
      </c>
      <c r="T88" s="40">
        <f>IFERROR(IF(I88&lt;&gt;"","Documento Emitido",_xlfn.XLOOKUP(D88,Cronograma!P:P,Cronograma!R:R)),"Documento Removido")</f>
        <v>46251</v>
      </c>
      <c r="U88" s="39" t="str">
        <f t="shared" si="15"/>
        <v>No prazo</v>
      </c>
      <c r="V88" s="39" t="str">
        <f t="shared" si="16"/>
        <v/>
      </c>
      <c r="W88" s="39" t="str">
        <f t="shared" ca="1" si="17"/>
        <v/>
      </c>
    </row>
    <row r="89" spans="1:23" s="60" customFormat="1" ht="28.5" customHeight="1" x14ac:dyDescent="0.2">
      <c r="A89" s="39">
        <v>86</v>
      </c>
      <c r="B89" s="39" t="str">
        <f>_xlfn.XLOOKUP(D89,'LD-ELFA'!F:F,'LD-ELFA'!C:C)</f>
        <v>CC - Concreto</v>
      </c>
      <c r="C89" s="39" t="str">
        <f>_xlfn.XLOOKUP(D89,'LD-ELFA'!F:F,'LD-ELFA'!D:D)</f>
        <v>MCA - Memória De Cálculo</v>
      </c>
      <c r="D89" s="39" t="s">
        <v>93</v>
      </c>
      <c r="E89" s="39" t="str">
        <f>_xlfn.LET(_xlpm.q,_xlfn.XLOOKUP(D89,'LD-ELFA'!F:F,'LD-ELFA'!Q:Q),
   _xlpm.r,_xlfn.XLOOKUP(D89,'LD-ELFA'!F:F,'LD-ELFA'!R:R),
   IF(_xlpm.r = "", _xlpm.q, _xlpm.q &amp; " - " &amp; _xlpm.r))</f>
        <v>MEMÓRIA DE CÁLCULO - ESTRUTURAS DE CONCRETO / FUNDAÇÕES</v>
      </c>
      <c r="F89" s="63" t="str">
        <f t="shared" si="10"/>
        <v>Básico</v>
      </c>
      <c r="G89" s="63">
        <f>_xlfn.XLOOKUP(D89,'LD-ELFA'!F:F,'LD-ELFA'!G:G)</f>
        <v>0</v>
      </c>
      <c r="H89" s="63">
        <f>_xlfn.XLOOKUP(D89,'LD-ELFA'!F:F,'LD-ELFA'!I:I)</f>
        <v>0</v>
      </c>
      <c r="I89" s="63" t="str">
        <f>IF(_xlfn.XLOOKUP(D89,'LD-ELFA'!F:F,'LD-ELFA'!T:T)="","",_xlfn.XLOOKUP(D89,'LD-ELFA'!F:F,'LD-ELFA'!T:T))</f>
        <v/>
      </c>
      <c r="J89" s="63" t="str">
        <f>IF(K89="Documento a emitir", "",_xlfn.XLOOKUP(D89,'LD-ELFA'!F:F,'LD-ELFA'!N:N))</f>
        <v/>
      </c>
      <c r="K89" s="43" t="str">
        <f>IF(_xlfn.XLOOKUP($D89,'LD-ELFA'!F:F,'LD-ELFA'!U:U)="","Documento a emitir",_xlfn.XLOOKUP($D89,'LD-ELFA'!F:F,'LD-ELFA'!U:U))</f>
        <v>Documento a emitir</v>
      </c>
      <c r="L89" s="43" t="str">
        <f>IF(K89="Documento a emitir","Documento a emitir",IF(K89&lt;&gt;"Documento a emitir",IF(_xlfn.XLOOKUP(D89,'LD-ELFA'!F:F,'LD-ELFA'!W:W)="","",_xlfn.XLOOKUP(D89,'LD-ELFA'!F:F,'LD-ELFA'!W:W)),""))</f>
        <v>Documento a emitir</v>
      </c>
      <c r="M89" s="43" t="str">
        <f>IF(K89="Documento a emitir","",IF(AND(Q89="APC-R  - APC-R - Aprovado com Comentários (Retornar para uma nova Aprovação)",Q89="APC-L  - APC-L  - Aprovado com Comentários (Retornar Aprovado)"),"",IF(OR(_xlfn.XLOOKUP(D89,'LD-ELFA'!F:F,'LD-ELFA'!N:N)="PARA CONHECIMENTO",_xlfn.XLOOKUP(D89,'LD-ELFA'!F:F,'LD-ELFA'!N:N)="PARA CONSTRUÇÃO",_xlfn.XLOOKUP(D89,'LD-ELFA'!F:F,'LD-ELFA'!N:N)="PARA COTAÇÃO",_xlfn.XLOOKUP(D89,'LD-ELFA'!F:F,'LD-ELFA'!N:N)="CANCELADO"),_xlfn.XLOOKUP(D89,'LD-ELFA'!F:F,'LD-ELFA'!U:U),IF(AND(L89="",J89&lt;&gt;"PARA APROVAÇÃO"),"",""))))</f>
        <v/>
      </c>
      <c r="N89" s="63" t="str">
        <f t="shared" ca="1" si="11"/>
        <v>Documento a Emitir</v>
      </c>
      <c r="O89" s="63" t="str">
        <f t="shared" si="12"/>
        <v>Blossom - Documento a emitir</v>
      </c>
      <c r="P89" s="63" t="str">
        <f t="shared" si="13"/>
        <v>Blossom</v>
      </c>
      <c r="Q89" s="63" t="str">
        <f>IF(_xlfn.XLOOKUP(D89,'LD-ELFA'!F:F,'LD-ELFA'!V:V)="","",_xlfn.XLOOKUP(D89,'LD-ELFA'!F:F,'LD-ELFA'!V:V))</f>
        <v/>
      </c>
      <c r="R89" s="40">
        <f>IFERROR(IF(I89&lt;&gt;"","Documento Emitido",_xlfn.XLOOKUP(D89,Cronograma!P:P,Cronograma!Q:Q)),"Documento Removido")</f>
        <v>46238</v>
      </c>
      <c r="S89" s="40" t="str">
        <f t="shared" ca="1" si="14"/>
        <v>No prazo</v>
      </c>
      <c r="T89" s="40">
        <f>IFERROR(IF(I89&lt;&gt;"","Documento Emitido",_xlfn.XLOOKUP(D89,Cronograma!P:P,Cronograma!R:R)),"Documento Removido")</f>
        <v>46259</v>
      </c>
      <c r="U89" s="39" t="str">
        <f t="shared" si="15"/>
        <v>No prazo</v>
      </c>
      <c r="V89" s="39" t="str">
        <f t="shared" si="16"/>
        <v/>
      </c>
      <c r="W89" s="39" t="str">
        <f t="shared" ca="1" si="17"/>
        <v/>
      </c>
    </row>
    <row r="90" spans="1:23" s="60" customFormat="1" ht="28.5" customHeight="1" x14ac:dyDescent="0.2">
      <c r="A90" s="39">
        <v>87</v>
      </c>
      <c r="B90" s="39" t="str">
        <f>_xlfn.XLOOKUP(D90,'LD-ELFA'!F:F,'LD-ELFA'!C:C)</f>
        <v>CC - Concreto</v>
      </c>
      <c r="C90" s="39" t="str">
        <f>_xlfn.XLOOKUP(D90,'LD-ELFA'!F:F,'LD-ELFA'!D:D)</f>
        <v>MCA - Memória De Cálculo</v>
      </c>
      <c r="D90" s="39" t="s">
        <v>94</v>
      </c>
      <c r="E90" s="39" t="str">
        <f>_xlfn.LET(_xlpm.q,_xlfn.XLOOKUP(D90,'LD-ELFA'!F:F,'LD-ELFA'!Q:Q),
   _xlpm.r,_xlfn.XLOOKUP(D90,'LD-ELFA'!F:F,'LD-ELFA'!R:R),
   IF(_xlpm.r = "", _xlpm.q, _xlpm.q &amp; " - " &amp; _xlpm.r))</f>
        <v>MEMÓRIA DE CÁLCULO - ESTRUTURAS ABASTECIMENTO VAGÕES - FUNDAÇÕES</v>
      </c>
      <c r="F90" s="63" t="str">
        <f t="shared" si="10"/>
        <v>Básico</v>
      </c>
      <c r="G90" s="63">
        <f>_xlfn.XLOOKUP(D90,'LD-ELFA'!F:F,'LD-ELFA'!G:G)</f>
        <v>0</v>
      </c>
      <c r="H90" s="63">
        <f>_xlfn.XLOOKUP(D90,'LD-ELFA'!F:F,'LD-ELFA'!I:I)</f>
        <v>0</v>
      </c>
      <c r="I90" s="63" t="str">
        <f>IF(_xlfn.XLOOKUP(D90,'LD-ELFA'!F:F,'LD-ELFA'!T:T)="","",_xlfn.XLOOKUP(D90,'LD-ELFA'!F:F,'LD-ELFA'!T:T))</f>
        <v/>
      </c>
      <c r="J90" s="63" t="str">
        <f>IF(K90="Documento a emitir", "",_xlfn.XLOOKUP(D90,'LD-ELFA'!F:F,'LD-ELFA'!N:N))</f>
        <v/>
      </c>
      <c r="K90" s="43" t="str">
        <f>IF(_xlfn.XLOOKUP($D90,'LD-ELFA'!F:F,'LD-ELFA'!U:U)="","Documento a emitir",_xlfn.XLOOKUP($D90,'LD-ELFA'!F:F,'LD-ELFA'!U:U))</f>
        <v>Documento a emitir</v>
      </c>
      <c r="L90" s="43" t="str">
        <f>IF(K90="Documento a emitir","Documento a emitir",IF(K90&lt;&gt;"Documento a emitir",IF(_xlfn.XLOOKUP(D90,'LD-ELFA'!F:F,'LD-ELFA'!W:W)="","",_xlfn.XLOOKUP(D90,'LD-ELFA'!F:F,'LD-ELFA'!W:W)),""))</f>
        <v>Documento a emitir</v>
      </c>
      <c r="M90" s="43" t="str">
        <f>IF(K90="Documento a emitir","",IF(AND(Q90="APC-R  - APC-R - Aprovado com Comentários (Retornar para uma nova Aprovação)",Q90="APC-L  - APC-L  - Aprovado com Comentários (Retornar Aprovado)"),"",IF(OR(_xlfn.XLOOKUP(D90,'LD-ELFA'!F:F,'LD-ELFA'!N:N)="PARA CONHECIMENTO",_xlfn.XLOOKUP(D90,'LD-ELFA'!F:F,'LD-ELFA'!N:N)="PARA CONSTRUÇÃO",_xlfn.XLOOKUP(D90,'LD-ELFA'!F:F,'LD-ELFA'!N:N)="PARA COTAÇÃO",_xlfn.XLOOKUP(D90,'LD-ELFA'!F:F,'LD-ELFA'!N:N)="CANCELADO"),_xlfn.XLOOKUP(D90,'LD-ELFA'!F:F,'LD-ELFA'!U:U),IF(AND(L90="",J90&lt;&gt;"PARA APROVAÇÃO"),"",""))))</f>
        <v/>
      </c>
      <c r="N90" s="63" t="str">
        <f t="shared" ca="1" si="11"/>
        <v>Documento a Emitir</v>
      </c>
      <c r="O90" s="63" t="str">
        <f t="shared" si="12"/>
        <v>Blossom - Documento a emitir</v>
      </c>
      <c r="P90" s="63" t="str">
        <f t="shared" si="13"/>
        <v>Blossom</v>
      </c>
      <c r="Q90" s="63" t="str">
        <f>IF(_xlfn.XLOOKUP(D90,'LD-ELFA'!F:F,'LD-ELFA'!V:V)="","",_xlfn.XLOOKUP(D90,'LD-ELFA'!F:F,'LD-ELFA'!V:V))</f>
        <v/>
      </c>
      <c r="R90" s="40">
        <f>IFERROR(IF(I90&lt;&gt;"","Documento Emitido",_xlfn.XLOOKUP(D90,Cronograma!P:P,Cronograma!Q:Q)),"Documento Removido")</f>
        <v>46238</v>
      </c>
      <c r="S90" s="40" t="str">
        <f t="shared" ca="1" si="14"/>
        <v>No prazo</v>
      </c>
      <c r="T90" s="40">
        <f>IFERROR(IF(I90&lt;&gt;"","Documento Emitido",_xlfn.XLOOKUP(D90,Cronograma!P:P,Cronograma!R:R)),"Documento Removido")</f>
        <v>46238</v>
      </c>
      <c r="U90" s="39" t="str">
        <f t="shared" si="15"/>
        <v>No prazo</v>
      </c>
      <c r="V90" s="39" t="str">
        <f t="shared" si="16"/>
        <v/>
      </c>
      <c r="W90" s="39" t="str">
        <f t="shared" ca="1" si="17"/>
        <v/>
      </c>
    </row>
    <row r="91" spans="1:23" s="60" customFormat="1" ht="28.5" customHeight="1" x14ac:dyDescent="0.2">
      <c r="A91" s="39">
        <v>88</v>
      </c>
      <c r="B91" s="39" t="e">
        <f>_xlfn.XLOOKUP(D91,'LD-ELFA'!F:F,'LD-ELFA'!C:C)</f>
        <v>#N/A</v>
      </c>
      <c r="C91" s="39" t="e">
        <f>_xlfn.XLOOKUP(D91,'LD-ELFA'!F:F,'LD-ELFA'!D:D)</f>
        <v>#N/A</v>
      </c>
      <c r="D91" s="39" t="s">
        <v>95</v>
      </c>
      <c r="E91" s="39" t="e">
        <f>_xlfn.LET(_xlpm.q,_xlfn.XLOOKUP(D91,'LD-ELFA'!F:F,'LD-ELFA'!Q:Q),
   _xlpm.r,_xlfn.XLOOKUP(D91,'LD-ELFA'!F:F,'LD-ELFA'!R:R),
   IF(_xlpm.r = "", _xlpm.q, _xlpm.q &amp; " - " &amp; _xlpm.r))</f>
        <v>#N/A</v>
      </c>
      <c r="F91" s="63" t="str">
        <f t="shared" si="10"/>
        <v>Básico</v>
      </c>
      <c r="G91" s="63" t="e">
        <f>_xlfn.XLOOKUP(D91,'LD-ELFA'!F:F,'LD-ELFA'!G:G)</f>
        <v>#N/A</v>
      </c>
      <c r="H91" s="63" t="e">
        <f>_xlfn.XLOOKUP(D91,'LD-ELFA'!F:F,'LD-ELFA'!I:I)</f>
        <v>#N/A</v>
      </c>
      <c r="I91" s="63" t="e">
        <f>IF(_xlfn.XLOOKUP(D91,'LD-ELFA'!F:F,'LD-ELFA'!T:T)="","",_xlfn.XLOOKUP(D91,'LD-ELFA'!F:F,'LD-ELFA'!T:T))</f>
        <v>#N/A</v>
      </c>
      <c r="J91" s="63" t="e">
        <f>IF(K91="Documento a emitir", "",_xlfn.XLOOKUP(D91,'LD-ELFA'!F:F,'LD-ELFA'!N:N))</f>
        <v>#N/A</v>
      </c>
      <c r="K91" s="43" t="e">
        <f>IF(_xlfn.XLOOKUP($D91,'LD-ELFA'!F:F,'LD-ELFA'!U:U)="","Documento a emitir",_xlfn.XLOOKUP($D91,'LD-ELFA'!F:F,'LD-ELFA'!U:U))</f>
        <v>#N/A</v>
      </c>
      <c r="L91" s="43" t="e">
        <f>IF(K91="Documento a emitir","Documento a emitir",IF(K91&lt;&gt;"Documento a emitir",IF(_xlfn.XLOOKUP(D91,'LD-ELFA'!F:F,'LD-ELFA'!W:W)="","",_xlfn.XLOOKUP(D91,'LD-ELFA'!F:F,'LD-ELFA'!W:W)),""))</f>
        <v>#N/A</v>
      </c>
      <c r="M91" s="43" t="e">
        <f>IF(K91="Documento a emitir","",IF(AND(Q91="APC-R  - APC-R - Aprovado com Comentários (Retornar para uma nova Aprovação)",Q91="APC-L  - APC-L  - Aprovado com Comentários (Retornar Aprovado)"),"",IF(OR(_xlfn.XLOOKUP(D91,'LD-ELFA'!F:F,'LD-ELFA'!N:N)="PARA CONHECIMENTO",_xlfn.XLOOKUP(D91,'LD-ELFA'!F:F,'LD-ELFA'!N:N)="PARA CONSTRUÇÃO",_xlfn.XLOOKUP(D91,'LD-ELFA'!F:F,'LD-ELFA'!N:N)="PARA COTAÇÃO",_xlfn.XLOOKUP(D91,'LD-ELFA'!F:F,'LD-ELFA'!N:N)="CANCELADO"),_xlfn.XLOOKUP(D91,'LD-ELFA'!F:F,'LD-ELFA'!U:U),IF(AND(L91="",J91&lt;&gt;"PARA APROVAÇÃO"),"",""))))</f>
        <v>#N/A</v>
      </c>
      <c r="N91" s="63" t="str">
        <f t="shared" ca="1" si="11"/>
        <v>ERRO</v>
      </c>
      <c r="O91" s="63" t="str">
        <f t="shared" si="12"/>
        <v>Documento Removido</v>
      </c>
      <c r="P91" s="63" t="str">
        <f t="shared" si="13"/>
        <v>Blossom</v>
      </c>
      <c r="Q91" s="63" t="e">
        <f>IF(_xlfn.XLOOKUP(D91,'LD-ELFA'!F:F,'LD-ELFA'!V:V)="","",_xlfn.XLOOKUP(D91,'LD-ELFA'!F:F,'LD-ELFA'!V:V))</f>
        <v>#N/A</v>
      </c>
      <c r="R91" s="40" t="str">
        <f>IFERROR(IF(I91&lt;&gt;"","Documento Emitido",_xlfn.XLOOKUP(D91,Cronograma!P:P,Cronograma!Q:Q)),"Documento Removido")</f>
        <v>Documento Removido</v>
      </c>
      <c r="S91" s="40" t="str">
        <f t="shared" ca="1" si="14"/>
        <v>Documento Removido</v>
      </c>
      <c r="T91" s="40" t="str">
        <f>IFERROR(IF(I91&lt;&gt;"","Documento Emitido",_xlfn.XLOOKUP(D91,Cronograma!P:P,Cronograma!R:R)),"Documento Removido")</f>
        <v>Documento Removido</v>
      </c>
      <c r="U91" s="39" t="str">
        <f t="shared" si="15"/>
        <v>Documento Removido</v>
      </c>
      <c r="V91" s="39" t="str">
        <f t="shared" si="16"/>
        <v>Documento Removido</v>
      </c>
      <c r="W91" s="39" t="e">
        <f t="shared" ca="1" si="17"/>
        <v>#N/A</v>
      </c>
    </row>
    <row r="92" spans="1:23" s="60" customFormat="1" ht="28.5" customHeight="1" x14ac:dyDescent="0.2">
      <c r="A92" s="39">
        <v>89</v>
      </c>
      <c r="B92" s="39" t="e">
        <f>_xlfn.XLOOKUP(D92,'LD-ELFA'!F:F,'LD-ELFA'!C:C)</f>
        <v>#N/A</v>
      </c>
      <c r="C92" s="39" t="e">
        <f>_xlfn.XLOOKUP(D92,'LD-ELFA'!F:F,'LD-ELFA'!D:D)</f>
        <v>#N/A</v>
      </c>
      <c r="D92" s="39" t="s">
        <v>96</v>
      </c>
      <c r="E92" s="39" t="e">
        <f>_xlfn.LET(_xlpm.q,_xlfn.XLOOKUP(D92,'LD-ELFA'!F:F,'LD-ELFA'!Q:Q),
   _xlpm.r,_xlfn.XLOOKUP(D92,'LD-ELFA'!F:F,'LD-ELFA'!R:R),
   IF(_xlpm.r = "", _xlpm.q, _xlpm.q &amp; " - " &amp; _xlpm.r))</f>
        <v>#N/A</v>
      </c>
      <c r="F92" s="63" t="str">
        <f t="shared" si="10"/>
        <v>Básico</v>
      </c>
      <c r="G92" s="63" t="e">
        <f>_xlfn.XLOOKUP(D92,'LD-ELFA'!F:F,'LD-ELFA'!G:G)</f>
        <v>#N/A</v>
      </c>
      <c r="H92" s="63" t="e">
        <f>_xlfn.XLOOKUP(D92,'LD-ELFA'!F:F,'LD-ELFA'!I:I)</f>
        <v>#N/A</v>
      </c>
      <c r="I92" s="63" t="e">
        <f>IF(_xlfn.XLOOKUP(D92,'LD-ELFA'!F:F,'LD-ELFA'!T:T)="","",_xlfn.XLOOKUP(D92,'LD-ELFA'!F:F,'LD-ELFA'!T:T))</f>
        <v>#N/A</v>
      </c>
      <c r="J92" s="63" t="e">
        <f>IF(K92="Documento a emitir", "",_xlfn.XLOOKUP(D92,'LD-ELFA'!F:F,'LD-ELFA'!N:N))</f>
        <v>#N/A</v>
      </c>
      <c r="K92" s="43" t="e">
        <f>IF(_xlfn.XLOOKUP($D92,'LD-ELFA'!F:F,'LD-ELFA'!U:U)="","Documento a emitir",_xlfn.XLOOKUP($D92,'LD-ELFA'!F:F,'LD-ELFA'!U:U))</f>
        <v>#N/A</v>
      </c>
      <c r="L92" s="43" t="e">
        <f>IF(K92="Documento a emitir","Documento a emitir",IF(K92&lt;&gt;"Documento a emitir",IF(_xlfn.XLOOKUP(D92,'LD-ELFA'!F:F,'LD-ELFA'!W:W)="","",_xlfn.XLOOKUP(D92,'LD-ELFA'!F:F,'LD-ELFA'!W:W)),""))</f>
        <v>#N/A</v>
      </c>
      <c r="M92" s="43" t="e">
        <f>IF(K92="Documento a emitir","",IF(AND(Q92="APC-R  - APC-R - Aprovado com Comentários (Retornar para uma nova Aprovação)",Q92="APC-L  - APC-L  - Aprovado com Comentários (Retornar Aprovado)"),"",IF(OR(_xlfn.XLOOKUP(D92,'LD-ELFA'!F:F,'LD-ELFA'!N:N)="PARA CONHECIMENTO",_xlfn.XLOOKUP(D92,'LD-ELFA'!F:F,'LD-ELFA'!N:N)="PARA CONSTRUÇÃO",_xlfn.XLOOKUP(D92,'LD-ELFA'!F:F,'LD-ELFA'!N:N)="PARA COTAÇÃO",_xlfn.XLOOKUP(D92,'LD-ELFA'!F:F,'LD-ELFA'!N:N)="CANCELADO"),_xlfn.XLOOKUP(D92,'LD-ELFA'!F:F,'LD-ELFA'!U:U),IF(AND(L92="",J92&lt;&gt;"PARA APROVAÇÃO"),"",""))))</f>
        <v>#N/A</v>
      </c>
      <c r="N92" s="63" t="str">
        <f t="shared" ca="1" si="11"/>
        <v>ERRO</v>
      </c>
      <c r="O92" s="63" t="str">
        <f t="shared" si="12"/>
        <v>Documento Removido</v>
      </c>
      <c r="P92" s="63" t="str">
        <f t="shared" si="13"/>
        <v>Blossom</v>
      </c>
      <c r="Q92" s="63" t="e">
        <f>IF(_xlfn.XLOOKUP(D92,'LD-ELFA'!F:F,'LD-ELFA'!V:V)="","",_xlfn.XLOOKUP(D92,'LD-ELFA'!F:F,'LD-ELFA'!V:V))</f>
        <v>#N/A</v>
      </c>
      <c r="R92" s="40" t="str">
        <f>IFERROR(IF(I92&lt;&gt;"","Documento Emitido",_xlfn.XLOOKUP(D92,Cronograma!P:P,Cronograma!Q:Q)),"Documento Removido")</f>
        <v>Documento Removido</v>
      </c>
      <c r="S92" s="40" t="str">
        <f t="shared" ca="1" si="14"/>
        <v>Documento Removido</v>
      </c>
      <c r="T92" s="40" t="str">
        <f>IFERROR(IF(I92&lt;&gt;"","Documento Emitido",_xlfn.XLOOKUP(D92,Cronograma!P:P,Cronograma!R:R)),"Documento Removido")</f>
        <v>Documento Removido</v>
      </c>
      <c r="U92" s="39" t="str">
        <f t="shared" si="15"/>
        <v>Documento Removido</v>
      </c>
      <c r="V92" s="39" t="str">
        <f t="shared" si="16"/>
        <v>Documento Removido</v>
      </c>
      <c r="W92" s="39" t="e">
        <f t="shared" ca="1" si="17"/>
        <v>#N/A</v>
      </c>
    </row>
    <row r="93" spans="1:23" s="60" customFormat="1" ht="28.5" customHeight="1" x14ac:dyDescent="0.2">
      <c r="A93" s="39">
        <v>90</v>
      </c>
      <c r="B93" s="39" t="e">
        <f>_xlfn.XLOOKUP(D93,'LD-ELFA'!F:F,'LD-ELFA'!C:C)</f>
        <v>#N/A</v>
      </c>
      <c r="C93" s="39" t="e">
        <f>_xlfn.XLOOKUP(D93,'LD-ELFA'!F:F,'LD-ELFA'!D:D)</f>
        <v>#N/A</v>
      </c>
      <c r="D93" s="39" t="s">
        <v>97</v>
      </c>
      <c r="E93" s="39" t="e">
        <f>_xlfn.LET(_xlpm.q,_xlfn.XLOOKUP(D93,'LD-ELFA'!F:F,'LD-ELFA'!Q:Q),
   _xlpm.r,_xlfn.XLOOKUP(D93,'LD-ELFA'!F:F,'LD-ELFA'!R:R),
   IF(_xlpm.r = "", _xlpm.q, _xlpm.q &amp; " - " &amp; _xlpm.r))</f>
        <v>#N/A</v>
      </c>
      <c r="F93" s="63" t="str">
        <f t="shared" si="10"/>
        <v>Básico</v>
      </c>
      <c r="G93" s="63" t="e">
        <f>_xlfn.XLOOKUP(D93,'LD-ELFA'!F:F,'LD-ELFA'!G:G)</f>
        <v>#N/A</v>
      </c>
      <c r="H93" s="63" t="e">
        <f>_xlfn.XLOOKUP(D93,'LD-ELFA'!F:F,'LD-ELFA'!I:I)</f>
        <v>#N/A</v>
      </c>
      <c r="I93" s="63" t="e">
        <f>IF(_xlfn.XLOOKUP(D93,'LD-ELFA'!F:F,'LD-ELFA'!T:T)="","",_xlfn.XLOOKUP(D93,'LD-ELFA'!F:F,'LD-ELFA'!T:T))</f>
        <v>#N/A</v>
      </c>
      <c r="J93" s="63" t="e">
        <f>IF(K93="Documento a emitir", "",_xlfn.XLOOKUP(D93,'LD-ELFA'!F:F,'LD-ELFA'!N:N))</f>
        <v>#N/A</v>
      </c>
      <c r="K93" s="43" t="e">
        <f>IF(_xlfn.XLOOKUP($D93,'LD-ELFA'!F:F,'LD-ELFA'!U:U)="","Documento a emitir",_xlfn.XLOOKUP($D93,'LD-ELFA'!F:F,'LD-ELFA'!U:U))</f>
        <v>#N/A</v>
      </c>
      <c r="L93" s="43" t="e">
        <f>IF(K93="Documento a emitir","Documento a emitir",IF(K93&lt;&gt;"Documento a emitir",IF(_xlfn.XLOOKUP(D93,'LD-ELFA'!F:F,'LD-ELFA'!W:W)="","",_xlfn.XLOOKUP(D93,'LD-ELFA'!F:F,'LD-ELFA'!W:W)),""))</f>
        <v>#N/A</v>
      </c>
      <c r="M93" s="43" t="e">
        <f>IF(K93="Documento a emitir","",IF(AND(Q93="APC-R  - APC-R - Aprovado com Comentários (Retornar para uma nova Aprovação)",Q93="APC-L  - APC-L  - Aprovado com Comentários (Retornar Aprovado)"),"",IF(OR(_xlfn.XLOOKUP(D93,'LD-ELFA'!F:F,'LD-ELFA'!N:N)="PARA CONHECIMENTO",_xlfn.XLOOKUP(D93,'LD-ELFA'!F:F,'LD-ELFA'!N:N)="PARA CONSTRUÇÃO",_xlfn.XLOOKUP(D93,'LD-ELFA'!F:F,'LD-ELFA'!N:N)="PARA COTAÇÃO",_xlfn.XLOOKUP(D93,'LD-ELFA'!F:F,'LD-ELFA'!N:N)="CANCELADO"),_xlfn.XLOOKUP(D93,'LD-ELFA'!F:F,'LD-ELFA'!U:U),IF(AND(L93="",J93&lt;&gt;"PARA APROVAÇÃO"),"",""))))</f>
        <v>#N/A</v>
      </c>
      <c r="N93" s="63" t="str">
        <f t="shared" ca="1" si="11"/>
        <v>ERRO</v>
      </c>
      <c r="O93" s="63" t="str">
        <f t="shared" si="12"/>
        <v>Documento Removido</v>
      </c>
      <c r="P93" s="63" t="str">
        <f t="shared" si="13"/>
        <v>Blossom</v>
      </c>
      <c r="Q93" s="63" t="e">
        <f>IF(_xlfn.XLOOKUP(D93,'LD-ELFA'!F:F,'LD-ELFA'!V:V)="","",_xlfn.XLOOKUP(D93,'LD-ELFA'!F:F,'LD-ELFA'!V:V))</f>
        <v>#N/A</v>
      </c>
      <c r="R93" s="40" t="str">
        <f>IFERROR(IF(I93&lt;&gt;"","Documento Emitido",_xlfn.XLOOKUP(D93,Cronograma!P:P,Cronograma!Q:Q)),"Documento Removido")</f>
        <v>Documento Removido</v>
      </c>
      <c r="S93" s="40" t="str">
        <f t="shared" ca="1" si="14"/>
        <v>Documento Removido</v>
      </c>
      <c r="T93" s="40" t="str">
        <f>IFERROR(IF(I93&lt;&gt;"","Documento Emitido",_xlfn.XLOOKUP(D93,Cronograma!P:P,Cronograma!R:R)),"Documento Removido")</f>
        <v>Documento Removido</v>
      </c>
      <c r="U93" s="39" t="str">
        <f t="shared" si="15"/>
        <v>Documento Removido</v>
      </c>
      <c r="V93" s="39" t="str">
        <f t="shared" si="16"/>
        <v>Documento Removido</v>
      </c>
      <c r="W93" s="39" t="e">
        <f t="shared" ca="1" si="17"/>
        <v>#N/A</v>
      </c>
    </row>
    <row r="94" spans="1:23" s="60" customFormat="1" ht="28.5" customHeight="1" x14ac:dyDescent="0.2">
      <c r="A94" s="39">
        <v>91</v>
      </c>
      <c r="B94" s="39" t="str">
        <f>_xlfn.XLOOKUP(D94,'LD-ELFA'!F:F,'LD-ELFA'!C:C)</f>
        <v>CC - Concreto</v>
      </c>
      <c r="C94" s="39" t="str">
        <f>_xlfn.XLOOKUP(D94,'LD-ELFA'!F:F,'LD-ELFA'!D:D)</f>
        <v>MCA - Memória De Cálculo</v>
      </c>
      <c r="D94" s="39" t="s">
        <v>98</v>
      </c>
      <c r="E94" s="39" t="str">
        <f>_xlfn.LET(_xlpm.q,_xlfn.XLOOKUP(D94,'LD-ELFA'!F:F,'LD-ELFA'!Q:Q),
   _xlpm.r,_xlfn.XLOOKUP(D94,'LD-ELFA'!F:F,'LD-ELFA'!R:R),
   IF(_xlpm.r = "", _xlpm.q, _xlpm.q &amp; " - " &amp; _xlpm.r))</f>
        <v>MEMÓRIA DE CÁLCULO - FUNDAÇÕES - GALPÃO DE ENSACAMENTO / EXPEDIÇÃO / SILO / CARREGAMENTOS</v>
      </c>
      <c r="F94" s="63" t="str">
        <f t="shared" si="10"/>
        <v>Básico</v>
      </c>
      <c r="G94" s="63">
        <f>_xlfn.XLOOKUP(D94,'LD-ELFA'!F:F,'LD-ELFA'!G:G)</f>
        <v>0</v>
      </c>
      <c r="H94" s="63">
        <f>_xlfn.XLOOKUP(D94,'LD-ELFA'!F:F,'LD-ELFA'!I:I)</f>
        <v>0</v>
      </c>
      <c r="I94" s="63" t="str">
        <f>IF(_xlfn.XLOOKUP(D94,'LD-ELFA'!F:F,'LD-ELFA'!T:T)="","",_xlfn.XLOOKUP(D94,'LD-ELFA'!F:F,'LD-ELFA'!T:T))</f>
        <v/>
      </c>
      <c r="J94" s="63" t="str">
        <f>IF(K94="Documento a emitir", "",_xlfn.XLOOKUP(D94,'LD-ELFA'!F:F,'LD-ELFA'!N:N))</f>
        <v/>
      </c>
      <c r="K94" s="43" t="str">
        <f>IF(_xlfn.XLOOKUP($D94,'LD-ELFA'!F:F,'LD-ELFA'!U:U)="","Documento a emitir",_xlfn.XLOOKUP($D94,'LD-ELFA'!F:F,'LD-ELFA'!U:U))</f>
        <v>Documento a emitir</v>
      </c>
      <c r="L94" s="43" t="str">
        <f>IF(K94="Documento a emitir","Documento a emitir",IF(K94&lt;&gt;"Documento a emitir",IF(_xlfn.XLOOKUP(D94,'LD-ELFA'!F:F,'LD-ELFA'!W:W)="","",_xlfn.XLOOKUP(D94,'LD-ELFA'!F:F,'LD-ELFA'!W:W)),""))</f>
        <v>Documento a emitir</v>
      </c>
      <c r="M94" s="43" t="str">
        <f>IF(K94="Documento a emitir","",IF(AND(Q94="APC-R  - APC-R - Aprovado com Comentários (Retornar para uma nova Aprovação)",Q94="APC-L  - APC-L  - Aprovado com Comentários (Retornar Aprovado)"),"",IF(OR(_xlfn.XLOOKUP(D94,'LD-ELFA'!F:F,'LD-ELFA'!N:N)="PARA CONHECIMENTO",_xlfn.XLOOKUP(D94,'LD-ELFA'!F:F,'LD-ELFA'!N:N)="PARA CONSTRUÇÃO",_xlfn.XLOOKUP(D94,'LD-ELFA'!F:F,'LD-ELFA'!N:N)="PARA COTAÇÃO",_xlfn.XLOOKUP(D94,'LD-ELFA'!F:F,'LD-ELFA'!N:N)="CANCELADO"),_xlfn.XLOOKUP(D94,'LD-ELFA'!F:F,'LD-ELFA'!U:U),IF(AND(L94="",J94&lt;&gt;"PARA APROVAÇÃO"),"",""))))</f>
        <v/>
      </c>
      <c r="N94" s="63" t="str">
        <f t="shared" ca="1" si="11"/>
        <v>Documento a Emitir</v>
      </c>
      <c r="O94" s="63" t="str">
        <f t="shared" si="12"/>
        <v>Blossom - Documento a emitir</v>
      </c>
      <c r="P94" s="63" t="str">
        <f t="shared" si="13"/>
        <v>Blossom</v>
      </c>
      <c r="Q94" s="63" t="str">
        <f>IF(_xlfn.XLOOKUP(D94,'LD-ELFA'!F:F,'LD-ELFA'!V:V)="","",_xlfn.XLOOKUP(D94,'LD-ELFA'!F:F,'LD-ELFA'!V:V))</f>
        <v/>
      </c>
      <c r="R94" s="40">
        <f>IFERROR(IF(I94&lt;&gt;"","Documento Emitido",_xlfn.XLOOKUP(D94,Cronograma!P:P,Cronograma!Q:Q)),"Documento Removido")</f>
        <v>46248</v>
      </c>
      <c r="S94" s="40" t="str">
        <f t="shared" ca="1" si="14"/>
        <v>No prazo</v>
      </c>
      <c r="T94" s="40">
        <f>IFERROR(IF(I94&lt;&gt;"","Documento Emitido",_xlfn.XLOOKUP(D94,Cronograma!P:P,Cronograma!R:R)),"Documento Removido")</f>
        <v>46253</v>
      </c>
      <c r="U94" s="39" t="str">
        <f t="shared" si="15"/>
        <v>No prazo</v>
      </c>
      <c r="V94" s="39" t="str">
        <f t="shared" si="16"/>
        <v/>
      </c>
      <c r="W94" s="39" t="str">
        <f t="shared" ca="1" si="17"/>
        <v/>
      </c>
    </row>
    <row r="95" spans="1:23" s="60" customFormat="1" ht="28.5" customHeight="1" x14ac:dyDescent="0.2">
      <c r="A95" s="39">
        <v>92</v>
      </c>
      <c r="B95" s="39" t="str">
        <f>_xlfn.XLOOKUP(D95,'LD-ELFA'!F:F,'LD-ELFA'!C:C)</f>
        <v>CC - Concreto</v>
      </c>
      <c r="C95" s="39" t="str">
        <f>_xlfn.XLOOKUP(D95,'LD-ELFA'!F:F,'LD-ELFA'!D:D)</f>
        <v>MCA - Memória De Cálculo</v>
      </c>
      <c r="D95" s="39" t="s">
        <v>99</v>
      </c>
      <c r="E95" s="39" t="str">
        <f>_xlfn.LET(_xlpm.q,_xlfn.XLOOKUP(D95,'LD-ELFA'!F:F,'LD-ELFA'!Q:Q),
   _xlpm.r,_xlfn.XLOOKUP(D95,'LD-ELFA'!F:F,'LD-ELFA'!R:R),
   IF(_xlpm.r = "", _xlpm.q, _xlpm.q &amp; " - " &amp; _xlpm.r))</f>
        <v>MEMÓRIA DE CÁLCULO - ESTRUTURAS DE CONCRETO - DRENAGEM FORÇADA</v>
      </c>
      <c r="F95" s="63" t="str">
        <f t="shared" si="10"/>
        <v>Básico</v>
      </c>
      <c r="G95" s="63">
        <f>_xlfn.XLOOKUP(D95,'LD-ELFA'!F:F,'LD-ELFA'!G:G)</f>
        <v>0</v>
      </c>
      <c r="H95" s="63">
        <f>_xlfn.XLOOKUP(D95,'LD-ELFA'!F:F,'LD-ELFA'!I:I)</f>
        <v>0</v>
      </c>
      <c r="I95" s="63" t="str">
        <f>IF(_xlfn.XLOOKUP(D95,'LD-ELFA'!F:F,'LD-ELFA'!T:T)="","",_xlfn.XLOOKUP(D95,'LD-ELFA'!F:F,'LD-ELFA'!T:T))</f>
        <v/>
      </c>
      <c r="J95" s="63" t="str">
        <f>IF(K95="Documento a emitir", "",_xlfn.XLOOKUP(D95,'LD-ELFA'!F:F,'LD-ELFA'!N:N))</f>
        <v/>
      </c>
      <c r="K95" s="43" t="str">
        <f>IF(_xlfn.XLOOKUP($D95,'LD-ELFA'!F:F,'LD-ELFA'!U:U)="","Documento a emitir",_xlfn.XLOOKUP($D95,'LD-ELFA'!F:F,'LD-ELFA'!U:U))</f>
        <v>Documento a emitir</v>
      </c>
      <c r="L95" s="43" t="str">
        <f>IF(K95="Documento a emitir","Documento a emitir",IF(K95&lt;&gt;"Documento a emitir",IF(_xlfn.XLOOKUP(D95,'LD-ELFA'!F:F,'LD-ELFA'!W:W)="","",_xlfn.XLOOKUP(D95,'LD-ELFA'!F:F,'LD-ELFA'!W:W)),""))</f>
        <v>Documento a emitir</v>
      </c>
      <c r="M95" s="43" t="str">
        <f>IF(K95="Documento a emitir","",IF(AND(Q95="APC-R  - APC-R - Aprovado com Comentários (Retornar para uma nova Aprovação)",Q95="APC-L  - APC-L  - Aprovado com Comentários (Retornar Aprovado)"),"",IF(OR(_xlfn.XLOOKUP(D95,'LD-ELFA'!F:F,'LD-ELFA'!N:N)="PARA CONHECIMENTO",_xlfn.XLOOKUP(D95,'LD-ELFA'!F:F,'LD-ELFA'!N:N)="PARA CONSTRUÇÃO",_xlfn.XLOOKUP(D95,'LD-ELFA'!F:F,'LD-ELFA'!N:N)="PARA COTAÇÃO",_xlfn.XLOOKUP(D95,'LD-ELFA'!F:F,'LD-ELFA'!N:N)="CANCELADO"),_xlfn.XLOOKUP(D95,'LD-ELFA'!F:F,'LD-ELFA'!U:U),IF(AND(L95="",J95&lt;&gt;"PARA APROVAÇÃO"),"",""))))</f>
        <v/>
      </c>
      <c r="N95" s="63" t="str">
        <f t="shared" ca="1" si="11"/>
        <v>Documento a Emitir</v>
      </c>
      <c r="O95" s="63" t="str">
        <f t="shared" si="12"/>
        <v>Blossom - Documento a emitir</v>
      </c>
      <c r="P95" s="63" t="str">
        <f t="shared" si="13"/>
        <v>Blossom</v>
      </c>
      <c r="Q95" s="63" t="str">
        <f>IF(_xlfn.XLOOKUP(D95,'LD-ELFA'!F:F,'LD-ELFA'!V:V)="","",_xlfn.XLOOKUP(D95,'LD-ELFA'!F:F,'LD-ELFA'!V:V))</f>
        <v/>
      </c>
      <c r="R95" s="40">
        <f>IFERROR(IF(I95&lt;&gt;"","Documento Emitido",_xlfn.XLOOKUP(D95,Cronograma!P:P,Cronograma!Q:Q)),"Documento Removido")</f>
        <v>46230</v>
      </c>
      <c r="S95" s="40" t="str">
        <f t="shared" ca="1" si="14"/>
        <v>No prazo</v>
      </c>
      <c r="T95" s="40">
        <f>IFERROR(IF(I95&lt;&gt;"","Documento Emitido",_xlfn.XLOOKUP(D95,Cronograma!P:P,Cronograma!R:R)),"Documento Removido")</f>
        <v>46230</v>
      </c>
      <c r="U95" s="39" t="str">
        <f t="shared" si="15"/>
        <v>No prazo</v>
      </c>
      <c r="V95" s="39" t="str">
        <f t="shared" si="16"/>
        <v>Semana 3</v>
      </c>
      <c r="W95" s="39" t="str">
        <f t="shared" ca="1" si="17"/>
        <v/>
      </c>
    </row>
    <row r="96" spans="1:23" s="60" customFormat="1" ht="28.5" customHeight="1" x14ac:dyDescent="0.2">
      <c r="A96" s="39">
        <v>93</v>
      </c>
      <c r="B96" s="39" t="str">
        <f>_xlfn.XLOOKUP(D96,'LD-ELFA'!F:F,'LD-ELFA'!C:C)</f>
        <v>CC - Concreto</v>
      </c>
      <c r="C96" s="39" t="str">
        <f>_xlfn.XLOOKUP(D96,'LD-ELFA'!F:F,'LD-ELFA'!D:D)</f>
        <v>MCA - Memória De Cálculo</v>
      </c>
      <c r="D96" s="39" t="s">
        <v>100</v>
      </c>
      <c r="E96" s="39" t="str">
        <f>_xlfn.LET(_xlpm.q,_xlfn.XLOOKUP(D96,'LD-ELFA'!F:F,'LD-ELFA'!Q:Q),
   _xlpm.r,_xlfn.XLOOKUP(D96,'LD-ELFA'!F:F,'LD-ELFA'!R:R),
   IF(_xlpm.r = "", _xlpm.q, _xlpm.q &amp; " - " &amp; _xlpm.r))</f>
        <v>MEMÓRIA DE CÁLCULO - VIADUTO SOBRE ESTRADA DE FERRO CARAJÁS</v>
      </c>
      <c r="F96" s="63" t="str">
        <f t="shared" si="10"/>
        <v>Básico</v>
      </c>
      <c r="G96" s="63">
        <f>_xlfn.XLOOKUP(D96,'LD-ELFA'!F:F,'LD-ELFA'!G:G)</f>
        <v>0</v>
      </c>
      <c r="H96" s="63">
        <f>_xlfn.XLOOKUP(D96,'LD-ELFA'!F:F,'LD-ELFA'!I:I)</f>
        <v>0</v>
      </c>
      <c r="I96" s="63" t="str">
        <f>IF(_xlfn.XLOOKUP(D96,'LD-ELFA'!F:F,'LD-ELFA'!T:T)="","",_xlfn.XLOOKUP(D96,'LD-ELFA'!F:F,'LD-ELFA'!T:T))</f>
        <v/>
      </c>
      <c r="J96" s="63" t="str">
        <f>IF(K96="Documento a emitir", "",_xlfn.XLOOKUP(D96,'LD-ELFA'!F:F,'LD-ELFA'!N:N))</f>
        <v/>
      </c>
      <c r="K96" s="43" t="str">
        <f>IF(_xlfn.XLOOKUP($D96,'LD-ELFA'!F:F,'LD-ELFA'!U:U)="","Documento a emitir",_xlfn.XLOOKUP($D96,'LD-ELFA'!F:F,'LD-ELFA'!U:U))</f>
        <v>Documento a emitir</v>
      </c>
      <c r="L96" s="43" t="str">
        <f>IF(K96="Documento a emitir","Documento a emitir",IF(K96&lt;&gt;"Documento a emitir",IF(_xlfn.XLOOKUP(D96,'LD-ELFA'!F:F,'LD-ELFA'!W:W)="","",_xlfn.XLOOKUP(D96,'LD-ELFA'!F:F,'LD-ELFA'!W:W)),""))</f>
        <v>Documento a emitir</v>
      </c>
      <c r="M96" s="43" t="str">
        <f>IF(K96="Documento a emitir","",IF(AND(Q96="APC-R  - APC-R - Aprovado com Comentários (Retornar para uma nova Aprovação)",Q96="APC-L  - APC-L  - Aprovado com Comentários (Retornar Aprovado)"),"",IF(OR(_xlfn.XLOOKUP(D96,'LD-ELFA'!F:F,'LD-ELFA'!N:N)="PARA CONHECIMENTO",_xlfn.XLOOKUP(D96,'LD-ELFA'!F:F,'LD-ELFA'!N:N)="PARA CONSTRUÇÃO",_xlfn.XLOOKUP(D96,'LD-ELFA'!F:F,'LD-ELFA'!N:N)="PARA COTAÇÃO",_xlfn.XLOOKUP(D96,'LD-ELFA'!F:F,'LD-ELFA'!N:N)="CANCELADO"),_xlfn.XLOOKUP(D96,'LD-ELFA'!F:F,'LD-ELFA'!U:U),IF(AND(L96="",J96&lt;&gt;"PARA APROVAÇÃO"),"",""))))</f>
        <v/>
      </c>
      <c r="N96" s="63" t="str">
        <f t="shared" ca="1" si="11"/>
        <v>Documento a Emitir</v>
      </c>
      <c r="O96" s="63" t="str">
        <f t="shared" si="12"/>
        <v>Blossom - Documento a emitir</v>
      </c>
      <c r="P96" s="63" t="str">
        <f t="shared" si="13"/>
        <v>Blossom</v>
      </c>
      <c r="Q96" s="63" t="str">
        <f>IF(_xlfn.XLOOKUP(D96,'LD-ELFA'!F:F,'LD-ELFA'!V:V)="","",_xlfn.XLOOKUP(D96,'LD-ELFA'!F:F,'LD-ELFA'!V:V))</f>
        <v/>
      </c>
      <c r="R96" s="40">
        <f>IFERROR(IF(I96&lt;&gt;"","Documento Emitido",_xlfn.XLOOKUP(D96,Cronograma!P:P,Cronograma!Q:Q)),"Documento Removido")</f>
        <v>46246</v>
      </c>
      <c r="S96" s="40" t="str">
        <f t="shared" ca="1" si="14"/>
        <v>No prazo</v>
      </c>
      <c r="T96" s="40">
        <f>IFERROR(IF(I96&lt;&gt;"","Documento Emitido",_xlfn.XLOOKUP(D96,Cronograma!P:P,Cronograma!R:R)),"Documento Removido")</f>
        <v>46246</v>
      </c>
      <c r="U96" s="39" t="str">
        <f t="shared" si="15"/>
        <v>No prazo</v>
      </c>
      <c r="V96" s="39" t="str">
        <f t="shared" si="16"/>
        <v/>
      </c>
      <c r="W96" s="39" t="str">
        <f t="shared" ca="1" si="17"/>
        <v/>
      </c>
    </row>
    <row r="97" spans="1:23" s="60" customFormat="1" ht="28.5" customHeight="1" x14ac:dyDescent="0.2">
      <c r="A97" s="39">
        <v>94</v>
      </c>
      <c r="B97" s="39" t="str">
        <f>_xlfn.XLOOKUP(D97,'LD-ELFA'!F:F,'LD-ELFA'!C:C)</f>
        <v>CC - Concreto</v>
      </c>
      <c r="C97" s="39" t="str">
        <f>_xlfn.XLOOKUP(D97,'LD-ELFA'!F:F,'LD-ELFA'!D:D)</f>
        <v>MCA - Memória De Cálculo</v>
      </c>
      <c r="D97" s="39" t="s">
        <v>101</v>
      </c>
      <c r="E97" s="39" t="str">
        <f>_xlfn.LET(_xlpm.q,_xlfn.XLOOKUP(D97,'LD-ELFA'!F:F,'LD-ELFA'!Q:Q),
   _xlpm.r,_xlfn.XLOOKUP(D97,'LD-ELFA'!F:F,'LD-ELFA'!R:R),
   IF(_xlpm.r = "", _xlpm.q, _xlpm.q &amp; " - " &amp; _xlpm.r))</f>
        <v>MEMÓRIA DE CÁLCULO - TRANSPORTADOR E CASA DE TRANSFERÊNCIA</v>
      </c>
      <c r="F97" s="63" t="str">
        <f t="shared" si="10"/>
        <v>Básico</v>
      </c>
      <c r="G97" s="63">
        <f>_xlfn.XLOOKUP(D97,'LD-ELFA'!F:F,'LD-ELFA'!G:G)</f>
        <v>0</v>
      </c>
      <c r="H97" s="63">
        <f>_xlfn.XLOOKUP(D97,'LD-ELFA'!F:F,'LD-ELFA'!I:I)</f>
        <v>0</v>
      </c>
      <c r="I97" s="63" t="str">
        <f>IF(_xlfn.XLOOKUP(D97,'LD-ELFA'!F:F,'LD-ELFA'!T:T)="","",_xlfn.XLOOKUP(D97,'LD-ELFA'!F:F,'LD-ELFA'!T:T))</f>
        <v/>
      </c>
      <c r="J97" s="63" t="str">
        <f>IF(K97="Documento a emitir", "",_xlfn.XLOOKUP(D97,'LD-ELFA'!F:F,'LD-ELFA'!N:N))</f>
        <v/>
      </c>
      <c r="K97" s="43" t="str">
        <f>IF(_xlfn.XLOOKUP($D97,'LD-ELFA'!F:F,'LD-ELFA'!U:U)="","Documento a emitir",_xlfn.XLOOKUP($D97,'LD-ELFA'!F:F,'LD-ELFA'!U:U))</f>
        <v>Documento a emitir</v>
      </c>
      <c r="L97" s="43" t="str">
        <f>IF(K97="Documento a emitir","Documento a emitir",IF(K97&lt;&gt;"Documento a emitir",IF(_xlfn.XLOOKUP(D97,'LD-ELFA'!F:F,'LD-ELFA'!W:W)="","",_xlfn.XLOOKUP(D97,'LD-ELFA'!F:F,'LD-ELFA'!W:W)),""))</f>
        <v>Documento a emitir</v>
      </c>
      <c r="M97" s="43" t="str">
        <f>IF(K97="Documento a emitir","",IF(AND(Q97="APC-R  - APC-R - Aprovado com Comentários (Retornar para uma nova Aprovação)",Q97="APC-L  - APC-L  - Aprovado com Comentários (Retornar Aprovado)"),"",IF(OR(_xlfn.XLOOKUP(D97,'LD-ELFA'!F:F,'LD-ELFA'!N:N)="PARA CONHECIMENTO",_xlfn.XLOOKUP(D97,'LD-ELFA'!F:F,'LD-ELFA'!N:N)="PARA CONSTRUÇÃO",_xlfn.XLOOKUP(D97,'LD-ELFA'!F:F,'LD-ELFA'!N:N)="PARA COTAÇÃO",_xlfn.XLOOKUP(D97,'LD-ELFA'!F:F,'LD-ELFA'!N:N)="CANCELADO"),_xlfn.XLOOKUP(D97,'LD-ELFA'!F:F,'LD-ELFA'!U:U),IF(AND(L97="",J97&lt;&gt;"PARA APROVAÇÃO"),"",""))))</f>
        <v/>
      </c>
      <c r="N97" s="63" t="str">
        <f t="shared" ca="1" si="11"/>
        <v>Documento a Emitir</v>
      </c>
      <c r="O97" s="63" t="str">
        <f t="shared" si="12"/>
        <v>Blossom - Documento a emitir</v>
      </c>
      <c r="P97" s="63" t="str">
        <f t="shared" si="13"/>
        <v>Blossom</v>
      </c>
      <c r="Q97" s="63" t="str">
        <f>IF(_xlfn.XLOOKUP(D97,'LD-ELFA'!F:F,'LD-ELFA'!V:V)="","",_xlfn.XLOOKUP(D97,'LD-ELFA'!F:F,'LD-ELFA'!V:V))</f>
        <v/>
      </c>
      <c r="R97" s="40">
        <f>IFERROR(IF(I97&lt;&gt;"","Documento Emitido",_xlfn.XLOOKUP(D97,Cronograma!P:P,Cronograma!Q:Q)),"Documento Removido")</f>
        <v>46225</v>
      </c>
      <c r="S97" s="40" t="str">
        <f t="shared" ca="1" si="14"/>
        <v>No prazo</v>
      </c>
      <c r="T97" s="40">
        <f>IFERROR(IF(I97&lt;&gt;"","Documento Emitido",_xlfn.XLOOKUP(D97,Cronograma!P:P,Cronograma!R:R)),"Documento Removido")</f>
        <v>46211</v>
      </c>
      <c r="U97" s="39" t="str">
        <f t="shared" si="15"/>
        <v>Emissão Atrasada</v>
      </c>
      <c r="V97" s="39" t="str">
        <f t="shared" si="16"/>
        <v>Semana 2</v>
      </c>
      <c r="W97" s="39" t="str">
        <f t="shared" ca="1" si="17"/>
        <v/>
      </c>
    </row>
    <row r="98" spans="1:23" s="60" customFormat="1" ht="28.5" customHeight="1" x14ac:dyDescent="0.2">
      <c r="A98" s="39">
        <v>95</v>
      </c>
      <c r="B98" s="39" t="str">
        <f>_xlfn.XLOOKUP(D98,'LD-ELFA'!F:F,'LD-ELFA'!C:C)</f>
        <v>CC - Concreto</v>
      </c>
      <c r="C98" s="39" t="str">
        <f>_xlfn.XLOOKUP(D98,'LD-ELFA'!F:F,'LD-ELFA'!D:D)</f>
        <v>MCA - Memória De Cálculo</v>
      </c>
      <c r="D98" s="39" t="s">
        <v>102</v>
      </c>
      <c r="E98" s="39" t="str">
        <f>_xlfn.LET(_xlpm.q,_xlfn.XLOOKUP(D98,'LD-ELFA'!F:F,'LD-ELFA'!Q:Q),
   _xlpm.r,_xlfn.XLOOKUP(D98,'LD-ELFA'!F:F,'LD-ELFA'!R:R),
   IF(_xlpm.r = "", _xlpm.q, _xlpm.q &amp; " - " &amp; _xlpm.r))</f>
        <v xml:space="preserve"> MEMÓRIA DE CÁLCULO - BRITAGEM PRIMÁRIA</v>
      </c>
      <c r="F98" s="63" t="str">
        <f t="shared" si="10"/>
        <v>Básico</v>
      </c>
      <c r="G98" s="63">
        <f>_xlfn.XLOOKUP(D98,'LD-ELFA'!F:F,'LD-ELFA'!G:G)</f>
        <v>0</v>
      </c>
      <c r="H98" s="63">
        <f>_xlfn.XLOOKUP(D98,'LD-ELFA'!F:F,'LD-ELFA'!I:I)</f>
        <v>0</v>
      </c>
      <c r="I98" s="63" t="str">
        <f>IF(_xlfn.XLOOKUP(D98,'LD-ELFA'!F:F,'LD-ELFA'!T:T)="","",_xlfn.XLOOKUP(D98,'LD-ELFA'!F:F,'LD-ELFA'!T:T))</f>
        <v/>
      </c>
      <c r="J98" s="63" t="str">
        <f>IF(K98="Documento a emitir", "",_xlfn.XLOOKUP(D98,'LD-ELFA'!F:F,'LD-ELFA'!N:N))</f>
        <v/>
      </c>
      <c r="K98" s="43" t="str">
        <f>IF(_xlfn.XLOOKUP($D98,'LD-ELFA'!F:F,'LD-ELFA'!U:U)="","Documento a emitir",_xlfn.XLOOKUP($D98,'LD-ELFA'!F:F,'LD-ELFA'!U:U))</f>
        <v>Documento a emitir</v>
      </c>
      <c r="L98" s="43" t="str">
        <f>IF(K98="Documento a emitir","Documento a emitir",IF(K98&lt;&gt;"Documento a emitir",IF(_xlfn.XLOOKUP(D98,'LD-ELFA'!F:F,'LD-ELFA'!W:W)="","",_xlfn.XLOOKUP(D98,'LD-ELFA'!F:F,'LD-ELFA'!W:W)),""))</f>
        <v>Documento a emitir</v>
      </c>
      <c r="M98" s="43" t="str">
        <f>IF(K98="Documento a emitir","",IF(AND(Q98="APC-R  - APC-R - Aprovado com Comentários (Retornar para uma nova Aprovação)",Q98="APC-L  - APC-L  - Aprovado com Comentários (Retornar Aprovado)"),"",IF(OR(_xlfn.XLOOKUP(D98,'LD-ELFA'!F:F,'LD-ELFA'!N:N)="PARA CONHECIMENTO",_xlfn.XLOOKUP(D98,'LD-ELFA'!F:F,'LD-ELFA'!N:N)="PARA CONSTRUÇÃO",_xlfn.XLOOKUP(D98,'LD-ELFA'!F:F,'LD-ELFA'!N:N)="PARA COTAÇÃO",_xlfn.XLOOKUP(D98,'LD-ELFA'!F:F,'LD-ELFA'!N:N)="CANCELADO"),_xlfn.XLOOKUP(D98,'LD-ELFA'!F:F,'LD-ELFA'!U:U),IF(AND(L98="",J98&lt;&gt;"PARA APROVAÇÃO"),"",""))))</f>
        <v/>
      </c>
      <c r="N98" s="63" t="str">
        <f t="shared" ca="1" si="11"/>
        <v>Documento a Emitir</v>
      </c>
      <c r="O98" s="63" t="str">
        <f t="shared" si="12"/>
        <v>Blossom - Documento a emitir</v>
      </c>
      <c r="P98" s="63" t="str">
        <f t="shared" si="13"/>
        <v>Blossom</v>
      </c>
      <c r="Q98" s="63" t="str">
        <f>IF(_xlfn.XLOOKUP(D98,'LD-ELFA'!F:F,'LD-ELFA'!V:V)="","",_xlfn.XLOOKUP(D98,'LD-ELFA'!F:F,'LD-ELFA'!V:V))</f>
        <v/>
      </c>
      <c r="R98" s="40">
        <f>IFERROR(IF(I98&lt;&gt;"","Documento Emitido",_xlfn.XLOOKUP(D98,Cronograma!P:P,Cronograma!Q:Q)),"Documento Removido")</f>
        <v>46231</v>
      </c>
      <c r="S98" s="40" t="str">
        <f t="shared" ca="1" si="14"/>
        <v>No prazo</v>
      </c>
      <c r="T98" s="40">
        <f>IFERROR(IF(I98&lt;&gt;"","Documento Emitido",_xlfn.XLOOKUP(D98,Cronograma!P:P,Cronograma!R:R)),"Documento Removido")</f>
        <v>46217</v>
      </c>
      <c r="U98" s="39" t="str">
        <f t="shared" si="15"/>
        <v>Emissão Atrasada</v>
      </c>
      <c r="V98" s="39" t="str">
        <f t="shared" si="16"/>
        <v>Semana 3</v>
      </c>
      <c r="W98" s="39" t="str">
        <f t="shared" ca="1" si="17"/>
        <v/>
      </c>
    </row>
    <row r="99" spans="1:23" s="60" customFormat="1" ht="28.5" customHeight="1" x14ac:dyDescent="0.2">
      <c r="A99" s="39">
        <v>96</v>
      </c>
      <c r="B99" s="39" t="str">
        <f>_xlfn.XLOOKUP(D99,'LD-ELFA'!F:F,'LD-ELFA'!C:C)</f>
        <v>CC - Concreto</v>
      </c>
      <c r="C99" s="39" t="str">
        <f>_xlfn.XLOOKUP(D99,'LD-ELFA'!F:F,'LD-ELFA'!D:D)</f>
        <v>MCA - Memória De Cálculo</v>
      </c>
      <c r="D99" s="39" t="s">
        <v>103</v>
      </c>
      <c r="E99" s="39" t="str">
        <f>_xlfn.LET(_xlpm.q,_xlfn.XLOOKUP(D99,'LD-ELFA'!F:F,'LD-ELFA'!Q:Q),
   _xlpm.r,_xlfn.XLOOKUP(D99,'LD-ELFA'!F:F,'LD-ELFA'!R:R),
   IF(_xlpm.r = "", _xlpm.q, _xlpm.q &amp; " - " &amp; _xlpm.r))</f>
        <v>MEMÓRIA DE CÁLCULO - COMBATE INCENDIO E CX DE ÁGUA - TANQUE</v>
      </c>
      <c r="F99" s="63" t="str">
        <f t="shared" si="10"/>
        <v>Básico</v>
      </c>
      <c r="G99" s="63">
        <f>_xlfn.XLOOKUP(D99,'LD-ELFA'!F:F,'LD-ELFA'!G:G)</f>
        <v>0</v>
      </c>
      <c r="H99" s="63">
        <f>_xlfn.XLOOKUP(D99,'LD-ELFA'!F:F,'LD-ELFA'!I:I)</f>
        <v>0</v>
      </c>
      <c r="I99" s="63" t="str">
        <f>IF(_xlfn.XLOOKUP(D99,'LD-ELFA'!F:F,'LD-ELFA'!T:T)="","",_xlfn.XLOOKUP(D99,'LD-ELFA'!F:F,'LD-ELFA'!T:T))</f>
        <v/>
      </c>
      <c r="J99" s="63" t="str">
        <f>IF(K99="Documento a emitir", "",_xlfn.XLOOKUP(D99,'LD-ELFA'!F:F,'LD-ELFA'!N:N))</f>
        <v/>
      </c>
      <c r="K99" s="43" t="str">
        <f>IF(_xlfn.XLOOKUP($D99,'LD-ELFA'!F:F,'LD-ELFA'!U:U)="","Documento a emitir",_xlfn.XLOOKUP($D99,'LD-ELFA'!F:F,'LD-ELFA'!U:U))</f>
        <v>Documento a emitir</v>
      </c>
      <c r="L99" s="43" t="str">
        <f>IF(K99="Documento a emitir","Documento a emitir",IF(K99&lt;&gt;"Documento a emitir",IF(_xlfn.XLOOKUP(D99,'LD-ELFA'!F:F,'LD-ELFA'!W:W)="","",_xlfn.XLOOKUP(D99,'LD-ELFA'!F:F,'LD-ELFA'!W:W)),""))</f>
        <v>Documento a emitir</v>
      </c>
      <c r="M99" s="43" t="str">
        <f>IF(K99="Documento a emitir","",IF(AND(Q99="APC-R  - APC-R - Aprovado com Comentários (Retornar para uma nova Aprovação)",Q99="APC-L  - APC-L  - Aprovado com Comentários (Retornar Aprovado)"),"",IF(OR(_xlfn.XLOOKUP(D99,'LD-ELFA'!F:F,'LD-ELFA'!N:N)="PARA CONHECIMENTO",_xlfn.XLOOKUP(D99,'LD-ELFA'!F:F,'LD-ELFA'!N:N)="PARA CONSTRUÇÃO",_xlfn.XLOOKUP(D99,'LD-ELFA'!F:F,'LD-ELFA'!N:N)="PARA COTAÇÃO",_xlfn.XLOOKUP(D99,'LD-ELFA'!F:F,'LD-ELFA'!N:N)="CANCELADO"),_xlfn.XLOOKUP(D99,'LD-ELFA'!F:F,'LD-ELFA'!U:U),IF(AND(L99="",J99&lt;&gt;"PARA APROVAÇÃO"),"",""))))</f>
        <v/>
      </c>
      <c r="N99" s="63" t="str">
        <f t="shared" ca="1" si="11"/>
        <v>Documento a Emitir</v>
      </c>
      <c r="O99" s="63" t="str">
        <f t="shared" si="12"/>
        <v>Blossom - Documento a emitir</v>
      </c>
      <c r="P99" s="63" t="str">
        <f t="shared" si="13"/>
        <v>Blossom</v>
      </c>
      <c r="Q99" s="63" t="str">
        <f>IF(_xlfn.XLOOKUP(D99,'LD-ELFA'!F:F,'LD-ELFA'!V:V)="","",_xlfn.XLOOKUP(D99,'LD-ELFA'!F:F,'LD-ELFA'!V:V))</f>
        <v/>
      </c>
      <c r="R99" s="40">
        <f>IFERROR(IF(I99&lt;&gt;"","Documento Emitido",_xlfn.XLOOKUP(D99,Cronograma!P:P,Cronograma!Q:Q)),"Documento Removido")</f>
        <v>46254</v>
      </c>
      <c r="S99" s="40" t="str">
        <f t="shared" ca="1" si="14"/>
        <v>No prazo</v>
      </c>
      <c r="T99" s="40">
        <f>IFERROR(IF(I99&lt;&gt;"","Documento Emitido",_xlfn.XLOOKUP(D99,Cronograma!P:P,Cronograma!R:R)),"Documento Removido")</f>
        <v>46244</v>
      </c>
      <c r="U99" s="39" t="str">
        <f t="shared" si="15"/>
        <v>Emissão Atrasada</v>
      </c>
      <c r="V99" s="39" t="str">
        <f t="shared" si="16"/>
        <v/>
      </c>
      <c r="W99" s="39" t="str">
        <f t="shared" ca="1" si="17"/>
        <v/>
      </c>
    </row>
    <row r="100" spans="1:23" s="60" customFormat="1" ht="28.5" customHeight="1" x14ac:dyDescent="0.2">
      <c r="A100" s="39">
        <v>97</v>
      </c>
      <c r="B100" s="39" t="str">
        <f>_xlfn.XLOOKUP(D100,'LD-ELFA'!F:F,'LD-ELFA'!C:C)</f>
        <v>CC - Concreto</v>
      </c>
      <c r="C100" s="39" t="str">
        <f>_xlfn.XLOOKUP(D100,'LD-ELFA'!F:F,'LD-ELFA'!D:D)</f>
        <v>MCA - Memória De Cálculo</v>
      </c>
      <c r="D100" s="39" t="s">
        <v>104</v>
      </c>
      <c r="E100" s="39" t="str">
        <f>_xlfn.LET(_xlpm.q,_xlfn.XLOOKUP(D100,'LD-ELFA'!F:F,'LD-ELFA'!Q:Q),
   _xlpm.r,_xlfn.XLOOKUP(D100,'LD-ELFA'!F:F,'LD-ELFA'!R:R),
   IF(_xlpm.r = "", _xlpm.q, _xlpm.q &amp; " - " &amp; _xlpm.r))</f>
        <v>MEMÓRIA DE CÁLCULO - PIPE RACK / CABLE RACK</v>
      </c>
      <c r="F100" s="63" t="str">
        <f t="shared" si="10"/>
        <v>Básico</v>
      </c>
      <c r="G100" s="63">
        <f>_xlfn.XLOOKUP(D100,'LD-ELFA'!F:F,'LD-ELFA'!G:G)</f>
        <v>0</v>
      </c>
      <c r="H100" s="63">
        <f>_xlfn.XLOOKUP(D100,'LD-ELFA'!F:F,'LD-ELFA'!I:I)</f>
        <v>0</v>
      </c>
      <c r="I100" s="63" t="str">
        <f>IF(_xlfn.XLOOKUP(D100,'LD-ELFA'!F:F,'LD-ELFA'!T:T)="","",_xlfn.XLOOKUP(D100,'LD-ELFA'!F:F,'LD-ELFA'!T:T))</f>
        <v/>
      </c>
      <c r="J100" s="63" t="str">
        <f>IF(K100="Documento a emitir", "",_xlfn.XLOOKUP(D100,'LD-ELFA'!F:F,'LD-ELFA'!N:N))</f>
        <v/>
      </c>
      <c r="K100" s="43" t="str">
        <f>IF(_xlfn.XLOOKUP($D100,'LD-ELFA'!F:F,'LD-ELFA'!U:U)="","Documento a emitir",_xlfn.XLOOKUP($D100,'LD-ELFA'!F:F,'LD-ELFA'!U:U))</f>
        <v>Documento a emitir</v>
      </c>
      <c r="L100" s="43" t="str">
        <f>IF(K100="Documento a emitir","Documento a emitir",IF(K100&lt;&gt;"Documento a emitir",IF(_xlfn.XLOOKUP(D100,'LD-ELFA'!F:F,'LD-ELFA'!W:W)="","",_xlfn.XLOOKUP(D100,'LD-ELFA'!F:F,'LD-ELFA'!W:W)),""))</f>
        <v>Documento a emitir</v>
      </c>
      <c r="M100" s="43" t="str">
        <f>IF(K100="Documento a emitir","",IF(AND(Q100="APC-R  - APC-R - Aprovado com Comentários (Retornar para uma nova Aprovação)",Q100="APC-L  - APC-L  - Aprovado com Comentários (Retornar Aprovado)"),"",IF(OR(_xlfn.XLOOKUP(D100,'LD-ELFA'!F:F,'LD-ELFA'!N:N)="PARA CONHECIMENTO",_xlfn.XLOOKUP(D100,'LD-ELFA'!F:F,'LD-ELFA'!N:N)="PARA CONSTRUÇÃO",_xlfn.XLOOKUP(D100,'LD-ELFA'!F:F,'LD-ELFA'!N:N)="PARA COTAÇÃO",_xlfn.XLOOKUP(D100,'LD-ELFA'!F:F,'LD-ELFA'!N:N)="CANCELADO"),_xlfn.XLOOKUP(D100,'LD-ELFA'!F:F,'LD-ELFA'!U:U),IF(AND(L100="",J100&lt;&gt;"PARA APROVAÇÃO"),"",""))))</f>
        <v/>
      </c>
      <c r="N100" s="63" t="str">
        <f t="shared" ca="1" si="11"/>
        <v>Documento a Emitir</v>
      </c>
      <c r="O100" s="63" t="str">
        <f t="shared" si="12"/>
        <v>Blossom - Documento a emitir</v>
      </c>
      <c r="P100" s="63" t="str">
        <f t="shared" si="13"/>
        <v>Blossom</v>
      </c>
      <c r="Q100" s="63" t="str">
        <f>IF(_xlfn.XLOOKUP(D100,'LD-ELFA'!F:F,'LD-ELFA'!V:V)="","",_xlfn.XLOOKUP(D100,'LD-ELFA'!F:F,'LD-ELFA'!V:V))</f>
        <v/>
      </c>
      <c r="R100" s="40">
        <f>IFERROR(IF(I100&lt;&gt;"","Documento Emitido",_xlfn.XLOOKUP(D100,Cronograma!P:P,Cronograma!Q:Q)),"Documento Removido")</f>
        <v>46262</v>
      </c>
      <c r="S100" s="40" t="str">
        <f t="shared" ca="1" si="14"/>
        <v>No prazo</v>
      </c>
      <c r="T100" s="40">
        <f>IFERROR(IF(I100&lt;&gt;"","Documento Emitido",_xlfn.XLOOKUP(D100,Cronograma!P:P,Cronograma!R:R)),"Documento Removido")</f>
        <v>46267</v>
      </c>
      <c r="U100" s="39" t="str">
        <f t="shared" si="15"/>
        <v>No prazo</v>
      </c>
      <c r="V100" s="39" t="str">
        <f t="shared" si="16"/>
        <v/>
      </c>
      <c r="W100" s="39" t="str">
        <f t="shared" ca="1" si="17"/>
        <v/>
      </c>
    </row>
    <row r="101" spans="1:23" s="60" customFormat="1" ht="28.5" customHeight="1" x14ac:dyDescent="0.2">
      <c r="A101" s="39">
        <v>98</v>
      </c>
      <c r="B101" s="39" t="str">
        <f>_xlfn.XLOOKUP(D101,'LD-ELFA'!F:F,'LD-ELFA'!C:C)</f>
        <v>CC - Concreto</v>
      </c>
      <c r="C101" s="39" t="str">
        <f>_xlfn.XLOOKUP(D101,'LD-ELFA'!F:F,'LD-ELFA'!D:D)</f>
        <v>MCA - Memória De Cálculo</v>
      </c>
      <c r="D101" s="39" t="s">
        <v>105</v>
      </c>
      <c r="E101" s="39" t="str">
        <f>_xlfn.LET(_xlpm.q,_xlfn.XLOOKUP(D101,'LD-ELFA'!F:F,'LD-ELFA'!Q:Q),
   _xlpm.r,_xlfn.XLOOKUP(D101,'LD-ELFA'!F:F,'LD-ELFA'!R:R),
   IF(_xlpm.r = "", _xlpm.q, _xlpm.q &amp; " - " &amp; _xlpm.r))</f>
        <v>MEMÓRIA DE CÁLCULO - DISPOSITIVOS DE DRENAGEM</v>
      </c>
      <c r="F101" s="63" t="str">
        <f t="shared" si="10"/>
        <v>Básico</v>
      </c>
      <c r="G101" s="63">
        <f>_xlfn.XLOOKUP(D101,'LD-ELFA'!F:F,'LD-ELFA'!G:G)</f>
        <v>0</v>
      </c>
      <c r="H101" s="63">
        <f>_xlfn.XLOOKUP(D101,'LD-ELFA'!F:F,'LD-ELFA'!I:I)</f>
        <v>0</v>
      </c>
      <c r="I101" s="63" t="str">
        <f>IF(_xlfn.XLOOKUP(D101,'LD-ELFA'!F:F,'LD-ELFA'!T:T)="","",_xlfn.XLOOKUP(D101,'LD-ELFA'!F:F,'LD-ELFA'!T:T))</f>
        <v/>
      </c>
      <c r="J101" s="63" t="str">
        <f>IF(K101="Documento a emitir", "",_xlfn.XLOOKUP(D101,'LD-ELFA'!F:F,'LD-ELFA'!N:N))</f>
        <v/>
      </c>
      <c r="K101" s="43" t="str">
        <f>IF(_xlfn.XLOOKUP($D101,'LD-ELFA'!F:F,'LD-ELFA'!U:U)="","Documento a emitir",_xlfn.XLOOKUP($D101,'LD-ELFA'!F:F,'LD-ELFA'!U:U))</f>
        <v>Documento a emitir</v>
      </c>
      <c r="L101" s="43" t="str">
        <f>IF(K101="Documento a emitir","Documento a emitir",IF(K101&lt;&gt;"Documento a emitir",IF(_xlfn.XLOOKUP(D101,'LD-ELFA'!F:F,'LD-ELFA'!W:W)="","",_xlfn.XLOOKUP(D101,'LD-ELFA'!F:F,'LD-ELFA'!W:W)),""))</f>
        <v>Documento a emitir</v>
      </c>
      <c r="M101" s="43" t="str">
        <f>IF(K101="Documento a emitir","",IF(AND(Q101="APC-R  - APC-R - Aprovado com Comentários (Retornar para uma nova Aprovação)",Q101="APC-L  - APC-L  - Aprovado com Comentários (Retornar Aprovado)"),"",IF(OR(_xlfn.XLOOKUP(D101,'LD-ELFA'!F:F,'LD-ELFA'!N:N)="PARA CONHECIMENTO",_xlfn.XLOOKUP(D101,'LD-ELFA'!F:F,'LD-ELFA'!N:N)="PARA CONSTRUÇÃO",_xlfn.XLOOKUP(D101,'LD-ELFA'!F:F,'LD-ELFA'!N:N)="PARA COTAÇÃO",_xlfn.XLOOKUP(D101,'LD-ELFA'!F:F,'LD-ELFA'!N:N)="CANCELADO"),_xlfn.XLOOKUP(D101,'LD-ELFA'!F:F,'LD-ELFA'!U:U),IF(AND(L101="",J101&lt;&gt;"PARA APROVAÇÃO"),"",""))))</f>
        <v/>
      </c>
      <c r="N101" s="63" t="str">
        <f t="shared" ca="1" si="11"/>
        <v>Documento a Emitir</v>
      </c>
      <c r="O101" s="63" t="str">
        <f t="shared" si="12"/>
        <v>Blossom - Documento a emitir</v>
      </c>
      <c r="P101" s="63" t="str">
        <f t="shared" si="13"/>
        <v>Blossom</v>
      </c>
      <c r="Q101" s="63" t="str">
        <f>IF(_xlfn.XLOOKUP(D101,'LD-ELFA'!F:F,'LD-ELFA'!V:V)="","",_xlfn.XLOOKUP(D101,'LD-ELFA'!F:F,'LD-ELFA'!V:V))</f>
        <v/>
      </c>
      <c r="R101" s="40">
        <f>IFERROR(IF(I101&lt;&gt;"","Documento Emitido",_xlfn.XLOOKUP(D101,Cronograma!P:P,Cronograma!Q:Q)),"Documento Removido")</f>
        <v>46260</v>
      </c>
      <c r="S101" s="40" t="str">
        <f t="shared" ca="1" si="14"/>
        <v>No prazo</v>
      </c>
      <c r="T101" s="40">
        <f>IFERROR(IF(I101&lt;&gt;"","Documento Emitido",_xlfn.XLOOKUP(D101,Cronograma!P:P,Cronograma!R:R)),"Documento Removido")</f>
        <v>46248</v>
      </c>
      <c r="U101" s="39" t="str">
        <f t="shared" si="15"/>
        <v>Emissão Atrasada</v>
      </c>
      <c r="V101" s="39" t="str">
        <f t="shared" si="16"/>
        <v/>
      </c>
      <c r="W101" s="39" t="str">
        <f t="shared" ca="1" si="17"/>
        <v/>
      </c>
    </row>
    <row r="102" spans="1:23" s="60" customFormat="1" ht="28.5" customHeight="1" x14ac:dyDescent="0.2">
      <c r="A102" s="39">
        <v>99</v>
      </c>
      <c r="B102" s="39" t="str">
        <f>_xlfn.XLOOKUP(D102,'LD-ELFA'!F:F,'LD-ELFA'!C:C)</f>
        <v>CC - Concreto</v>
      </c>
      <c r="C102" s="39" t="str">
        <f>_xlfn.XLOOKUP(D102,'LD-ELFA'!F:F,'LD-ELFA'!D:D)</f>
        <v>MCA - Memória De Cálculo</v>
      </c>
      <c r="D102" s="39" t="s">
        <v>106</v>
      </c>
      <c r="E102" s="39" t="str">
        <f>_xlfn.LET(_xlpm.q,_xlfn.XLOOKUP(D102,'LD-ELFA'!F:F,'LD-ELFA'!Q:Q),
   _xlpm.r,_xlfn.XLOOKUP(D102,'LD-ELFA'!F:F,'LD-ELFA'!R:R),
   IF(_xlpm.r = "", _xlpm.q, _xlpm.q &amp; " - " &amp; _xlpm.r))</f>
        <v>MEMÓRIA DE CÁLCULO - TRANSPORTADORES</v>
      </c>
      <c r="F102" s="63" t="str">
        <f t="shared" si="10"/>
        <v>Básico</v>
      </c>
      <c r="G102" s="63">
        <f>_xlfn.XLOOKUP(D102,'LD-ELFA'!F:F,'LD-ELFA'!G:G)</f>
        <v>0</v>
      </c>
      <c r="H102" s="63">
        <f>_xlfn.XLOOKUP(D102,'LD-ELFA'!F:F,'LD-ELFA'!I:I)</f>
        <v>0</v>
      </c>
      <c r="I102" s="63" t="str">
        <f>IF(_xlfn.XLOOKUP(D102,'LD-ELFA'!F:F,'LD-ELFA'!T:T)="","",_xlfn.XLOOKUP(D102,'LD-ELFA'!F:F,'LD-ELFA'!T:T))</f>
        <v/>
      </c>
      <c r="J102" s="63" t="str">
        <f>IF(K102="Documento a emitir", "",_xlfn.XLOOKUP(D102,'LD-ELFA'!F:F,'LD-ELFA'!N:N))</f>
        <v/>
      </c>
      <c r="K102" s="43" t="str">
        <f>IF(_xlfn.XLOOKUP($D102,'LD-ELFA'!F:F,'LD-ELFA'!U:U)="","Documento a emitir",_xlfn.XLOOKUP($D102,'LD-ELFA'!F:F,'LD-ELFA'!U:U))</f>
        <v>Documento a emitir</v>
      </c>
      <c r="L102" s="43" t="str">
        <f>IF(K102="Documento a emitir","Documento a emitir",IF(K102&lt;&gt;"Documento a emitir",IF(_xlfn.XLOOKUP(D102,'LD-ELFA'!F:F,'LD-ELFA'!W:W)="","",_xlfn.XLOOKUP(D102,'LD-ELFA'!F:F,'LD-ELFA'!W:W)),""))</f>
        <v>Documento a emitir</v>
      </c>
      <c r="M102" s="43" t="str">
        <f>IF(K102="Documento a emitir","",IF(AND(Q102="APC-R  - APC-R - Aprovado com Comentários (Retornar para uma nova Aprovação)",Q102="APC-L  - APC-L  - Aprovado com Comentários (Retornar Aprovado)"),"",IF(OR(_xlfn.XLOOKUP(D102,'LD-ELFA'!F:F,'LD-ELFA'!N:N)="PARA CONHECIMENTO",_xlfn.XLOOKUP(D102,'LD-ELFA'!F:F,'LD-ELFA'!N:N)="PARA CONSTRUÇÃO",_xlfn.XLOOKUP(D102,'LD-ELFA'!F:F,'LD-ELFA'!N:N)="PARA COTAÇÃO",_xlfn.XLOOKUP(D102,'LD-ELFA'!F:F,'LD-ELFA'!N:N)="CANCELADO"),_xlfn.XLOOKUP(D102,'LD-ELFA'!F:F,'LD-ELFA'!U:U),IF(AND(L102="",J102&lt;&gt;"PARA APROVAÇÃO"),"",""))))</f>
        <v/>
      </c>
      <c r="N102" s="63" t="str">
        <f ca="1">IF(O102="Documento Concluído","Documento Concluído",IF(O102="Cliente - Atendimento de Comentário",IF(TODAY()&lt;=(K102+3),"No prazo","Atrasado"),IF(O102="Cliente - Atendimento de Comentário",IF(TODAY()&lt;=(WORKDAY(K102,3,0)),"No prazo","Atrasado"),IF(O102="Blossom - Emissão Final",IF(TODAY()&lt;=(WORKDAY(L102,3,0)),"No prazo","Atrasado"),IF(O102="Blossom - Atendimento de Comentário",IF(TODAY()&lt;=(WORKDAY(L102,3,0)),"No prazo","Atrasado"),IF(O102="Blossom - Documento a emitir","Documento a Emitir",IF(O102="Documento Removido","Documento Removido","ERRO")))))))</f>
        <v>Documento a Emitir</v>
      </c>
      <c r="O102" s="63" t="str">
        <f t="shared" si="12"/>
        <v>Blossom - Documento a emitir</v>
      </c>
      <c r="P102" s="63" t="str">
        <f t="shared" si="13"/>
        <v>Blossom</v>
      </c>
      <c r="Q102" s="63" t="str">
        <f>IF(_xlfn.XLOOKUP(D102,'LD-ELFA'!F:F,'LD-ELFA'!V:V)="","",_xlfn.XLOOKUP(D102,'LD-ELFA'!F:F,'LD-ELFA'!V:V))</f>
        <v/>
      </c>
      <c r="R102" s="40">
        <f>IFERROR(IF(I102&lt;&gt;"","Documento Emitido",_xlfn.XLOOKUP(D102,Cronograma!P:P,Cronograma!Q:Q)),"Documento Removido")</f>
        <v>46267</v>
      </c>
      <c r="S102" s="40" t="str">
        <f t="shared" ca="1" si="14"/>
        <v>No prazo</v>
      </c>
      <c r="T102" s="40" t="str">
        <f>IFERROR(IF(I102&lt;&gt;"","Documento Emitido",_xlfn.XLOOKUP(D102,Cronograma!P:P,Cronograma!R:R)),"Documento Removido")</f>
        <v>ND</v>
      </c>
      <c r="U102" s="39" t="str">
        <f t="shared" si="15"/>
        <v>No prazo</v>
      </c>
      <c r="V102" s="39" t="str">
        <f t="shared" si="16"/>
        <v/>
      </c>
      <c r="W102" s="39" t="str">
        <f t="shared" ca="1" si="17"/>
        <v/>
      </c>
    </row>
    <row r="103" spans="1:23" s="60" customFormat="1" ht="28.5" customHeight="1" x14ac:dyDescent="0.2">
      <c r="A103" s="39">
        <v>100</v>
      </c>
      <c r="B103" s="39" t="str">
        <f>_xlfn.XLOOKUP(D103,'LD-ELFA'!F:F,'LD-ELFA'!C:C)</f>
        <v>CC - Concreto</v>
      </c>
      <c r="C103" s="39" t="str">
        <f>_xlfn.XLOOKUP(D103,'LD-ELFA'!F:F,'LD-ELFA'!D:D)</f>
        <v>MCA - Memória De Cálculo</v>
      </c>
      <c r="D103" s="39" t="s">
        <v>107</v>
      </c>
      <c r="E103" s="39" t="str">
        <f>_xlfn.LET(_xlpm.q,_xlfn.XLOOKUP(D103,'LD-ELFA'!F:F,'LD-ELFA'!Q:Q),
   _xlpm.r,_xlfn.XLOOKUP(D103,'LD-ELFA'!F:F,'LD-ELFA'!R:R),
   IF(_xlpm.r = "", _xlpm.q, _xlpm.q &amp; " - " &amp; _xlpm.r))</f>
        <v>MEMÓRIA DE CÁLCULO - MOEGA, CASA DE TRANSFERENCIA E TRANSPORTADORES</v>
      </c>
      <c r="F103" s="63" t="str">
        <f t="shared" si="10"/>
        <v>Básico</v>
      </c>
      <c r="G103" s="63">
        <f>_xlfn.XLOOKUP(D103,'LD-ELFA'!F:F,'LD-ELFA'!G:G)</f>
        <v>0</v>
      </c>
      <c r="H103" s="63">
        <f>_xlfn.XLOOKUP(D103,'LD-ELFA'!F:F,'LD-ELFA'!I:I)</f>
        <v>0</v>
      </c>
      <c r="I103" s="63" t="str">
        <f>IF(_xlfn.XLOOKUP(D103,'LD-ELFA'!F:F,'LD-ELFA'!T:T)="","",_xlfn.XLOOKUP(D103,'LD-ELFA'!F:F,'LD-ELFA'!T:T))</f>
        <v/>
      </c>
      <c r="J103" s="63" t="str">
        <f>IF(K103="Documento a emitir", "",_xlfn.XLOOKUP(D103,'LD-ELFA'!F:F,'LD-ELFA'!N:N))</f>
        <v/>
      </c>
      <c r="K103" s="43" t="str">
        <f>IF(_xlfn.XLOOKUP($D103,'LD-ELFA'!F:F,'LD-ELFA'!U:U)="","Documento a emitir",_xlfn.XLOOKUP($D103,'LD-ELFA'!F:F,'LD-ELFA'!U:U))</f>
        <v>Documento a emitir</v>
      </c>
      <c r="L103" s="43" t="str">
        <f>IF(K103="Documento a emitir","Documento a emitir",IF(K103&lt;&gt;"Documento a emitir",IF(_xlfn.XLOOKUP(D103,'LD-ELFA'!F:F,'LD-ELFA'!W:W)="","",_xlfn.XLOOKUP(D103,'LD-ELFA'!F:F,'LD-ELFA'!W:W)),""))</f>
        <v>Documento a emitir</v>
      </c>
      <c r="M103" s="43" t="str">
        <f>IF(K103="Documento a emitir","",IF(AND(Q103="APC-R  - APC-R - Aprovado com Comentários (Retornar para uma nova Aprovação)",Q103="APC-L  - APC-L  - Aprovado com Comentários (Retornar Aprovado)"),"",IF(OR(_xlfn.XLOOKUP(D103,'LD-ELFA'!F:F,'LD-ELFA'!N:N)="PARA CONHECIMENTO",_xlfn.XLOOKUP(D103,'LD-ELFA'!F:F,'LD-ELFA'!N:N)="PARA CONSTRUÇÃO",_xlfn.XLOOKUP(D103,'LD-ELFA'!F:F,'LD-ELFA'!N:N)="PARA COTAÇÃO",_xlfn.XLOOKUP(D103,'LD-ELFA'!F:F,'LD-ELFA'!N:N)="CANCELADO"),_xlfn.XLOOKUP(D103,'LD-ELFA'!F:F,'LD-ELFA'!U:U),IF(AND(L103="",J103&lt;&gt;"PARA APROVAÇÃO"),"",""))))</f>
        <v/>
      </c>
      <c r="N103" s="63" t="str">
        <f ca="1">IF(O103="Documento Concluído","Documento Concluído",IF(O103="Cliente - Atendimento de Comentário",IF(TODAY()&lt;=(K103+3),"No prazo","Atrasado"),IF(O103="Cliente - Atendimento de Comentário",IF(TODAY()&lt;=(WORKDAY(K103,3,0)),"No prazo","Atrasado"),IF(O103="Blossom - Emissão Final",IF(TODAY()&lt;=(WORKDAY(L103,3,0)),"No prazo","Atrasado"),IF(O103="Blossom - Atendimento de Comentário",IF(TODAY()&lt;=(WORKDAY(L103,3,0)),"No prazo","Atrasado"),IF(O103="Blossom - Documento a emitir","Documento a Emitir","ERRO"))))))</f>
        <v>Documento a Emitir</v>
      </c>
      <c r="O103" s="63" t="str">
        <f t="shared" si="12"/>
        <v>Blossom - Documento a emitir</v>
      </c>
      <c r="P103" s="63" t="str">
        <f t="shared" si="13"/>
        <v>Blossom</v>
      </c>
      <c r="Q103" s="63" t="str">
        <f>IF(_xlfn.XLOOKUP(D103,'LD-ELFA'!F:F,'LD-ELFA'!V:V)="","",_xlfn.XLOOKUP(D103,'LD-ELFA'!F:F,'LD-ELFA'!V:V))</f>
        <v/>
      </c>
      <c r="R103" s="40">
        <f>IFERROR(IF(I103&lt;&gt;"","Documento Emitido",_xlfn.XLOOKUP(D103,Cronograma!P:P,Cronograma!Q:Q)),"Documento Removido")</f>
        <v>46233</v>
      </c>
      <c r="S103" s="40" t="str">
        <f t="shared" ca="1" si="14"/>
        <v>No prazo</v>
      </c>
      <c r="T103" s="40">
        <f>IFERROR(IF(I103&lt;&gt;"","Documento Emitido",_xlfn.XLOOKUP(D103,Cronograma!P:P,Cronograma!R:R)),"Documento Removido")</f>
        <v>46233</v>
      </c>
      <c r="U103" s="39" t="str">
        <f t="shared" si="15"/>
        <v>No prazo</v>
      </c>
      <c r="V103" s="39" t="str">
        <f t="shared" si="16"/>
        <v>Semana 3</v>
      </c>
      <c r="W103" s="39" t="str">
        <f t="shared" ca="1" si="17"/>
        <v/>
      </c>
    </row>
    <row r="104" spans="1:23" s="60" customFormat="1" ht="28.5" customHeight="1" x14ac:dyDescent="0.2">
      <c r="A104" s="39">
        <v>101</v>
      </c>
      <c r="B104" s="39" t="str">
        <f>_xlfn.XLOOKUP(D104,'LD-ELFA'!F:F,'LD-ELFA'!C:C)</f>
        <v>CC - Concreto</v>
      </c>
      <c r="C104" s="39" t="str">
        <f>_xlfn.XLOOKUP(D104,'LD-ELFA'!F:F,'LD-ELFA'!D:D)</f>
        <v>MCA - Memória De Cálculo</v>
      </c>
      <c r="D104" s="39" t="s">
        <v>108</v>
      </c>
      <c r="E104" s="39" t="str">
        <f>_xlfn.LET(_xlpm.q,_xlfn.XLOOKUP(D104,'LD-ELFA'!F:F,'LD-ELFA'!Q:Q),
   _xlpm.r,_xlfn.XLOOKUP(D104,'LD-ELFA'!F:F,'LD-ELFA'!R:R),
   IF(_xlpm.r = "", _xlpm.q, _xlpm.q &amp; " - " &amp; _xlpm.r))</f>
        <v>MEMÓRIA DE CÁLCULO - FUNDAÇÕES - GALPÃO PARA ENSACAMENTO - RENWA META</v>
      </c>
      <c r="F104" s="63" t="str">
        <f t="shared" si="10"/>
        <v>Básico</v>
      </c>
      <c r="G104" s="63">
        <f>_xlfn.XLOOKUP(D104,'LD-ELFA'!F:F,'LD-ELFA'!G:G)</f>
        <v>0</v>
      </c>
      <c r="H104" s="63">
        <f>_xlfn.XLOOKUP(D104,'LD-ELFA'!F:F,'LD-ELFA'!I:I)</f>
        <v>0</v>
      </c>
      <c r="I104" s="63" t="str">
        <f>IF(_xlfn.XLOOKUP(D104,'LD-ELFA'!F:F,'LD-ELFA'!T:T)="","",_xlfn.XLOOKUP(D104,'LD-ELFA'!F:F,'LD-ELFA'!T:T))</f>
        <v/>
      </c>
      <c r="J104" s="63" t="str">
        <f>IF(K104="Documento a emitir", "",_xlfn.XLOOKUP(D104,'LD-ELFA'!F:F,'LD-ELFA'!N:N))</f>
        <v/>
      </c>
      <c r="K104" s="43" t="str">
        <f>IF(_xlfn.XLOOKUP($D104,'LD-ELFA'!F:F,'LD-ELFA'!U:U)="","Documento a emitir",_xlfn.XLOOKUP($D104,'LD-ELFA'!F:F,'LD-ELFA'!U:U))</f>
        <v>Documento a emitir</v>
      </c>
      <c r="L104" s="43" t="str">
        <f>IF(K104="Documento a emitir","Documento a emitir",IF(K104&lt;&gt;"Documento a emitir",IF(_xlfn.XLOOKUP(D104,'LD-ELFA'!F:F,'LD-ELFA'!W:W)="","",_xlfn.XLOOKUP(D104,'LD-ELFA'!F:F,'LD-ELFA'!W:W)),""))</f>
        <v>Documento a emitir</v>
      </c>
      <c r="M104" s="43" t="str">
        <f>IF(K104="Documento a emitir","",IF(AND(Q104="APC-R  - APC-R - Aprovado com Comentários (Retornar para uma nova Aprovação)",Q104="APC-L  - APC-L  - Aprovado com Comentários (Retornar Aprovado)"),"",IF(OR(_xlfn.XLOOKUP(D104,'LD-ELFA'!F:F,'LD-ELFA'!N:N)="PARA CONHECIMENTO",_xlfn.XLOOKUP(D104,'LD-ELFA'!F:F,'LD-ELFA'!N:N)="PARA CONSTRUÇÃO",_xlfn.XLOOKUP(D104,'LD-ELFA'!F:F,'LD-ELFA'!N:N)="PARA COTAÇÃO",_xlfn.XLOOKUP(D104,'LD-ELFA'!F:F,'LD-ELFA'!N:N)="CANCELADO"),_xlfn.XLOOKUP(D104,'LD-ELFA'!F:F,'LD-ELFA'!U:U),IF(AND(L104="",J104&lt;&gt;"PARA APROVAÇÃO"),"",""))))</f>
        <v/>
      </c>
      <c r="N104" s="63" t="str">
        <f ca="1">IF(O104="Documento Concluído","Documento Concluído",IF(O104="Cliente - Atendimento de Comentário",IF(TODAY()&lt;=(K104+3),"No prazo","Atrasado"),IF(O104="Cliente - Atendimento de Comentário",IF(TODAY()&lt;=(WORKDAY(K104,3,0)),"No prazo","Atrasado"),IF(O104="Blossom - Emissão Final",IF(TODAY()&lt;=(WORKDAY(L104,3,0)),"No prazo","Atrasado"),IF(O104="Blossom - Atendimento de Comentário",IF(TODAY()&lt;=(WORKDAY(L104,3,0)),"No prazo","Atrasado"),IF(O104="Blossom - Documento a emitir","Documento a Emitir","ERRO"))))))</f>
        <v>Documento a Emitir</v>
      </c>
      <c r="O104" s="63" t="str">
        <f t="shared" si="12"/>
        <v>Blossom - Documento a emitir</v>
      </c>
      <c r="P104" s="63" t="str">
        <f t="shared" si="13"/>
        <v>Blossom</v>
      </c>
      <c r="Q104" s="63" t="str">
        <f>IF(_xlfn.XLOOKUP(D104,'LD-ELFA'!F:F,'LD-ELFA'!V:V)="","",_xlfn.XLOOKUP(D104,'LD-ELFA'!F:F,'LD-ELFA'!V:V))</f>
        <v/>
      </c>
      <c r="R104" s="40">
        <f>IFERROR(IF(I104&lt;&gt;"","Documento Emitido",_xlfn.XLOOKUP(D104,Cronograma!P:P,Cronograma!Q:Q)),"Documento Removido")</f>
        <v>46244</v>
      </c>
      <c r="S104" s="40" t="str">
        <f t="shared" ca="1" si="14"/>
        <v>No prazo</v>
      </c>
      <c r="T104" s="40">
        <f>IFERROR(IF(I104&lt;&gt;"","Documento Emitido",_xlfn.XLOOKUP(D104,Cronograma!P:P,Cronograma!R:R)),"Documento Removido")</f>
        <v>46224</v>
      </c>
      <c r="U104" s="39" t="str">
        <f t="shared" si="15"/>
        <v>Emissão Atrasada</v>
      </c>
      <c r="V104" s="39" t="str">
        <f t="shared" si="16"/>
        <v/>
      </c>
      <c r="W104" s="39" t="str">
        <f t="shared" ca="1" si="17"/>
        <v/>
      </c>
    </row>
    <row r="105" spans="1:23" s="60" customFormat="1" ht="28.5" customHeight="1" x14ac:dyDescent="0.2">
      <c r="A105" s="39">
        <v>102</v>
      </c>
      <c r="B105" s="39" t="str">
        <f>_xlfn.XLOOKUP(D105,'LD-ELFA'!F:F,'LD-ELFA'!C:C)</f>
        <v>CC - Concreto</v>
      </c>
      <c r="C105" s="39" t="str">
        <f>_xlfn.XLOOKUP(D105,'LD-ELFA'!F:F,'LD-ELFA'!D:D)</f>
        <v>MCA - Memória De Cálculo</v>
      </c>
      <c r="D105" s="39" t="s">
        <v>109</v>
      </c>
      <c r="E105" s="39" t="str">
        <f>_xlfn.LET(_xlpm.q,_xlfn.XLOOKUP(D105,'LD-ELFA'!F:F,'LD-ELFA'!Q:Q),
   _xlpm.r,_xlfn.XLOOKUP(D105,'LD-ELFA'!F:F,'LD-ELFA'!R:R),
   IF(_xlpm.r = "", _xlpm.q, _xlpm.q &amp; " - " &amp; _xlpm.r))</f>
        <v>BALANÇA - FUNDAÇÕES - MEMÓRIA DE CÁLCULO - 11</v>
      </c>
      <c r="F105" s="63" t="str">
        <f t="shared" si="10"/>
        <v>Básico</v>
      </c>
      <c r="G105" s="63">
        <f>_xlfn.XLOOKUP(D105,'LD-ELFA'!F:F,'LD-ELFA'!G:G)</f>
        <v>0</v>
      </c>
      <c r="H105" s="63">
        <f>_xlfn.XLOOKUP(D105,'LD-ELFA'!F:F,'LD-ELFA'!I:I)</f>
        <v>0</v>
      </c>
      <c r="I105" s="63" t="str">
        <f>IF(_xlfn.XLOOKUP(D105,'LD-ELFA'!F:F,'LD-ELFA'!T:T)="","",_xlfn.XLOOKUP(D105,'LD-ELFA'!F:F,'LD-ELFA'!T:T))</f>
        <v/>
      </c>
      <c r="J105" s="63" t="str">
        <f>IF(K105="Documento a emitir", "",_xlfn.XLOOKUP(D105,'LD-ELFA'!F:F,'LD-ELFA'!N:N))</f>
        <v/>
      </c>
      <c r="K105" s="43" t="str">
        <f>IF(_xlfn.XLOOKUP($D105,'LD-ELFA'!F:F,'LD-ELFA'!U:U)="","Documento a emitir",_xlfn.XLOOKUP($D105,'LD-ELFA'!F:F,'LD-ELFA'!U:U))</f>
        <v>Documento a emitir</v>
      </c>
      <c r="L105" s="43" t="str">
        <f>IF(K105="Documento a emitir","Documento a emitir",IF(K105&lt;&gt;"Documento a emitir",IF(_xlfn.XLOOKUP(D105,'LD-ELFA'!F:F,'LD-ELFA'!W:W)="","",_xlfn.XLOOKUP(D105,'LD-ELFA'!F:F,'LD-ELFA'!W:W)),""))</f>
        <v>Documento a emitir</v>
      </c>
      <c r="M105" s="43" t="str">
        <f>IF(K105="Documento a emitir","",IF(AND(Q105="APC-R  - APC-R - Aprovado com Comentários (Retornar para uma nova Aprovação)",Q105="APC-L  - APC-L  - Aprovado com Comentários (Retornar Aprovado)"),"",IF(OR(_xlfn.XLOOKUP(D105,'LD-ELFA'!F:F,'LD-ELFA'!N:N)="PARA CONHECIMENTO",_xlfn.XLOOKUP(D105,'LD-ELFA'!F:F,'LD-ELFA'!N:N)="PARA CONSTRUÇÃO",_xlfn.XLOOKUP(D105,'LD-ELFA'!F:F,'LD-ELFA'!N:N)="PARA COTAÇÃO",_xlfn.XLOOKUP(D105,'LD-ELFA'!F:F,'LD-ELFA'!N:N)="CANCELADO"),_xlfn.XLOOKUP(D105,'LD-ELFA'!F:F,'LD-ELFA'!U:U),IF(AND(L105="",J105&lt;&gt;"PARA APROVAÇÃO"),"",""))))</f>
        <v/>
      </c>
      <c r="N105" s="63" t="str">
        <f ca="1">IF(O105="Documento Concluído","Documento Concluído",IF(O105="Cliente - Atendimento de Comentário",IF(TODAY()&lt;=(K105+3),"No prazo","Atrasado"),IF(O105="Cliente - Atendimento de Comentário",IF(TODAY()&lt;=(WORKDAY(K105,3,0)),"No prazo","Atrasado"),IF(O105="Blossom - Emissão Final",IF(TODAY()&lt;=(WORKDAY(L105,3,0)),"No prazo","Atrasado"),IF(O105="Blossom - Atendimento de Comentário",IF(TODAY()&lt;=(WORKDAY(L105,3,0)),"No prazo","Atrasado"),IF(O105="Blossom - Documento a emitir","Documento a Emitir","ERRO"))))))</f>
        <v>Documento a Emitir</v>
      </c>
      <c r="O105" s="63" t="str">
        <f t="shared" si="12"/>
        <v>Blossom - Documento a emitir</v>
      </c>
      <c r="P105" s="63" t="str">
        <f t="shared" si="13"/>
        <v>Blossom</v>
      </c>
      <c r="Q105" s="63" t="str">
        <f>IF(_xlfn.XLOOKUP(D105,'LD-ELFA'!F:F,'LD-ELFA'!V:V)="","",_xlfn.XLOOKUP(D105,'LD-ELFA'!F:F,'LD-ELFA'!V:V))</f>
        <v/>
      </c>
      <c r="R105" s="40">
        <f>IFERROR(IF(I105&lt;&gt;"","Documento Emitido",_xlfn.XLOOKUP(D105,Cronograma!P:P,Cronograma!Q:Q)),"Documento Removido")</f>
        <v>46248</v>
      </c>
      <c r="S105" s="40" t="str">
        <f t="shared" ca="1" si="14"/>
        <v>No prazo</v>
      </c>
      <c r="T105" s="40">
        <f>IFERROR(IF(I105&lt;&gt;"","Documento Emitido",_xlfn.XLOOKUP(D105,Cronograma!P:P,Cronograma!R:R)),"Documento Removido")</f>
        <v>46233</v>
      </c>
      <c r="U105" s="39" t="str">
        <f t="shared" si="15"/>
        <v>Emissão Atrasada</v>
      </c>
      <c r="V105" s="39" t="str">
        <f t="shared" si="16"/>
        <v/>
      </c>
      <c r="W105" s="39" t="str">
        <f t="shared" ca="1" si="17"/>
        <v/>
      </c>
    </row>
    <row r="106" spans="1:23" s="60" customFormat="1" ht="28.5" customHeight="1" x14ac:dyDescent="0.2">
      <c r="A106" s="39">
        <v>103</v>
      </c>
      <c r="B106" s="39" t="str">
        <f>_xlfn.XLOOKUP(D106,'LD-ELFA'!F:F,'LD-ELFA'!C:C)</f>
        <v>CC - Concreto</v>
      </c>
      <c r="C106" s="39" t="str">
        <f>_xlfn.XLOOKUP(D106,'LD-ELFA'!F:F,'LD-ELFA'!D:D)</f>
        <v>MCA - Memória De Cálculo</v>
      </c>
      <c r="D106" s="39" t="s">
        <v>110</v>
      </c>
      <c r="E106" s="39" t="str">
        <f>_xlfn.LET(_xlpm.q,_xlfn.XLOOKUP(D106,'LD-ELFA'!F:F,'LD-ELFA'!Q:Q),
   _xlpm.r,_xlfn.XLOOKUP(D106,'LD-ELFA'!F:F,'LD-ELFA'!R:R),
   IF(_xlpm.r = "", _xlpm.q, _xlpm.q &amp; " - " &amp; _xlpm.r))</f>
        <v xml:space="preserve">MEMÓRIA DE CÁLCULO - ESTRUTURAS DE CONCRETO / FUNDAÇÕES – 2201-ED-001 </v>
      </c>
      <c r="F106" s="63" t="str">
        <f t="shared" si="10"/>
        <v>Básico</v>
      </c>
      <c r="G106" s="63">
        <f>_xlfn.XLOOKUP(D106,'LD-ELFA'!F:F,'LD-ELFA'!G:G)</f>
        <v>0</v>
      </c>
      <c r="H106" s="63" t="str">
        <f>_xlfn.XLOOKUP(D106,'LD-ELFA'!F:F,'LD-ELFA'!I:I)</f>
        <v>A</v>
      </c>
      <c r="I106" s="63" t="str">
        <f>IF(_xlfn.XLOOKUP(D106,'LD-ELFA'!F:F,'LD-ELFA'!T:T)="","",_xlfn.XLOOKUP(D106,'LD-ELFA'!F:F,'LD-ELFA'!T:T))</f>
        <v>0027</v>
      </c>
      <c r="J106" s="63" t="str">
        <f>IF(K106="Documento a emitir", "",_xlfn.XLOOKUP(D106,'LD-ELFA'!F:F,'LD-ELFA'!N:N))</f>
        <v>PARA APROVAÇÃO</v>
      </c>
      <c r="K106" s="43">
        <f>IF(_xlfn.XLOOKUP($D106,'LD-ELFA'!F:F,'LD-ELFA'!U:U)="","Documento a emitir",_xlfn.XLOOKUP($D106,'LD-ELFA'!F:F,'LD-ELFA'!U:U))</f>
        <v>46211.677941400463</v>
      </c>
      <c r="L106" s="43">
        <f>IF(K106="Documento a emitir","Documento a emitir",IF(K106&lt;&gt;"Documento a emitir",IF(_xlfn.XLOOKUP(D106,'LD-ELFA'!F:F,'LD-ELFA'!W:W)="","",_xlfn.XLOOKUP(D106,'LD-ELFA'!F:F,'LD-ELFA'!W:W)),""))</f>
        <v>46216.503071678242</v>
      </c>
      <c r="M106" s="43" t="str">
        <f>IF(K106="Documento a emitir","",IF(AND(Q106="APC-R  - APC-R - Aprovado com Comentários (Retornar para uma nova Aprovação)",Q106="APC-L  - APC-L  - Aprovado com Comentários (Retornar Aprovado)"),"",IF(OR(_xlfn.XLOOKUP(D106,'LD-ELFA'!F:F,'LD-ELFA'!N:N)="PARA CONHECIMENTO",_xlfn.XLOOKUP(D106,'LD-ELFA'!F:F,'LD-ELFA'!N:N)="PARA CONSTRUÇÃO",_xlfn.XLOOKUP(D106,'LD-ELFA'!F:F,'LD-ELFA'!N:N)="PARA COTAÇÃO",_xlfn.XLOOKUP(D106,'LD-ELFA'!F:F,'LD-ELFA'!N:N)="CANCELADO"),_xlfn.XLOOKUP(D106,'LD-ELFA'!F:F,'LD-ELFA'!U:U),IF(AND(L106="",J106&lt;&gt;"PARA APROVAÇÃO"),"",""))))</f>
        <v/>
      </c>
      <c r="N106" s="63" t="str">
        <f ca="1">IF(O106="Documento Concluído","Documento Concluído",IF(O106="Cliente - Atendimento de Comentário",IF(TODAY()&lt;=(K106+3),"No prazo","Atrasado"),IF(O106="Cliente - Atendimento de Comentário",IF(TODAY()&lt;=(WORKDAY(K106,3,0)),"No prazo","Atrasado"),IF(O106="Blossom - Emissão Final",IF(TODAY()&lt;=(WORKDAY(L106,3,0)),"No prazo","Atrasado"),IF(O106="Blossom - Atendimento de Comentário",IF(TODAY()&lt;=(WORKDAY(L106,3,0)),"No prazo","Atrasado"),IF(O106="Blossom - Documento a emitir","Documento a Emitir",IF(O106="Documento Removido","Documento Removido","ERRO")))))))</f>
        <v>No prazo</v>
      </c>
      <c r="O106" s="63" t="str">
        <f t="shared" si="12"/>
        <v>Blossom - Atendimento de Comentário</v>
      </c>
      <c r="P106" s="63" t="str">
        <f t="shared" si="13"/>
        <v>Blossom</v>
      </c>
      <c r="Q106" s="63" t="str">
        <f>IF(_xlfn.XLOOKUP(D106,'LD-ELFA'!F:F,'LD-ELFA'!V:V)="","",_xlfn.XLOOKUP(D106,'LD-ELFA'!F:F,'LD-ELFA'!V:V))</f>
        <v>APC-R  - APC-R - Aprovado com Comentários (Retornar para uma nova Aprovação)</v>
      </c>
      <c r="R106" s="40" t="str">
        <f>IFERROR(IF(I106&lt;&gt;"","Documento Emitido",_xlfn.XLOOKUP(D106,Cronograma!P:P,Cronograma!Q:Q)),"Documento Removido")</f>
        <v>Documento Emitido</v>
      </c>
      <c r="S106" s="40" t="str">
        <f t="shared" ca="1" si="14"/>
        <v>Documento Emitido</v>
      </c>
      <c r="T106" s="40" t="str">
        <f>IFERROR(IF(I106&lt;&gt;"","Documento Emitido",_xlfn.XLOOKUP(D106,Cronograma!P:P,Cronograma!R:R)),"Documento Removido")</f>
        <v>Documento Emitido</v>
      </c>
      <c r="U106" s="39" t="str">
        <f t="shared" si="15"/>
        <v>Documento Emitido</v>
      </c>
      <c r="V106" s="39" t="str">
        <f t="shared" si="16"/>
        <v>Documento Emitido</v>
      </c>
      <c r="W106" s="39" t="str">
        <f t="shared" ca="1" si="17"/>
        <v>Emissão Semana</v>
      </c>
    </row>
    <row r="107" spans="1:23" s="60" customFormat="1" ht="28.5" customHeight="1" x14ac:dyDescent="0.2">
      <c r="A107" s="39">
        <v>104</v>
      </c>
      <c r="B107" s="39" t="str">
        <f>_xlfn.XLOOKUP(D107,'LD-ELFA'!F:F,'LD-ELFA'!C:C)</f>
        <v>CC - Concreto</v>
      </c>
      <c r="C107" s="39" t="str">
        <f>_xlfn.XLOOKUP(D107,'LD-ELFA'!F:F,'LD-ELFA'!D:D)</f>
        <v>MCA - Memória De Cálculo</v>
      </c>
      <c r="D107" s="39" t="s">
        <v>111</v>
      </c>
      <c r="E107" s="39" t="str">
        <f>_xlfn.LET(_xlpm.q,_xlfn.XLOOKUP(D107,'LD-ELFA'!F:F,'LD-ELFA'!Q:Q),
   _xlpm.r,_xlfn.XLOOKUP(D107,'LD-ELFA'!F:F,'LD-ELFA'!R:R),
   IF(_xlpm.r = "", _xlpm.q, _xlpm.q &amp; " - " &amp; _xlpm.r))</f>
        <v>MEMÓRIA DE CÁLCULO - ESTRUTURAS DE CONCRETO / FUNDAÇÕES - 2202-ED-001</v>
      </c>
      <c r="F107" s="63" t="str">
        <f t="shared" si="10"/>
        <v>Básico</v>
      </c>
      <c r="G107" s="63">
        <f>_xlfn.XLOOKUP(D107,'LD-ELFA'!F:F,'LD-ELFA'!G:G)</f>
        <v>0</v>
      </c>
      <c r="H107" s="63" t="str">
        <f>_xlfn.XLOOKUP(D107,'LD-ELFA'!F:F,'LD-ELFA'!I:I)</f>
        <v>A</v>
      </c>
      <c r="I107" s="63" t="str">
        <f>IF(_xlfn.XLOOKUP(D107,'LD-ELFA'!F:F,'LD-ELFA'!T:T)="","",_xlfn.XLOOKUP(D107,'LD-ELFA'!F:F,'LD-ELFA'!T:T))</f>
        <v>0022</v>
      </c>
      <c r="J107" s="63" t="str">
        <f>IF(K107="Documento a emitir", "",_xlfn.XLOOKUP(D107,'LD-ELFA'!F:F,'LD-ELFA'!N:N))</f>
        <v>PARA APROVAÇÃO</v>
      </c>
      <c r="K107" s="43">
        <f>IF(_xlfn.XLOOKUP($D107,'LD-ELFA'!F:F,'LD-ELFA'!U:U)="","Documento a emitir",_xlfn.XLOOKUP($D107,'LD-ELFA'!F:F,'LD-ELFA'!U:U))</f>
        <v>46210.678921678242</v>
      </c>
      <c r="L107" s="43">
        <f>IF(K107="Documento a emitir","Documento a emitir",IF(K107&lt;&gt;"Documento a emitir",IF(_xlfn.XLOOKUP(D107,'LD-ELFA'!F:F,'LD-ELFA'!W:W)="","",_xlfn.XLOOKUP(D107,'LD-ELFA'!F:F,'LD-ELFA'!W:W)),""))</f>
        <v>46212.497367824071</v>
      </c>
      <c r="M107" s="43" t="str">
        <f>IF(K107="Documento a emitir","",IF(AND(Q107="APC-R  - APC-R - Aprovado com Comentários (Retornar para uma nova Aprovação)",Q107="APC-L  - APC-L  - Aprovado com Comentários (Retornar Aprovado)"),"",IF(OR(_xlfn.XLOOKUP(D107,'LD-ELFA'!F:F,'LD-ELFA'!N:N)="PARA CONHECIMENTO",_xlfn.XLOOKUP(D107,'LD-ELFA'!F:F,'LD-ELFA'!N:N)="PARA CONSTRUÇÃO",_xlfn.XLOOKUP(D107,'LD-ELFA'!F:F,'LD-ELFA'!N:N)="PARA COTAÇÃO",_xlfn.XLOOKUP(D107,'LD-ELFA'!F:F,'LD-ELFA'!N:N)="CANCELADO"),_xlfn.XLOOKUP(D107,'LD-ELFA'!F:F,'LD-ELFA'!U:U),IF(AND(L107="",J107&lt;&gt;"PARA APROVAÇÃO"),"",""))))</f>
        <v/>
      </c>
      <c r="N107" s="63" t="str">
        <f ca="1">IF(O107="Documento Concluído","Documento Concluído",IF(O107="Cliente - Atendimento de Comentário",IF(TODAY()&lt;=(K107+3),"No prazo","Atrasado"),IF(O107="Cliente - Atendimento de Comentário",IF(TODAY()&lt;=(WORKDAY(K107,3,0)),"No prazo","Atrasado"),IF(O107="Blossom - Emissão Final",IF(TODAY()&lt;=(WORKDAY(L107,3,0)),"No prazo","Atrasado"),IF(O107="Blossom - Atendimento de Comentário",IF(TODAY()&lt;=(WORKDAY(L107,3,0)),"No prazo","Atrasado"),IF(O107="Blossom - Documento a emitir","Documento a Emitir",IF(O107="Documento Removido","Documento Removido","ERRO")))))))</f>
        <v>No prazo</v>
      </c>
      <c r="O107" s="63" t="str">
        <f t="shared" si="12"/>
        <v>Blossom - Atendimento de Comentário</v>
      </c>
      <c r="P107" s="63" t="str">
        <f t="shared" si="13"/>
        <v>Blossom</v>
      </c>
      <c r="Q107" s="63" t="str">
        <f>IF(_xlfn.XLOOKUP(D107,'LD-ELFA'!F:F,'LD-ELFA'!V:V)="","",_xlfn.XLOOKUP(D107,'LD-ELFA'!F:F,'LD-ELFA'!V:V))</f>
        <v>APC-L  - APC-L  - Aprovado com Comentários (Retornar Aprovado)</v>
      </c>
      <c r="R107" s="40" t="str">
        <f>IFERROR(IF(I107&lt;&gt;"","Documento Emitido",_xlfn.XLOOKUP(D107,Cronograma!P:P,Cronograma!Q:Q)),"Documento Removido")</f>
        <v>Documento Emitido</v>
      </c>
      <c r="S107" s="40" t="str">
        <f t="shared" ca="1" si="14"/>
        <v>Documento Emitido</v>
      </c>
      <c r="T107" s="40" t="str">
        <f>IFERROR(IF(I107&lt;&gt;"","Documento Emitido",_xlfn.XLOOKUP(D107,Cronograma!P:P,Cronograma!R:R)),"Documento Removido")</f>
        <v>Documento Emitido</v>
      </c>
      <c r="U107" s="39" t="str">
        <f t="shared" si="15"/>
        <v>Documento Emitido</v>
      </c>
      <c r="V107" s="39" t="str">
        <f t="shared" si="16"/>
        <v>Documento Emitido</v>
      </c>
      <c r="W107" s="39" t="str">
        <f t="shared" ca="1" si="17"/>
        <v>Emissão Semana</v>
      </c>
    </row>
    <row r="108" spans="1:23" s="60" customFormat="1" ht="28.5" customHeight="1" x14ac:dyDescent="0.2">
      <c r="A108" s="39">
        <v>105</v>
      </c>
      <c r="B108" s="39" t="str">
        <f>_xlfn.XLOOKUP(D108,'LD-ELFA'!F:F,'LD-ELFA'!C:C)</f>
        <v>CC - Concreto</v>
      </c>
      <c r="C108" s="39" t="str">
        <f>_xlfn.XLOOKUP(D108,'LD-ELFA'!F:F,'LD-ELFA'!D:D)</f>
        <v>MCA - Memória De Cálculo</v>
      </c>
      <c r="D108" s="39" t="s">
        <v>112</v>
      </c>
      <c r="E108" s="39" t="str">
        <f>_xlfn.LET(_xlpm.q,_xlfn.XLOOKUP(D108,'LD-ELFA'!F:F,'LD-ELFA'!Q:Q),
   _xlpm.r,_xlfn.XLOOKUP(D108,'LD-ELFA'!F:F,'LD-ELFA'!R:R),
   IF(_xlpm.r = "", _xlpm.q, _xlpm.q &amp; " - " &amp; _xlpm.r))</f>
        <v>MEMÓRIA DE CÁLCULO - ESTRUTURAS DE CONCRETO / FUNDAÇÕES - 2203-ED-001</v>
      </c>
      <c r="F108" s="63" t="str">
        <f t="shared" si="10"/>
        <v>Básico</v>
      </c>
      <c r="G108" s="63">
        <f>_xlfn.XLOOKUP(D108,'LD-ELFA'!F:F,'LD-ELFA'!G:G)</f>
        <v>0</v>
      </c>
      <c r="H108" s="63" t="str">
        <f>_xlfn.XLOOKUP(D108,'LD-ELFA'!F:F,'LD-ELFA'!I:I)</f>
        <v>A</v>
      </c>
      <c r="I108" s="63" t="str">
        <f>IF(_xlfn.XLOOKUP(D108,'LD-ELFA'!F:F,'LD-ELFA'!T:T)="","",_xlfn.XLOOKUP(D108,'LD-ELFA'!F:F,'LD-ELFA'!T:T))</f>
        <v>0022</v>
      </c>
      <c r="J108" s="63" t="str">
        <f>IF(K108="Documento a emitir", "",_xlfn.XLOOKUP(D108,'LD-ELFA'!F:F,'LD-ELFA'!N:N))</f>
        <v>PARA APROVAÇÃO</v>
      </c>
      <c r="K108" s="43">
        <f>IF(_xlfn.XLOOKUP($D108,'LD-ELFA'!F:F,'LD-ELFA'!U:U)="","Documento a emitir",_xlfn.XLOOKUP($D108,'LD-ELFA'!F:F,'LD-ELFA'!U:U))</f>
        <v>46210.678922800929</v>
      </c>
      <c r="L108" s="43">
        <f>IF(K108="Documento a emitir","Documento a emitir",IF(K108&lt;&gt;"Documento a emitir",IF(_xlfn.XLOOKUP(D108,'LD-ELFA'!F:F,'LD-ELFA'!W:W)="","",_xlfn.XLOOKUP(D108,'LD-ELFA'!F:F,'LD-ELFA'!W:W)),""))</f>
        <v>46212.499945983793</v>
      </c>
      <c r="M108" s="43" t="str">
        <f>IF(K108="Documento a emitir","",IF(AND(Q108="APC-R  - APC-R - Aprovado com Comentários (Retornar para uma nova Aprovação)",Q108="APC-L  - APC-L  - Aprovado com Comentários (Retornar Aprovado)"),"",IF(OR(_xlfn.XLOOKUP(D108,'LD-ELFA'!F:F,'LD-ELFA'!N:N)="PARA CONHECIMENTO",_xlfn.XLOOKUP(D108,'LD-ELFA'!F:F,'LD-ELFA'!N:N)="PARA CONSTRUÇÃO",_xlfn.XLOOKUP(D108,'LD-ELFA'!F:F,'LD-ELFA'!N:N)="PARA COTAÇÃO",_xlfn.XLOOKUP(D108,'LD-ELFA'!F:F,'LD-ELFA'!N:N)="CANCELADO"),_xlfn.XLOOKUP(D108,'LD-ELFA'!F:F,'LD-ELFA'!U:U),IF(AND(L108="",J108&lt;&gt;"PARA APROVAÇÃO"),"",""))))</f>
        <v/>
      </c>
      <c r="N108" s="63" t="str">
        <f ca="1">IF(O108="Documento Concluído","Documento Concluído",IF(O108="Cliente - Atendimento de Comentário",IF(TODAY()&lt;=(K108+3),"No prazo","Atrasado"),IF(O108="Cliente - Atendimento de Comentário",IF(TODAY()&lt;=(WORKDAY(K108,3,0)),"No prazo","Atrasado"),IF(O108="Blossom - Emissão Final",IF(TODAY()&lt;=(WORKDAY(L108,3,0)),"No prazo","Atrasado"),IF(O108="Blossom - Atendimento de Comentário",IF(TODAY()&lt;=(WORKDAY(L108,3,0)),"No prazo","Atrasado"),IF(O108="Blossom - Documento a emitir","Documento a Emitir",IF(O108="Documento Removido","Documento Removido","ERRO")))))))</f>
        <v>No prazo</v>
      </c>
      <c r="O108" s="63" t="str">
        <f t="shared" si="12"/>
        <v>Blossom - Atendimento de Comentário</v>
      </c>
      <c r="P108" s="63" t="str">
        <f t="shared" si="13"/>
        <v>Blossom</v>
      </c>
      <c r="Q108" s="63" t="str">
        <f>IF(_xlfn.XLOOKUP(D108,'LD-ELFA'!F:F,'LD-ELFA'!V:V)="","",_xlfn.XLOOKUP(D108,'LD-ELFA'!F:F,'LD-ELFA'!V:V))</f>
        <v>APC-L  - APC-L  - Aprovado com Comentários (Retornar Aprovado)</v>
      </c>
      <c r="R108" s="40" t="str">
        <f>IFERROR(IF(I108&lt;&gt;"","Documento Emitido",_xlfn.XLOOKUP(D108,Cronograma!P:P,Cronograma!Q:Q)),"Documento Removido")</f>
        <v>Documento Emitido</v>
      </c>
      <c r="S108" s="40" t="str">
        <f t="shared" ca="1" si="14"/>
        <v>Documento Emitido</v>
      </c>
      <c r="T108" s="40" t="str">
        <f>IFERROR(IF(I108&lt;&gt;"","Documento Emitido",_xlfn.XLOOKUP(D108,Cronograma!P:P,Cronograma!R:R)),"Documento Removido")</f>
        <v>Documento Emitido</v>
      </c>
      <c r="U108" s="39" t="str">
        <f t="shared" si="15"/>
        <v>Documento Emitido</v>
      </c>
      <c r="V108" s="39" t="str">
        <f t="shared" si="16"/>
        <v>Documento Emitido</v>
      </c>
      <c r="W108" s="39" t="str">
        <f t="shared" ca="1" si="17"/>
        <v>Emissão Semana</v>
      </c>
    </row>
    <row r="109" spans="1:23" s="60" customFormat="1" ht="28.5" customHeight="1" x14ac:dyDescent="0.2">
      <c r="A109" s="39">
        <v>106</v>
      </c>
      <c r="B109" s="39" t="str">
        <f>_xlfn.XLOOKUP(D109,'LD-ELFA'!F:F,'LD-ELFA'!C:C)</f>
        <v>CC - Concreto</v>
      </c>
      <c r="C109" s="39" t="str">
        <f>_xlfn.XLOOKUP(D109,'LD-ELFA'!F:F,'LD-ELFA'!D:D)</f>
        <v>MCA - Memória De Cálculo</v>
      </c>
      <c r="D109" s="39" t="s">
        <v>113</v>
      </c>
      <c r="E109" s="39" t="str">
        <f>_xlfn.LET(_xlpm.q,_xlfn.XLOOKUP(D109,'LD-ELFA'!F:F,'LD-ELFA'!Q:Q),
   _xlpm.r,_xlfn.XLOOKUP(D109,'LD-ELFA'!F:F,'LD-ELFA'!R:R),
   IF(_xlpm.r = "", _xlpm.q, _xlpm.q &amp; " - " &amp; _xlpm.r))</f>
        <v>MEMÓRIA DE CÁLCULO - ESTRUTURAS DE CONCRETO / FUNDAÇÕES - 2204-ED-001</v>
      </c>
      <c r="F109" s="63" t="str">
        <f t="shared" si="10"/>
        <v>Básico</v>
      </c>
      <c r="G109" s="63">
        <f>_xlfn.XLOOKUP(D109,'LD-ELFA'!F:F,'LD-ELFA'!G:G)</f>
        <v>0</v>
      </c>
      <c r="H109" s="63" t="str">
        <f>_xlfn.XLOOKUP(D109,'LD-ELFA'!F:F,'LD-ELFA'!I:I)</f>
        <v>A</v>
      </c>
      <c r="I109" s="63" t="str">
        <f>IF(_xlfn.XLOOKUP(D109,'LD-ELFA'!F:F,'LD-ELFA'!T:T)="","",_xlfn.XLOOKUP(D109,'LD-ELFA'!F:F,'LD-ELFA'!T:T))</f>
        <v>0022</v>
      </c>
      <c r="J109" s="63" t="str">
        <f>IF(K109="Documento a emitir", "",_xlfn.XLOOKUP(D109,'LD-ELFA'!F:F,'LD-ELFA'!N:N))</f>
        <v>PARA APROVAÇÃO</v>
      </c>
      <c r="K109" s="43">
        <f>IF(_xlfn.XLOOKUP($D109,'LD-ELFA'!F:F,'LD-ELFA'!U:U)="","Documento a emitir",_xlfn.XLOOKUP($D109,'LD-ELFA'!F:F,'LD-ELFA'!U:U))</f>
        <v>46210.678923460648</v>
      </c>
      <c r="L109" s="43">
        <f>IF(K109="Documento a emitir","Documento a emitir",IF(K109&lt;&gt;"Documento a emitir",IF(_xlfn.XLOOKUP(D109,'LD-ELFA'!F:F,'LD-ELFA'!W:W)="","",_xlfn.XLOOKUP(D109,'LD-ELFA'!F:F,'LD-ELFA'!W:W)),""))</f>
        <v>46213.628457256942</v>
      </c>
      <c r="M109" s="43" t="str">
        <f>IF(K109="Documento a emitir","",IF(AND(Q109="APC-R  - APC-R - Aprovado com Comentários (Retornar para uma nova Aprovação)",Q109="APC-L  - APC-L  - Aprovado com Comentários (Retornar Aprovado)"),"",IF(OR(_xlfn.XLOOKUP(D109,'LD-ELFA'!F:F,'LD-ELFA'!N:N)="PARA CONHECIMENTO",_xlfn.XLOOKUP(D109,'LD-ELFA'!F:F,'LD-ELFA'!N:N)="PARA CONSTRUÇÃO",_xlfn.XLOOKUP(D109,'LD-ELFA'!F:F,'LD-ELFA'!N:N)="PARA COTAÇÃO",_xlfn.XLOOKUP(D109,'LD-ELFA'!F:F,'LD-ELFA'!N:N)="CANCELADO"),_xlfn.XLOOKUP(D109,'LD-ELFA'!F:F,'LD-ELFA'!U:U),IF(AND(L109="",J109&lt;&gt;"PARA APROVAÇÃO"),"",""))))</f>
        <v/>
      </c>
      <c r="N109" s="63" t="str">
        <f ca="1">IF(O109="Documento Concluído","Documento Concluído",IF(O109="Cliente - Atendimento de Comentário",IF(TODAY()&lt;=(K109+3),"No prazo","Atrasado"),IF(O109="Cliente - Atendimento de Comentário",IF(TODAY()&lt;=(WORKDAY(K109,3,0)),"No prazo","Atrasado"),IF(O109="Blossom - Emissão Final",IF(TODAY()&lt;=(WORKDAY(L109,3,0)),"No prazo","Atrasado"),IF(O109="Blossom - Atendimento de Comentário",IF(TODAY()&lt;=(WORKDAY(L109,3,0)),"No prazo","Atrasado"),IF(O109="Blossom - Documento a emitir","Documento a Emitir",IF(O109="Documento Removido","Documento Removido","ERRO")))))))</f>
        <v>No prazo</v>
      </c>
      <c r="O109" s="63" t="str">
        <f t="shared" si="12"/>
        <v>Blossom - Atendimento de Comentário</v>
      </c>
      <c r="P109" s="63" t="str">
        <f t="shared" si="13"/>
        <v>Blossom</v>
      </c>
      <c r="Q109" s="63" t="str">
        <f>IF(_xlfn.XLOOKUP(D109,'LD-ELFA'!F:F,'LD-ELFA'!V:V)="","",_xlfn.XLOOKUP(D109,'LD-ELFA'!F:F,'LD-ELFA'!V:V))</f>
        <v>APC-R  - APC-R - Aprovado com Comentários (Retornar para uma nova Aprovação)</v>
      </c>
      <c r="R109" s="40" t="str">
        <f>IFERROR(IF(I109&lt;&gt;"","Documento Emitido",_xlfn.XLOOKUP(D109,Cronograma!P:P,Cronograma!Q:Q)),"Documento Removido")</f>
        <v>Documento Emitido</v>
      </c>
      <c r="S109" s="40" t="str">
        <f t="shared" ca="1" si="14"/>
        <v>Documento Emitido</v>
      </c>
      <c r="T109" s="40" t="str">
        <f>IFERROR(IF(I109&lt;&gt;"","Documento Emitido",_xlfn.XLOOKUP(D109,Cronograma!P:P,Cronograma!R:R)),"Documento Removido")</f>
        <v>Documento Emitido</v>
      </c>
      <c r="U109" s="39" t="str">
        <f t="shared" si="15"/>
        <v>Documento Emitido</v>
      </c>
      <c r="V109" s="39" t="str">
        <f t="shared" si="16"/>
        <v>Documento Emitido</v>
      </c>
      <c r="W109" s="39" t="str">
        <f t="shared" ca="1" si="17"/>
        <v>Emissão Semana</v>
      </c>
    </row>
    <row r="110" spans="1:23" s="60" customFormat="1" ht="28.5" customHeight="1" x14ac:dyDescent="0.2">
      <c r="A110" s="39">
        <v>107</v>
      </c>
      <c r="B110" s="39" t="str">
        <f>_xlfn.XLOOKUP(D110,'LD-ELFA'!F:F,'LD-ELFA'!C:C)</f>
        <v>CC - Concreto</v>
      </c>
      <c r="C110" s="39" t="str">
        <f>_xlfn.XLOOKUP(D110,'LD-ELFA'!F:F,'LD-ELFA'!D:D)</f>
        <v>MCA - Memória De Cálculo</v>
      </c>
      <c r="D110" s="39" t="s">
        <v>757</v>
      </c>
      <c r="E110" s="39" t="str">
        <f>_xlfn.LET(_xlpm.q,_xlfn.XLOOKUP(D110,'LD-ELFA'!F:F,'LD-ELFA'!Q:Q),
   _xlpm.r,_xlfn.XLOOKUP(D110,'LD-ELFA'!F:F,'LD-ELFA'!R:R),
   IF(_xlpm.r = "", _xlpm.q, _xlpm.q &amp; " - " &amp; _xlpm.r))</f>
        <v>MEMÓRIA DE CÁLCULO - FUNDAÇÕES – 2205-ED-001</v>
      </c>
      <c r="F110" s="63" t="str">
        <f t="shared" si="10"/>
        <v>Básico</v>
      </c>
      <c r="G110" s="63">
        <f>_xlfn.XLOOKUP(D110,'LD-ELFA'!F:F,'LD-ELFA'!G:G)</f>
        <v>0</v>
      </c>
      <c r="H110" s="63" t="str">
        <f>_xlfn.XLOOKUP(D110,'LD-ELFA'!F:F,'LD-ELFA'!I:I)</f>
        <v>A</v>
      </c>
      <c r="I110" s="63" t="str">
        <f>IF(_xlfn.XLOOKUP(D110,'LD-ELFA'!F:F,'LD-ELFA'!T:T)="","",_xlfn.XLOOKUP(D110,'LD-ELFA'!F:F,'LD-ELFA'!T:T))</f>
        <v/>
      </c>
      <c r="J110" s="63" t="str">
        <f>IF(K110="Documento a emitir", "",_xlfn.XLOOKUP(D110,'LD-ELFA'!F:F,'LD-ELFA'!N:N))</f>
        <v/>
      </c>
      <c r="K110" s="43" t="str">
        <f>IF(_xlfn.XLOOKUP($D110,'LD-ELFA'!F:F,'LD-ELFA'!U:U)="","Documento a emitir",_xlfn.XLOOKUP($D110,'LD-ELFA'!F:F,'LD-ELFA'!U:U))</f>
        <v>Documento a emitir</v>
      </c>
      <c r="L110" s="43" t="str">
        <f>IF(K110="Documento a emitir","Documento a emitir",IF(K110&lt;&gt;"Documento a emitir",IF(_xlfn.XLOOKUP(D110,'LD-ELFA'!F:F,'LD-ELFA'!W:W)="","",_xlfn.XLOOKUP(D110,'LD-ELFA'!F:F,'LD-ELFA'!W:W)),""))</f>
        <v>Documento a emitir</v>
      </c>
      <c r="M110" s="43" t="str">
        <f>IF(K110="Documento a emitir","",IF(AND(Q110="APC-R  - APC-R - Aprovado com Comentários (Retornar para uma nova Aprovação)",Q110="APC-L  - APC-L  - Aprovado com Comentários (Retornar Aprovado)"),"",IF(OR(_xlfn.XLOOKUP(D110,'LD-ELFA'!F:F,'LD-ELFA'!N:N)="PARA CONHECIMENTO",_xlfn.XLOOKUP(D110,'LD-ELFA'!F:F,'LD-ELFA'!N:N)="PARA CONSTRUÇÃO",_xlfn.XLOOKUP(D110,'LD-ELFA'!F:F,'LD-ELFA'!N:N)="PARA COTAÇÃO",_xlfn.XLOOKUP(D110,'LD-ELFA'!F:F,'LD-ELFA'!N:N)="CANCELADO"),_xlfn.XLOOKUP(D110,'LD-ELFA'!F:F,'LD-ELFA'!U:U),IF(AND(L110="",J110&lt;&gt;"PARA APROVAÇÃO"),"",""))))</f>
        <v/>
      </c>
      <c r="N110" s="63" t="str">
        <f t="shared" ref="N110:N117" ca="1" si="18">IF(O110="Documento Concluído","Documento Concluído",IF(O110="Cliente - Atendimento de Comentário",IF(TODAY()&lt;=(K110+3),"No prazo","Atrasado"),IF(O110="Cliente - Atendimento de Comentário",IF(TODAY()&lt;=(WORKDAY(K110,3,0)),"No prazo","Atrasado"),IF(O110="Blossom - Emissão Final",IF(TODAY()&lt;=(WORKDAY(L110,3,0)),"No prazo","Atrasado"),IF(O110="Blossom - Atendimento de Comentário",IF(TODAY()&lt;=(WORKDAY(L110,3,0)),"No prazo","Atrasado"),IF(O110="Blossom - Documento a emitir","Documento a Emitir","ERRO"))))))</f>
        <v>Documento a Emitir</v>
      </c>
      <c r="O110" s="63" t="str">
        <f t="shared" si="12"/>
        <v>Blossom - Documento a emitir</v>
      </c>
      <c r="P110" s="63" t="str">
        <f t="shared" si="13"/>
        <v>Blossom</v>
      </c>
      <c r="Q110" s="63" t="str">
        <f>IF(_xlfn.XLOOKUP(D110,'LD-ELFA'!F:F,'LD-ELFA'!V:V)="","",_xlfn.XLOOKUP(D110,'LD-ELFA'!F:F,'LD-ELFA'!V:V))</f>
        <v/>
      </c>
      <c r="R110" s="40">
        <f>IFERROR(IF(I110&lt;&gt;"","Documento Emitido",_xlfn.XLOOKUP(D110,Cronograma!P:P,Cronograma!Q:Q)),"Documento Removido")</f>
        <v>46217</v>
      </c>
      <c r="S110" s="40" t="str">
        <f t="shared" ca="1" si="14"/>
        <v>No prazo</v>
      </c>
      <c r="T110" s="40" t="str">
        <f>IFERROR(IF(I110&lt;&gt;"","Documento Emitido",_xlfn.XLOOKUP(D110,Cronograma!P:P,Cronograma!R:R)),"Documento Removido")</f>
        <v>ND</v>
      </c>
      <c r="U110" s="39" t="str">
        <f t="shared" si="15"/>
        <v>No prazo</v>
      </c>
      <c r="V110" s="39" t="str">
        <f t="shared" si="16"/>
        <v>Semana 1</v>
      </c>
      <c r="W110" s="39" t="str">
        <f t="shared" ca="1" si="17"/>
        <v/>
      </c>
    </row>
    <row r="111" spans="1:23" s="60" customFormat="1" ht="28.5" customHeight="1" x14ac:dyDescent="0.2">
      <c r="A111" s="39">
        <v>108</v>
      </c>
      <c r="B111" s="39" t="str">
        <f>_xlfn.XLOOKUP(D111,'LD-ELFA'!F:F,'LD-ELFA'!C:C)</f>
        <v>CC - Concreto</v>
      </c>
      <c r="C111" s="39" t="str">
        <f>_xlfn.XLOOKUP(D111,'LD-ELFA'!F:F,'LD-ELFA'!D:D)</f>
        <v>MDE - Memorial Descritivo</v>
      </c>
      <c r="D111" s="39" t="s">
        <v>114</v>
      </c>
      <c r="E111" s="39" t="str">
        <f>_xlfn.LET(_xlpm.q,_xlfn.XLOOKUP(D111,'LD-ELFA'!F:F,'LD-ELFA'!Q:Q),
   _xlpm.r,_xlfn.XLOOKUP(D111,'LD-ELFA'!F:F,'LD-ELFA'!R:R),
   IF(_xlpm.r = "", _xlpm.q, _xlpm.q &amp; " - " &amp; _xlpm.r))</f>
        <v>MEMORIAL DESCRITIVO - ESTRUTURAS DE CONCRETO E FUNDAÇÕES</v>
      </c>
      <c r="F111" s="63" t="str">
        <f t="shared" si="10"/>
        <v>Básico</v>
      </c>
      <c r="G111" s="63">
        <f>_xlfn.XLOOKUP(D111,'LD-ELFA'!F:F,'LD-ELFA'!G:G)</f>
        <v>0</v>
      </c>
      <c r="H111" s="63">
        <f>_xlfn.XLOOKUP(D111,'LD-ELFA'!F:F,'LD-ELFA'!I:I)</f>
        <v>0</v>
      </c>
      <c r="I111" s="63" t="str">
        <f>IF(_xlfn.XLOOKUP(D111,'LD-ELFA'!F:F,'LD-ELFA'!T:T)="","",_xlfn.XLOOKUP(D111,'LD-ELFA'!F:F,'LD-ELFA'!T:T))</f>
        <v/>
      </c>
      <c r="J111" s="63" t="str">
        <f>IF(K111="Documento a emitir", "",_xlfn.XLOOKUP(D111,'LD-ELFA'!F:F,'LD-ELFA'!N:N))</f>
        <v/>
      </c>
      <c r="K111" s="43" t="str">
        <f>IF(_xlfn.XLOOKUP($D111,'LD-ELFA'!F:F,'LD-ELFA'!U:U)="","Documento a emitir",_xlfn.XLOOKUP($D111,'LD-ELFA'!F:F,'LD-ELFA'!U:U))</f>
        <v>Documento a emitir</v>
      </c>
      <c r="L111" s="43" t="str">
        <f>IF(K111="Documento a emitir","Documento a emitir",IF(K111&lt;&gt;"Documento a emitir",IF(_xlfn.XLOOKUP(D111,'LD-ELFA'!F:F,'LD-ELFA'!W:W)="","",_xlfn.XLOOKUP(D111,'LD-ELFA'!F:F,'LD-ELFA'!W:W)),""))</f>
        <v>Documento a emitir</v>
      </c>
      <c r="M111" s="43" t="str">
        <f>IF(K111="Documento a emitir","",IF(AND(Q111="APC-R  - APC-R - Aprovado com Comentários (Retornar para uma nova Aprovação)",Q111="APC-L  - APC-L  - Aprovado com Comentários (Retornar Aprovado)"),"",IF(OR(_xlfn.XLOOKUP(D111,'LD-ELFA'!F:F,'LD-ELFA'!N:N)="PARA CONHECIMENTO",_xlfn.XLOOKUP(D111,'LD-ELFA'!F:F,'LD-ELFA'!N:N)="PARA CONSTRUÇÃO",_xlfn.XLOOKUP(D111,'LD-ELFA'!F:F,'LD-ELFA'!N:N)="PARA COTAÇÃO",_xlfn.XLOOKUP(D111,'LD-ELFA'!F:F,'LD-ELFA'!N:N)="CANCELADO"),_xlfn.XLOOKUP(D111,'LD-ELFA'!F:F,'LD-ELFA'!U:U),IF(AND(L111="",J111&lt;&gt;"PARA APROVAÇÃO"),"",""))))</f>
        <v/>
      </c>
      <c r="N111" s="63" t="str">
        <f t="shared" ca="1" si="18"/>
        <v>Documento a Emitir</v>
      </c>
      <c r="O111" s="63" t="str">
        <f t="shared" si="12"/>
        <v>Blossom - Documento a emitir</v>
      </c>
      <c r="P111" s="63" t="str">
        <f t="shared" si="13"/>
        <v>Blossom</v>
      </c>
      <c r="Q111" s="63" t="str">
        <f>IF(_xlfn.XLOOKUP(D111,'LD-ELFA'!F:F,'LD-ELFA'!V:V)="","",_xlfn.XLOOKUP(D111,'LD-ELFA'!F:F,'LD-ELFA'!V:V))</f>
        <v/>
      </c>
      <c r="R111" s="40">
        <f>IFERROR(IF(I111&lt;&gt;"","Documento Emitido",_xlfn.XLOOKUP(D111,Cronograma!P:P,Cronograma!Q:Q)),"Documento Removido")</f>
        <v>46267</v>
      </c>
      <c r="S111" s="40" t="str">
        <f t="shared" ca="1" si="14"/>
        <v>No prazo</v>
      </c>
      <c r="T111" s="40">
        <f>IFERROR(IF(I111&lt;&gt;"","Documento Emitido",_xlfn.XLOOKUP(D111,Cronograma!P:P,Cronograma!R:R)),"Documento Removido")</f>
        <v>46252</v>
      </c>
      <c r="U111" s="39" t="str">
        <f t="shared" si="15"/>
        <v>Emissão Atrasada</v>
      </c>
      <c r="V111" s="39" t="str">
        <f t="shared" si="16"/>
        <v/>
      </c>
      <c r="W111" s="39" t="str">
        <f t="shared" ca="1" si="17"/>
        <v/>
      </c>
    </row>
    <row r="112" spans="1:23" s="60" customFormat="1" ht="28.5" customHeight="1" x14ac:dyDescent="0.2">
      <c r="A112" s="39">
        <v>109</v>
      </c>
      <c r="B112" s="39" t="str">
        <f>_xlfn.XLOOKUP(D112,'LD-ELFA'!F:F,'LD-ELFA'!C:C)</f>
        <v>CC - Concreto</v>
      </c>
      <c r="C112" s="39" t="str">
        <f>_xlfn.XLOOKUP(D112,'LD-ELFA'!F:F,'LD-ELFA'!D:D)</f>
        <v>PQU - Planilha De Quantitativos</v>
      </c>
      <c r="D112" s="39" t="s">
        <v>115</v>
      </c>
      <c r="E112" s="39" t="str">
        <f>_xlfn.LET(_xlpm.q,_xlfn.XLOOKUP(D112,'LD-ELFA'!F:F,'LD-ELFA'!Q:Q),
   _xlpm.r,_xlfn.XLOOKUP(D112,'LD-ELFA'!F:F,'LD-ELFA'!R:R),
   IF(_xlpm.r = "", _xlpm.q, _xlpm.q &amp; " - " &amp; _xlpm.r))</f>
        <v>PLANILHA DE QUANTIDADES - ESTRUTURAS DE CONCRETO E FUNDAÇÕES</v>
      </c>
      <c r="F112" s="63" t="str">
        <f t="shared" si="10"/>
        <v>Básico</v>
      </c>
      <c r="G112" s="63">
        <f>_xlfn.XLOOKUP(D112,'LD-ELFA'!F:F,'LD-ELFA'!G:G)</f>
        <v>0</v>
      </c>
      <c r="H112" s="63">
        <f>_xlfn.XLOOKUP(D112,'LD-ELFA'!F:F,'LD-ELFA'!I:I)</f>
        <v>0</v>
      </c>
      <c r="I112" s="63" t="str">
        <f>IF(_xlfn.XLOOKUP(D112,'LD-ELFA'!F:F,'LD-ELFA'!T:T)="","",_xlfn.XLOOKUP(D112,'LD-ELFA'!F:F,'LD-ELFA'!T:T))</f>
        <v/>
      </c>
      <c r="J112" s="63" t="str">
        <f>IF(K112="Documento a emitir", "",_xlfn.XLOOKUP(D112,'LD-ELFA'!F:F,'LD-ELFA'!N:N))</f>
        <v/>
      </c>
      <c r="K112" s="43" t="str">
        <f>IF(_xlfn.XLOOKUP($D112,'LD-ELFA'!F:F,'LD-ELFA'!U:U)="","Documento a emitir",_xlfn.XLOOKUP($D112,'LD-ELFA'!F:F,'LD-ELFA'!U:U))</f>
        <v>Documento a emitir</v>
      </c>
      <c r="L112" s="43" t="str">
        <f>IF(K112="Documento a emitir","Documento a emitir",IF(K112&lt;&gt;"Documento a emitir",IF(_xlfn.XLOOKUP(D112,'LD-ELFA'!F:F,'LD-ELFA'!W:W)="","",_xlfn.XLOOKUP(D112,'LD-ELFA'!F:F,'LD-ELFA'!W:W)),""))</f>
        <v>Documento a emitir</v>
      </c>
      <c r="M112" s="43" t="str">
        <f>IF(K112="Documento a emitir","",IF(AND(Q112="APC-R  - APC-R - Aprovado com Comentários (Retornar para uma nova Aprovação)",Q112="APC-L  - APC-L  - Aprovado com Comentários (Retornar Aprovado)"),"",IF(OR(_xlfn.XLOOKUP(D112,'LD-ELFA'!F:F,'LD-ELFA'!N:N)="PARA CONHECIMENTO",_xlfn.XLOOKUP(D112,'LD-ELFA'!F:F,'LD-ELFA'!N:N)="PARA CONSTRUÇÃO",_xlfn.XLOOKUP(D112,'LD-ELFA'!F:F,'LD-ELFA'!N:N)="PARA COTAÇÃO",_xlfn.XLOOKUP(D112,'LD-ELFA'!F:F,'LD-ELFA'!N:N)="CANCELADO"),_xlfn.XLOOKUP(D112,'LD-ELFA'!F:F,'LD-ELFA'!U:U),IF(AND(L112="",J112&lt;&gt;"PARA APROVAÇÃO"),"",""))))</f>
        <v/>
      </c>
      <c r="N112" s="63" t="str">
        <f t="shared" ca="1" si="18"/>
        <v>Documento a Emitir</v>
      </c>
      <c r="O112" s="63" t="str">
        <f t="shared" si="12"/>
        <v>Blossom - Documento a emitir</v>
      </c>
      <c r="P112" s="63" t="str">
        <f t="shared" si="13"/>
        <v>Blossom</v>
      </c>
      <c r="Q112" s="63" t="str">
        <f>IF(_xlfn.XLOOKUP(D112,'LD-ELFA'!F:F,'LD-ELFA'!V:V)="","",_xlfn.XLOOKUP(D112,'LD-ELFA'!F:F,'LD-ELFA'!V:V))</f>
        <v/>
      </c>
      <c r="R112" s="40">
        <f>IFERROR(IF(I112&lt;&gt;"","Documento Emitido",_xlfn.XLOOKUP(D112,Cronograma!P:P,Cronograma!Q:Q)),"Documento Removido")</f>
        <v>46262</v>
      </c>
      <c r="S112" s="40" t="str">
        <f t="shared" ca="1" si="14"/>
        <v>No prazo</v>
      </c>
      <c r="T112" s="40">
        <f>IFERROR(IF(I112&lt;&gt;"","Documento Emitido",_xlfn.XLOOKUP(D112,Cronograma!P:P,Cronograma!R:R)),"Documento Removido")</f>
        <v>46247</v>
      </c>
      <c r="U112" s="39" t="str">
        <f t="shared" si="15"/>
        <v>Emissão Atrasada</v>
      </c>
      <c r="V112" s="39" t="str">
        <f t="shared" si="16"/>
        <v/>
      </c>
      <c r="W112" s="39" t="str">
        <f t="shared" ca="1" si="17"/>
        <v/>
      </c>
    </row>
    <row r="113" spans="1:23" s="60" customFormat="1" ht="28.5" customHeight="1" x14ac:dyDescent="0.2">
      <c r="A113" s="39">
        <v>110</v>
      </c>
      <c r="B113" s="39" t="str">
        <f>_xlfn.XLOOKUP(D113,'LD-ELFA'!F:F,'LD-ELFA'!C:C)</f>
        <v>CC - Concreto</v>
      </c>
      <c r="C113" s="39" t="str">
        <f>_xlfn.XLOOKUP(D113,'LD-ELFA'!F:F,'LD-ELFA'!D:D)</f>
        <v>PQU - Planilha De Quantitativos</v>
      </c>
      <c r="D113" s="39" t="s">
        <v>116</v>
      </c>
      <c r="E113" s="39" t="str">
        <f>_xlfn.LET(_xlpm.q,_xlfn.XLOOKUP(D113,'LD-ELFA'!F:F,'LD-ELFA'!Q:Q),
   _xlpm.r,_xlfn.XLOOKUP(D113,'LD-ELFA'!F:F,'LD-ELFA'!R:R),
   IF(_xlpm.r = "", _xlpm.q, _xlpm.q &amp; " - " &amp; _xlpm.r))</f>
        <v>PLANILHA DE QUANTIDADES - PACOTE DE OBRAS CIVIS</v>
      </c>
      <c r="F113" s="63" t="str">
        <f t="shared" si="10"/>
        <v>Básico</v>
      </c>
      <c r="G113" s="63">
        <f>_xlfn.XLOOKUP(D113,'LD-ELFA'!F:F,'LD-ELFA'!G:G)</f>
        <v>0</v>
      </c>
      <c r="H113" s="63">
        <f>_xlfn.XLOOKUP(D113,'LD-ELFA'!F:F,'LD-ELFA'!I:I)</f>
        <v>0</v>
      </c>
      <c r="I113" s="63" t="str">
        <f>IF(_xlfn.XLOOKUP(D113,'LD-ELFA'!F:F,'LD-ELFA'!T:T)="","",_xlfn.XLOOKUP(D113,'LD-ELFA'!F:F,'LD-ELFA'!T:T))</f>
        <v/>
      </c>
      <c r="J113" s="63" t="str">
        <f>IF(K113="Documento a emitir", "",_xlfn.XLOOKUP(D113,'LD-ELFA'!F:F,'LD-ELFA'!N:N))</f>
        <v/>
      </c>
      <c r="K113" s="43" t="str">
        <f>IF(_xlfn.XLOOKUP($D113,'LD-ELFA'!F:F,'LD-ELFA'!U:U)="","Documento a emitir",_xlfn.XLOOKUP($D113,'LD-ELFA'!F:F,'LD-ELFA'!U:U))</f>
        <v>Documento a emitir</v>
      </c>
      <c r="L113" s="43" t="str">
        <f>IF(K113="Documento a emitir","Documento a emitir",IF(K113&lt;&gt;"Documento a emitir",IF(_xlfn.XLOOKUP(D113,'LD-ELFA'!F:F,'LD-ELFA'!W:W)="","",_xlfn.XLOOKUP(D113,'LD-ELFA'!F:F,'LD-ELFA'!W:W)),""))</f>
        <v>Documento a emitir</v>
      </c>
      <c r="M113" s="43" t="str">
        <f>IF(K113="Documento a emitir","",IF(AND(Q113="APC-R  - APC-R - Aprovado com Comentários (Retornar para uma nova Aprovação)",Q113="APC-L  - APC-L  - Aprovado com Comentários (Retornar Aprovado)"),"",IF(OR(_xlfn.XLOOKUP(D113,'LD-ELFA'!F:F,'LD-ELFA'!N:N)="PARA CONHECIMENTO",_xlfn.XLOOKUP(D113,'LD-ELFA'!F:F,'LD-ELFA'!N:N)="PARA CONSTRUÇÃO",_xlfn.XLOOKUP(D113,'LD-ELFA'!F:F,'LD-ELFA'!N:N)="PARA COTAÇÃO",_xlfn.XLOOKUP(D113,'LD-ELFA'!F:F,'LD-ELFA'!N:N)="CANCELADO"),_xlfn.XLOOKUP(D113,'LD-ELFA'!F:F,'LD-ELFA'!U:U),IF(AND(L113="",J113&lt;&gt;"PARA APROVAÇÃO"),"",""))))</f>
        <v/>
      </c>
      <c r="N113" s="63" t="str">
        <f t="shared" ca="1" si="18"/>
        <v>Documento a Emitir</v>
      </c>
      <c r="O113" s="63" t="str">
        <f t="shared" si="12"/>
        <v>Blossom - Documento a emitir</v>
      </c>
      <c r="P113" s="63" t="str">
        <f t="shared" si="13"/>
        <v>Blossom</v>
      </c>
      <c r="Q113" s="63" t="str">
        <f>IF(_xlfn.XLOOKUP(D113,'LD-ELFA'!F:F,'LD-ELFA'!V:V)="","",_xlfn.XLOOKUP(D113,'LD-ELFA'!F:F,'LD-ELFA'!V:V))</f>
        <v/>
      </c>
      <c r="R113" s="40">
        <f>IFERROR(IF(I113&lt;&gt;"","Documento Emitido",_xlfn.XLOOKUP(D113,Cronograma!P:P,Cronograma!Q:Q)),"Documento Removido")</f>
        <v>46266</v>
      </c>
      <c r="S113" s="40" t="str">
        <f t="shared" ca="1" si="14"/>
        <v>No prazo</v>
      </c>
      <c r="T113" s="40">
        <f>IFERROR(IF(I113&lt;&gt;"","Documento Emitido",_xlfn.XLOOKUP(D113,Cronograma!P:P,Cronograma!R:R)),"Documento Removido")</f>
        <v>46251</v>
      </c>
      <c r="U113" s="39" t="str">
        <f t="shared" si="15"/>
        <v>Emissão Atrasada</v>
      </c>
      <c r="V113" s="39" t="str">
        <f t="shared" si="16"/>
        <v/>
      </c>
      <c r="W113" s="39" t="str">
        <f t="shared" ca="1" si="17"/>
        <v/>
      </c>
    </row>
    <row r="114" spans="1:23" s="60" customFormat="1" ht="28.5" customHeight="1" x14ac:dyDescent="0.2">
      <c r="A114" s="39">
        <v>111</v>
      </c>
      <c r="B114" s="39" t="str">
        <f>_xlfn.XLOOKUP(D114,'LD-ELFA'!F:F,'LD-ELFA'!C:C)</f>
        <v>CI - Infraestrutura</v>
      </c>
      <c r="C114" s="39" t="str">
        <f>_xlfn.XLOOKUP(D114,'LD-ELFA'!F:F,'LD-ELFA'!D:D)</f>
        <v>DBA - Desenho Básico</v>
      </c>
      <c r="D114" s="39" t="s">
        <v>117</v>
      </c>
      <c r="E114" s="39" t="str">
        <f>_xlfn.LET(_xlpm.q,_xlfn.XLOOKUP(D114,'LD-ELFA'!F:F,'LD-ELFA'!Q:Q),
   _xlpm.r,_xlfn.XLOOKUP(D114,'LD-ELFA'!F:F,'LD-ELFA'!R:R),
   IF(_xlpm.r = "", _xlpm.q, _xlpm.q &amp; " - " &amp; _xlpm.r))</f>
        <v>PROJETO DE TERRAPLENAGEM - PLANTA E CORTES</v>
      </c>
      <c r="F114" s="63" t="str">
        <f t="shared" si="10"/>
        <v>Básico</v>
      </c>
      <c r="G114" s="63">
        <f>_xlfn.XLOOKUP(D114,'LD-ELFA'!F:F,'LD-ELFA'!G:G)</f>
        <v>0</v>
      </c>
      <c r="H114" s="63" t="str">
        <f>_xlfn.XLOOKUP(D114,'LD-ELFA'!F:F,'LD-ELFA'!I:I)</f>
        <v>A</v>
      </c>
      <c r="I114" s="63" t="str">
        <f>IF(_xlfn.XLOOKUP(D114,'LD-ELFA'!F:F,'LD-ELFA'!T:T)="","",_xlfn.XLOOKUP(D114,'LD-ELFA'!F:F,'LD-ELFA'!T:T))</f>
        <v/>
      </c>
      <c r="J114" s="63" t="str">
        <f>IF(K114="Documento a emitir", "",_xlfn.XLOOKUP(D114,'LD-ELFA'!F:F,'LD-ELFA'!N:N))</f>
        <v/>
      </c>
      <c r="K114" s="43" t="str">
        <f>IF(_xlfn.XLOOKUP($D114,'LD-ELFA'!F:F,'LD-ELFA'!U:U)="","Documento a emitir",_xlfn.XLOOKUP($D114,'LD-ELFA'!F:F,'LD-ELFA'!U:U))</f>
        <v>Documento a emitir</v>
      </c>
      <c r="L114" s="43" t="str">
        <f>IF(K114="Documento a emitir","Documento a emitir",IF(K114&lt;&gt;"Documento a emitir",IF(_xlfn.XLOOKUP(D114,'LD-ELFA'!F:F,'LD-ELFA'!W:W)="","",_xlfn.XLOOKUP(D114,'LD-ELFA'!F:F,'LD-ELFA'!W:W)),""))</f>
        <v>Documento a emitir</v>
      </c>
      <c r="M114" s="43" t="str">
        <f>IF(K114="Documento a emitir","",IF(AND(Q114="APC-R  - APC-R - Aprovado com Comentários (Retornar para uma nova Aprovação)",Q114="APC-L  - APC-L  - Aprovado com Comentários (Retornar Aprovado)"),"",IF(OR(_xlfn.XLOOKUP(D114,'LD-ELFA'!F:F,'LD-ELFA'!N:N)="PARA CONHECIMENTO",_xlfn.XLOOKUP(D114,'LD-ELFA'!F:F,'LD-ELFA'!N:N)="PARA CONSTRUÇÃO",_xlfn.XLOOKUP(D114,'LD-ELFA'!F:F,'LD-ELFA'!N:N)="PARA COTAÇÃO",_xlfn.XLOOKUP(D114,'LD-ELFA'!F:F,'LD-ELFA'!N:N)="CANCELADO"),_xlfn.XLOOKUP(D114,'LD-ELFA'!F:F,'LD-ELFA'!U:U),IF(AND(L114="",J114&lt;&gt;"PARA APROVAÇÃO"),"",""))))</f>
        <v/>
      </c>
      <c r="N114" s="63" t="str">
        <f t="shared" ca="1" si="18"/>
        <v>Documento a Emitir</v>
      </c>
      <c r="O114" s="63" t="str">
        <f t="shared" si="12"/>
        <v>Blossom - Documento a emitir</v>
      </c>
      <c r="P114" s="63" t="str">
        <f t="shared" si="13"/>
        <v>Blossom</v>
      </c>
      <c r="Q114" s="63" t="str">
        <f>IF(_xlfn.XLOOKUP(D114,'LD-ELFA'!F:F,'LD-ELFA'!V:V)="","",_xlfn.XLOOKUP(D114,'LD-ELFA'!F:F,'LD-ELFA'!V:V))</f>
        <v/>
      </c>
      <c r="R114" s="40">
        <f>IFERROR(IF(I114&lt;&gt;"","Documento Emitido",_xlfn.XLOOKUP(D114,Cronograma!P:P,Cronograma!Q:Q)),"Documento Removido")</f>
        <v>46220</v>
      </c>
      <c r="S114" s="40" t="str">
        <f t="shared" ca="1" si="14"/>
        <v>No prazo</v>
      </c>
      <c r="T114" s="40">
        <f>IFERROR(IF(I114&lt;&gt;"","Documento Emitido",_xlfn.XLOOKUP(D114,Cronograma!P:P,Cronograma!R:R)),"Documento Removido")</f>
        <v>46203</v>
      </c>
      <c r="U114" s="39" t="str">
        <f t="shared" si="15"/>
        <v>Emissão Atrasada</v>
      </c>
      <c r="V114" s="39" t="str">
        <f t="shared" si="16"/>
        <v>Semana 1</v>
      </c>
      <c r="W114" s="39" t="str">
        <f t="shared" ca="1" si="17"/>
        <v/>
      </c>
    </row>
    <row r="115" spans="1:23" s="60" customFormat="1" ht="28.5" customHeight="1" x14ac:dyDescent="0.2">
      <c r="A115" s="39">
        <v>112</v>
      </c>
      <c r="B115" s="39" t="str">
        <f>_xlfn.XLOOKUP(D115,'LD-ELFA'!F:F,'LD-ELFA'!C:C)</f>
        <v>CI - Infraestrutura</v>
      </c>
      <c r="C115" s="39" t="str">
        <f>_xlfn.XLOOKUP(D115,'LD-ELFA'!F:F,'LD-ELFA'!D:D)</f>
        <v>DBA - Desenho Básico</v>
      </c>
      <c r="D115" s="39" t="s">
        <v>118</v>
      </c>
      <c r="E115" s="39" t="str">
        <f>_xlfn.LET(_xlpm.q,_xlfn.XLOOKUP(D115,'LD-ELFA'!F:F,'LD-ELFA'!Q:Q),
   _xlpm.r,_xlfn.XLOOKUP(D115,'LD-ELFA'!F:F,'LD-ELFA'!R:R),
   IF(_xlpm.r = "", _xlpm.q, _xlpm.q &amp; " - " &amp; _xlpm.r))</f>
        <v>PROJETO GEOMÉTRICO - ACESSO - PLANTA E PERFIL</v>
      </c>
      <c r="F115" s="63" t="str">
        <f t="shared" si="10"/>
        <v>Básico</v>
      </c>
      <c r="G115" s="63">
        <f>_xlfn.XLOOKUP(D115,'LD-ELFA'!F:F,'LD-ELFA'!G:G)</f>
        <v>0</v>
      </c>
      <c r="H115" s="63" t="str">
        <f>_xlfn.XLOOKUP(D115,'LD-ELFA'!F:F,'LD-ELFA'!I:I)</f>
        <v>A</v>
      </c>
      <c r="I115" s="63" t="str">
        <f>IF(_xlfn.XLOOKUP(D115,'LD-ELFA'!F:F,'LD-ELFA'!T:T)="","",_xlfn.XLOOKUP(D115,'LD-ELFA'!F:F,'LD-ELFA'!T:T))</f>
        <v/>
      </c>
      <c r="J115" s="63" t="str">
        <f>IF(K115="Documento a emitir", "",_xlfn.XLOOKUP(D115,'LD-ELFA'!F:F,'LD-ELFA'!N:N))</f>
        <v/>
      </c>
      <c r="K115" s="43" t="str">
        <f>IF(_xlfn.XLOOKUP($D115,'LD-ELFA'!F:F,'LD-ELFA'!U:U)="","Documento a emitir",_xlfn.XLOOKUP($D115,'LD-ELFA'!F:F,'LD-ELFA'!U:U))</f>
        <v>Documento a emitir</v>
      </c>
      <c r="L115" s="43" t="str">
        <f>IF(K115="Documento a emitir","Documento a emitir",IF(K115&lt;&gt;"Documento a emitir",IF(_xlfn.XLOOKUP(D115,'LD-ELFA'!F:F,'LD-ELFA'!W:W)="","",_xlfn.XLOOKUP(D115,'LD-ELFA'!F:F,'LD-ELFA'!W:W)),""))</f>
        <v>Documento a emitir</v>
      </c>
      <c r="M115" s="43" t="str">
        <f>IF(K115="Documento a emitir","",IF(AND(Q115="APC-R  - APC-R - Aprovado com Comentários (Retornar para uma nova Aprovação)",Q115="APC-L  - APC-L  - Aprovado com Comentários (Retornar Aprovado)"),"",IF(OR(_xlfn.XLOOKUP(D115,'LD-ELFA'!F:F,'LD-ELFA'!N:N)="PARA CONHECIMENTO",_xlfn.XLOOKUP(D115,'LD-ELFA'!F:F,'LD-ELFA'!N:N)="PARA CONSTRUÇÃO",_xlfn.XLOOKUP(D115,'LD-ELFA'!F:F,'LD-ELFA'!N:N)="PARA COTAÇÃO",_xlfn.XLOOKUP(D115,'LD-ELFA'!F:F,'LD-ELFA'!N:N)="CANCELADO"),_xlfn.XLOOKUP(D115,'LD-ELFA'!F:F,'LD-ELFA'!U:U),IF(AND(L115="",J115&lt;&gt;"PARA APROVAÇÃO"),"",""))))</f>
        <v/>
      </c>
      <c r="N115" s="63" t="str">
        <f t="shared" ca="1" si="18"/>
        <v>Documento a Emitir</v>
      </c>
      <c r="O115" s="63" t="str">
        <f t="shared" si="12"/>
        <v>Blossom - Documento a emitir</v>
      </c>
      <c r="P115" s="63" t="str">
        <f t="shared" si="13"/>
        <v>Blossom</v>
      </c>
      <c r="Q115" s="63" t="str">
        <f>IF(_xlfn.XLOOKUP(D115,'LD-ELFA'!F:F,'LD-ELFA'!V:V)="","",_xlfn.XLOOKUP(D115,'LD-ELFA'!F:F,'LD-ELFA'!V:V))</f>
        <v/>
      </c>
      <c r="R115" s="40">
        <f>IFERROR(IF(I115&lt;&gt;"","Documento Emitido",_xlfn.XLOOKUP(D115,Cronograma!P:P,Cronograma!Q:Q)),"Documento Removido")</f>
        <v>46220</v>
      </c>
      <c r="S115" s="40" t="str">
        <f t="shared" ca="1" si="14"/>
        <v>No prazo</v>
      </c>
      <c r="T115" s="40">
        <f>IFERROR(IF(I115&lt;&gt;"","Documento Emitido",_xlfn.XLOOKUP(D115,Cronograma!P:P,Cronograma!R:R)),"Documento Removido")</f>
        <v>46205</v>
      </c>
      <c r="U115" s="39" t="str">
        <f t="shared" si="15"/>
        <v>Emissão Atrasada</v>
      </c>
      <c r="V115" s="39" t="str">
        <f t="shared" si="16"/>
        <v>Semana 1</v>
      </c>
      <c r="W115" s="39" t="str">
        <f t="shared" ca="1" si="17"/>
        <v/>
      </c>
    </row>
    <row r="116" spans="1:23" s="60" customFormat="1" ht="28.5" customHeight="1" x14ac:dyDescent="0.2">
      <c r="A116" s="39">
        <v>113</v>
      </c>
      <c r="B116" s="39" t="str">
        <f>_xlfn.XLOOKUP(D116,'LD-ELFA'!F:F,'LD-ELFA'!C:C)</f>
        <v>CI - Infraestrutura</v>
      </c>
      <c r="C116" s="39" t="str">
        <f>_xlfn.XLOOKUP(D116,'LD-ELFA'!F:F,'LD-ELFA'!D:D)</f>
        <v>MCA - Memória De Cálculo</v>
      </c>
      <c r="D116" s="39" t="s">
        <v>119</v>
      </c>
      <c r="E116" s="39" t="str">
        <f>_xlfn.LET(_xlpm.q,_xlfn.XLOOKUP(D116,'LD-ELFA'!F:F,'LD-ELFA'!Q:Q),
   _xlpm.r,_xlfn.XLOOKUP(D116,'LD-ELFA'!F:F,'LD-ELFA'!R:R),
   IF(_xlpm.r = "", _xlpm.q, _xlpm.q &amp; " - " &amp; _xlpm.r))</f>
        <v>MEMÓRIA DE CÁLCULO DE TERRAPLENAGEM - INFRAESTRUTURA</v>
      </c>
      <c r="F116" s="63" t="str">
        <f t="shared" si="10"/>
        <v>Básico</v>
      </c>
      <c r="G116" s="63">
        <f>_xlfn.XLOOKUP(D116,'LD-ELFA'!F:F,'LD-ELFA'!G:G)</f>
        <v>0</v>
      </c>
      <c r="H116" s="63">
        <f>_xlfn.XLOOKUP(D116,'LD-ELFA'!F:F,'LD-ELFA'!I:I)</f>
        <v>0</v>
      </c>
      <c r="I116" s="63" t="str">
        <f>IF(_xlfn.XLOOKUP(D116,'LD-ELFA'!F:F,'LD-ELFA'!T:T)="","",_xlfn.XLOOKUP(D116,'LD-ELFA'!F:F,'LD-ELFA'!T:T))</f>
        <v/>
      </c>
      <c r="J116" s="63" t="str">
        <f>IF(K116="Documento a emitir", "",_xlfn.XLOOKUP(D116,'LD-ELFA'!F:F,'LD-ELFA'!N:N))</f>
        <v/>
      </c>
      <c r="K116" s="43" t="str">
        <f>IF(_xlfn.XLOOKUP($D116,'LD-ELFA'!F:F,'LD-ELFA'!U:U)="","Documento a emitir",_xlfn.XLOOKUP($D116,'LD-ELFA'!F:F,'LD-ELFA'!U:U))</f>
        <v>Documento a emitir</v>
      </c>
      <c r="L116" s="43" t="str">
        <f>IF(K116="Documento a emitir","Documento a emitir",IF(K116&lt;&gt;"Documento a emitir",IF(_xlfn.XLOOKUP(D116,'LD-ELFA'!F:F,'LD-ELFA'!W:W)="","",_xlfn.XLOOKUP(D116,'LD-ELFA'!F:F,'LD-ELFA'!W:W)),""))</f>
        <v>Documento a emitir</v>
      </c>
      <c r="M116" s="43" t="str">
        <f>IF(K116="Documento a emitir","",IF(AND(Q116="APC-R  - APC-R - Aprovado com Comentários (Retornar para uma nova Aprovação)",Q116="APC-L  - APC-L  - Aprovado com Comentários (Retornar Aprovado)"),"",IF(OR(_xlfn.XLOOKUP(D116,'LD-ELFA'!F:F,'LD-ELFA'!N:N)="PARA CONHECIMENTO",_xlfn.XLOOKUP(D116,'LD-ELFA'!F:F,'LD-ELFA'!N:N)="PARA CONSTRUÇÃO",_xlfn.XLOOKUP(D116,'LD-ELFA'!F:F,'LD-ELFA'!N:N)="PARA COTAÇÃO",_xlfn.XLOOKUP(D116,'LD-ELFA'!F:F,'LD-ELFA'!N:N)="CANCELADO"),_xlfn.XLOOKUP(D116,'LD-ELFA'!F:F,'LD-ELFA'!U:U),IF(AND(L116="",J116&lt;&gt;"PARA APROVAÇÃO"),"",""))))</f>
        <v/>
      </c>
      <c r="N116" s="63" t="str">
        <f t="shared" ca="1" si="18"/>
        <v>Documento a Emitir</v>
      </c>
      <c r="O116" s="63" t="str">
        <f t="shared" si="12"/>
        <v>Blossom - Documento a emitir</v>
      </c>
      <c r="P116" s="63" t="str">
        <f t="shared" si="13"/>
        <v>Blossom</v>
      </c>
      <c r="Q116" s="63" t="str">
        <f>IF(_xlfn.XLOOKUP(D116,'LD-ELFA'!F:F,'LD-ELFA'!V:V)="","",_xlfn.XLOOKUP(D116,'LD-ELFA'!F:F,'LD-ELFA'!V:V))</f>
        <v/>
      </c>
      <c r="R116" s="40">
        <f>IFERROR(IF(I116&lt;&gt;"","Documento Emitido",_xlfn.XLOOKUP(D116,Cronograma!P:P,Cronograma!Q:Q)),"Documento Removido")</f>
        <v>46234</v>
      </c>
      <c r="S116" s="40" t="str">
        <f t="shared" ca="1" si="14"/>
        <v>No prazo</v>
      </c>
      <c r="T116" s="40">
        <f>IFERROR(IF(I116&lt;&gt;"","Documento Emitido",_xlfn.XLOOKUP(D116,Cronograma!P:P,Cronograma!R:R)),"Documento Removido")</f>
        <v>46219</v>
      </c>
      <c r="U116" s="39" t="str">
        <f t="shared" si="15"/>
        <v>Emissão Atrasada</v>
      </c>
      <c r="V116" s="39" t="str">
        <f t="shared" si="16"/>
        <v>Semana 3</v>
      </c>
      <c r="W116" s="39" t="str">
        <f t="shared" ca="1" si="17"/>
        <v/>
      </c>
    </row>
    <row r="117" spans="1:23" s="60" customFormat="1" ht="28.5" customHeight="1" x14ac:dyDescent="0.2">
      <c r="A117" s="39">
        <v>114</v>
      </c>
      <c r="B117" s="39" t="str">
        <f>_xlfn.XLOOKUP(D117,'LD-ELFA'!F:F,'LD-ELFA'!C:C)</f>
        <v>CI - Infraestrutura</v>
      </c>
      <c r="C117" s="39" t="str">
        <f>_xlfn.XLOOKUP(D117,'LD-ELFA'!F:F,'LD-ELFA'!D:D)</f>
        <v>MCA - Memória De Cálculo</v>
      </c>
      <c r="D117" s="39" t="s">
        <v>120</v>
      </c>
      <c r="E117" s="39" t="str">
        <f>_xlfn.LET(_xlpm.q,_xlfn.XLOOKUP(D117,'LD-ELFA'!F:F,'LD-ELFA'!Q:Q),
   _xlpm.r,_xlfn.XLOOKUP(D117,'LD-ELFA'!F:F,'LD-ELFA'!R:R),
   IF(_xlpm.r = "", _xlpm.q, _xlpm.q &amp; " - " &amp; _xlpm.r))</f>
        <v>MEMÓRIA DE CÁLCULO DE DRENAGEM - INFRAESTRUTURA</v>
      </c>
      <c r="F117" s="63" t="str">
        <f t="shared" si="10"/>
        <v>Básico</v>
      </c>
      <c r="G117" s="63">
        <f>_xlfn.XLOOKUP(D117,'LD-ELFA'!F:F,'LD-ELFA'!G:G)</f>
        <v>0</v>
      </c>
      <c r="H117" s="63">
        <f>_xlfn.XLOOKUP(D117,'LD-ELFA'!F:F,'LD-ELFA'!I:I)</f>
        <v>0</v>
      </c>
      <c r="I117" s="63" t="str">
        <f>IF(_xlfn.XLOOKUP(D117,'LD-ELFA'!F:F,'LD-ELFA'!T:T)="","",_xlfn.XLOOKUP(D117,'LD-ELFA'!F:F,'LD-ELFA'!T:T))</f>
        <v/>
      </c>
      <c r="J117" s="63" t="str">
        <f>IF(K117="Documento a emitir", "",_xlfn.XLOOKUP(D117,'LD-ELFA'!F:F,'LD-ELFA'!N:N))</f>
        <v/>
      </c>
      <c r="K117" s="43" t="str">
        <f>IF(_xlfn.XLOOKUP($D117,'LD-ELFA'!F:F,'LD-ELFA'!U:U)="","Documento a emitir",_xlfn.XLOOKUP($D117,'LD-ELFA'!F:F,'LD-ELFA'!U:U))</f>
        <v>Documento a emitir</v>
      </c>
      <c r="L117" s="43" t="str">
        <f>IF(K117="Documento a emitir","Documento a emitir",IF(K117&lt;&gt;"Documento a emitir",IF(_xlfn.XLOOKUP(D117,'LD-ELFA'!F:F,'LD-ELFA'!W:W)="","",_xlfn.XLOOKUP(D117,'LD-ELFA'!F:F,'LD-ELFA'!W:W)),""))</f>
        <v>Documento a emitir</v>
      </c>
      <c r="M117" s="43" t="str">
        <f>IF(K117="Documento a emitir","",IF(AND(Q117="APC-R  - APC-R - Aprovado com Comentários (Retornar para uma nova Aprovação)",Q117="APC-L  - APC-L  - Aprovado com Comentários (Retornar Aprovado)"),"",IF(OR(_xlfn.XLOOKUP(D117,'LD-ELFA'!F:F,'LD-ELFA'!N:N)="PARA CONHECIMENTO",_xlfn.XLOOKUP(D117,'LD-ELFA'!F:F,'LD-ELFA'!N:N)="PARA CONSTRUÇÃO",_xlfn.XLOOKUP(D117,'LD-ELFA'!F:F,'LD-ELFA'!N:N)="PARA COTAÇÃO",_xlfn.XLOOKUP(D117,'LD-ELFA'!F:F,'LD-ELFA'!N:N)="CANCELADO"),_xlfn.XLOOKUP(D117,'LD-ELFA'!F:F,'LD-ELFA'!U:U),IF(AND(L117="",J117&lt;&gt;"PARA APROVAÇÃO"),"",""))))</f>
        <v/>
      </c>
      <c r="N117" s="63" t="str">
        <f t="shared" ca="1" si="18"/>
        <v>Documento a Emitir</v>
      </c>
      <c r="O117" s="63" t="str">
        <f t="shared" si="12"/>
        <v>Blossom - Documento a emitir</v>
      </c>
      <c r="P117" s="63" t="str">
        <f t="shared" si="13"/>
        <v>Blossom</v>
      </c>
      <c r="Q117" s="63" t="str">
        <f>IF(_xlfn.XLOOKUP(D117,'LD-ELFA'!F:F,'LD-ELFA'!V:V)="","",_xlfn.XLOOKUP(D117,'LD-ELFA'!F:F,'LD-ELFA'!V:V))</f>
        <v/>
      </c>
      <c r="R117" s="40">
        <f>IFERROR(IF(I117&lt;&gt;"","Documento Emitido",_xlfn.XLOOKUP(D117,Cronograma!P:P,Cronograma!Q:Q)),"Documento Removido")</f>
        <v>46241</v>
      </c>
      <c r="S117" s="40" t="str">
        <f t="shared" ca="1" si="14"/>
        <v>No prazo</v>
      </c>
      <c r="T117" s="40">
        <f>IFERROR(IF(I117&lt;&gt;"","Documento Emitido",_xlfn.XLOOKUP(D117,Cronograma!P:P,Cronograma!R:R)),"Documento Removido")</f>
        <v>46226</v>
      </c>
      <c r="U117" s="39" t="str">
        <f t="shared" si="15"/>
        <v>Emissão Atrasada</v>
      </c>
      <c r="V117" s="39" t="str">
        <f t="shared" si="16"/>
        <v/>
      </c>
      <c r="W117" s="39" t="str">
        <f t="shared" ca="1" si="17"/>
        <v/>
      </c>
    </row>
    <row r="118" spans="1:23" s="60" customFormat="1" ht="28.5" customHeight="1" x14ac:dyDescent="0.2">
      <c r="A118" s="39">
        <v>115</v>
      </c>
      <c r="B118" s="39" t="str">
        <f>_xlfn.XLOOKUP(D118,'LD-ELFA'!F:F,'LD-ELFA'!C:C)</f>
        <v>CI - Infraestrutura</v>
      </c>
      <c r="C118" s="39" t="str">
        <f>_xlfn.XLOOKUP(D118,'LD-ELFA'!F:F,'LD-ELFA'!D:D)</f>
        <v>MCA - Memória De Cálculo</v>
      </c>
      <c r="D118" s="39" t="s">
        <v>121</v>
      </c>
      <c r="E118" s="39" t="str">
        <f>_xlfn.LET(_xlpm.q,_xlfn.XLOOKUP(D118,'LD-ELFA'!F:F,'LD-ELFA'!Q:Q),
   _xlpm.r,_xlfn.XLOOKUP(D118,'LD-ELFA'!F:F,'LD-ELFA'!R:R),
   IF(_xlpm.r = "", _xlpm.q, _xlpm.q &amp; " - " &amp; _xlpm.r))</f>
        <v>MEMÓRIA DE CÁLCULO DE DRENAGEM - INFRAESTRUTURA</v>
      </c>
      <c r="F118" s="63" t="str">
        <f t="shared" si="10"/>
        <v>Básico</v>
      </c>
      <c r="G118" s="63">
        <f>_xlfn.XLOOKUP(D118,'LD-ELFA'!F:F,'LD-ELFA'!G:G)</f>
        <v>0</v>
      </c>
      <c r="H118" s="63">
        <f>_xlfn.XLOOKUP(D118,'LD-ELFA'!F:F,'LD-ELFA'!I:I)</f>
        <v>0</v>
      </c>
      <c r="I118" s="63" t="str">
        <f>IF(_xlfn.XLOOKUP(D118,'LD-ELFA'!F:F,'LD-ELFA'!T:T)="","",_xlfn.XLOOKUP(D118,'LD-ELFA'!F:F,'LD-ELFA'!T:T))</f>
        <v/>
      </c>
      <c r="J118" s="63" t="str">
        <f>IF(K118="Documento a emitir", "",_xlfn.XLOOKUP(D118,'LD-ELFA'!F:F,'LD-ELFA'!N:N))</f>
        <v/>
      </c>
      <c r="K118" s="43" t="str">
        <f>IF(_xlfn.XLOOKUP($D118,'LD-ELFA'!F:F,'LD-ELFA'!U:U)="","Documento a emitir",_xlfn.XLOOKUP($D118,'LD-ELFA'!F:F,'LD-ELFA'!U:U))</f>
        <v>Documento a emitir</v>
      </c>
      <c r="L118" s="43" t="str">
        <f>IF(K118="Documento a emitir","Documento a emitir",IF(K118&lt;&gt;"Documento a emitir",IF(_xlfn.XLOOKUP(D118,'LD-ELFA'!F:F,'LD-ELFA'!W:W)="","",_xlfn.XLOOKUP(D118,'LD-ELFA'!F:F,'LD-ELFA'!W:W)),""))</f>
        <v>Documento a emitir</v>
      </c>
      <c r="M118" s="43" t="str">
        <f>IF(K118="Documento a emitir","",IF(AND(Q118="APC-R  - APC-R - Aprovado com Comentários (Retornar para uma nova Aprovação)",Q118="APC-L  - APC-L  - Aprovado com Comentários (Retornar Aprovado)"),"",IF(OR(_xlfn.XLOOKUP(D118,'LD-ELFA'!F:F,'LD-ELFA'!N:N)="PARA CONHECIMENTO",_xlfn.XLOOKUP(D118,'LD-ELFA'!F:F,'LD-ELFA'!N:N)="PARA CONSTRUÇÃO",_xlfn.XLOOKUP(D118,'LD-ELFA'!F:F,'LD-ELFA'!N:N)="PARA COTAÇÃO",_xlfn.XLOOKUP(D118,'LD-ELFA'!F:F,'LD-ELFA'!N:N)="CANCELADO"),_xlfn.XLOOKUP(D118,'LD-ELFA'!F:F,'LD-ELFA'!U:U),IF(AND(L118="",J118&lt;&gt;"PARA APROVAÇÃO"),"",""))))</f>
        <v/>
      </c>
      <c r="N118" s="63" t="str">
        <f ca="1">IF(O118="Documento Concluído","Documento Concluído",IF(O118="Cliente - Atendimento de Comentário",IF(TODAY()&lt;=(K118+3),"No prazo","Atrasado"),IF(O118="Cliente - Atendimento de Comentário",IF(TODAY()&lt;=(WORKDAY(K118,3,0)),"No prazo","Atrasado"),IF(O118="Blossom - Emissão Final",IF(TODAY()&lt;=(WORKDAY(L118,3,0)),"No prazo","Atrasado"),IF(O118="Blossom - Atendimento de Comentário",IF(TODAY()&lt;=(WORKDAY(L118,3,0)),"No prazo","Atrasado"),IF(O118="Blossom - Documento a emitir","Documento a Emitir",IF(O118="Documento Removido","Documento Removido","ERRO")))))))</f>
        <v>Documento a Emitir</v>
      </c>
      <c r="O118" s="63" t="str">
        <f t="shared" si="12"/>
        <v>Blossom - Documento a emitir</v>
      </c>
      <c r="P118" s="63" t="str">
        <f t="shared" si="13"/>
        <v>Blossom</v>
      </c>
      <c r="Q118" s="63" t="str">
        <f>IF(_xlfn.XLOOKUP(D118,'LD-ELFA'!F:F,'LD-ELFA'!V:V)="","",_xlfn.XLOOKUP(D118,'LD-ELFA'!F:F,'LD-ELFA'!V:V))</f>
        <v/>
      </c>
      <c r="R118" s="40">
        <f>IFERROR(IF(I118&lt;&gt;"","Documento Emitido",_xlfn.XLOOKUP(D118,Cronograma!P:P,Cronograma!Q:Q)),"Documento Removido")</f>
        <v>46260</v>
      </c>
      <c r="S118" s="40" t="str">
        <f t="shared" ca="1" si="14"/>
        <v>No prazo</v>
      </c>
      <c r="T118" s="40">
        <f>IFERROR(IF(I118&lt;&gt;"","Documento Emitido",_xlfn.XLOOKUP(D118,Cronograma!P:P,Cronograma!R:R)),"Documento Removido")</f>
        <v>46260</v>
      </c>
      <c r="U118" s="39" t="str">
        <f t="shared" si="15"/>
        <v>No prazo</v>
      </c>
      <c r="V118" s="39" t="str">
        <f t="shared" si="16"/>
        <v/>
      </c>
      <c r="W118" s="39" t="str">
        <f t="shared" ca="1" si="17"/>
        <v/>
      </c>
    </row>
    <row r="119" spans="1:23" s="60" customFormat="1" ht="28.5" customHeight="1" x14ac:dyDescent="0.2">
      <c r="A119" s="39">
        <v>116</v>
      </c>
      <c r="B119" s="39" t="str">
        <f>_xlfn.XLOOKUP(D119,'LD-ELFA'!F:F,'LD-ELFA'!C:C)</f>
        <v>CI - Infraestrutura</v>
      </c>
      <c r="C119" s="39" t="str">
        <f>_xlfn.XLOOKUP(D119,'LD-ELFA'!F:F,'LD-ELFA'!D:D)</f>
        <v>MCA - Memória De Cálculo</v>
      </c>
      <c r="D119" s="39" t="s">
        <v>122</v>
      </c>
      <c r="E119" s="39" t="str">
        <f>_xlfn.LET(_xlpm.q,_xlfn.XLOOKUP(D119,'LD-ELFA'!F:F,'LD-ELFA'!Q:Q),
   _xlpm.r,_xlfn.XLOOKUP(D119,'LD-ELFA'!F:F,'LD-ELFA'!R:R),
   IF(_xlpm.r = "", _xlpm.q, _xlpm.q &amp; " - " &amp; _xlpm.r))</f>
        <v>MEMÓRIA DE CÁLCULO DE TERRAPLENAGEM - INFRAESTRUTURA</v>
      </c>
      <c r="F119" s="63" t="str">
        <f t="shared" si="10"/>
        <v>Básico</v>
      </c>
      <c r="G119" s="63">
        <f>_xlfn.XLOOKUP(D119,'LD-ELFA'!F:F,'LD-ELFA'!G:G)</f>
        <v>0</v>
      </c>
      <c r="H119" s="63">
        <f>_xlfn.XLOOKUP(D119,'LD-ELFA'!F:F,'LD-ELFA'!I:I)</f>
        <v>0</v>
      </c>
      <c r="I119" s="63" t="str">
        <f>IF(_xlfn.XLOOKUP(D119,'LD-ELFA'!F:F,'LD-ELFA'!T:T)="","",_xlfn.XLOOKUP(D119,'LD-ELFA'!F:F,'LD-ELFA'!T:T))</f>
        <v/>
      </c>
      <c r="J119" s="63" t="str">
        <f>IF(K119="Documento a emitir", "",_xlfn.XLOOKUP(D119,'LD-ELFA'!F:F,'LD-ELFA'!N:N))</f>
        <v/>
      </c>
      <c r="K119" s="43" t="str">
        <f>IF(_xlfn.XLOOKUP($D119,'LD-ELFA'!F:F,'LD-ELFA'!U:U)="","Documento a emitir",_xlfn.XLOOKUP($D119,'LD-ELFA'!F:F,'LD-ELFA'!U:U))</f>
        <v>Documento a emitir</v>
      </c>
      <c r="L119" s="43" t="str">
        <f>IF(K119="Documento a emitir","Documento a emitir",IF(K119&lt;&gt;"Documento a emitir",IF(_xlfn.XLOOKUP(D119,'LD-ELFA'!F:F,'LD-ELFA'!W:W)="","",_xlfn.XLOOKUP(D119,'LD-ELFA'!F:F,'LD-ELFA'!W:W)),""))</f>
        <v>Documento a emitir</v>
      </c>
      <c r="M119" s="43" t="str">
        <f>IF(K119="Documento a emitir","",IF(AND(Q119="APC-R  - APC-R - Aprovado com Comentários (Retornar para uma nova Aprovação)",Q119="APC-L  - APC-L  - Aprovado com Comentários (Retornar Aprovado)"),"",IF(OR(_xlfn.XLOOKUP(D119,'LD-ELFA'!F:F,'LD-ELFA'!N:N)="PARA CONHECIMENTO",_xlfn.XLOOKUP(D119,'LD-ELFA'!F:F,'LD-ELFA'!N:N)="PARA CONSTRUÇÃO",_xlfn.XLOOKUP(D119,'LD-ELFA'!F:F,'LD-ELFA'!N:N)="PARA COTAÇÃO",_xlfn.XLOOKUP(D119,'LD-ELFA'!F:F,'LD-ELFA'!N:N)="CANCELADO"),_xlfn.XLOOKUP(D119,'LD-ELFA'!F:F,'LD-ELFA'!U:U),IF(AND(L119="",J119&lt;&gt;"PARA APROVAÇÃO"),"",""))))</f>
        <v/>
      </c>
      <c r="N119" s="63" t="str">
        <f ca="1">IF(O119="Documento Concluído","Documento Concluído",IF(O119="Cliente - Atendimento de Comentário",IF(TODAY()&lt;=(K119+3),"No prazo","Atrasado"),IF(O119="Cliente - Atendimento de Comentário",IF(TODAY()&lt;=(WORKDAY(K119,3,0)),"No prazo","Atrasado"),IF(O119="Blossom - Emissão Final",IF(TODAY()&lt;=(WORKDAY(L119,3,0)),"No prazo","Atrasado"),IF(O119="Blossom - Atendimento de Comentário",IF(TODAY()&lt;=(WORKDAY(L119,3,0)),"No prazo","Atrasado"),IF(O119="Blossom - Documento a emitir","Documento a Emitir","ERRO"))))))</f>
        <v>Documento a Emitir</v>
      </c>
      <c r="O119" s="63" t="str">
        <f t="shared" si="12"/>
        <v>Blossom - Documento a emitir</v>
      </c>
      <c r="P119" s="63" t="str">
        <f t="shared" si="13"/>
        <v>Blossom</v>
      </c>
      <c r="Q119" s="63" t="str">
        <f>IF(_xlfn.XLOOKUP(D119,'LD-ELFA'!F:F,'LD-ELFA'!V:V)="","",_xlfn.XLOOKUP(D119,'LD-ELFA'!F:F,'LD-ELFA'!V:V))</f>
        <v/>
      </c>
      <c r="R119" s="40">
        <f>IFERROR(IF(I119&lt;&gt;"","Documento Emitido",_xlfn.XLOOKUP(D119,Cronograma!P:P,Cronograma!Q:Q)),"Documento Removido")</f>
        <v>46246</v>
      </c>
      <c r="S119" s="40" t="str">
        <f t="shared" ca="1" si="14"/>
        <v>No prazo</v>
      </c>
      <c r="T119" s="40">
        <f>IFERROR(IF(I119&lt;&gt;"","Documento Emitido",_xlfn.XLOOKUP(D119,Cronograma!P:P,Cronograma!R:R)),"Documento Removido")</f>
        <v>46246</v>
      </c>
      <c r="U119" s="39" t="str">
        <f t="shared" si="15"/>
        <v>No prazo</v>
      </c>
      <c r="V119" s="39" t="str">
        <f t="shared" si="16"/>
        <v/>
      </c>
      <c r="W119" s="39" t="str">
        <f t="shared" ca="1" si="17"/>
        <v/>
      </c>
    </row>
    <row r="120" spans="1:23" s="60" customFormat="1" ht="28.5" customHeight="1" x14ac:dyDescent="0.2">
      <c r="A120" s="39">
        <v>117</v>
      </c>
      <c r="B120" s="39" t="str">
        <f>_xlfn.XLOOKUP(D120,'LD-ELFA'!F:F,'LD-ELFA'!C:C)</f>
        <v>CI - Infraestrutura</v>
      </c>
      <c r="C120" s="39" t="str">
        <f>_xlfn.XLOOKUP(D120,'LD-ELFA'!F:F,'LD-ELFA'!D:D)</f>
        <v>MCA - Memória De Cálculo</v>
      </c>
      <c r="D120" s="39" t="s">
        <v>123</v>
      </c>
      <c r="E120" s="39" t="str">
        <f>_xlfn.LET(_xlpm.q,_xlfn.XLOOKUP(D120,'LD-ELFA'!F:F,'LD-ELFA'!Q:Q),
   _xlpm.r,_xlfn.XLOOKUP(D120,'LD-ELFA'!F:F,'LD-ELFA'!R:R),
   IF(_xlpm.r = "", _xlpm.q, _xlpm.q &amp; " - " &amp; _xlpm.r))</f>
        <v>MEMÓRIA DE CÁLCULO DE PAVIMENTAÇÃO - INFRAESTRUTURA</v>
      </c>
      <c r="F120" s="63" t="str">
        <f t="shared" si="10"/>
        <v>Básico</v>
      </c>
      <c r="G120" s="63">
        <f>_xlfn.XLOOKUP(D120,'LD-ELFA'!F:F,'LD-ELFA'!G:G)</f>
        <v>0</v>
      </c>
      <c r="H120" s="63">
        <f>_xlfn.XLOOKUP(D120,'LD-ELFA'!F:F,'LD-ELFA'!I:I)</f>
        <v>0</v>
      </c>
      <c r="I120" s="63" t="str">
        <f>IF(_xlfn.XLOOKUP(D120,'LD-ELFA'!F:F,'LD-ELFA'!T:T)="","",_xlfn.XLOOKUP(D120,'LD-ELFA'!F:F,'LD-ELFA'!T:T))</f>
        <v/>
      </c>
      <c r="J120" s="63" t="str">
        <f>IF(K120="Documento a emitir", "",_xlfn.XLOOKUP(D120,'LD-ELFA'!F:F,'LD-ELFA'!N:N))</f>
        <v/>
      </c>
      <c r="K120" s="43" t="str">
        <f>IF(_xlfn.XLOOKUP($D120,'LD-ELFA'!F:F,'LD-ELFA'!U:U)="","Documento a emitir",_xlfn.XLOOKUP($D120,'LD-ELFA'!F:F,'LD-ELFA'!U:U))</f>
        <v>Documento a emitir</v>
      </c>
      <c r="L120" s="43" t="str">
        <f>IF(K120="Documento a emitir","Documento a emitir",IF(K120&lt;&gt;"Documento a emitir",IF(_xlfn.XLOOKUP(D120,'LD-ELFA'!F:F,'LD-ELFA'!W:W)="","",_xlfn.XLOOKUP(D120,'LD-ELFA'!F:F,'LD-ELFA'!W:W)),""))</f>
        <v>Documento a emitir</v>
      </c>
      <c r="M120" s="43" t="str">
        <f>IF(K120="Documento a emitir","",IF(AND(Q120="APC-R  - APC-R - Aprovado com Comentários (Retornar para uma nova Aprovação)",Q120="APC-L  - APC-L  - Aprovado com Comentários (Retornar Aprovado)"),"",IF(OR(_xlfn.XLOOKUP(D120,'LD-ELFA'!F:F,'LD-ELFA'!N:N)="PARA CONHECIMENTO",_xlfn.XLOOKUP(D120,'LD-ELFA'!F:F,'LD-ELFA'!N:N)="PARA CONSTRUÇÃO",_xlfn.XLOOKUP(D120,'LD-ELFA'!F:F,'LD-ELFA'!N:N)="PARA COTAÇÃO",_xlfn.XLOOKUP(D120,'LD-ELFA'!F:F,'LD-ELFA'!N:N)="CANCELADO"),_xlfn.XLOOKUP(D120,'LD-ELFA'!F:F,'LD-ELFA'!U:U),IF(AND(L120="",J120&lt;&gt;"PARA APROVAÇÃO"),"",""))))</f>
        <v/>
      </c>
      <c r="N120" s="63" t="str">
        <f ca="1">IF(O120="Documento Concluído","Documento Concluído",IF(O120="Cliente - Atendimento de Comentário",IF(TODAY()&lt;=(K120+3),"No prazo","Atrasado"),IF(O120="Cliente - Atendimento de Comentário",IF(TODAY()&lt;=(WORKDAY(K120,3,0)),"No prazo","Atrasado"),IF(O120="Blossom - Emissão Final",IF(TODAY()&lt;=(WORKDAY(L120,3,0)),"No prazo","Atrasado"),IF(O120="Blossom - Atendimento de Comentário",IF(TODAY()&lt;=(WORKDAY(L120,3,0)),"No prazo","Atrasado"),IF(O120="Blossom - Documento a emitir","Documento a Emitir","ERRO"))))))</f>
        <v>Documento a Emitir</v>
      </c>
      <c r="O120" s="63" t="str">
        <f t="shared" si="12"/>
        <v>Blossom - Documento a emitir</v>
      </c>
      <c r="P120" s="63" t="str">
        <f t="shared" si="13"/>
        <v>Blossom</v>
      </c>
      <c r="Q120" s="63" t="str">
        <f>IF(_xlfn.XLOOKUP(D120,'LD-ELFA'!F:F,'LD-ELFA'!V:V)="","",_xlfn.XLOOKUP(D120,'LD-ELFA'!F:F,'LD-ELFA'!V:V))</f>
        <v/>
      </c>
      <c r="R120" s="40">
        <f>IFERROR(IF(I120&lt;&gt;"","Documento Emitido",_xlfn.XLOOKUP(D120,Cronograma!P:P,Cronograma!Q:Q)),"Documento Removido")</f>
        <v>46253</v>
      </c>
      <c r="S120" s="40" t="str">
        <f t="shared" ca="1" si="14"/>
        <v>No prazo</v>
      </c>
      <c r="T120" s="40">
        <f>IFERROR(IF(I120&lt;&gt;"","Documento Emitido",_xlfn.XLOOKUP(D120,Cronograma!P:P,Cronograma!R:R)),"Documento Removido")</f>
        <v>46253</v>
      </c>
      <c r="U120" s="39" t="str">
        <f t="shared" si="15"/>
        <v>No prazo</v>
      </c>
      <c r="V120" s="39" t="str">
        <f t="shared" si="16"/>
        <v/>
      </c>
      <c r="W120" s="39" t="str">
        <f t="shared" ca="1" si="17"/>
        <v/>
      </c>
    </row>
    <row r="121" spans="1:23" s="60" customFormat="1" ht="28.5" customHeight="1" x14ac:dyDescent="0.2">
      <c r="A121" s="39">
        <v>118</v>
      </c>
      <c r="B121" s="39" t="str">
        <f>_xlfn.XLOOKUP(D121,'LD-ELFA'!F:F,'LD-ELFA'!C:C)</f>
        <v>CI - Infraestrutura</v>
      </c>
      <c r="C121" s="39" t="str">
        <f>_xlfn.XLOOKUP(D121,'LD-ELFA'!F:F,'LD-ELFA'!D:D)</f>
        <v>MCA - Memória De Cálculo</v>
      </c>
      <c r="D121" s="39" t="s">
        <v>124</v>
      </c>
      <c r="E121" s="39" t="str">
        <f>_xlfn.LET(_xlpm.q,_xlfn.XLOOKUP(D121,'LD-ELFA'!F:F,'LD-ELFA'!Q:Q),
   _xlpm.r,_xlfn.XLOOKUP(D121,'LD-ELFA'!F:F,'LD-ELFA'!R:R),
   IF(_xlpm.r = "", _xlpm.q, _xlpm.q &amp; " - " &amp; _xlpm.r))</f>
        <v xml:space="preserve"> MEMÓRIA DE CÁLCULO - GEOTECNIA - ANÁLISE DE ESTABILIDADE - CONTENÇÕES EM TERRA ARMADA</v>
      </c>
      <c r="F121" s="63" t="str">
        <f t="shared" si="10"/>
        <v>Básico</v>
      </c>
      <c r="G121" s="63">
        <f>_xlfn.XLOOKUP(D121,'LD-ELFA'!F:F,'LD-ELFA'!G:G)</f>
        <v>0</v>
      </c>
      <c r="H121" s="63">
        <f>_xlfn.XLOOKUP(D121,'LD-ELFA'!F:F,'LD-ELFA'!I:I)</f>
        <v>0</v>
      </c>
      <c r="I121" s="63" t="str">
        <f>IF(_xlfn.XLOOKUP(D121,'LD-ELFA'!F:F,'LD-ELFA'!T:T)="","",_xlfn.XLOOKUP(D121,'LD-ELFA'!F:F,'LD-ELFA'!T:T))</f>
        <v/>
      </c>
      <c r="J121" s="63" t="str">
        <f>IF(K121="Documento a emitir", "",_xlfn.XLOOKUP(D121,'LD-ELFA'!F:F,'LD-ELFA'!N:N))</f>
        <v/>
      </c>
      <c r="K121" s="43" t="str">
        <f>IF(_xlfn.XLOOKUP($D121,'LD-ELFA'!F:F,'LD-ELFA'!U:U)="","Documento a emitir",_xlfn.XLOOKUP($D121,'LD-ELFA'!F:F,'LD-ELFA'!U:U))</f>
        <v>Documento a emitir</v>
      </c>
      <c r="L121" s="43" t="str">
        <f>IF(K121="Documento a emitir","Documento a emitir",IF(K121&lt;&gt;"Documento a emitir",IF(_xlfn.XLOOKUP(D121,'LD-ELFA'!F:F,'LD-ELFA'!W:W)="","",_xlfn.XLOOKUP(D121,'LD-ELFA'!F:F,'LD-ELFA'!W:W)),""))</f>
        <v>Documento a emitir</v>
      </c>
      <c r="M121" s="43" t="str">
        <f>IF(K121="Documento a emitir","",IF(AND(Q121="APC-R  - APC-R - Aprovado com Comentários (Retornar para uma nova Aprovação)",Q121="APC-L  - APC-L  - Aprovado com Comentários (Retornar Aprovado)"),"",IF(OR(_xlfn.XLOOKUP(D121,'LD-ELFA'!F:F,'LD-ELFA'!N:N)="PARA CONHECIMENTO",_xlfn.XLOOKUP(D121,'LD-ELFA'!F:F,'LD-ELFA'!N:N)="PARA CONSTRUÇÃO",_xlfn.XLOOKUP(D121,'LD-ELFA'!F:F,'LD-ELFA'!N:N)="PARA COTAÇÃO",_xlfn.XLOOKUP(D121,'LD-ELFA'!F:F,'LD-ELFA'!N:N)="CANCELADO"),_xlfn.XLOOKUP(D121,'LD-ELFA'!F:F,'LD-ELFA'!U:U),IF(AND(L121="",J121&lt;&gt;"PARA APROVAÇÃO"),"",""))))</f>
        <v/>
      </c>
      <c r="N121" s="63" t="str">
        <f ca="1">IF(O121="Documento Concluído","Documento Concluído",IF(O121="Cliente - Atendimento de Comentário",IF(TODAY()&lt;=(K121+3),"No prazo","Atrasado"),IF(O121="Cliente - Atendimento de Comentário",IF(TODAY()&lt;=(WORKDAY(K121,3,0)),"No prazo","Atrasado"),IF(O121="Blossom - Emissão Final",IF(TODAY()&lt;=(WORKDAY(L121,3,0)),"No prazo","Atrasado"),IF(O121="Blossom - Atendimento de Comentário",IF(TODAY()&lt;=(WORKDAY(L121,3,0)),"No prazo","Atrasado"),IF(O121="Blossom - Documento a emitir","Documento a Emitir","ERRO"))))))</f>
        <v>Documento a Emitir</v>
      </c>
      <c r="O121" s="63" t="str">
        <f t="shared" si="12"/>
        <v>Blossom - Documento a emitir</v>
      </c>
      <c r="P121" s="63" t="str">
        <f t="shared" si="13"/>
        <v>Blossom</v>
      </c>
      <c r="Q121" s="63" t="str">
        <f>IF(_xlfn.XLOOKUP(D121,'LD-ELFA'!F:F,'LD-ELFA'!V:V)="","",_xlfn.XLOOKUP(D121,'LD-ELFA'!F:F,'LD-ELFA'!V:V))</f>
        <v/>
      </c>
      <c r="R121" s="40">
        <f>IFERROR(IF(I121&lt;&gt;"","Documento Emitido",_xlfn.XLOOKUP(D121,Cronograma!P:P,Cronograma!Q:Q)),"Documento Removido")</f>
        <v>46240</v>
      </c>
      <c r="S121" s="40" t="str">
        <f t="shared" ca="1" si="14"/>
        <v>No prazo</v>
      </c>
      <c r="T121" s="40">
        <f>IFERROR(IF(I121&lt;&gt;"","Documento Emitido",_xlfn.XLOOKUP(D121,Cronograma!P:P,Cronograma!R:R)),"Documento Removido")</f>
        <v>46240</v>
      </c>
      <c r="U121" s="39" t="str">
        <f t="shared" si="15"/>
        <v>No prazo</v>
      </c>
      <c r="V121" s="39" t="str">
        <f t="shared" si="16"/>
        <v/>
      </c>
      <c r="W121" s="39" t="str">
        <f t="shared" ca="1" si="17"/>
        <v/>
      </c>
    </row>
    <row r="122" spans="1:23" s="60" customFormat="1" ht="28.5" customHeight="1" x14ac:dyDescent="0.2">
      <c r="A122" s="39">
        <v>119</v>
      </c>
      <c r="B122" s="39" t="str">
        <f>_xlfn.XLOOKUP(D122,'LD-ELFA'!F:F,'LD-ELFA'!C:C)</f>
        <v>CI - Infraestrutura</v>
      </c>
      <c r="C122" s="39" t="str">
        <f>_xlfn.XLOOKUP(D122,'LD-ELFA'!F:F,'LD-ELFA'!D:D)</f>
        <v>PQU - Planilha De Quantitativos</v>
      </c>
      <c r="D122" s="39" t="s">
        <v>125</v>
      </c>
      <c r="E122" s="39" t="str">
        <f>_xlfn.LET(_xlpm.q,_xlfn.XLOOKUP(D122,'LD-ELFA'!F:F,'LD-ELFA'!Q:Q),
   _xlpm.r,_xlfn.XLOOKUP(D122,'LD-ELFA'!F:F,'LD-ELFA'!R:R),
   IF(_xlpm.r = "", _xlpm.q, _xlpm.q &amp; " - " &amp; _xlpm.r))</f>
        <v>PLANILHA DE QUANTIDADES - TERRAPLENAGEM</v>
      </c>
      <c r="F122" s="63" t="str">
        <f t="shared" si="10"/>
        <v>Básico</v>
      </c>
      <c r="G122" s="63">
        <f>_xlfn.XLOOKUP(D122,'LD-ELFA'!F:F,'LD-ELFA'!G:G)</f>
        <v>0</v>
      </c>
      <c r="H122" s="63">
        <f>_xlfn.XLOOKUP(D122,'LD-ELFA'!F:F,'LD-ELFA'!I:I)</f>
        <v>0</v>
      </c>
      <c r="I122" s="63" t="str">
        <f>IF(_xlfn.XLOOKUP(D122,'LD-ELFA'!F:F,'LD-ELFA'!T:T)="","",_xlfn.XLOOKUP(D122,'LD-ELFA'!F:F,'LD-ELFA'!T:T))</f>
        <v/>
      </c>
      <c r="J122" s="63" t="str">
        <f>IF(K122="Documento a emitir", "",_xlfn.XLOOKUP(D122,'LD-ELFA'!F:F,'LD-ELFA'!N:N))</f>
        <v/>
      </c>
      <c r="K122" s="43" t="str">
        <f>IF(_xlfn.XLOOKUP($D122,'LD-ELFA'!F:F,'LD-ELFA'!U:U)="","Documento a emitir",_xlfn.XLOOKUP($D122,'LD-ELFA'!F:F,'LD-ELFA'!U:U))</f>
        <v>Documento a emitir</v>
      </c>
      <c r="L122" s="43" t="str">
        <f>IF(K122="Documento a emitir","Documento a emitir",IF(K122&lt;&gt;"Documento a emitir",IF(_xlfn.XLOOKUP(D122,'LD-ELFA'!F:F,'LD-ELFA'!W:W)="","",_xlfn.XLOOKUP(D122,'LD-ELFA'!F:F,'LD-ELFA'!W:W)),""))</f>
        <v>Documento a emitir</v>
      </c>
      <c r="M122" s="43" t="str">
        <f>IF(K122="Documento a emitir","",IF(AND(Q122="APC-R  - APC-R - Aprovado com Comentários (Retornar para uma nova Aprovação)",Q122="APC-L  - APC-L  - Aprovado com Comentários (Retornar Aprovado)"),"",IF(OR(_xlfn.XLOOKUP(D122,'LD-ELFA'!F:F,'LD-ELFA'!N:N)="PARA CONHECIMENTO",_xlfn.XLOOKUP(D122,'LD-ELFA'!F:F,'LD-ELFA'!N:N)="PARA CONSTRUÇÃO",_xlfn.XLOOKUP(D122,'LD-ELFA'!F:F,'LD-ELFA'!N:N)="PARA COTAÇÃO",_xlfn.XLOOKUP(D122,'LD-ELFA'!F:F,'LD-ELFA'!N:N)="CANCELADO"),_xlfn.XLOOKUP(D122,'LD-ELFA'!F:F,'LD-ELFA'!U:U),IF(AND(L122="",J122&lt;&gt;"PARA APROVAÇÃO"),"",""))))</f>
        <v/>
      </c>
      <c r="N122" s="63" t="str">
        <f ca="1">IF(O122="Documento Concluído","Documento Concluído",IF(O122="Cliente - Atendimento de Comentário",IF(TODAY()&lt;=(K122+3),"No prazo","Atrasado"),IF(O122="Cliente - Atendimento de Comentário",IF(TODAY()&lt;=(WORKDAY(K122,3,0)),"No prazo","Atrasado"),IF(O122="Blossom - Emissão Final",IF(TODAY()&lt;=(WORKDAY(L122,3,0)),"No prazo","Atrasado"),IF(O122="Blossom - Atendimento de Comentário",IF(TODAY()&lt;=(WORKDAY(L122,3,0)),"No prazo","Atrasado"),IF(O122="Blossom - Documento a emitir","Documento a Emitir","ERRO"))))))</f>
        <v>Documento a Emitir</v>
      </c>
      <c r="O122" s="63" t="str">
        <f t="shared" si="12"/>
        <v>Blossom - Documento a emitir</v>
      </c>
      <c r="P122" s="63" t="str">
        <f t="shared" si="13"/>
        <v>Blossom</v>
      </c>
      <c r="Q122" s="63" t="str">
        <f>IF(_xlfn.XLOOKUP(D122,'LD-ELFA'!F:F,'LD-ELFA'!V:V)="","",_xlfn.XLOOKUP(D122,'LD-ELFA'!F:F,'LD-ELFA'!V:V))</f>
        <v/>
      </c>
      <c r="R122" s="40">
        <f>IFERROR(IF(I122&lt;&gt;"","Documento Emitido",_xlfn.XLOOKUP(D122,Cronograma!P:P,Cronograma!Q:Q)),"Documento Removido")</f>
        <v>46258</v>
      </c>
      <c r="S122" s="40" t="str">
        <f t="shared" ca="1" si="14"/>
        <v>No prazo</v>
      </c>
      <c r="T122" s="40">
        <f>IFERROR(IF(I122&lt;&gt;"","Documento Emitido",_xlfn.XLOOKUP(D122,Cronograma!P:P,Cronograma!R:R)),"Documento Removido")</f>
        <v>46258</v>
      </c>
      <c r="U122" s="39" t="str">
        <f t="shared" si="15"/>
        <v>No prazo</v>
      </c>
      <c r="V122" s="39" t="str">
        <f t="shared" si="16"/>
        <v/>
      </c>
      <c r="W122" s="39" t="str">
        <f t="shared" ca="1" si="17"/>
        <v/>
      </c>
    </row>
    <row r="123" spans="1:23" s="60" customFormat="1" ht="28.5" customHeight="1" x14ac:dyDescent="0.2">
      <c r="A123" s="39">
        <v>120</v>
      </c>
      <c r="B123" s="39" t="str">
        <f>_xlfn.XLOOKUP(D123,'LD-ELFA'!F:F,'LD-ELFA'!C:C)</f>
        <v>CI - Infraestrutura</v>
      </c>
      <c r="C123" s="39" t="str">
        <f>_xlfn.XLOOKUP(D123,'LD-ELFA'!F:F,'LD-ELFA'!D:D)</f>
        <v>PQU - Planilha De Quantitativos</v>
      </c>
      <c r="D123" s="39" t="s">
        <v>126</v>
      </c>
      <c r="E123" s="39" t="str">
        <f>_xlfn.LET(_xlpm.q,_xlfn.XLOOKUP(D123,'LD-ELFA'!F:F,'LD-ELFA'!Q:Q),
   _xlpm.r,_xlfn.XLOOKUP(D123,'LD-ELFA'!F:F,'LD-ELFA'!R:R),
   IF(_xlpm.r = "", _xlpm.q, _xlpm.q &amp; " - " &amp; _xlpm.r))</f>
        <v>RELATÓRIO TÉCNICO - DISPOSITIVOS AMORTECIMENTO DE CHEIAS - ESTUDO CONCEITUAL</v>
      </c>
      <c r="F123" s="63" t="str">
        <f t="shared" si="10"/>
        <v>Básico</v>
      </c>
      <c r="G123" s="63">
        <f>_xlfn.XLOOKUP(D123,'LD-ELFA'!F:F,'LD-ELFA'!G:G)</f>
        <v>0</v>
      </c>
      <c r="H123" s="63">
        <f>_xlfn.XLOOKUP(D123,'LD-ELFA'!F:F,'LD-ELFA'!I:I)</f>
        <v>0</v>
      </c>
      <c r="I123" s="63" t="str">
        <f>IF(_xlfn.XLOOKUP(D123,'LD-ELFA'!F:F,'LD-ELFA'!T:T)="","",_xlfn.XLOOKUP(D123,'LD-ELFA'!F:F,'LD-ELFA'!T:T))</f>
        <v/>
      </c>
      <c r="J123" s="63" t="str">
        <f>IF(K123="Documento a emitir", "",_xlfn.XLOOKUP(D123,'LD-ELFA'!F:F,'LD-ELFA'!N:N))</f>
        <v/>
      </c>
      <c r="K123" s="43" t="str">
        <f>IF(_xlfn.XLOOKUP($D123,'LD-ELFA'!F:F,'LD-ELFA'!U:U)="","Documento a emitir",_xlfn.XLOOKUP($D123,'LD-ELFA'!F:F,'LD-ELFA'!U:U))</f>
        <v>Documento a emitir</v>
      </c>
      <c r="L123" s="43" t="str">
        <f>IF(K123="Documento a emitir","Documento a emitir",IF(K123&lt;&gt;"Documento a emitir",IF(_xlfn.XLOOKUP(D123,'LD-ELFA'!F:F,'LD-ELFA'!W:W)="","",_xlfn.XLOOKUP(D123,'LD-ELFA'!F:F,'LD-ELFA'!W:W)),""))</f>
        <v>Documento a emitir</v>
      </c>
      <c r="M123" s="43" t="str">
        <f>IF(K123="Documento a emitir","",IF(AND(Q123="APC-R  - APC-R - Aprovado com Comentários (Retornar para uma nova Aprovação)",Q123="APC-L  - APC-L  - Aprovado com Comentários (Retornar Aprovado)"),"",IF(OR(_xlfn.XLOOKUP(D123,'LD-ELFA'!F:F,'LD-ELFA'!N:N)="PARA CONHECIMENTO",_xlfn.XLOOKUP(D123,'LD-ELFA'!F:F,'LD-ELFA'!N:N)="PARA CONSTRUÇÃO",_xlfn.XLOOKUP(D123,'LD-ELFA'!F:F,'LD-ELFA'!N:N)="PARA COTAÇÃO",_xlfn.XLOOKUP(D123,'LD-ELFA'!F:F,'LD-ELFA'!N:N)="CANCELADO"),_xlfn.XLOOKUP(D123,'LD-ELFA'!F:F,'LD-ELFA'!U:U),IF(AND(L123="",J123&lt;&gt;"PARA APROVAÇÃO"),"",""))))</f>
        <v/>
      </c>
      <c r="N123" s="63" t="str">
        <f ca="1">IF(O123="Documento Concluído","Documento Concluído",IF(O123="Cliente - Atendimento de Comentário",IF(TODAY()&lt;=(K123+3),"No prazo","Atrasado"),IF(O123="Cliente - Atendimento de Comentário",IF(TODAY()&lt;=(WORKDAY(K123,3,0)),"No prazo","Atrasado"),IF(O123="Blossom - Emissão Final",IF(TODAY()&lt;=(WORKDAY(L123,3,0)),"No prazo","Atrasado"),IF(O123="Blossom - Atendimento de Comentário",IF(TODAY()&lt;=(WORKDAY(L123,3,0)),"No prazo","Atrasado"),IF(O123="Blossom - Documento a emitir","Documento a Emitir","ERRO"))))))</f>
        <v>Documento a Emitir</v>
      </c>
      <c r="O123" s="63" t="str">
        <f t="shared" si="12"/>
        <v>Blossom - Documento a emitir</v>
      </c>
      <c r="P123" s="63" t="str">
        <f t="shared" si="13"/>
        <v>Blossom</v>
      </c>
      <c r="Q123" s="63" t="str">
        <f>IF(_xlfn.XLOOKUP(D123,'LD-ELFA'!F:F,'LD-ELFA'!V:V)="","",_xlfn.XLOOKUP(D123,'LD-ELFA'!F:F,'LD-ELFA'!V:V))</f>
        <v/>
      </c>
      <c r="R123" s="40">
        <f>IFERROR(IF(I123&lt;&gt;"","Documento Emitido",_xlfn.XLOOKUP(D123,Cronograma!P:P,Cronograma!Q:Q)),"Documento Removido")</f>
        <v>46261</v>
      </c>
      <c r="S123" s="40" t="str">
        <f t="shared" ca="1" si="14"/>
        <v>No prazo</v>
      </c>
      <c r="T123" s="40">
        <f>IFERROR(IF(I123&lt;&gt;"","Documento Emitido",_xlfn.XLOOKUP(D123,Cronograma!P:P,Cronograma!R:R)),"Documento Removido")</f>
        <v>46261</v>
      </c>
      <c r="U123" s="39" t="str">
        <f t="shared" si="15"/>
        <v>No prazo</v>
      </c>
      <c r="V123" s="39" t="str">
        <f t="shared" si="16"/>
        <v/>
      </c>
      <c r="W123" s="39" t="str">
        <f t="shared" ca="1" si="17"/>
        <v/>
      </c>
    </row>
    <row r="124" spans="1:23" s="60" customFormat="1" ht="28.5" customHeight="1" x14ac:dyDescent="0.2">
      <c r="A124" s="39">
        <v>121</v>
      </c>
      <c r="B124" s="39" t="e">
        <f>_xlfn.XLOOKUP(D124,'LD-ELFA'!F:F,'LD-ELFA'!C:C)</f>
        <v>#N/A</v>
      </c>
      <c r="C124" s="39" t="e">
        <f>_xlfn.XLOOKUP(D124,'LD-ELFA'!F:F,'LD-ELFA'!D:D)</f>
        <v>#N/A</v>
      </c>
      <c r="D124" s="39" t="s">
        <v>127</v>
      </c>
      <c r="E124" s="39" t="e">
        <f>_xlfn.LET(_xlpm.q,_xlfn.XLOOKUP(D124,'LD-ELFA'!F:F,'LD-ELFA'!Q:Q),
   _xlpm.r,_xlfn.XLOOKUP(D124,'LD-ELFA'!F:F,'LD-ELFA'!R:R),
   IF(_xlpm.r = "", _xlpm.q, _xlpm.q &amp; " - " &amp; _xlpm.r))</f>
        <v>#N/A</v>
      </c>
      <c r="F124" s="63" t="str">
        <f t="shared" si="10"/>
        <v>Básico</v>
      </c>
      <c r="G124" s="63" t="e">
        <f>_xlfn.XLOOKUP(D124,'LD-ELFA'!F:F,'LD-ELFA'!G:G)</f>
        <v>#N/A</v>
      </c>
      <c r="H124" s="63" t="e">
        <f>_xlfn.XLOOKUP(D124,'LD-ELFA'!F:F,'LD-ELFA'!I:I)</f>
        <v>#N/A</v>
      </c>
      <c r="I124" s="63" t="e">
        <f>IF(_xlfn.XLOOKUP(D124,'LD-ELFA'!F:F,'LD-ELFA'!T:T)="","",_xlfn.XLOOKUP(D124,'LD-ELFA'!F:F,'LD-ELFA'!T:T))</f>
        <v>#N/A</v>
      </c>
      <c r="J124" s="63" t="e">
        <f>IF(K124="Documento a emitir", "",_xlfn.XLOOKUP(D124,'LD-ELFA'!F:F,'LD-ELFA'!N:N))</f>
        <v>#N/A</v>
      </c>
      <c r="K124" s="43" t="e">
        <f>IF(_xlfn.XLOOKUP($D124,'LD-ELFA'!F:F,'LD-ELFA'!U:U)="","Documento a emitir",_xlfn.XLOOKUP($D124,'LD-ELFA'!F:F,'LD-ELFA'!U:U))</f>
        <v>#N/A</v>
      </c>
      <c r="L124" s="43" t="e">
        <f>IF(K124="Documento a emitir","Documento a emitir",IF(K124&lt;&gt;"Documento a emitir",IF(_xlfn.XLOOKUP(D124,'LD-ELFA'!F:F,'LD-ELFA'!W:W)="","",_xlfn.XLOOKUP(D124,'LD-ELFA'!F:F,'LD-ELFA'!W:W)),""))</f>
        <v>#N/A</v>
      </c>
      <c r="M124" s="43" t="e">
        <f>IF(K124="Documento a emitir","",IF(AND(Q124="APC-R  - APC-R - Aprovado com Comentários (Retornar para uma nova Aprovação)",Q124="APC-L  - APC-L  - Aprovado com Comentários (Retornar Aprovado)"),"",IF(OR(_xlfn.XLOOKUP(D124,'LD-ELFA'!F:F,'LD-ELFA'!N:N)="PARA CONHECIMENTO",_xlfn.XLOOKUP(D124,'LD-ELFA'!F:F,'LD-ELFA'!N:N)="PARA CONSTRUÇÃO",_xlfn.XLOOKUP(D124,'LD-ELFA'!F:F,'LD-ELFA'!N:N)="PARA COTAÇÃO",_xlfn.XLOOKUP(D124,'LD-ELFA'!F:F,'LD-ELFA'!N:N)="CANCELADO"),_xlfn.XLOOKUP(D124,'LD-ELFA'!F:F,'LD-ELFA'!U:U),IF(AND(L124="",J124&lt;&gt;"PARA APROVAÇÃO"),"",""))))</f>
        <v>#N/A</v>
      </c>
      <c r="N124" s="63" t="str">
        <f ca="1">IF(O124="Documento Concluído","Documento Concluído",IF(O124="Cliente - Atendimento de Comentário",IF(TODAY()&lt;=(K124+3),"No prazo","Atrasado"),IF(O124="Cliente - Atendimento de Comentário",IF(TODAY()&lt;=(WORKDAY(K124,3,0)),"No prazo","Atrasado"),IF(O124="Blossom - Emissão Final",IF(TODAY()&lt;=(WORKDAY(L124,3,0)),"No prazo","Atrasado"),IF(O124="Blossom - Atendimento de Comentário",IF(TODAY()&lt;=(WORKDAY(L124,3,0)),"No prazo","Atrasado"),IF(O124="Blossom - Documento a emitir","Documento a Emitir",IF(O124="Documento Removido","Documento Removido","ERRO")))))))</f>
        <v>Documento Removido</v>
      </c>
      <c r="O124" s="63" t="str">
        <f t="shared" si="12"/>
        <v>Documento Removido</v>
      </c>
      <c r="P124" s="63" t="str">
        <f t="shared" si="13"/>
        <v>Blossom</v>
      </c>
      <c r="Q124" s="63" t="e">
        <f>IF(_xlfn.XLOOKUP(D124,'LD-ELFA'!F:F,'LD-ELFA'!V:V)="","",_xlfn.XLOOKUP(D124,'LD-ELFA'!F:F,'LD-ELFA'!V:V))</f>
        <v>#N/A</v>
      </c>
      <c r="R124" s="40" t="str">
        <f>IFERROR(IF(I124&lt;&gt;"","Documento Emitido",_xlfn.XLOOKUP(D124,Cronograma!P:P,Cronograma!Q:Q)),"Documento Removido")</f>
        <v>Documento Removido</v>
      </c>
      <c r="S124" s="40" t="str">
        <f t="shared" ca="1" si="14"/>
        <v>Documento Removido</v>
      </c>
      <c r="T124" s="40" t="str">
        <f>IFERROR(IF(I124&lt;&gt;"","Documento Emitido",_xlfn.XLOOKUP(D124,Cronograma!P:P,Cronograma!R:R)),"Documento Removido")</f>
        <v>Documento Removido</v>
      </c>
      <c r="U124" s="39" t="str">
        <f t="shared" si="15"/>
        <v>Documento Removido</v>
      </c>
      <c r="V124" s="39" t="str">
        <f t="shared" si="16"/>
        <v>Documento Removido</v>
      </c>
      <c r="W124" s="39" t="e">
        <f t="shared" ca="1" si="17"/>
        <v>#N/A</v>
      </c>
    </row>
    <row r="125" spans="1:23" s="60" customFormat="1" ht="28.5" customHeight="1" x14ac:dyDescent="0.2">
      <c r="A125" s="39">
        <v>122</v>
      </c>
      <c r="B125" s="39" t="e">
        <f>_xlfn.XLOOKUP(D125,'LD-ELFA'!F:F,'LD-ELFA'!C:C)</f>
        <v>#N/A</v>
      </c>
      <c r="C125" s="39" t="e">
        <f>_xlfn.XLOOKUP(D125,'LD-ELFA'!F:F,'LD-ELFA'!D:D)</f>
        <v>#N/A</v>
      </c>
      <c r="D125" s="39" t="s">
        <v>128</v>
      </c>
      <c r="E125" s="39" t="e">
        <f>_xlfn.LET(_xlpm.q,_xlfn.XLOOKUP(D125,'LD-ELFA'!F:F,'LD-ELFA'!Q:Q),
   _xlpm.r,_xlfn.XLOOKUP(D125,'LD-ELFA'!F:F,'LD-ELFA'!R:R),
   IF(_xlpm.r = "", _xlpm.q, _xlpm.q &amp; " - " &amp; _xlpm.r))</f>
        <v>#N/A</v>
      </c>
      <c r="F125" s="63" t="str">
        <f t="shared" si="10"/>
        <v>Básico</v>
      </c>
      <c r="G125" s="63" t="e">
        <f>_xlfn.XLOOKUP(D125,'LD-ELFA'!F:F,'LD-ELFA'!G:G)</f>
        <v>#N/A</v>
      </c>
      <c r="H125" s="63" t="e">
        <f>_xlfn.XLOOKUP(D125,'LD-ELFA'!F:F,'LD-ELFA'!I:I)</f>
        <v>#N/A</v>
      </c>
      <c r="I125" s="63" t="e">
        <f>IF(_xlfn.XLOOKUP(D125,'LD-ELFA'!F:F,'LD-ELFA'!T:T)="","",_xlfn.XLOOKUP(D125,'LD-ELFA'!F:F,'LD-ELFA'!T:T))</f>
        <v>#N/A</v>
      </c>
      <c r="J125" s="63" t="e">
        <f>IF(K125="Documento a emitir", "",_xlfn.XLOOKUP(D125,'LD-ELFA'!F:F,'LD-ELFA'!N:N))</f>
        <v>#N/A</v>
      </c>
      <c r="K125" s="43" t="e">
        <f>IF(_xlfn.XLOOKUP($D125,'LD-ELFA'!F:F,'LD-ELFA'!U:U)="","Documento a emitir",_xlfn.XLOOKUP($D125,'LD-ELFA'!F:F,'LD-ELFA'!U:U))</f>
        <v>#N/A</v>
      </c>
      <c r="L125" s="43" t="e">
        <f>IF(K125="Documento a emitir","Documento a emitir",IF(K125&lt;&gt;"Documento a emitir",IF(_xlfn.XLOOKUP(D125,'LD-ELFA'!F:F,'LD-ELFA'!W:W)="","",_xlfn.XLOOKUP(D125,'LD-ELFA'!F:F,'LD-ELFA'!W:W)),""))</f>
        <v>#N/A</v>
      </c>
      <c r="M125" s="43" t="e">
        <f>IF(K125="Documento a emitir","",IF(AND(Q125="APC-R  - APC-R - Aprovado com Comentários (Retornar para uma nova Aprovação)",Q125="APC-L  - APC-L  - Aprovado com Comentários (Retornar Aprovado)"),"",IF(OR(_xlfn.XLOOKUP(D125,'LD-ELFA'!F:F,'LD-ELFA'!N:N)="PARA CONHECIMENTO",_xlfn.XLOOKUP(D125,'LD-ELFA'!F:F,'LD-ELFA'!N:N)="PARA CONSTRUÇÃO",_xlfn.XLOOKUP(D125,'LD-ELFA'!F:F,'LD-ELFA'!N:N)="PARA COTAÇÃO",_xlfn.XLOOKUP(D125,'LD-ELFA'!F:F,'LD-ELFA'!N:N)="CANCELADO"),_xlfn.XLOOKUP(D125,'LD-ELFA'!F:F,'LD-ELFA'!U:U),IF(AND(L125="",J125&lt;&gt;"PARA APROVAÇÃO"),"",""))))</f>
        <v>#N/A</v>
      </c>
      <c r="N125" s="63" t="str">
        <f ca="1">IF(O125="Documento Concluído","Documento Concluído",IF(O125="Cliente - Atendimento de Comentário",IF(TODAY()&lt;=(K125+3),"No prazo","Atrasado"),IF(O125="Cliente - Atendimento de Comentário",IF(TODAY()&lt;=(WORKDAY(K125,3,0)),"No prazo","Atrasado"),IF(O125="Blossom - Emissão Final",IF(TODAY()&lt;=(WORKDAY(L125,3,0)),"No prazo","Atrasado"),IF(O125="Blossom - Atendimento de Comentário",IF(TODAY()&lt;=(WORKDAY(L125,3,0)),"No prazo","Atrasado"),IF(O125="Blossom - Documento a emitir","Documento a Emitir","ERRO"))))))</f>
        <v>ERRO</v>
      </c>
      <c r="O125" s="63" t="str">
        <f t="shared" si="12"/>
        <v>Documento Removido</v>
      </c>
      <c r="P125" s="63" t="str">
        <f t="shared" si="13"/>
        <v>Blossom</v>
      </c>
      <c r="Q125" s="63" t="e">
        <f>IF(_xlfn.XLOOKUP(D125,'LD-ELFA'!F:F,'LD-ELFA'!V:V)="","",_xlfn.XLOOKUP(D125,'LD-ELFA'!F:F,'LD-ELFA'!V:V))</f>
        <v>#N/A</v>
      </c>
      <c r="R125" s="40" t="str">
        <f>IFERROR(IF(I125&lt;&gt;"","Documento Emitido",_xlfn.XLOOKUP(D125,Cronograma!P:P,Cronograma!Q:Q)),"Documento Removido")</f>
        <v>Documento Removido</v>
      </c>
      <c r="S125" s="40" t="str">
        <f t="shared" ca="1" si="14"/>
        <v>Documento Removido</v>
      </c>
      <c r="T125" s="40" t="str">
        <f>IFERROR(IF(I125&lt;&gt;"","Documento Emitido",_xlfn.XLOOKUP(D125,Cronograma!P:P,Cronograma!R:R)),"Documento Removido")</f>
        <v>Documento Removido</v>
      </c>
      <c r="U125" s="39" t="str">
        <f t="shared" si="15"/>
        <v>Documento Removido</v>
      </c>
      <c r="V125" s="39" t="str">
        <f t="shared" si="16"/>
        <v>Documento Removido</v>
      </c>
      <c r="W125" s="39" t="e">
        <f t="shared" ca="1" si="17"/>
        <v>#N/A</v>
      </c>
    </row>
    <row r="126" spans="1:23" s="60" customFormat="1" ht="28.5" customHeight="1" x14ac:dyDescent="0.2">
      <c r="A126" s="39">
        <v>123</v>
      </c>
      <c r="B126" s="39" t="str">
        <f>_xlfn.XLOOKUP(D126,'LD-ELFA'!F:F,'LD-ELFA'!C:C)</f>
        <v>DC - Controle De Documentos</v>
      </c>
      <c r="C126" s="39" t="str">
        <f>_xlfn.XLOOKUP(D126,'LD-ELFA'!F:F,'LD-ELFA'!D:D)</f>
        <v>LDO - Lista De Documentos</v>
      </c>
      <c r="D126" s="39" t="s">
        <v>129</v>
      </c>
      <c r="E126" s="39" t="str">
        <f>_xlfn.LET(_xlpm.q,_xlfn.XLOOKUP(D126,'LD-ELFA'!F:F,'LD-ELFA'!Q:Q),
   _xlpm.r,_xlfn.XLOOKUP(D126,'LD-ELFA'!F:F,'LD-ELFA'!R:R),
   IF(_xlpm.r = "", _xlpm.q, _xlpm.q &amp; " - " &amp; _xlpm.r))</f>
        <v>LISTA DE DOCUMENTOS</v>
      </c>
      <c r="F126" s="63" t="str">
        <f t="shared" si="10"/>
        <v>Básico</v>
      </c>
      <c r="G126" s="63">
        <f>_xlfn.XLOOKUP(D126,'LD-ELFA'!F:F,'LD-ELFA'!G:G)</f>
        <v>1</v>
      </c>
      <c r="H126" s="63" t="str">
        <f>_xlfn.XLOOKUP(D126,'LD-ELFA'!F:F,'LD-ELFA'!I:I)</f>
        <v>0</v>
      </c>
      <c r="I126" s="63" t="str">
        <f>IF(_xlfn.XLOOKUP(D126,'LD-ELFA'!F:F,'LD-ELFA'!T:T)="","",_xlfn.XLOOKUP(D126,'LD-ELFA'!F:F,'LD-ELFA'!T:T))</f>
        <v>0013</v>
      </c>
      <c r="J126" s="63" t="str">
        <f>IF(K126="Documento a emitir", "",_xlfn.XLOOKUP(D126,'LD-ELFA'!F:F,'LD-ELFA'!N:N))</f>
        <v>PARA CONHECIMENTO</v>
      </c>
      <c r="K126" s="43">
        <f>IF(_xlfn.XLOOKUP($D126,'LD-ELFA'!F:F,'LD-ELFA'!U:U)="","Documento a emitir",_xlfn.XLOOKUP($D126,'LD-ELFA'!F:F,'LD-ELFA'!U:U))</f>
        <v>46204.700379363429</v>
      </c>
      <c r="L126" s="43">
        <f>IF(K126="Documento a emitir","Documento a emitir",IF(K126&lt;&gt;"Documento a emitir",IF(_xlfn.XLOOKUP(D126,'LD-ELFA'!F:F,'LD-ELFA'!W:W)="","",_xlfn.XLOOKUP(D126,'LD-ELFA'!F:F,'LD-ELFA'!W:W)),""))</f>
        <v>46205.485891585653</v>
      </c>
      <c r="M126" s="43">
        <f>IF(K126="Documento a emitir","",IF(AND(Q126="APC-R  - APC-R - Aprovado com Comentários (Retornar para uma nova Aprovação)",Q126="APC-L  - APC-L  - Aprovado com Comentários (Retornar Aprovado)"),"",IF(OR(_xlfn.XLOOKUP(D126,'LD-ELFA'!F:F,'LD-ELFA'!N:N)="PARA CONHECIMENTO",_xlfn.XLOOKUP(D126,'LD-ELFA'!F:F,'LD-ELFA'!N:N)="PARA CONSTRUÇÃO",_xlfn.XLOOKUP(D126,'LD-ELFA'!F:F,'LD-ELFA'!N:N)="PARA COTAÇÃO",_xlfn.XLOOKUP(D126,'LD-ELFA'!F:F,'LD-ELFA'!N:N)="CANCELADO"),_xlfn.XLOOKUP(D126,'LD-ELFA'!F:F,'LD-ELFA'!U:U),IF(AND(L126="",J126&lt;&gt;"PARA APROVAÇÃO"),"",""))))</f>
        <v>46204.700379363429</v>
      </c>
      <c r="N126" s="63" t="str">
        <f ca="1">IF(O126="Documento Concluído","Documento Concluído",IF(O126="Cliente - Atendimento de Comentário",IF(TODAY()&lt;=(K126+3),"No prazo","Atrasado"),IF(O126="Cliente - Atendimento de Comentário",IF(TODAY()&lt;=(WORKDAY(K126,3,0)),"No prazo","Atrasado"),IF(O126="Blossom - Emissão Final",IF(TODAY()&lt;=(WORKDAY(L126,3,0)),"No prazo","Atrasado"),IF(O126="Blossom - Atendimento de Comentário",IF(TODAY()&lt;=(WORKDAY(L126,3,0)),"No prazo","Atrasado"),IF(O126="Blossom - Documento a emitir","Documento a Emitir",IF(O126="Documento Removido","Documento Removido","ERRO")))))))</f>
        <v>Documento Concluído</v>
      </c>
      <c r="O126" s="63" t="str">
        <f t="shared" si="12"/>
        <v>Documento Concluído</v>
      </c>
      <c r="P126" s="63" t="str">
        <f t="shared" si="13"/>
        <v>Blossom</v>
      </c>
      <c r="Q126" s="63" t="str">
        <f>IF(_xlfn.XLOOKUP(D126,'LD-ELFA'!F:F,'LD-ELFA'!V:V)="","",_xlfn.XLOOKUP(D126,'LD-ELFA'!F:F,'LD-ELFA'!V:V))</f>
        <v>APR - APROVADO</v>
      </c>
      <c r="R126" s="40" t="str">
        <f>IFERROR(IF(I126&lt;&gt;"","Documento Emitido",_xlfn.XLOOKUP(D126,Cronograma!P:P,Cronograma!Q:Q)),"Documento Removido")</f>
        <v>Documento Emitido</v>
      </c>
      <c r="S126" s="40" t="str">
        <f t="shared" ca="1" si="14"/>
        <v>Documento Emitido</v>
      </c>
      <c r="T126" s="40" t="str">
        <f>IFERROR(IF(I126&lt;&gt;"","Documento Emitido",_xlfn.XLOOKUP(D126,Cronograma!P:P,Cronograma!R:R)),"Documento Removido")</f>
        <v>Documento Emitido</v>
      </c>
      <c r="U126" s="39" t="str">
        <f t="shared" si="15"/>
        <v>Documento Emitido</v>
      </c>
      <c r="V126" s="39" t="str">
        <f t="shared" si="16"/>
        <v>Documento Emitido</v>
      </c>
      <c r="W126" s="39" t="str">
        <f t="shared" ca="1" si="17"/>
        <v/>
      </c>
    </row>
    <row r="127" spans="1:23" s="60" customFormat="1" ht="28.5" customHeight="1" x14ac:dyDescent="0.2">
      <c r="A127" s="39">
        <v>124</v>
      </c>
      <c r="B127" s="39" t="str">
        <f>_xlfn.XLOOKUP(D127,'LD-ELFA'!F:F,'LD-ELFA'!C:C)</f>
        <v>ED - Engenharia Digital</v>
      </c>
      <c r="C127" s="39" t="str">
        <f>_xlfn.XLOOKUP(D127,'LD-ELFA'!F:F,'LD-ELFA'!D:D)</f>
        <v>MOD - Modelagem 3D</v>
      </c>
      <c r="D127" s="39" t="s">
        <v>130</v>
      </c>
      <c r="E127" s="39" t="str">
        <f>_xlfn.LET(_xlpm.q,_xlfn.XLOOKUP(D127,'LD-ELFA'!F:F,'LD-ELFA'!Q:Q),
   _xlpm.r,_xlfn.XLOOKUP(D127,'LD-ELFA'!F:F,'LD-ELFA'!R:R),
   IF(_xlpm.r = "", _xlpm.q, _xlpm.q &amp; " - " &amp; _xlpm.r))</f>
        <v>MODELO 3D</v>
      </c>
      <c r="F127" s="63" t="str">
        <f t="shared" si="10"/>
        <v>Básico</v>
      </c>
      <c r="G127" s="63">
        <f>_xlfn.XLOOKUP(D127,'LD-ELFA'!F:F,'LD-ELFA'!G:G)</f>
        <v>0</v>
      </c>
      <c r="H127" s="63">
        <f>_xlfn.XLOOKUP(D127,'LD-ELFA'!F:F,'LD-ELFA'!I:I)</f>
        <v>0</v>
      </c>
      <c r="I127" s="63" t="str">
        <f>IF(_xlfn.XLOOKUP(D127,'LD-ELFA'!F:F,'LD-ELFA'!T:T)="","",_xlfn.XLOOKUP(D127,'LD-ELFA'!F:F,'LD-ELFA'!T:T))</f>
        <v/>
      </c>
      <c r="J127" s="63" t="str">
        <f>IF(K127="Documento a emitir", "",_xlfn.XLOOKUP(D127,'LD-ELFA'!F:F,'LD-ELFA'!N:N))</f>
        <v/>
      </c>
      <c r="K127" s="43" t="str">
        <f>IF(_xlfn.XLOOKUP($D127,'LD-ELFA'!F:F,'LD-ELFA'!U:U)="","Documento a emitir",_xlfn.XLOOKUP($D127,'LD-ELFA'!F:F,'LD-ELFA'!U:U))</f>
        <v>Documento a emitir</v>
      </c>
      <c r="L127" s="43" t="str">
        <f>IF(K127="Documento a emitir","Documento a emitir",IF(K127&lt;&gt;"Documento a emitir",IF(_xlfn.XLOOKUP(D127,'LD-ELFA'!F:F,'LD-ELFA'!W:W)="","",_xlfn.XLOOKUP(D127,'LD-ELFA'!F:F,'LD-ELFA'!W:W)),""))</f>
        <v>Documento a emitir</v>
      </c>
      <c r="M127" s="43" t="str">
        <f>IF(K127="Documento a emitir","",IF(AND(Q127="APC-R  - APC-R - Aprovado com Comentários (Retornar para uma nova Aprovação)",Q127="APC-L  - APC-L  - Aprovado com Comentários (Retornar Aprovado)"),"",IF(OR(_xlfn.XLOOKUP(D127,'LD-ELFA'!F:F,'LD-ELFA'!N:N)="PARA CONHECIMENTO",_xlfn.XLOOKUP(D127,'LD-ELFA'!F:F,'LD-ELFA'!N:N)="PARA CONSTRUÇÃO",_xlfn.XLOOKUP(D127,'LD-ELFA'!F:F,'LD-ELFA'!N:N)="PARA COTAÇÃO",_xlfn.XLOOKUP(D127,'LD-ELFA'!F:F,'LD-ELFA'!N:N)="CANCELADO"),_xlfn.XLOOKUP(D127,'LD-ELFA'!F:F,'LD-ELFA'!U:U),IF(AND(L127="",J127&lt;&gt;"PARA APROVAÇÃO"),"",""))))</f>
        <v/>
      </c>
      <c r="N127" s="63" t="str">
        <f t="shared" ref="N127:N141" ca="1" si="19">IF(O127="Documento Concluído","Documento Concluído",IF(O127="Cliente - Atendimento de Comentário",IF(TODAY()&lt;=(K127+3),"No prazo","Atrasado"),IF(O127="Cliente - Atendimento de Comentário",IF(TODAY()&lt;=(WORKDAY(K127,3,0)),"No prazo","Atrasado"),IF(O127="Blossom - Emissão Final",IF(TODAY()&lt;=(WORKDAY(L127,3,0)),"No prazo","Atrasado"),IF(O127="Blossom - Atendimento de Comentário",IF(TODAY()&lt;=(WORKDAY(L127,3,0)),"No prazo","Atrasado"),IF(O127="Blossom - Documento a emitir","Documento a Emitir","ERRO"))))))</f>
        <v>Documento a Emitir</v>
      </c>
      <c r="O127" s="63" t="str">
        <f t="shared" si="12"/>
        <v>Blossom - Documento a emitir</v>
      </c>
      <c r="P127" s="63" t="str">
        <f t="shared" si="13"/>
        <v>Blossom</v>
      </c>
      <c r="Q127" s="63" t="str">
        <f>IF(_xlfn.XLOOKUP(D127,'LD-ELFA'!F:F,'LD-ELFA'!V:V)="","",_xlfn.XLOOKUP(D127,'LD-ELFA'!F:F,'LD-ELFA'!V:V))</f>
        <v/>
      </c>
      <c r="R127" s="40">
        <f>IFERROR(IF(I127&lt;&gt;"","Documento Emitido",_xlfn.XLOOKUP(D127,Cronograma!P:P,Cronograma!Q:Q)),"Documento Removido")</f>
        <v>46213</v>
      </c>
      <c r="S127" s="40" t="str">
        <f t="shared" ca="1" si="14"/>
        <v>Emissão Atrasada</v>
      </c>
      <c r="T127" s="40" t="str">
        <f>IFERROR(IF(I127&lt;&gt;"","Documento Emitido",_xlfn.XLOOKUP(D127,Cronograma!P:P,Cronograma!R:R)),"Documento Removido")</f>
        <v>ND</v>
      </c>
      <c r="U127" s="39" t="str">
        <f t="shared" si="15"/>
        <v>No prazo</v>
      </c>
      <c r="V127" s="39" t="str">
        <f t="shared" si="16"/>
        <v/>
      </c>
      <c r="W127" s="39" t="str">
        <f t="shared" ca="1" si="17"/>
        <v/>
      </c>
    </row>
    <row r="128" spans="1:23" s="60" customFormat="1" ht="28.5" customHeight="1" x14ac:dyDescent="0.2">
      <c r="A128" s="39">
        <v>125</v>
      </c>
      <c r="B128" s="39" t="str">
        <f>_xlfn.XLOOKUP(D128,'LD-ELFA'!F:F,'LD-ELFA'!C:C)</f>
        <v>ED - Engenharia Digital</v>
      </c>
      <c r="C128" s="39" t="str">
        <f>_xlfn.XLOOKUP(D128,'LD-ELFA'!F:F,'LD-ELFA'!D:D)</f>
        <v>RTE - Relatório Técnico</v>
      </c>
      <c r="D128" s="39" t="s">
        <v>131</v>
      </c>
      <c r="E128" s="39" t="str">
        <f>_xlfn.LET(_xlpm.q,_xlfn.XLOOKUP(D128,'LD-ELFA'!F:F,'LD-ELFA'!Q:Q),
   _xlpm.r,_xlfn.XLOOKUP(D128,'LD-ELFA'!F:F,'LD-ELFA'!R:R),
   IF(_xlpm.r = "", _xlpm.q, _xlpm.q &amp; " - " &amp; _xlpm.r))</f>
        <v>BEP</v>
      </c>
      <c r="F128" s="63" t="str">
        <f t="shared" si="10"/>
        <v>Básico</v>
      </c>
      <c r="G128" s="63">
        <f>_xlfn.XLOOKUP(D128,'LD-ELFA'!F:F,'LD-ELFA'!G:G)</f>
        <v>0</v>
      </c>
      <c r="H128" s="63" t="str">
        <f>_xlfn.XLOOKUP(D128,'LD-ELFA'!F:F,'LD-ELFA'!I:I)</f>
        <v>A</v>
      </c>
      <c r="I128" s="63" t="str">
        <f>IF(_xlfn.XLOOKUP(D128,'LD-ELFA'!F:F,'LD-ELFA'!T:T)="","",_xlfn.XLOOKUP(D128,'LD-ELFA'!F:F,'LD-ELFA'!T:T))</f>
        <v>0001</v>
      </c>
      <c r="J128" s="63" t="str">
        <f>IF(K128="Documento a emitir", "",_xlfn.XLOOKUP(D128,'LD-ELFA'!F:F,'LD-ELFA'!N:N))</f>
        <v>PRELIMINAR</v>
      </c>
      <c r="K128" s="43">
        <f>IF(_xlfn.XLOOKUP($D128,'LD-ELFA'!F:F,'LD-ELFA'!U:U)="","Documento a emitir",_xlfn.XLOOKUP($D128,'LD-ELFA'!F:F,'LD-ELFA'!U:U))</f>
        <v>46193.521099305559</v>
      </c>
      <c r="L128" s="43">
        <f>IF(K128="Documento a emitir","Documento a emitir",IF(K128&lt;&gt;"Documento a emitir",IF(_xlfn.XLOOKUP(D128,'LD-ELFA'!F:F,'LD-ELFA'!W:W)="","",_xlfn.XLOOKUP(D128,'LD-ELFA'!F:F,'LD-ELFA'!W:W)),""))</f>
        <v>46204.477128668979</v>
      </c>
      <c r="M128" s="43" t="str">
        <f>IF(K128="Documento a emitir","",IF(AND(Q128="APC-R  - APC-R - Aprovado com Comentários (Retornar para uma nova Aprovação)",Q128="APC-L  - APC-L  - Aprovado com Comentários (Retornar Aprovado)"),"",IF(OR(_xlfn.XLOOKUP(D128,'LD-ELFA'!F:F,'LD-ELFA'!N:N)="PARA CONHECIMENTO",_xlfn.XLOOKUP(D128,'LD-ELFA'!F:F,'LD-ELFA'!N:N)="PARA CONSTRUÇÃO",_xlfn.XLOOKUP(D128,'LD-ELFA'!F:F,'LD-ELFA'!N:N)="PARA COTAÇÃO",_xlfn.XLOOKUP(D128,'LD-ELFA'!F:F,'LD-ELFA'!N:N)="CANCELADO"),_xlfn.XLOOKUP(D128,'LD-ELFA'!F:F,'LD-ELFA'!U:U),IF(AND(L128="",J128&lt;&gt;"PARA APROVAÇÃO"),"",""))))</f>
        <v/>
      </c>
      <c r="N128" s="63" t="str">
        <f t="shared" ca="1" si="19"/>
        <v>Atrasado</v>
      </c>
      <c r="O128" s="63" t="str">
        <f t="shared" si="12"/>
        <v>Blossom - Atendimento de Comentário</v>
      </c>
      <c r="P128" s="63" t="str">
        <f t="shared" si="13"/>
        <v>Blossom</v>
      </c>
      <c r="Q128" s="63" t="str">
        <f>IF(_xlfn.XLOOKUP(D128,'LD-ELFA'!F:F,'LD-ELFA'!V:V)="","",_xlfn.XLOOKUP(D128,'LD-ELFA'!F:F,'LD-ELFA'!V:V))</f>
        <v>APC-R  - APC-R - Aprovado com Comentários (Retornar para uma nova Aprovação)</v>
      </c>
      <c r="R128" s="40" t="str">
        <f>IFERROR(IF(I128&lt;&gt;"","Documento Emitido",_xlfn.XLOOKUP(D128,Cronograma!P:P,Cronograma!Q:Q)),"Documento Removido")</f>
        <v>Documento Emitido</v>
      </c>
      <c r="S128" s="40" t="str">
        <f t="shared" ca="1" si="14"/>
        <v>Documento Emitido</v>
      </c>
      <c r="T128" s="40" t="str">
        <f>IFERROR(IF(I128&lt;&gt;"","Documento Emitido",_xlfn.XLOOKUP(D128,Cronograma!P:P,Cronograma!R:R)),"Documento Removido")</f>
        <v>Documento Emitido</v>
      </c>
      <c r="U128" s="39" t="str">
        <f t="shared" si="15"/>
        <v>Documento Emitido</v>
      </c>
      <c r="V128" s="39" t="str">
        <f t="shared" si="16"/>
        <v>Documento Emitido</v>
      </c>
      <c r="W128" s="39" t="str">
        <f t="shared" ca="1" si="17"/>
        <v/>
      </c>
    </row>
    <row r="129" spans="1:23" s="60" customFormat="1" ht="28.5" customHeight="1" x14ac:dyDescent="0.2">
      <c r="A129" s="39">
        <v>126</v>
      </c>
      <c r="B129" s="39" t="str">
        <f>_xlfn.XLOOKUP(D129,'LD-ELFA'!F:F,'LD-ELFA'!C:C)</f>
        <v>ED - Engenharia Digital</v>
      </c>
      <c r="C129" s="39" t="str">
        <f>_xlfn.XLOOKUP(D129,'LD-ELFA'!F:F,'LD-ELFA'!D:D)</f>
        <v>RTE - Relatório Técnico</v>
      </c>
      <c r="D129" s="39" t="s">
        <v>132</v>
      </c>
      <c r="E129" s="39" t="str">
        <f>_xlfn.LET(_xlpm.q,_xlfn.XLOOKUP(D129,'LD-ELFA'!F:F,'LD-ELFA'!Q:Q),
   _xlpm.r,_xlfn.XLOOKUP(D129,'LD-ELFA'!F:F,'LD-ELFA'!R:R),
   IF(_xlpm.r = "", _xlpm.q, _xlpm.q &amp; " - " &amp; _xlpm.r))</f>
        <v>RELATÓRIO DE INTERFERÊNCIAS</v>
      </c>
      <c r="F129" s="63" t="str">
        <f t="shared" si="10"/>
        <v>Básico</v>
      </c>
      <c r="G129" s="63">
        <f>_xlfn.XLOOKUP(D129,'LD-ELFA'!F:F,'LD-ELFA'!G:G)</f>
        <v>0</v>
      </c>
      <c r="H129" s="63" t="str">
        <f>_xlfn.XLOOKUP(D129,'LD-ELFA'!F:F,'LD-ELFA'!I:I)</f>
        <v>B</v>
      </c>
      <c r="I129" s="63" t="str">
        <f>IF(_xlfn.XLOOKUP(D129,'LD-ELFA'!F:F,'LD-ELFA'!T:T)="","",_xlfn.XLOOKUP(D129,'LD-ELFA'!F:F,'LD-ELFA'!T:T))</f>
        <v/>
      </c>
      <c r="J129" s="63" t="str">
        <f>IF(K129="Documento a emitir", "",_xlfn.XLOOKUP(D129,'LD-ELFA'!F:F,'LD-ELFA'!N:N))</f>
        <v/>
      </c>
      <c r="K129" s="43" t="str">
        <f>IF(_xlfn.XLOOKUP($D129,'LD-ELFA'!F:F,'LD-ELFA'!U:U)="","Documento a emitir",_xlfn.XLOOKUP($D129,'LD-ELFA'!F:F,'LD-ELFA'!U:U))</f>
        <v>Documento a emitir</v>
      </c>
      <c r="L129" s="43" t="str">
        <f>IF(K129="Documento a emitir","Documento a emitir",IF(K129&lt;&gt;"Documento a emitir",IF(_xlfn.XLOOKUP(D129,'LD-ELFA'!F:F,'LD-ELFA'!W:W)="","",_xlfn.XLOOKUP(D129,'LD-ELFA'!F:F,'LD-ELFA'!W:W)),""))</f>
        <v>Documento a emitir</v>
      </c>
      <c r="M129" s="43" t="str">
        <f>IF(K129="Documento a emitir","",IF(AND(Q129="APC-R  - APC-R - Aprovado com Comentários (Retornar para uma nova Aprovação)",Q129="APC-L  - APC-L  - Aprovado com Comentários (Retornar Aprovado)"),"",IF(OR(_xlfn.XLOOKUP(D129,'LD-ELFA'!F:F,'LD-ELFA'!N:N)="PARA CONHECIMENTO",_xlfn.XLOOKUP(D129,'LD-ELFA'!F:F,'LD-ELFA'!N:N)="PARA CONSTRUÇÃO",_xlfn.XLOOKUP(D129,'LD-ELFA'!F:F,'LD-ELFA'!N:N)="PARA COTAÇÃO",_xlfn.XLOOKUP(D129,'LD-ELFA'!F:F,'LD-ELFA'!N:N)="CANCELADO"),_xlfn.XLOOKUP(D129,'LD-ELFA'!F:F,'LD-ELFA'!U:U),IF(AND(L129="",J129&lt;&gt;"PARA APROVAÇÃO"),"",""))))</f>
        <v/>
      </c>
      <c r="N129" s="63" t="str">
        <f t="shared" ca="1" si="19"/>
        <v>Documento a Emitir</v>
      </c>
      <c r="O129" s="63" t="str">
        <f t="shared" si="12"/>
        <v>Blossom - Documento a emitir</v>
      </c>
      <c r="P129" s="63" t="str">
        <f t="shared" si="13"/>
        <v>Blossom</v>
      </c>
      <c r="Q129" s="63" t="str">
        <f>IF(_xlfn.XLOOKUP(D129,'LD-ELFA'!F:F,'LD-ELFA'!V:V)="","",_xlfn.XLOOKUP(D129,'LD-ELFA'!F:F,'LD-ELFA'!V:V))</f>
        <v/>
      </c>
      <c r="R129" s="40">
        <f>IFERROR(IF(I129&lt;&gt;"","Documento Emitido",_xlfn.XLOOKUP(D129,Cronograma!P:P,Cronograma!Q:Q)),"Documento Removido")</f>
        <v>46275</v>
      </c>
      <c r="S129" s="40" t="str">
        <f t="shared" ca="1" si="14"/>
        <v>No prazo</v>
      </c>
      <c r="T129" s="40">
        <f>IFERROR(IF(I129&lt;&gt;"","Documento Emitido",_xlfn.XLOOKUP(D129,Cronograma!P:P,Cronograma!R:R)),"Documento Removido")</f>
        <v>46275</v>
      </c>
      <c r="U129" s="39" t="str">
        <f t="shared" si="15"/>
        <v>No prazo</v>
      </c>
      <c r="V129" s="39" t="str">
        <f t="shared" si="16"/>
        <v/>
      </c>
      <c r="W129" s="39" t="str">
        <f t="shared" ca="1" si="17"/>
        <v/>
      </c>
    </row>
    <row r="130" spans="1:23" s="60" customFormat="1" ht="28.5" customHeight="1" x14ac:dyDescent="0.2">
      <c r="A130" s="39">
        <v>127</v>
      </c>
      <c r="B130" s="39" t="str">
        <f>_xlfn.XLOOKUP(D130,'LD-ELFA'!F:F,'LD-ELFA'!C:C)</f>
        <v>ED - Engenharia Digital</v>
      </c>
      <c r="C130" s="39" t="str">
        <f>_xlfn.XLOOKUP(D130,'LD-ELFA'!F:F,'LD-ELFA'!D:D)</f>
        <v>RTE - Relatório Técnico</v>
      </c>
      <c r="D130" s="39" t="s">
        <v>133</v>
      </c>
      <c r="E130" s="39" t="str">
        <f>_xlfn.LET(_xlpm.q,_xlfn.XLOOKUP(D130,'LD-ELFA'!F:F,'LD-ELFA'!Q:Q),
   _xlpm.r,_xlfn.XLOOKUP(D130,'LD-ELFA'!F:F,'LD-ELFA'!R:R),
   IF(_xlpm.r = "", _xlpm.q, _xlpm.q &amp; " - " &amp; _xlpm.r))</f>
        <v>FICHA DE SETUP - 3D</v>
      </c>
      <c r="F130" s="63" t="str">
        <f t="shared" si="10"/>
        <v>Básico</v>
      </c>
      <c r="G130" s="63">
        <f>_xlfn.XLOOKUP(D130,'LD-ELFA'!F:F,'LD-ELFA'!G:G)</f>
        <v>1</v>
      </c>
      <c r="H130" s="63" t="str">
        <f>_xlfn.XLOOKUP(D130,'LD-ELFA'!F:F,'LD-ELFA'!I:I)</f>
        <v>0</v>
      </c>
      <c r="I130" s="63" t="str">
        <f>IF(_xlfn.XLOOKUP(D130,'LD-ELFA'!F:F,'LD-ELFA'!T:T)="","",_xlfn.XLOOKUP(D130,'LD-ELFA'!F:F,'LD-ELFA'!T:T))</f>
        <v>0030</v>
      </c>
      <c r="J130" s="63" t="str">
        <f>IF(K130="Documento a emitir", "",_xlfn.XLOOKUP(D130,'LD-ELFA'!F:F,'LD-ELFA'!N:N))</f>
        <v>PARA CONHECIMENTO</v>
      </c>
      <c r="K130" s="43">
        <f>IF(_xlfn.XLOOKUP($D130,'LD-ELFA'!F:F,'LD-ELFA'!U:U)="","Documento a emitir",_xlfn.XLOOKUP($D130,'LD-ELFA'!F:F,'LD-ELFA'!U:U))</f>
        <v>46212.676366701387</v>
      </c>
      <c r="L130" s="43">
        <f>IF(K130="Documento a emitir","Documento a emitir",IF(K130&lt;&gt;"Documento a emitir",IF(_xlfn.XLOOKUP(D130,'LD-ELFA'!F:F,'LD-ELFA'!W:W)="","",_xlfn.XLOOKUP(D130,'LD-ELFA'!F:F,'LD-ELFA'!W:W)),""))</f>
        <v>46213.699135034723</v>
      </c>
      <c r="M130" s="43">
        <f>IF(K130="Documento a emitir","",IF(AND(Q130="APC-R  - APC-R - Aprovado com Comentários (Retornar para uma nova Aprovação)",Q130="APC-L  - APC-L  - Aprovado com Comentários (Retornar Aprovado)"),"",IF(OR(_xlfn.XLOOKUP(D130,'LD-ELFA'!F:F,'LD-ELFA'!N:N)="PARA CONHECIMENTO",_xlfn.XLOOKUP(D130,'LD-ELFA'!F:F,'LD-ELFA'!N:N)="PARA CONSTRUÇÃO",_xlfn.XLOOKUP(D130,'LD-ELFA'!F:F,'LD-ELFA'!N:N)="PARA COTAÇÃO",_xlfn.XLOOKUP(D130,'LD-ELFA'!F:F,'LD-ELFA'!N:N)="CANCELADO"),_xlfn.XLOOKUP(D130,'LD-ELFA'!F:F,'LD-ELFA'!U:U),IF(AND(L130="",J130&lt;&gt;"PARA APROVAÇÃO"),"",""))))</f>
        <v>46212.676366701387</v>
      </c>
      <c r="N130" s="63" t="str">
        <f t="shared" ca="1" si="19"/>
        <v>Documento Concluído</v>
      </c>
      <c r="O130" s="63" t="str">
        <f t="shared" si="12"/>
        <v>Documento Concluído</v>
      </c>
      <c r="P130" s="63" t="str">
        <f t="shared" si="13"/>
        <v>Blossom</v>
      </c>
      <c r="Q130" s="63" t="str">
        <f>IF(_xlfn.XLOOKUP(D130,'LD-ELFA'!F:F,'LD-ELFA'!V:V)="","",_xlfn.XLOOKUP(D130,'LD-ELFA'!F:F,'LD-ELFA'!V:V))</f>
        <v>APR - APROVADO</v>
      </c>
      <c r="R130" s="40" t="str">
        <f>IFERROR(IF(I130&lt;&gt;"","Documento Emitido",_xlfn.XLOOKUP(D130,Cronograma!P:P,Cronograma!Q:Q)),"Documento Removido")</f>
        <v>Documento Emitido</v>
      </c>
      <c r="S130" s="40" t="str">
        <f t="shared" ca="1" si="14"/>
        <v>Documento Emitido</v>
      </c>
      <c r="T130" s="40" t="str">
        <f>IFERROR(IF(I130&lt;&gt;"","Documento Emitido",_xlfn.XLOOKUP(D130,Cronograma!P:P,Cronograma!R:R)),"Documento Removido")</f>
        <v>Documento Emitido</v>
      </c>
      <c r="U130" s="39" t="str">
        <f t="shared" si="15"/>
        <v>Documento Emitido</v>
      </c>
      <c r="V130" s="39" t="str">
        <f t="shared" si="16"/>
        <v>Documento Emitido</v>
      </c>
      <c r="W130" s="39" t="str">
        <f t="shared" ca="1" si="17"/>
        <v>Atendimento de Comentário</v>
      </c>
    </row>
    <row r="131" spans="1:23" s="60" customFormat="1" ht="28.5" customHeight="1" x14ac:dyDescent="0.2">
      <c r="A131" s="39">
        <v>128</v>
      </c>
      <c r="B131" s="39" t="str">
        <f>_xlfn.XLOOKUP(D131,'LD-ELFA'!F:F,'LD-ELFA'!C:C)</f>
        <v>EL - Eletrica</v>
      </c>
      <c r="C131" s="39" t="str">
        <f>_xlfn.XLOOKUP(D131,'LD-ELFA'!F:F,'LD-ELFA'!D:D)</f>
        <v>DUN - Diagrama Unifilar</v>
      </c>
      <c r="D131" s="39" t="s">
        <v>134</v>
      </c>
      <c r="E131" s="39" t="str">
        <f>_xlfn.LET(_xlpm.q,_xlfn.XLOOKUP(D131,'LD-ELFA'!F:F,'LD-ELFA'!Q:Q),
   _xlpm.r,_xlfn.XLOOKUP(D131,'LD-ELFA'!F:F,'LD-ELFA'!R:R),
   IF(_xlpm.r = "", _xlpm.q, _xlpm.q &amp; " - " &amp; _xlpm.r))</f>
        <v>DIAGRAMA UNIFILAR  GERAL SIMPLIFICADO</v>
      </c>
      <c r="F131" s="63" t="str">
        <f t="shared" si="10"/>
        <v>Básico</v>
      </c>
      <c r="G131" s="63">
        <f>_xlfn.XLOOKUP(D131,'LD-ELFA'!F:F,'LD-ELFA'!G:G)</f>
        <v>0</v>
      </c>
      <c r="H131" s="63" t="str">
        <f>_xlfn.XLOOKUP(D131,'LD-ELFA'!F:F,'LD-ELFA'!I:I)</f>
        <v>A</v>
      </c>
      <c r="I131" s="63" t="str">
        <f>IF(_xlfn.XLOOKUP(D131,'LD-ELFA'!F:F,'LD-ELFA'!T:T)="","",_xlfn.XLOOKUP(D131,'LD-ELFA'!F:F,'LD-ELFA'!T:T))</f>
        <v>0006</v>
      </c>
      <c r="J131" s="63" t="str">
        <f>IF(K131="Documento a emitir", "",_xlfn.XLOOKUP(D131,'LD-ELFA'!F:F,'LD-ELFA'!N:N))</f>
        <v>PARA APROVAÇÃO</v>
      </c>
      <c r="K131" s="43">
        <f>IF(_xlfn.XLOOKUP($D131,'LD-ELFA'!F:F,'LD-ELFA'!U:U)="","Documento a emitir",_xlfn.XLOOKUP($D131,'LD-ELFA'!F:F,'LD-ELFA'!U:U))</f>
        <v>46199.69948116898</v>
      </c>
      <c r="L131" s="43">
        <f>IF(K131="Documento a emitir","Documento a emitir",IF(K131&lt;&gt;"Documento a emitir",IF(_xlfn.XLOOKUP(D131,'LD-ELFA'!F:F,'LD-ELFA'!W:W)="","",_xlfn.XLOOKUP(D131,'LD-ELFA'!F:F,'LD-ELFA'!W:W)),""))</f>
        <v>46204.64638903935</v>
      </c>
      <c r="M131" s="43" t="str">
        <f>IF(K131="Documento a emitir","",IF(AND(Q131="APC-R  - APC-R - Aprovado com Comentários (Retornar para uma nova Aprovação)",Q131="APC-L  - APC-L  - Aprovado com Comentários (Retornar Aprovado)"),"",IF(OR(_xlfn.XLOOKUP(D131,'LD-ELFA'!F:F,'LD-ELFA'!N:N)="PARA CONHECIMENTO",_xlfn.XLOOKUP(D131,'LD-ELFA'!F:F,'LD-ELFA'!N:N)="PARA CONSTRUÇÃO",_xlfn.XLOOKUP(D131,'LD-ELFA'!F:F,'LD-ELFA'!N:N)="PARA COTAÇÃO",_xlfn.XLOOKUP(D131,'LD-ELFA'!F:F,'LD-ELFA'!N:N)="CANCELADO"),_xlfn.XLOOKUP(D131,'LD-ELFA'!F:F,'LD-ELFA'!U:U),IF(AND(L131="",J131&lt;&gt;"PARA APROVAÇÃO"),"",""))))</f>
        <v/>
      </c>
      <c r="N131" s="63" t="str">
        <f t="shared" ca="1" si="19"/>
        <v>Atrasado</v>
      </c>
      <c r="O131" s="63" t="str">
        <f t="shared" si="12"/>
        <v>Blossom - Atendimento de Comentário</v>
      </c>
      <c r="P131" s="63" t="str">
        <f t="shared" si="13"/>
        <v>Blossom</v>
      </c>
      <c r="Q131" s="63" t="str">
        <f>IF(_xlfn.XLOOKUP(D131,'LD-ELFA'!F:F,'LD-ELFA'!V:V)="","",_xlfn.XLOOKUP(D131,'LD-ELFA'!F:F,'LD-ELFA'!V:V))</f>
        <v>APC-R  - APC-R - Aprovado com Comentários (Retornar para uma nova Aprovação)</v>
      </c>
      <c r="R131" s="40" t="str">
        <f>IFERROR(IF(I131&lt;&gt;"","Documento Emitido",_xlfn.XLOOKUP(D131,Cronograma!P:P,Cronograma!Q:Q)),"Documento Removido")</f>
        <v>Documento Emitido</v>
      </c>
      <c r="S131" s="40" t="str">
        <f t="shared" ca="1" si="14"/>
        <v>Documento Emitido</v>
      </c>
      <c r="T131" s="40" t="str">
        <f>IFERROR(IF(I131&lt;&gt;"","Documento Emitido",_xlfn.XLOOKUP(D131,Cronograma!P:P,Cronograma!R:R)),"Documento Removido")</f>
        <v>Documento Emitido</v>
      </c>
      <c r="U131" s="39" t="str">
        <f t="shared" si="15"/>
        <v>Documento Emitido</v>
      </c>
      <c r="V131" s="39" t="str">
        <f t="shared" si="16"/>
        <v>Documento Emitido</v>
      </c>
      <c r="W131" s="39" t="str">
        <f t="shared" ca="1" si="17"/>
        <v/>
      </c>
    </row>
    <row r="132" spans="1:23" s="60" customFormat="1" ht="28.5" customHeight="1" x14ac:dyDescent="0.2">
      <c r="A132" s="39">
        <v>129</v>
      </c>
      <c r="B132" s="39" t="str">
        <f>_xlfn.XLOOKUP(D132,'LD-ELFA'!F:F,'LD-ELFA'!C:C)</f>
        <v>EL - Eletrica</v>
      </c>
      <c r="C132" s="39" t="str">
        <f>_xlfn.XLOOKUP(D132,'LD-ELFA'!F:F,'LD-ELFA'!D:D)</f>
        <v>DUN - Diagrama Unifilar</v>
      </c>
      <c r="D132" s="39" t="s">
        <v>135</v>
      </c>
      <c r="E132" s="39" t="str">
        <f>_xlfn.LET(_xlpm.q,_xlfn.XLOOKUP(D132,'LD-ELFA'!F:F,'LD-ELFA'!Q:Q),
   _xlpm.r,_xlfn.XLOOKUP(D132,'LD-ELFA'!F:F,'LD-ELFA'!R:R),
   IF(_xlpm.r = "", _xlpm.q, _xlpm.q &amp; " - " &amp; _xlpm.r))</f>
        <v>DIAGRAMA UNIFILAR SUBESTAÇÃO 1901-SE-001</v>
      </c>
      <c r="F132" s="63" t="str">
        <f t="shared" ref="F132:F195" si="20">IF(ISNUMBER(VALUE(RIGHT(D132,4))),
IF(AND(VALUE(RIGHT(D132,4))&gt;=1000, VALUE(RIGHT(D132,4))&lt;2000), "Conceitual",
IF(AND(VALUE(RIGHT(D132,4))&gt;=2000, VALUE(RIGHT(D132,4))&lt;3000), "Básico",
IF(AND(VALUE(RIGHT(D132,4))&gt;=3000, VALUE(RIGHT(D132,4))&lt;4000), "Detalhado", ""))),
"")</f>
        <v>Básico</v>
      </c>
      <c r="G132" s="63">
        <f>_xlfn.XLOOKUP(D132,'LD-ELFA'!F:F,'LD-ELFA'!G:G)</f>
        <v>0</v>
      </c>
      <c r="H132" s="63" t="str">
        <f>_xlfn.XLOOKUP(D132,'LD-ELFA'!F:F,'LD-ELFA'!I:I)</f>
        <v>A</v>
      </c>
      <c r="I132" s="63" t="str">
        <f>IF(_xlfn.XLOOKUP(D132,'LD-ELFA'!F:F,'LD-ELFA'!T:T)="","",_xlfn.XLOOKUP(D132,'LD-ELFA'!F:F,'LD-ELFA'!T:T))</f>
        <v>0018</v>
      </c>
      <c r="J132" s="63" t="str">
        <f>IF(K132="Documento a emitir", "",_xlfn.XLOOKUP(D132,'LD-ELFA'!F:F,'LD-ELFA'!N:N))</f>
        <v>PARA APROVAÇÃO</v>
      </c>
      <c r="K132" s="43">
        <f>IF(_xlfn.XLOOKUP($D132,'LD-ELFA'!F:F,'LD-ELFA'!U:U)="","Documento a emitir",_xlfn.XLOOKUP($D132,'LD-ELFA'!F:F,'LD-ELFA'!U:U))</f>
        <v>46209.706576273151</v>
      </c>
      <c r="L132" s="43" t="str">
        <f>IF(K132="Documento a emitir","Documento a emitir",IF(K132&lt;&gt;"Documento a emitir",IF(_xlfn.XLOOKUP(D132,'LD-ELFA'!F:F,'LD-ELFA'!W:W)="","",_xlfn.XLOOKUP(D132,'LD-ELFA'!F:F,'LD-ELFA'!W:W)),""))</f>
        <v/>
      </c>
      <c r="M132" s="43" t="str">
        <f>IF(K132="Documento a emitir","",IF(AND(Q132="APC-R  - APC-R - Aprovado com Comentários (Retornar para uma nova Aprovação)",Q132="APC-L  - APC-L  - Aprovado com Comentários (Retornar Aprovado)"),"",IF(OR(_xlfn.XLOOKUP(D132,'LD-ELFA'!F:F,'LD-ELFA'!N:N)="PARA CONHECIMENTO",_xlfn.XLOOKUP(D132,'LD-ELFA'!F:F,'LD-ELFA'!N:N)="PARA CONSTRUÇÃO",_xlfn.XLOOKUP(D132,'LD-ELFA'!F:F,'LD-ELFA'!N:N)="PARA COTAÇÃO",_xlfn.XLOOKUP(D132,'LD-ELFA'!F:F,'LD-ELFA'!N:N)="CANCELADO"),_xlfn.XLOOKUP(D132,'LD-ELFA'!F:F,'LD-ELFA'!U:U),IF(AND(L132="",J132&lt;&gt;"PARA APROVAÇÃO"),"",""))))</f>
        <v/>
      </c>
      <c r="N132" s="63" t="str">
        <f t="shared" ca="1" si="19"/>
        <v>Atrasado</v>
      </c>
      <c r="O132" s="63" t="str">
        <f t="shared" ref="O132:O195" si="21">IF(R132="Documento Removido","Documento Removido",IF(M132&lt;&gt;"","Documento Concluído",IF(AND(M132="",Q132="PARA APROVAÇÃO"),"Blossom - Emissão Final",IF(AND(M132="",Q132="APC-L  - APC-L  - Aprovado com Comentários (Retornar Aprovado)",Q132="APC-R  - APC-R - Aprovado com Comentários (Retornar para uma nova Aprovação)"),"Blossom - Atendimento de Comentário",IF(AND(L132&lt;&gt;"",J132="PARA APROVAÇÃO"),"Blossom - Atendimento de Comentário",IF(AND(L132&lt;&gt;"",J132="PRELIMINAR"),"Blossom - Atendimento de Comentário",IF(AND(L132="",J132&lt;&gt;"PARA APROVAÇÃO"),"Cliente - Atendimento de Comentário",IF(AND(L132="",J132&lt;&gt;"PRELIMINAR"),"Cliente - Atendimento de Comentário",IF(AND(K132&lt;&gt;"Documento a emitir",J132="PARA APROVAÇÃO"),"Cliente - Atendimento de Comentário",IF(K132="Documento a emitir","Blossom - Documento a emitir","ERRO"))))))))))</f>
        <v>Cliente - Atendimento de Comentário</v>
      </c>
      <c r="P132" s="63" t="str">
        <f t="shared" ref="P132:P195" si="22">IF(O132="Documento finalizado","Documento finalizado",IF(ISNUMBER(FIND("Cliente",O132)),"Circlua","Blossom"))</f>
        <v>Circlua</v>
      </c>
      <c r="Q132" s="63" t="str">
        <f>IF(_xlfn.XLOOKUP(D132,'LD-ELFA'!F:F,'LD-ELFA'!V:V)="","",_xlfn.XLOOKUP(D132,'LD-ELFA'!F:F,'LD-ELFA'!V:V))</f>
        <v/>
      </c>
      <c r="R132" s="40" t="str">
        <f>IFERROR(IF(I132&lt;&gt;"","Documento Emitido",_xlfn.XLOOKUP(D132,Cronograma!P:P,Cronograma!Q:Q)),"Documento Removido")</f>
        <v>Documento Emitido</v>
      </c>
      <c r="S132" s="40" t="str">
        <f t="shared" ref="S132:S195" ca="1" si="23">IFERROR(IF(K132&lt;&gt;"Documento a emitir","Documento Emitido",IF(R132&lt;TODAY(),"Emissão Atrasada","No prazo")),"Documento Removido")</f>
        <v>Documento Emitido</v>
      </c>
      <c r="T132" s="40" t="str">
        <f>IFERROR(IF(I132&lt;&gt;"","Documento Emitido",_xlfn.XLOOKUP(D132,Cronograma!P:P,Cronograma!R:R)),"Documento Removido")</f>
        <v>Documento Emitido</v>
      </c>
      <c r="U132" s="39" t="str">
        <f t="shared" ref="U132:U195" si="24">IFERROR(IF(K132&lt;&gt;"Documento a emitir","Documento Emitido",IF(T132&lt;R132,"Emissão Atrasada","No prazo")),"Documento Removido")</f>
        <v>Documento Emitido</v>
      </c>
      <c r="V132" s="39" t="str">
        <f t="shared" ref="V132:V195" si="25">IF(R132="Documento Emitido","Documento Emitido",
IF(R132="Documento Removido","Documento Removido",
IF(AND(R132-$D$1&gt;=0,R132-$D$1&lt;=7),"Semana 1",
IF(AND(R132-$D$1&gt;7,R132-$D$1&lt;=14),"Semana 2",IF(AND(R132-$D$1&gt;14,R132-$D$1&lt;=21),"Semana 3","")))))</f>
        <v>Documento Emitido</v>
      </c>
      <c r="W132" s="39" t="str">
        <f t="shared" ref="W132:W195" ca="1" si="26">IF(OR(K132="Documento a emitir", K132="Documento Emitido"), "",
IF(AND(ISNUMBER(K132),
K132&gt;=TODAY()-WEEKDAY(TODAY(),2)-6,
K132&lt;=TODAY()-WEEKDAY(TODAY(),2)+5),
IF(G132=0, "Emissão Semana", "Atendimento de Comentário"),
""))</f>
        <v>Emissão Semana</v>
      </c>
    </row>
    <row r="133" spans="1:23" s="60" customFormat="1" ht="28.5" customHeight="1" x14ac:dyDescent="0.2">
      <c r="A133" s="39">
        <v>130</v>
      </c>
      <c r="B133" s="39" t="str">
        <f>_xlfn.XLOOKUP(D133,'LD-ELFA'!F:F,'LD-ELFA'!C:C)</f>
        <v>EL - Eletrica</v>
      </c>
      <c r="C133" s="39" t="str">
        <f>_xlfn.XLOOKUP(D133,'LD-ELFA'!F:F,'LD-ELFA'!D:D)</f>
        <v>DUN - Diagrama Unifilar</v>
      </c>
      <c r="D133" s="39" t="s">
        <v>136</v>
      </c>
      <c r="E133" s="39" t="str">
        <f>_xlfn.LET(_xlpm.q,_xlfn.XLOOKUP(D133,'LD-ELFA'!F:F,'LD-ELFA'!Q:Q),
   _xlpm.r,_xlfn.XLOOKUP(D133,'LD-ELFA'!F:F,'LD-ELFA'!R:R),
   IF(_xlpm.r = "", _xlpm.q, _xlpm.q &amp; " - " &amp; _xlpm.r))</f>
        <v>DIAGRAMA UNIFILAR SUBESTAÇÃO 1901-SE-001 - SERVIÇOS AUXILIARES</v>
      </c>
      <c r="F133" s="63" t="str">
        <f t="shared" si="20"/>
        <v>Básico</v>
      </c>
      <c r="G133" s="63">
        <f>_xlfn.XLOOKUP(D133,'LD-ELFA'!F:F,'LD-ELFA'!G:G)</f>
        <v>0</v>
      </c>
      <c r="H133" s="63" t="str">
        <f>_xlfn.XLOOKUP(D133,'LD-ELFA'!F:F,'LD-ELFA'!I:I)</f>
        <v>A</v>
      </c>
      <c r="I133" s="63" t="str">
        <f>IF(_xlfn.XLOOKUP(D133,'LD-ELFA'!F:F,'LD-ELFA'!T:T)="","",_xlfn.XLOOKUP(D133,'LD-ELFA'!F:F,'LD-ELFA'!T:T))</f>
        <v>0029</v>
      </c>
      <c r="J133" s="63" t="str">
        <f>IF(K133="Documento a emitir", "",_xlfn.XLOOKUP(D133,'LD-ELFA'!F:F,'LD-ELFA'!N:N))</f>
        <v>PARA APROVAÇÃO</v>
      </c>
      <c r="K133" s="43">
        <f>IF(_xlfn.XLOOKUP($D133,'LD-ELFA'!F:F,'LD-ELFA'!U:U)="","Documento a emitir",_xlfn.XLOOKUP($D133,'LD-ELFA'!F:F,'LD-ELFA'!U:U))</f>
        <v>46212.676169131948</v>
      </c>
      <c r="L133" s="43">
        <f>IF(K133="Documento a emitir","Documento a emitir",IF(K133&lt;&gt;"Documento a emitir",IF(_xlfn.XLOOKUP(D133,'LD-ELFA'!F:F,'LD-ELFA'!W:W)="","",_xlfn.XLOOKUP(D133,'LD-ELFA'!F:F,'LD-ELFA'!W:W)),""))</f>
        <v>46213.653990243052</v>
      </c>
      <c r="M133" s="43" t="str">
        <f>IF(K133="Documento a emitir","",IF(AND(Q133="APC-R  - APC-R - Aprovado com Comentários (Retornar para uma nova Aprovação)",Q133="APC-L  - APC-L  - Aprovado com Comentários (Retornar Aprovado)"),"",IF(OR(_xlfn.XLOOKUP(D133,'LD-ELFA'!F:F,'LD-ELFA'!N:N)="PARA CONHECIMENTO",_xlfn.XLOOKUP(D133,'LD-ELFA'!F:F,'LD-ELFA'!N:N)="PARA CONSTRUÇÃO",_xlfn.XLOOKUP(D133,'LD-ELFA'!F:F,'LD-ELFA'!N:N)="PARA COTAÇÃO",_xlfn.XLOOKUP(D133,'LD-ELFA'!F:F,'LD-ELFA'!N:N)="CANCELADO"),_xlfn.XLOOKUP(D133,'LD-ELFA'!F:F,'LD-ELFA'!U:U),IF(AND(L133="",J133&lt;&gt;"PARA APROVAÇÃO"),"",""))))</f>
        <v/>
      </c>
      <c r="N133" s="63" t="str">
        <f t="shared" ca="1" si="19"/>
        <v>No prazo</v>
      </c>
      <c r="O133" s="63" t="str">
        <f t="shared" si="21"/>
        <v>Blossom - Atendimento de Comentário</v>
      </c>
      <c r="P133" s="63" t="str">
        <f t="shared" si="22"/>
        <v>Blossom</v>
      </c>
      <c r="Q133" s="63" t="str">
        <f>IF(_xlfn.XLOOKUP(D133,'LD-ELFA'!F:F,'LD-ELFA'!V:V)="","",_xlfn.XLOOKUP(D133,'LD-ELFA'!F:F,'LD-ELFA'!V:V))</f>
        <v>APC-R  - APC-R - Aprovado com Comentários (Retornar para uma nova Aprovação)</v>
      </c>
      <c r="R133" s="40" t="str">
        <f>IFERROR(IF(I133&lt;&gt;"","Documento Emitido",_xlfn.XLOOKUP(D133,Cronograma!P:P,Cronograma!Q:Q)),"Documento Removido")</f>
        <v>Documento Emitido</v>
      </c>
      <c r="S133" s="40" t="str">
        <f t="shared" ca="1" si="23"/>
        <v>Documento Emitido</v>
      </c>
      <c r="T133" s="40" t="str">
        <f>IFERROR(IF(I133&lt;&gt;"","Documento Emitido",_xlfn.XLOOKUP(D133,Cronograma!P:P,Cronograma!R:R)),"Documento Removido")</f>
        <v>Documento Emitido</v>
      </c>
      <c r="U133" s="39" t="str">
        <f t="shared" si="24"/>
        <v>Documento Emitido</v>
      </c>
      <c r="V133" s="39" t="str">
        <f t="shared" si="25"/>
        <v>Documento Emitido</v>
      </c>
      <c r="W133" s="39" t="str">
        <f t="shared" ca="1" si="26"/>
        <v>Emissão Semana</v>
      </c>
    </row>
    <row r="134" spans="1:23" s="60" customFormat="1" ht="28.5" customHeight="1" x14ac:dyDescent="0.2">
      <c r="A134" s="39">
        <v>131</v>
      </c>
      <c r="B134" s="39" t="str">
        <f>_xlfn.XLOOKUP(D134,'LD-ELFA'!F:F,'LD-ELFA'!C:C)</f>
        <v>EL - Eletrica</v>
      </c>
      <c r="C134" s="39" t="str">
        <f>_xlfn.XLOOKUP(D134,'LD-ELFA'!F:F,'LD-ELFA'!D:D)</f>
        <v>DUN - Diagrama Unifilar</v>
      </c>
      <c r="D134" s="39" t="s">
        <v>137</v>
      </c>
      <c r="E134" s="39" t="str">
        <f>_xlfn.LET(_xlpm.q,_xlfn.XLOOKUP(D134,'LD-ELFA'!F:F,'LD-ELFA'!Q:Q),
   _xlpm.r,_xlfn.XLOOKUP(D134,'LD-ELFA'!F:F,'LD-ELFA'!R:R),
   IF(_xlpm.r = "", _xlpm.q, _xlpm.q &amp; " - " &amp; _xlpm.r))</f>
        <v>DIAGRAMA UNIFILAR SUBESTAÇÃO 1911-SE-001</v>
      </c>
      <c r="F134" s="63" t="str">
        <f t="shared" si="20"/>
        <v>Básico</v>
      </c>
      <c r="G134" s="63">
        <f>_xlfn.XLOOKUP(D134,'LD-ELFA'!F:F,'LD-ELFA'!G:G)</f>
        <v>0</v>
      </c>
      <c r="H134" s="63">
        <f>_xlfn.XLOOKUP(D134,'LD-ELFA'!F:F,'LD-ELFA'!I:I)</f>
        <v>0</v>
      </c>
      <c r="I134" s="63" t="str">
        <f>IF(_xlfn.XLOOKUP(D134,'LD-ELFA'!F:F,'LD-ELFA'!T:T)="","",_xlfn.XLOOKUP(D134,'LD-ELFA'!F:F,'LD-ELFA'!T:T))</f>
        <v/>
      </c>
      <c r="J134" s="63" t="str">
        <f>IF(K134="Documento a emitir", "",_xlfn.XLOOKUP(D134,'LD-ELFA'!F:F,'LD-ELFA'!N:N))</f>
        <v/>
      </c>
      <c r="K134" s="43" t="str">
        <f>IF(_xlfn.XLOOKUP($D134,'LD-ELFA'!F:F,'LD-ELFA'!U:U)="","Documento a emitir",_xlfn.XLOOKUP($D134,'LD-ELFA'!F:F,'LD-ELFA'!U:U))</f>
        <v>Documento a emitir</v>
      </c>
      <c r="L134" s="43" t="str">
        <f>IF(K134="Documento a emitir","Documento a emitir",IF(K134&lt;&gt;"Documento a emitir",IF(_xlfn.XLOOKUP(D134,'LD-ELFA'!F:F,'LD-ELFA'!W:W)="","",_xlfn.XLOOKUP(D134,'LD-ELFA'!F:F,'LD-ELFA'!W:W)),""))</f>
        <v>Documento a emitir</v>
      </c>
      <c r="M134" s="43" t="str">
        <f>IF(K134="Documento a emitir","",IF(AND(Q134="APC-R  - APC-R - Aprovado com Comentários (Retornar para uma nova Aprovação)",Q134="APC-L  - APC-L  - Aprovado com Comentários (Retornar Aprovado)"),"",IF(OR(_xlfn.XLOOKUP(D134,'LD-ELFA'!F:F,'LD-ELFA'!N:N)="PARA CONHECIMENTO",_xlfn.XLOOKUP(D134,'LD-ELFA'!F:F,'LD-ELFA'!N:N)="PARA CONSTRUÇÃO",_xlfn.XLOOKUP(D134,'LD-ELFA'!F:F,'LD-ELFA'!N:N)="PARA COTAÇÃO",_xlfn.XLOOKUP(D134,'LD-ELFA'!F:F,'LD-ELFA'!N:N)="CANCELADO"),_xlfn.XLOOKUP(D134,'LD-ELFA'!F:F,'LD-ELFA'!U:U),IF(AND(L134="",J134&lt;&gt;"PARA APROVAÇÃO"),"",""))))</f>
        <v/>
      </c>
      <c r="N134" s="63" t="str">
        <f t="shared" ca="1" si="19"/>
        <v>Documento a Emitir</v>
      </c>
      <c r="O134" s="63" t="str">
        <f t="shared" si="21"/>
        <v>Blossom - Documento a emitir</v>
      </c>
      <c r="P134" s="63" t="str">
        <f t="shared" si="22"/>
        <v>Blossom</v>
      </c>
      <c r="Q134" s="63" t="str">
        <f>IF(_xlfn.XLOOKUP(D134,'LD-ELFA'!F:F,'LD-ELFA'!V:V)="","",_xlfn.XLOOKUP(D134,'LD-ELFA'!F:F,'LD-ELFA'!V:V))</f>
        <v/>
      </c>
      <c r="R134" s="40">
        <f>IFERROR(IF(I134&lt;&gt;"","Documento Emitido",_xlfn.XLOOKUP(D134,Cronograma!P:P,Cronograma!Q:Q)),"Documento Removido")</f>
        <v>46224</v>
      </c>
      <c r="S134" s="40" t="str">
        <f t="shared" ca="1" si="23"/>
        <v>No prazo</v>
      </c>
      <c r="T134" s="40">
        <f>IFERROR(IF(I134&lt;&gt;"","Documento Emitido",_xlfn.XLOOKUP(D134,Cronograma!P:P,Cronograma!R:R)),"Documento Removido")</f>
        <v>46225</v>
      </c>
      <c r="U134" s="39" t="str">
        <f t="shared" si="24"/>
        <v>No prazo</v>
      </c>
      <c r="V134" s="39" t="str">
        <f t="shared" si="25"/>
        <v>Semana 2</v>
      </c>
      <c r="W134" s="39" t="str">
        <f t="shared" ca="1" si="26"/>
        <v/>
      </c>
    </row>
    <row r="135" spans="1:23" s="60" customFormat="1" ht="28.5" customHeight="1" x14ac:dyDescent="0.2">
      <c r="A135" s="39">
        <v>132</v>
      </c>
      <c r="B135" s="39" t="str">
        <f>_xlfn.XLOOKUP(D135,'LD-ELFA'!F:F,'LD-ELFA'!C:C)</f>
        <v>EL - Eletrica</v>
      </c>
      <c r="C135" s="39" t="str">
        <f>_xlfn.XLOOKUP(D135,'LD-ELFA'!F:F,'LD-ELFA'!D:D)</f>
        <v>DUN - Diagrama Unifilar</v>
      </c>
      <c r="D135" s="39" t="s">
        <v>138</v>
      </c>
      <c r="E135" s="39" t="str">
        <f>_xlfn.LET(_xlpm.q,_xlfn.XLOOKUP(D135,'LD-ELFA'!F:F,'LD-ELFA'!Q:Q),
   _xlpm.r,_xlfn.XLOOKUP(D135,'LD-ELFA'!F:F,'LD-ELFA'!R:R),
   IF(_xlpm.r = "", _xlpm.q, _xlpm.q &amp; " - " &amp; _xlpm.r))</f>
        <v>DIAGRAMA UNIFILAR SUBESTAÇÃO 1911-SE-001</v>
      </c>
      <c r="F135" s="63" t="str">
        <f t="shared" si="20"/>
        <v>Básico</v>
      </c>
      <c r="G135" s="63">
        <f>_xlfn.XLOOKUP(D135,'LD-ELFA'!F:F,'LD-ELFA'!G:G)</f>
        <v>0</v>
      </c>
      <c r="H135" s="63">
        <f>_xlfn.XLOOKUP(D135,'LD-ELFA'!F:F,'LD-ELFA'!I:I)</f>
        <v>0</v>
      </c>
      <c r="I135" s="63" t="str">
        <f>IF(_xlfn.XLOOKUP(D135,'LD-ELFA'!F:F,'LD-ELFA'!T:T)="","",_xlfn.XLOOKUP(D135,'LD-ELFA'!F:F,'LD-ELFA'!T:T))</f>
        <v/>
      </c>
      <c r="J135" s="63" t="str">
        <f>IF(K135="Documento a emitir", "",_xlfn.XLOOKUP(D135,'LD-ELFA'!F:F,'LD-ELFA'!N:N))</f>
        <v/>
      </c>
      <c r="K135" s="43" t="str">
        <f>IF(_xlfn.XLOOKUP($D135,'LD-ELFA'!F:F,'LD-ELFA'!U:U)="","Documento a emitir",_xlfn.XLOOKUP($D135,'LD-ELFA'!F:F,'LD-ELFA'!U:U))</f>
        <v>Documento a emitir</v>
      </c>
      <c r="L135" s="43" t="str">
        <f>IF(K135="Documento a emitir","Documento a emitir",IF(K135&lt;&gt;"Documento a emitir",IF(_xlfn.XLOOKUP(D135,'LD-ELFA'!F:F,'LD-ELFA'!W:W)="","",_xlfn.XLOOKUP(D135,'LD-ELFA'!F:F,'LD-ELFA'!W:W)),""))</f>
        <v>Documento a emitir</v>
      </c>
      <c r="M135" s="43" t="str">
        <f>IF(K135="Documento a emitir","",IF(AND(Q135="APC-R  - APC-R - Aprovado com Comentários (Retornar para uma nova Aprovação)",Q135="APC-L  - APC-L  - Aprovado com Comentários (Retornar Aprovado)"),"",IF(OR(_xlfn.XLOOKUP(D135,'LD-ELFA'!F:F,'LD-ELFA'!N:N)="PARA CONHECIMENTO",_xlfn.XLOOKUP(D135,'LD-ELFA'!F:F,'LD-ELFA'!N:N)="PARA CONSTRUÇÃO",_xlfn.XLOOKUP(D135,'LD-ELFA'!F:F,'LD-ELFA'!N:N)="PARA COTAÇÃO",_xlfn.XLOOKUP(D135,'LD-ELFA'!F:F,'LD-ELFA'!N:N)="CANCELADO"),_xlfn.XLOOKUP(D135,'LD-ELFA'!F:F,'LD-ELFA'!U:U),IF(AND(L135="",J135&lt;&gt;"PARA APROVAÇÃO"),"",""))))</f>
        <v/>
      </c>
      <c r="N135" s="63" t="str">
        <f t="shared" ca="1" si="19"/>
        <v>Documento a Emitir</v>
      </c>
      <c r="O135" s="63" t="str">
        <f t="shared" si="21"/>
        <v>Blossom - Documento a emitir</v>
      </c>
      <c r="P135" s="63" t="str">
        <f t="shared" si="22"/>
        <v>Blossom</v>
      </c>
      <c r="Q135" s="63" t="str">
        <f>IF(_xlfn.XLOOKUP(D135,'LD-ELFA'!F:F,'LD-ELFA'!V:V)="","",_xlfn.XLOOKUP(D135,'LD-ELFA'!F:F,'LD-ELFA'!V:V))</f>
        <v/>
      </c>
      <c r="R135" s="40">
        <f>IFERROR(IF(I135&lt;&gt;"","Documento Emitido",_xlfn.XLOOKUP(D135,Cronograma!P:P,Cronograma!Q:Q)),"Documento Removido")</f>
        <v>46224</v>
      </c>
      <c r="S135" s="40" t="str">
        <f t="shared" ca="1" si="23"/>
        <v>No prazo</v>
      </c>
      <c r="T135" s="40">
        <f>IFERROR(IF(I135&lt;&gt;"","Documento Emitido",_xlfn.XLOOKUP(D135,Cronograma!P:P,Cronograma!R:R)),"Documento Removido")</f>
        <v>46225</v>
      </c>
      <c r="U135" s="39" t="str">
        <f t="shared" si="24"/>
        <v>No prazo</v>
      </c>
      <c r="V135" s="39" t="str">
        <f t="shared" si="25"/>
        <v>Semana 2</v>
      </c>
      <c r="W135" s="39" t="str">
        <f t="shared" ca="1" si="26"/>
        <v/>
      </c>
    </row>
    <row r="136" spans="1:23" s="60" customFormat="1" ht="28.5" customHeight="1" x14ac:dyDescent="0.2">
      <c r="A136" s="39">
        <v>133</v>
      </c>
      <c r="B136" s="39" t="str">
        <f>_xlfn.XLOOKUP(D136,'LD-ELFA'!F:F,'LD-ELFA'!C:C)</f>
        <v>EL - Eletrica</v>
      </c>
      <c r="C136" s="39" t="str">
        <f>_xlfn.XLOOKUP(D136,'LD-ELFA'!F:F,'LD-ELFA'!D:D)</f>
        <v>DUN - Diagrama Unifilar</v>
      </c>
      <c r="D136" s="39" t="s">
        <v>139</v>
      </c>
      <c r="E136" s="39" t="str">
        <f>_xlfn.LET(_xlpm.q,_xlfn.XLOOKUP(D136,'LD-ELFA'!F:F,'LD-ELFA'!Q:Q),
   _xlpm.r,_xlfn.XLOOKUP(D136,'LD-ELFA'!F:F,'LD-ELFA'!R:R),
   IF(_xlpm.r = "", _xlpm.q, _xlpm.q &amp; " - " &amp; _xlpm.r))</f>
        <v>DIAGRAMA UNIFILAR SUBESTAÇÃO 1911-SE-001</v>
      </c>
      <c r="F136" s="63" t="str">
        <f t="shared" si="20"/>
        <v>Básico</v>
      </c>
      <c r="G136" s="63">
        <f>_xlfn.XLOOKUP(D136,'LD-ELFA'!F:F,'LD-ELFA'!G:G)</f>
        <v>0</v>
      </c>
      <c r="H136" s="63">
        <f>_xlfn.XLOOKUP(D136,'LD-ELFA'!F:F,'LD-ELFA'!I:I)</f>
        <v>0</v>
      </c>
      <c r="I136" s="63" t="str">
        <f>IF(_xlfn.XLOOKUP(D136,'LD-ELFA'!F:F,'LD-ELFA'!T:T)="","",_xlfn.XLOOKUP(D136,'LD-ELFA'!F:F,'LD-ELFA'!T:T))</f>
        <v/>
      </c>
      <c r="J136" s="63" t="str">
        <f>IF(K136="Documento a emitir", "",_xlfn.XLOOKUP(D136,'LD-ELFA'!F:F,'LD-ELFA'!N:N))</f>
        <v/>
      </c>
      <c r="K136" s="43" t="str">
        <f>IF(_xlfn.XLOOKUP($D136,'LD-ELFA'!F:F,'LD-ELFA'!U:U)="","Documento a emitir",_xlfn.XLOOKUP($D136,'LD-ELFA'!F:F,'LD-ELFA'!U:U))</f>
        <v>Documento a emitir</v>
      </c>
      <c r="L136" s="43" t="str">
        <f>IF(K136="Documento a emitir","Documento a emitir",IF(K136&lt;&gt;"Documento a emitir",IF(_xlfn.XLOOKUP(D136,'LD-ELFA'!F:F,'LD-ELFA'!W:W)="","",_xlfn.XLOOKUP(D136,'LD-ELFA'!F:F,'LD-ELFA'!W:W)),""))</f>
        <v>Documento a emitir</v>
      </c>
      <c r="M136" s="43" t="str">
        <f>IF(K136="Documento a emitir","",IF(AND(Q136="APC-R  - APC-R - Aprovado com Comentários (Retornar para uma nova Aprovação)",Q136="APC-L  - APC-L  - Aprovado com Comentários (Retornar Aprovado)"),"",IF(OR(_xlfn.XLOOKUP(D136,'LD-ELFA'!F:F,'LD-ELFA'!N:N)="PARA CONHECIMENTO",_xlfn.XLOOKUP(D136,'LD-ELFA'!F:F,'LD-ELFA'!N:N)="PARA CONSTRUÇÃO",_xlfn.XLOOKUP(D136,'LD-ELFA'!F:F,'LD-ELFA'!N:N)="PARA COTAÇÃO",_xlfn.XLOOKUP(D136,'LD-ELFA'!F:F,'LD-ELFA'!N:N)="CANCELADO"),_xlfn.XLOOKUP(D136,'LD-ELFA'!F:F,'LD-ELFA'!U:U),IF(AND(L136="",J136&lt;&gt;"PARA APROVAÇÃO"),"",""))))</f>
        <v/>
      </c>
      <c r="N136" s="63" t="str">
        <f t="shared" ca="1" si="19"/>
        <v>Documento a Emitir</v>
      </c>
      <c r="O136" s="63" t="str">
        <f t="shared" si="21"/>
        <v>Blossom - Documento a emitir</v>
      </c>
      <c r="P136" s="63" t="str">
        <f t="shared" si="22"/>
        <v>Blossom</v>
      </c>
      <c r="Q136" s="63" t="str">
        <f>IF(_xlfn.XLOOKUP(D136,'LD-ELFA'!F:F,'LD-ELFA'!V:V)="","",_xlfn.XLOOKUP(D136,'LD-ELFA'!F:F,'LD-ELFA'!V:V))</f>
        <v/>
      </c>
      <c r="R136" s="40">
        <f>IFERROR(IF(I136&lt;&gt;"","Documento Emitido",_xlfn.XLOOKUP(D136,Cronograma!P:P,Cronograma!Q:Q)),"Documento Removido")</f>
        <v>46224</v>
      </c>
      <c r="S136" s="40" t="str">
        <f t="shared" ca="1" si="23"/>
        <v>No prazo</v>
      </c>
      <c r="T136" s="40">
        <f>IFERROR(IF(I136&lt;&gt;"","Documento Emitido",_xlfn.XLOOKUP(D136,Cronograma!P:P,Cronograma!R:R)),"Documento Removido")</f>
        <v>46225</v>
      </c>
      <c r="U136" s="39" t="str">
        <f t="shared" si="24"/>
        <v>No prazo</v>
      </c>
      <c r="V136" s="39" t="str">
        <f t="shared" si="25"/>
        <v>Semana 2</v>
      </c>
      <c r="W136" s="39" t="str">
        <f t="shared" ca="1" si="26"/>
        <v/>
      </c>
    </row>
    <row r="137" spans="1:23" s="60" customFormat="1" ht="28.5" customHeight="1" x14ac:dyDescent="0.2">
      <c r="A137" s="39">
        <v>134</v>
      </c>
      <c r="B137" s="39" t="str">
        <f>_xlfn.XLOOKUP(D137,'LD-ELFA'!F:F,'LD-ELFA'!C:C)</f>
        <v>EL - Eletrica</v>
      </c>
      <c r="C137" s="39" t="str">
        <f>_xlfn.XLOOKUP(D137,'LD-ELFA'!F:F,'LD-ELFA'!D:D)</f>
        <v>DUN - Diagrama Unifilar</v>
      </c>
      <c r="D137" s="39" t="s">
        <v>140</v>
      </c>
      <c r="E137" s="39" t="str">
        <f>_xlfn.LET(_xlpm.q,_xlfn.XLOOKUP(D137,'LD-ELFA'!F:F,'LD-ELFA'!Q:Q),
   _xlpm.r,_xlfn.XLOOKUP(D137,'LD-ELFA'!F:F,'LD-ELFA'!R:R),
   IF(_xlpm.r = "", _xlpm.q, _xlpm.q &amp; " - " &amp; _xlpm.r))</f>
        <v>DIAGRAMA UNIFILAR SUBESTAÇÃO 1912-SE-001</v>
      </c>
      <c r="F137" s="63" t="str">
        <f t="shared" si="20"/>
        <v>Básico</v>
      </c>
      <c r="G137" s="63">
        <f>_xlfn.XLOOKUP(D137,'LD-ELFA'!F:F,'LD-ELFA'!G:G)</f>
        <v>0</v>
      </c>
      <c r="H137" s="63">
        <f>_xlfn.XLOOKUP(D137,'LD-ELFA'!F:F,'LD-ELFA'!I:I)</f>
        <v>0</v>
      </c>
      <c r="I137" s="63" t="str">
        <f>IF(_xlfn.XLOOKUP(D137,'LD-ELFA'!F:F,'LD-ELFA'!T:T)="","",_xlfn.XLOOKUP(D137,'LD-ELFA'!F:F,'LD-ELFA'!T:T))</f>
        <v/>
      </c>
      <c r="J137" s="63" t="str">
        <f>IF(K137="Documento a emitir", "",_xlfn.XLOOKUP(D137,'LD-ELFA'!F:F,'LD-ELFA'!N:N))</f>
        <v/>
      </c>
      <c r="K137" s="43" t="str">
        <f>IF(_xlfn.XLOOKUP($D137,'LD-ELFA'!F:F,'LD-ELFA'!U:U)="","Documento a emitir",_xlfn.XLOOKUP($D137,'LD-ELFA'!F:F,'LD-ELFA'!U:U))</f>
        <v>Documento a emitir</v>
      </c>
      <c r="L137" s="43" t="str">
        <f>IF(K137="Documento a emitir","Documento a emitir",IF(K137&lt;&gt;"Documento a emitir",IF(_xlfn.XLOOKUP(D137,'LD-ELFA'!F:F,'LD-ELFA'!W:W)="","",_xlfn.XLOOKUP(D137,'LD-ELFA'!F:F,'LD-ELFA'!W:W)),""))</f>
        <v>Documento a emitir</v>
      </c>
      <c r="M137" s="43" t="str">
        <f>IF(K137="Documento a emitir","",IF(AND(Q137="APC-R  - APC-R - Aprovado com Comentários (Retornar para uma nova Aprovação)",Q137="APC-L  - APC-L  - Aprovado com Comentários (Retornar Aprovado)"),"",IF(OR(_xlfn.XLOOKUP(D137,'LD-ELFA'!F:F,'LD-ELFA'!N:N)="PARA CONHECIMENTO",_xlfn.XLOOKUP(D137,'LD-ELFA'!F:F,'LD-ELFA'!N:N)="PARA CONSTRUÇÃO",_xlfn.XLOOKUP(D137,'LD-ELFA'!F:F,'LD-ELFA'!N:N)="PARA COTAÇÃO",_xlfn.XLOOKUP(D137,'LD-ELFA'!F:F,'LD-ELFA'!N:N)="CANCELADO"),_xlfn.XLOOKUP(D137,'LD-ELFA'!F:F,'LD-ELFA'!U:U),IF(AND(L137="",J137&lt;&gt;"PARA APROVAÇÃO"),"",""))))</f>
        <v/>
      </c>
      <c r="N137" s="63" t="str">
        <f t="shared" ca="1" si="19"/>
        <v>Documento a Emitir</v>
      </c>
      <c r="O137" s="63" t="str">
        <f t="shared" si="21"/>
        <v>Blossom - Documento a emitir</v>
      </c>
      <c r="P137" s="63" t="str">
        <f t="shared" si="22"/>
        <v>Blossom</v>
      </c>
      <c r="Q137" s="63" t="str">
        <f>IF(_xlfn.XLOOKUP(D137,'LD-ELFA'!F:F,'LD-ELFA'!V:V)="","",_xlfn.XLOOKUP(D137,'LD-ELFA'!F:F,'LD-ELFA'!V:V))</f>
        <v/>
      </c>
      <c r="R137" s="40">
        <f>IFERROR(IF(I137&lt;&gt;"","Documento Emitido",_xlfn.XLOOKUP(D137,Cronograma!P:P,Cronograma!Q:Q)),"Documento Removido")</f>
        <v>46234</v>
      </c>
      <c r="S137" s="40" t="str">
        <f t="shared" ca="1" si="23"/>
        <v>No prazo</v>
      </c>
      <c r="T137" s="40">
        <f>IFERROR(IF(I137&lt;&gt;"","Documento Emitido",_xlfn.XLOOKUP(D137,Cronograma!P:P,Cronograma!R:R)),"Documento Removido")</f>
        <v>46237</v>
      </c>
      <c r="U137" s="39" t="str">
        <f t="shared" si="24"/>
        <v>No prazo</v>
      </c>
      <c r="V137" s="39" t="str">
        <f t="shared" si="25"/>
        <v>Semana 3</v>
      </c>
      <c r="W137" s="39" t="str">
        <f t="shared" ca="1" si="26"/>
        <v/>
      </c>
    </row>
    <row r="138" spans="1:23" s="60" customFormat="1" ht="28.5" customHeight="1" x14ac:dyDescent="0.2">
      <c r="A138" s="39">
        <v>135</v>
      </c>
      <c r="B138" s="39" t="str">
        <f>_xlfn.XLOOKUP(D138,'LD-ELFA'!F:F,'LD-ELFA'!C:C)</f>
        <v>EL - Eletrica</v>
      </c>
      <c r="C138" s="39" t="str">
        <f>_xlfn.XLOOKUP(D138,'LD-ELFA'!F:F,'LD-ELFA'!D:D)</f>
        <v>DUN - Diagrama Unifilar</v>
      </c>
      <c r="D138" s="39" t="s">
        <v>141</v>
      </c>
      <c r="E138" s="39" t="str">
        <f>_xlfn.LET(_xlpm.q,_xlfn.XLOOKUP(D138,'LD-ELFA'!F:F,'LD-ELFA'!Q:Q),
   _xlpm.r,_xlfn.XLOOKUP(D138,'LD-ELFA'!F:F,'LD-ELFA'!R:R),
   IF(_xlpm.r = "", _xlpm.q, _xlpm.q &amp; " - " &amp; _xlpm.r))</f>
        <v>DIAGRAMA UNIFILAR SUBESTAÇÃO 1912-SE-001</v>
      </c>
      <c r="F138" s="63" t="str">
        <f t="shared" si="20"/>
        <v>Básico</v>
      </c>
      <c r="G138" s="63">
        <f>_xlfn.XLOOKUP(D138,'LD-ELFA'!F:F,'LD-ELFA'!G:G)</f>
        <v>0</v>
      </c>
      <c r="H138" s="63">
        <f>_xlfn.XLOOKUP(D138,'LD-ELFA'!F:F,'LD-ELFA'!I:I)</f>
        <v>0</v>
      </c>
      <c r="I138" s="63" t="str">
        <f>IF(_xlfn.XLOOKUP(D138,'LD-ELFA'!F:F,'LD-ELFA'!T:T)="","",_xlfn.XLOOKUP(D138,'LD-ELFA'!F:F,'LD-ELFA'!T:T))</f>
        <v/>
      </c>
      <c r="J138" s="63" t="str">
        <f>IF(K138="Documento a emitir", "",_xlfn.XLOOKUP(D138,'LD-ELFA'!F:F,'LD-ELFA'!N:N))</f>
        <v/>
      </c>
      <c r="K138" s="43" t="str">
        <f>IF(_xlfn.XLOOKUP($D138,'LD-ELFA'!F:F,'LD-ELFA'!U:U)="","Documento a emitir",_xlfn.XLOOKUP($D138,'LD-ELFA'!F:F,'LD-ELFA'!U:U))</f>
        <v>Documento a emitir</v>
      </c>
      <c r="L138" s="43" t="str">
        <f>IF(K138="Documento a emitir","Documento a emitir",IF(K138&lt;&gt;"Documento a emitir",IF(_xlfn.XLOOKUP(D138,'LD-ELFA'!F:F,'LD-ELFA'!W:W)="","",_xlfn.XLOOKUP(D138,'LD-ELFA'!F:F,'LD-ELFA'!W:W)),""))</f>
        <v>Documento a emitir</v>
      </c>
      <c r="M138" s="43" t="str">
        <f>IF(K138="Documento a emitir","",IF(AND(Q138="APC-R  - APC-R - Aprovado com Comentários (Retornar para uma nova Aprovação)",Q138="APC-L  - APC-L  - Aprovado com Comentários (Retornar Aprovado)"),"",IF(OR(_xlfn.XLOOKUP(D138,'LD-ELFA'!F:F,'LD-ELFA'!N:N)="PARA CONHECIMENTO",_xlfn.XLOOKUP(D138,'LD-ELFA'!F:F,'LD-ELFA'!N:N)="PARA CONSTRUÇÃO",_xlfn.XLOOKUP(D138,'LD-ELFA'!F:F,'LD-ELFA'!N:N)="PARA COTAÇÃO",_xlfn.XLOOKUP(D138,'LD-ELFA'!F:F,'LD-ELFA'!N:N)="CANCELADO"),_xlfn.XLOOKUP(D138,'LD-ELFA'!F:F,'LD-ELFA'!U:U),IF(AND(L138="",J138&lt;&gt;"PARA APROVAÇÃO"),"",""))))</f>
        <v/>
      </c>
      <c r="N138" s="63" t="str">
        <f t="shared" ca="1" si="19"/>
        <v>Documento a Emitir</v>
      </c>
      <c r="O138" s="63" t="str">
        <f t="shared" si="21"/>
        <v>Blossom - Documento a emitir</v>
      </c>
      <c r="P138" s="63" t="str">
        <f t="shared" si="22"/>
        <v>Blossom</v>
      </c>
      <c r="Q138" s="63" t="str">
        <f>IF(_xlfn.XLOOKUP(D138,'LD-ELFA'!F:F,'LD-ELFA'!V:V)="","",_xlfn.XLOOKUP(D138,'LD-ELFA'!F:F,'LD-ELFA'!V:V))</f>
        <v/>
      </c>
      <c r="R138" s="40">
        <f>IFERROR(IF(I138&lt;&gt;"","Documento Emitido",_xlfn.XLOOKUP(D138,Cronograma!P:P,Cronograma!Q:Q)),"Documento Removido")</f>
        <v>46234</v>
      </c>
      <c r="S138" s="40" t="str">
        <f t="shared" ca="1" si="23"/>
        <v>No prazo</v>
      </c>
      <c r="T138" s="40">
        <f>IFERROR(IF(I138&lt;&gt;"","Documento Emitido",_xlfn.XLOOKUP(D138,Cronograma!P:P,Cronograma!R:R)),"Documento Removido")</f>
        <v>46237</v>
      </c>
      <c r="U138" s="39" t="str">
        <f t="shared" si="24"/>
        <v>No prazo</v>
      </c>
      <c r="V138" s="39" t="str">
        <f t="shared" si="25"/>
        <v>Semana 3</v>
      </c>
      <c r="W138" s="39" t="str">
        <f t="shared" ca="1" si="26"/>
        <v/>
      </c>
    </row>
    <row r="139" spans="1:23" s="60" customFormat="1" ht="28.5" customHeight="1" x14ac:dyDescent="0.2">
      <c r="A139" s="39">
        <v>136</v>
      </c>
      <c r="B139" s="39" t="str">
        <f>_xlfn.XLOOKUP(D139,'LD-ELFA'!F:F,'LD-ELFA'!C:C)</f>
        <v>EL - Eletrica</v>
      </c>
      <c r="C139" s="39" t="str">
        <f>_xlfn.XLOOKUP(D139,'LD-ELFA'!F:F,'LD-ELFA'!D:D)</f>
        <v>DUN - Diagrama Unifilar</v>
      </c>
      <c r="D139" s="39" t="s">
        <v>142</v>
      </c>
      <c r="E139" s="39" t="str">
        <f>_xlfn.LET(_xlpm.q,_xlfn.XLOOKUP(D139,'LD-ELFA'!F:F,'LD-ELFA'!Q:Q),
   _xlpm.r,_xlfn.XLOOKUP(D139,'LD-ELFA'!F:F,'LD-ELFA'!R:R),
   IF(_xlpm.r = "", _xlpm.q, _xlpm.q &amp; " - " &amp; _xlpm.r))</f>
        <v>DIAGRAMA UNIFILAR SUBESTAÇÃO 1912-SE-001</v>
      </c>
      <c r="F139" s="63" t="str">
        <f t="shared" si="20"/>
        <v>Básico</v>
      </c>
      <c r="G139" s="63">
        <f>_xlfn.XLOOKUP(D139,'LD-ELFA'!F:F,'LD-ELFA'!G:G)</f>
        <v>0</v>
      </c>
      <c r="H139" s="63">
        <f>_xlfn.XLOOKUP(D139,'LD-ELFA'!F:F,'LD-ELFA'!I:I)</f>
        <v>0</v>
      </c>
      <c r="I139" s="63" t="str">
        <f>IF(_xlfn.XLOOKUP(D139,'LD-ELFA'!F:F,'LD-ELFA'!T:T)="","",_xlfn.XLOOKUP(D139,'LD-ELFA'!F:F,'LD-ELFA'!T:T))</f>
        <v/>
      </c>
      <c r="J139" s="63" t="str">
        <f>IF(K139="Documento a emitir", "",_xlfn.XLOOKUP(D139,'LD-ELFA'!F:F,'LD-ELFA'!N:N))</f>
        <v/>
      </c>
      <c r="K139" s="43" t="str">
        <f>IF(_xlfn.XLOOKUP($D139,'LD-ELFA'!F:F,'LD-ELFA'!U:U)="","Documento a emitir",_xlfn.XLOOKUP($D139,'LD-ELFA'!F:F,'LD-ELFA'!U:U))</f>
        <v>Documento a emitir</v>
      </c>
      <c r="L139" s="43" t="str">
        <f>IF(K139="Documento a emitir","Documento a emitir",IF(K139&lt;&gt;"Documento a emitir",IF(_xlfn.XLOOKUP(D139,'LD-ELFA'!F:F,'LD-ELFA'!W:W)="","",_xlfn.XLOOKUP(D139,'LD-ELFA'!F:F,'LD-ELFA'!W:W)),""))</f>
        <v>Documento a emitir</v>
      </c>
      <c r="M139" s="43" t="str">
        <f>IF(K139="Documento a emitir","",IF(AND(Q139="APC-R  - APC-R - Aprovado com Comentários (Retornar para uma nova Aprovação)",Q139="APC-L  - APC-L  - Aprovado com Comentários (Retornar Aprovado)"),"",IF(OR(_xlfn.XLOOKUP(D139,'LD-ELFA'!F:F,'LD-ELFA'!N:N)="PARA CONHECIMENTO",_xlfn.XLOOKUP(D139,'LD-ELFA'!F:F,'LD-ELFA'!N:N)="PARA CONSTRUÇÃO",_xlfn.XLOOKUP(D139,'LD-ELFA'!F:F,'LD-ELFA'!N:N)="PARA COTAÇÃO",_xlfn.XLOOKUP(D139,'LD-ELFA'!F:F,'LD-ELFA'!N:N)="CANCELADO"),_xlfn.XLOOKUP(D139,'LD-ELFA'!F:F,'LD-ELFA'!U:U),IF(AND(L139="",J139&lt;&gt;"PARA APROVAÇÃO"),"",""))))</f>
        <v/>
      </c>
      <c r="N139" s="63" t="str">
        <f t="shared" ca="1" si="19"/>
        <v>Documento a Emitir</v>
      </c>
      <c r="O139" s="63" t="str">
        <f t="shared" si="21"/>
        <v>Blossom - Documento a emitir</v>
      </c>
      <c r="P139" s="63" t="str">
        <f t="shared" si="22"/>
        <v>Blossom</v>
      </c>
      <c r="Q139" s="63" t="str">
        <f>IF(_xlfn.XLOOKUP(D139,'LD-ELFA'!F:F,'LD-ELFA'!V:V)="","",_xlfn.XLOOKUP(D139,'LD-ELFA'!F:F,'LD-ELFA'!V:V))</f>
        <v/>
      </c>
      <c r="R139" s="40">
        <f>IFERROR(IF(I139&lt;&gt;"","Documento Emitido",_xlfn.XLOOKUP(D139,Cronograma!P:P,Cronograma!Q:Q)),"Documento Removido")</f>
        <v>46234</v>
      </c>
      <c r="S139" s="40" t="str">
        <f t="shared" ca="1" si="23"/>
        <v>No prazo</v>
      </c>
      <c r="T139" s="40">
        <f>IFERROR(IF(I139&lt;&gt;"","Documento Emitido",_xlfn.XLOOKUP(D139,Cronograma!P:P,Cronograma!R:R)),"Documento Removido")</f>
        <v>46237</v>
      </c>
      <c r="U139" s="39" t="str">
        <f t="shared" si="24"/>
        <v>No prazo</v>
      </c>
      <c r="V139" s="39" t="str">
        <f t="shared" si="25"/>
        <v>Semana 3</v>
      </c>
      <c r="W139" s="39" t="str">
        <f t="shared" ca="1" si="26"/>
        <v/>
      </c>
    </row>
    <row r="140" spans="1:23" s="60" customFormat="1" ht="28.5" customHeight="1" x14ac:dyDescent="0.2">
      <c r="A140" s="39">
        <v>137</v>
      </c>
      <c r="B140" s="39" t="str">
        <f>_xlfn.XLOOKUP(D140,'LD-ELFA'!F:F,'LD-ELFA'!C:C)</f>
        <v>EL - Eletrica</v>
      </c>
      <c r="C140" s="39" t="str">
        <f>_xlfn.XLOOKUP(D140,'LD-ELFA'!F:F,'LD-ELFA'!D:D)</f>
        <v>DUN - Diagrama Unifilar</v>
      </c>
      <c r="D140" s="39" t="s">
        <v>143</v>
      </c>
      <c r="E140" s="39" t="str">
        <f>_xlfn.LET(_xlpm.q,_xlfn.XLOOKUP(D140,'LD-ELFA'!F:F,'LD-ELFA'!Q:Q),
   _xlpm.r,_xlfn.XLOOKUP(D140,'LD-ELFA'!F:F,'LD-ELFA'!R:R),
   IF(_xlpm.r = "", _xlpm.q, _xlpm.q &amp; " - " &amp; _xlpm.r))</f>
        <v>DIAGRAMA UNIFILAR SUBESTAÇÃO 1913-SE-001</v>
      </c>
      <c r="F140" s="63" t="str">
        <f t="shared" si="20"/>
        <v>Básico</v>
      </c>
      <c r="G140" s="63">
        <f>_xlfn.XLOOKUP(D140,'LD-ELFA'!F:F,'LD-ELFA'!G:G)</f>
        <v>0</v>
      </c>
      <c r="H140" s="63">
        <f>_xlfn.XLOOKUP(D140,'LD-ELFA'!F:F,'LD-ELFA'!I:I)</f>
        <v>0</v>
      </c>
      <c r="I140" s="63" t="str">
        <f>IF(_xlfn.XLOOKUP(D140,'LD-ELFA'!F:F,'LD-ELFA'!T:T)="","",_xlfn.XLOOKUP(D140,'LD-ELFA'!F:F,'LD-ELFA'!T:T))</f>
        <v/>
      </c>
      <c r="J140" s="63" t="str">
        <f>IF(K140="Documento a emitir", "",_xlfn.XLOOKUP(D140,'LD-ELFA'!F:F,'LD-ELFA'!N:N))</f>
        <v/>
      </c>
      <c r="K140" s="43" t="str">
        <f>IF(_xlfn.XLOOKUP($D140,'LD-ELFA'!F:F,'LD-ELFA'!U:U)="","Documento a emitir",_xlfn.XLOOKUP($D140,'LD-ELFA'!F:F,'LD-ELFA'!U:U))</f>
        <v>Documento a emitir</v>
      </c>
      <c r="L140" s="43" t="str">
        <f>IF(K140="Documento a emitir","Documento a emitir",IF(K140&lt;&gt;"Documento a emitir",IF(_xlfn.XLOOKUP(D140,'LD-ELFA'!F:F,'LD-ELFA'!W:W)="","",_xlfn.XLOOKUP(D140,'LD-ELFA'!F:F,'LD-ELFA'!W:W)),""))</f>
        <v>Documento a emitir</v>
      </c>
      <c r="M140" s="43" t="str">
        <f>IF(K140="Documento a emitir","",IF(AND(Q140="APC-R  - APC-R - Aprovado com Comentários (Retornar para uma nova Aprovação)",Q140="APC-L  - APC-L  - Aprovado com Comentários (Retornar Aprovado)"),"",IF(OR(_xlfn.XLOOKUP(D140,'LD-ELFA'!F:F,'LD-ELFA'!N:N)="PARA CONHECIMENTO",_xlfn.XLOOKUP(D140,'LD-ELFA'!F:F,'LD-ELFA'!N:N)="PARA CONSTRUÇÃO",_xlfn.XLOOKUP(D140,'LD-ELFA'!F:F,'LD-ELFA'!N:N)="PARA COTAÇÃO",_xlfn.XLOOKUP(D140,'LD-ELFA'!F:F,'LD-ELFA'!N:N)="CANCELADO"),_xlfn.XLOOKUP(D140,'LD-ELFA'!F:F,'LD-ELFA'!U:U),IF(AND(L140="",J140&lt;&gt;"PARA APROVAÇÃO"),"",""))))</f>
        <v/>
      </c>
      <c r="N140" s="63" t="str">
        <f t="shared" ca="1" si="19"/>
        <v>Documento a Emitir</v>
      </c>
      <c r="O140" s="63" t="str">
        <f t="shared" si="21"/>
        <v>Blossom - Documento a emitir</v>
      </c>
      <c r="P140" s="63" t="str">
        <f t="shared" si="22"/>
        <v>Blossom</v>
      </c>
      <c r="Q140" s="63" t="str">
        <f>IF(_xlfn.XLOOKUP(D140,'LD-ELFA'!F:F,'LD-ELFA'!V:V)="","",_xlfn.XLOOKUP(D140,'LD-ELFA'!F:F,'LD-ELFA'!V:V))</f>
        <v/>
      </c>
      <c r="R140" s="40">
        <f>IFERROR(IF(I140&lt;&gt;"","Documento Emitido",_xlfn.XLOOKUP(D140,Cronograma!P:P,Cronograma!Q:Q)),"Documento Removido")</f>
        <v>46246</v>
      </c>
      <c r="S140" s="40" t="str">
        <f t="shared" ca="1" si="23"/>
        <v>No prazo</v>
      </c>
      <c r="T140" s="40">
        <f>IFERROR(IF(I140&lt;&gt;"","Documento Emitido",_xlfn.XLOOKUP(D140,Cronograma!P:P,Cronograma!R:R)),"Documento Removido")</f>
        <v>46247</v>
      </c>
      <c r="U140" s="39" t="str">
        <f t="shared" si="24"/>
        <v>No prazo</v>
      </c>
      <c r="V140" s="39" t="str">
        <f t="shared" si="25"/>
        <v/>
      </c>
      <c r="W140" s="39" t="str">
        <f t="shared" ca="1" si="26"/>
        <v/>
      </c>
    </row>
    <row r="141" spans="1:23" s="60" customFormat="1" ht="28.5" customHeight="1" x14ac:dyDescent="0.2">
      <c r="A141" s="39">
        <v>138</v>
      </c>
      <c r="B141" s="39" t="str">
        <f>_xlfn.XLOOKUP(D141,'LD-ELFA'!F:F,'LD-ELFA'!C:C)</f>
        <v>EL - Eletrica</v>
      </c>
      <c r="C141" s="39" t="str">
        <f>_xlfn.XLOOKUP(D141,'LD-ELFA'!F:F,'LD-ELFA'!D:D)</f>
        <v>DUN - Diagrama Unifilar</v>
      </c>
      <c r="D141" s="39" t="s">
        <v>144</v>
      </c>
      <c r="E141" s="39" t="str">
        <f>_xlfn.LET(_xlpm.q,_xlfn.XLOOKUP(D141,'LD-ELFA'!F:F,'LD-ELFA'!Q:Q),
   _xlpm.r,_xlfn.XLOOKUP(D141,'LD-ELFA'!F:F,'LD-ELFA'!R:R),
   IF(_xlpm.r = "", _xlpm.q, _xlpm.q &amp; " - " &amp; _xlpm.r))</f>
        <v>DIAGRAMA UNIFILAR SUBESTAÇÃO 1913-SE-001</v>
      </c>
      <c r="F141" s="63" t="str">
        <f t="shared" si="20"/>
        <v>Básico</v>
      </c>
      <c r="G141" s="63">
        <f>_xlfn.XLOOKUP(D141,'LD-ELFA'!F:F,'LD-ELFA'!G:G)</f>
        <v>0</v>
      </c>
      <c r="H141" s="63">
        <f>_xlfn.XLOOKUP(D141,'LD-ELFA'!F:F,'LD-ELFA'!I:I)</f>
        <v>0</v>
      </c>
      <c r="I141" s="63" t="str">
        <f>IF(_xlfn.XLOOKUP(D141,'LD-ELFA'!F:F,'LD-ELFA'!T:T)="","",_xlfn.XLOOKUP(D141,'LD-ELFA'!F:F,'LD-ELFA'!T:T))</f>
        <v/>
      </c>
      <c r="J141" s="63" t="str">
        <f>IF(K141="Documento a emitir", "",_xlfn.XLOOKUP(D141,'LD-ELFA'!F:F,'LD-ELFA'!N:N))</f>
        <v/>
      </c>
      <c r="K141" s="43" t="str">
        <f>IF(_xlfn.XLOOKUP($D141,'LD-ELFA'!F:F,'LD-ELFA'!U:U)="","Documento a emitir",_xlfn.XLOOKUP($D141,'LD-ELFA'!F:F,'LD-ELFA'!U:U))</f>
        <v>Documento a emitir</v>
      </c>
      <c r="L141" s="43" t="str">
        <f>IF(K141="Documento a emitir","Documento a emitir",IF(K141&lt;&gt;"Documento a emitir",IF(_xlfn.XLOOKUP(D141,'LD-ELFA'!F:F,'LD-ELFA'!W:W)="","",_xlfn.XLOOKUP(D141,'LD-ELFA'!F:F,'LD-ELFA'!W:W)),""))</f>
        <v>Documento a emitir</v>
      </c>
      <c r="M141" s="43" t="str">
        <f>IF(K141="Documento a emitir","",IF(AND(Q141="APC-R  - APC-R - Aprovado com Comentários (Retornar para uma nova Aprovação)",Q141="APC-L  - APC-L  - Aprovado com Comentários (Retornar Aprovado)"),"",IF(OR(_xlfn.XLOOKUP(D141,'LD-ELFA'!F:F,'LD-ELFA'!N:N)="PARA CONHECIMENTO",_xlfn.XLOOKUP(D141,'LD-ELFA'!F:F,'LD-ELFA'!N:N)="PARA CONSTRUÇÃO",_xlfn.XLOOKUP(D141,'LD-ELFA'!F:F,'LD-ELFA'!N:N)="PARA COTAÇÃO",_xlfn.XLOOKUP(D141,'LD-ELFA'!F:F,'LD-ELFA'!N:N)="CANCELADO"),_xlfn.XLOOKUP(D141,'LD-ELFA'!F:F,'LD-ELFA'!U:U),IF(AND(L141="",J141&lt;&gt;"PARA APROVAÇÃO"),"",""))))</f>
        <v/>
      </c>
      <c r="N141" s="63" t="str">
        <f t="shared" ca="1" si="19"/>
        <v>Documento a Emitir</v>
      </c>
      <c r="O141" s="63" t="str">
        <f t="shared" si="21"/>
        <v>Blossom - Documento a emitir</v>
      </c>
      <c r="P141" s="63" t="str">
        <f t="shared" si="22"/>
        <v>Blossom</v>
      </c>
      <c r="Q141" s="63" t="str">
        <f>IF(_xlfn.XLOOKUP(D141,'LD-ELFA'!F:F,'LD-ELFA'!V:V)="","",_xlfn.XLOOKUP(D141,'LD-ELFA'!F:F,'LD-ELFA'!V:V))</f>
        <v/>
      </c>
      <c r="R141" s="40">
        <f>IFERROR(IF(I141&lt;&gt;"","Documento Emitido",_xlfn.XLOOKUP(D141,Cronograma!P:P,Cronograma!Q:Q)),"Documento Removido")</f>
        <v>46246</v>
      </c>
      <c r="S141" s="40" t="str">
        <f t="shared" ca="1" si="23"/>
        <v>No prazo</v>
      </c>
      <c r="T141" s="40">
        <f>IFERROR(IF(I141&lt;&gt;"","Documento Emitido",_xlfn.XLOOKUP(D141,Cronograma!P:P,Cronograma!R:R)),"Documento Removido")</f>
        <v>46247</v>
      </c>
      <c r="U141" s="39" t="str">
        <f t="shared" si="24"/>
        <v>No prazo</v>
      </c>
      <c r="V141" s="39" t="str">
        <f t="shared" si="25"/>
        <v/>
      </c>
      <c r="W141" s="39" t="str">
        <f t="shared" ca="1" si="26"/>
        <v/>
      </c>
    </row>
    <row r="142" spans="1:23" s="60" customFormat="1" ht="28.5" customHeight="1" x14ac:dyDescent="0.2">
      <c r="A142" s="39">
        <v>139</v>
      </c>
      <c r="B142" s="39" t="str">
        <f>_xlfn.XLOOKUP(D142,'LD-ELFA'!F:F,'LD-ELFA'!C:C)</f>
        <v>EL - Eletrica</v>
      </c>
      <c r="C142" s="39" t="str">
        <f>_xlfn.XLOOKUP(D142,'LD-ELFA'!F:F,'LD-ELFA'!D:D)</f>
        <v>DUN - Diagrama Unifilar</v>
      </c>
      <c r="D142" s="39" t="s">
        <v>145</v>
      </c>
      <c r="E142" s="39" t="str">
        <f>_xlfn.LET(_xlpm.q,_xlfn.XLOOKUP(D142,'LD-ELFA'!F:F,'LD-ELFA'!Q:Q),
   _xlpm.r,_xlfn.XLOOKUP(D142,'LD-ELFA'!F:F,'LD-ELFA'!R:R),
   IF(_xlpm.r = "", _xlpm.q, _xlpm.q &amp; " - " &amp; _xlpm.r))</f>
        <v>DIAGRAMA UNIFILAR SUBESTAÇÃO 1913-SE-001</v>
      </c>
      <c r="F142" s="63" t="str">
        <f t="shared" si="20"/>
        <v>Básico</v>
      </c>
      <c r="G142" s="63">
        <f>_xlfn.XLOOKUP(D142,'LD-ELFA'!F:F,'LD-ELFA'!G:G)</f>
        <v>0</v>
      </c>
      <c r="H142" s="63">
        <f>_xlfn.XLOOKUP(D142,'LD-ELFA'!F:F,'LD-ELFA'!I:I)</f>
        <v>0</v>
      </c>
      <c r="I142" s="63" t="str">
        <f>IF(_xlfn.XLOOKUP(D142,'LD-ELFA'!F:F,'LD-ELFA'!T:T)="","",_xlfn.XLOOKUP(D142,'LD-ELFA'!F:F,'LD-ELFA'!T:T))</f>
        <v/>
      </c>
      <c r="J142" s="63" t="str">
        <f>IF(K142="Documento a emitir", "",_xlfn.XLOOKUP(D142,'LD-ELFA'!F:F,'LD-ELFA'!N:N))</f>
        <v/>
      </c>
      <c r="K142" s="43" t="str">
        <f>IF(_xlfn.XLOOKUP($D142,'LD-ELFA'!F:F,'LD-ELFA'!U:U)="","Documento a emitir",_xlfn.XLOOKUP($D142,'LD-ELFA'!F:F,'LD-ELFA'!U:U))</f>
        <v>Documento a emitir</v>
      </c>
      <c r="L142" s="43" t="str">
        <f>IF(K142="Documento a emitir","Documento a emitir",IF(K142&lt;&gt;"Documento a emitir",IF(_xlfn.XLOOKUP(D142,'LD-ELFA'!F:F,'LD-ELFA'!W:W)="","",_xlfn.XLOOKUP(D142,'LD-ELFA'!F:F,'LD-ELFA'!W:W)),""))</f>
        <v>Documento a emitir</v>
      </c>
      <c r="M142" s="43" t="str">
        <f>IF(K142="Documento a emitir","",IF(AND(Q142="APC-R  - APC-R - Aprovado com Comentários (Retornar para uma nova Aprovação)",Q142="APC-L  - APC-L  - Aprovado com Comentários (Retornar Aprovado)"),"",IF(OR(_xlfn.XLOOKUP(D142,'LD-ELFA'!F:F,'LD-ELFA'!N:N)="PARA CONHECIMENTO",_xlfn.XLOOKUP(D142,'LD-ELFA'!F:F,'LD-ELFA'!N:N)="PARA CONSTRUÇÃO",_xlfn.XLOOKUP(D142,'LD-ELFA'!F:F,'LD-ELFA'!N:N)="PARA COTAÇÃO",_xlfn.XLOOKUP(D142,'LD-ELFA'!F:F,'LD-ELFA'!N:N)="CANCELADO"),_xlfn.XLOOKUP(D142,'LD-ELFA'!F:F,'LD-ELFA'!U:U),IF(AND(L142="",J142&lt;&gt;"PARA APROVAÇÃO"),"",""))))</f>
        <v/>
      </c>
      <c r="N142" s="63" t="str">
        <f ca="1">IF(O142="Documento Concluído","Documento Concluído",IF(O142="Cliente - Atendimento de Comentário",IF(TODAY()&lt;=(K142+3),"No prazo","Atrasado"),IF(O142="Cliente - Atendimento de Comentário",IF(TODAY()&lt;=(WORKDAY(K142,3,0)),"No prazo","Atrasado"),IF(O142="Blossom - Emissão Final",IF(TODAY()&lt;=(WORKDAY(L142,3,0)),"No prazo","Atrasado"),IF(O142="Blossom - Atendimento de Comentário",IF(TODAY()&lt;=(WORKDAY(L142,3,0)),"No prazo","Atrasado"),IF(O142="Blossom - Documento a emitir","Documento a Emitir",IF(O142="Documento Removido","Documento Removido","ERRO")))))))</f>
        <v>Documento a Emitir</v>
      </c>
      <c r="O142" s="63" t="str">
        <f t="shared" si="21"/>
        <v>Blossom - Documento a emitir</v>
      </c>
      <c r="P142" s="63" t="str">
        <f t="shared" si="22"/>
        <v>Blossom</v>
      </c>
      <c r="Q142" s="63" t="str">
        <f>IF(_xlfn.XLOOKUP(D142,'LD-ELFA'!F:F,'LD-ELFA'!V:V)="","",_xlfn.XLOOKUP(D142,'LD-ELFA'!F:F,'LD-ELFA'!V:V))</f>
        <v/>
      </c>
      <c r="R142" s="40">
        <f>IFERROR(IF(I142&lt;&gt;"","Documento Emitido",_xlfn.XLOOKUP(D142,Cronograma!P:P,Cronograma!Q:Q)),"Documento Removido")</f>
        <v>46246</v>
      </c>
      <c r="S142" s="40" t="str">
        <f t="shared" ca="1" si="23"/>
        <v>No prazo</v>
      </c>
      <c r="T142" s="40">
        <f>IFERROR(IF(I142&lt;&gt;"","Documento Emitido",_xlfn.XLOOKUP(D142,Cronograma!P:P,Cronograma!R:R)),"Documento Removido")</f>
        <v>46247</v>
      </c>
      <c r="U142" s="39" t="str">
        <f t="shared" si="24"/>
        <v>No prazo</v>
      </c>
      <c r="V142" s="39" t="str">
        <f t="shared" si="25"/>
        <v/>
      </c>
      <c r="W142" s="39" t="str">
        <f t="shared" ca="1" si="26"/>
        <v/>
      </c>
    </row>
    <row r="143" spans="1:23" s="60" customFormat="1" ht="28.5" customHeight="1" x14ac:dyDescent="0.2">
      <c r="A143" s="39">
        <v>140</v>
      </c>
      <c r="B143" s="39" t="e">
        <f>_xlfn.XLOOKUP(D143,'LD-ELFA'!F:F,'LD-ELFA'!C:C)</f>
        <v>#N/A</v>
      </c>
      <c r="C143" s="39" t="e">
        <f>_xlfn.XLOOKUP(D143,'LD-ELFA'!F:F,'LD-ELFA'!D:D)</f>
        <v>#N/A</v>
      </c>
      <c r="D143" s="39" t="s">
        <v>146</v>
      </c>
      <c r="E143" s="39" t="e">
        <f>_xlfn.LET(_xlpm.q,_xlfn.XLOOKUP(D143,'LD-ELFA'!F:F,'LD-ELFA'!Q:Q),
   _xlpm.r,_xlfn.XLOOKUP(D143,'LD-ELFA'!F:F,'LD-ELFA'!R:R),
   IF(_xlpm.r = "", _xlpm.q, _xlpm.q &amp; " - " &amp; _xlpm.r))</f>
        <v>#N/A</v>
      </c>
      <c r="F143" s="63" t="str">
        <f t="shared" si="20"/>
        <v>Básico</v>
      </c>
      <c r="G143" s="63" t="e">
        <f>_xlfn.XLOOKUP(D143,'LD-ELFA'!F:F,'LD-ELFA'!G:G)</f>
        <v>#N/A</v>
      </c>
      <c r="H143" s="63" t="e">
        <f>_xlfn.XLOOKUP(D143,'LD-ELFA'!F:F,'LD-ELFA'!I:I)</f>
        <v>#N/A</v>
      </c>
      <c r="I143" s="63" t="e">
        <f>IF(_xlfn.XLOOKUP(D143,'LD-ELFA'!F:F,'LD-ELFA'!T:T)="","",_xlfn.XLOOKUP(D143,'LD-ELFA'!F:F,'LD-ELFA'!T:T))</f>
        <v>#N/A</v>
      </c>
      <c r="J143" s="63" t="e">
        <f>IF(K143="Documento a emitir", "",_xlfn.XLOOKUP(D143,'LD-ELFA'!F:F,'LD-ELFA'!N:N))</f>
        <v>#N/A</v>
      </c>
      <c r="K143" s="43" t="e">
        <f>IF(_xlfn.XLOOKUP($D143,'LD-ELFA'!F:F,'LD-ELFA'!U:U)="","Documento a emitir",_xlfn.XLOOKUP($D143,'LD-ELFA'!F:F,'LD-ELFA'!U:U))</f>
        <v>#N/A</v>
      </c>
      <c r="L143" s="43" t="e">
        <f>IF(K143="Documento a emitir","Documento a emitir",IF(K143&lt;&gt;"Documento a emitir",IF(_xlfn.XLOOKUP(D143,'LD-ELFA'!F:F,'LD-ELFA'!W:W)="","",_xlfn.XLOOKUP(D143,'LD-ELFA'!F:F,'LD-ELFA'!W:W)),""))</f>
        <v>#N/A</v>
      </c>
      <c r="M143" s="43" t="e">
        <f>IF(K143="Documento a emitir","",IF(AND(Q143="APC-R  - APC-R - Aprovado com Comentários (Retornar para uma nova Aprovação)",Q143="APC-L  - APC-L  - Aprovado com Comentários (Retornar Aprovado)"),"",IF(OR(_xlfn.XLOOKUP(D143,'LD-ELFA'!F:F,'LD-ELFA'!N:N)="PARA CONHECIMENTO",_xlfn.XLOOKUP(D143,'LD-ELFA'!F:F,'LD-ELFA'!N:N)="PARA CONSTRUÇÃO",_xlfn.XLOOKUP(D143,'LD-ELFA'!F:F,'LD-ELFA'!N:N)="PARA COTAÇÃO",_xlfn.XLOOKUP(D143,'LD-ELFA'!F:F,'LD-ELFA'!N:N)="CANCELADO"),_xlfn.XLOOKUP(D143,'LD-ELFA'!F:F,'LD-ELFA'!U:U),IF(AND(L143="",J143&lt;&gt;"PARA APROVAÇÃO"),"",""))))</f>
        <v>#N/A</v>
      </c>
      <c r="N143" s="63" t="str">
        <f t="shared" ref="N143:N164" ca="1" si="27">IF(O143="Documento Concluído","Documento Concluído",IF(O143="Cliente - Atendimento de Comentário",IF(TODAY()&lt;=(K143+3),"No prazo","Atrasado"),IF(O143="Cliente - Atendimento de Comentário",IF(TODAY()&lt;=(WORKDAY(K143,3,0)),"No prazo","Atrasado"),IF(O143="Blossom - Emissão Final",IF(TODAY()&lt;=(WORKDAY(L143,3,0)),"No prazo","Atrasado"),IF(O143="Blossom - Atendimento de Comentário",IF(TODAY()&lt;=(WORKDAY(L143,3,0)),"No prazo","Atrasado"),IF(O143="Blossom - Documento a emitir","Documento a Emitir","ERRO"))))))</f>
        <v>ERRO</v>
      </c>
      <c r="O143" s="63" t="str">
        <f t="shared" si="21"/>
        <v>Documento Removido</v>
      </c>
      <c r="P143" s="63" t="str">
        <f t="shared" si="22"/>
        <v>Blossom</v>
      </c>
      <c r="Q143" s="63" t="e">
        <f>IF(_xlfn.XLOOKUP(D143,'LD-ELFA'!F:F,'LD-ELFA'!V:V)="","",_xlfn.XLOOKUP(D143,'LD-ELFA'!F:F,'LD-ELFA'!V:V))</f>
        <v>#N/A</v>
      </c>
      <c r="R143" s="40" t="str">
        <f>IFERROR(IF(I143&lt;&gt;"","Documento Emitido",_xlfn.XLOOKUP(D143,Cronograma!P:P,Cronograma!Q:Q)),"Documento Removido")</f>
        <v>Documento Removido</v>
      </c>
      <c r="S143" s="40" t="str">
        <f t="shared" ca="1" si="23"/>
        <v>Documento Removido</v>
      </c>
      <c r="T143" s="40" t="str">
        <f>IFERROR(IF(I143&lt;&gt;"","Documento Emitido",_xlfn.XLOOKUP(D143,Cronograma!P:P,Cronograma!R:R)),"Documento Removido")</f>
        <v>Documento Removido</v>
      </c>
      <c r="U143" s="39" t="str">
        <f t="shared" si="24"/>
        <v>Documento Removido</v>
      </c>
      <c r="V143" s="39" t="str">
        <f t="shared" si="25"/>
        <v>Documento Removido</v>
      </c>
      <c r="W143" s="39" t="e">
        <f t="shared" ca="1" si="26"/>
        <v>#N/A</v>
      </c>
    </row>
    <row r="144" spans="1:23" s="60" customFormat="1" ht="28.5" customHeight="1" x14ac:dyDescent="0.2">
      <c r="A144" s="39">
        <v>141</v>
      </c>
      <c r="B144" s="39" t="str">
        <f>_xlfn.XLOOKUP(D144,'LD-ELFA'!F:F,'LD-ELFA'!C:C)</f>
        <v>EL - Eletrica</v>
      </c>
      <c r="C144" s="39" t="str">
        <f>_xlfn.XLOOKUP(D144,'LD-ELFA'!F:F,'LD-ELFA'!D:D)</f>
        <v>EDP - Estudos E Planos</v>
      </c>
      <c r="D144" s="39" t="s">
        <v>147</v>
      </c>
      <c r="E144" s="39" t="str">
        <f>_xlfn.LET(_xlpm.q,_xlfn.XLOOKUP(D144,'LD-ELFA'!F:F,'LD-ELFA'!Q:Q),
   _xlpm.r,_xlfn.XLOOKUP(D144,'LD-ELFA'!F:F,'LD-ELFA'!R:R),
   IF(_xlpm.r = "", _xlpm.q, _xlpm.q &amp; " - " &amp; _xlpm.r))</f>
        <v>ESTUDO DE CARGAS E DEMANDA
RELATÓRIO TÉCNICO</v>
      </c>
      <c r="F144" s="63" t="str">
        <f t="shared" si="20"/>
        <v>Básico</v>
      </c>
      <c r="G144" s="63">
        <f>_xlfn.XLOOKUP(D144,'LD-ELFA'!F:F,'LD-ELFA'!G:G)</f>
        <v>0</v>
      </c>
      <c r="H144" s="63" t="str">
        <f>_xlfn.XLOOKUP(D144,'LD-ELFA'!F:F,'LD-ELFA'!I:I)</f>
        <v>A</v>
      </c>
      <c r="I144" s="63" t="str">
        <f>IF(_xlfn.XLOOKUP(D144,'LD-ELFA'!F:F,'LD-ELFA'!T:T)="","",_xlfn.XLOOKUP(D144,'LD-ELFA'!F:F,'LD-ELFA'!T:T))</f>
        <v>0003</v>
      </c>
      <c r="J144" s="63" t="str">
        <f>IF(K144="Documento a emitir", "",_xlfn.XLOOKUP(D144,'LD-ELFA'!F:F,'LD-ELFA'!N:N))</f>
        <v>PARA APROVAÇÃO</v>
      </c>
      <c r="K144" s="43">
        <f>IF(_xlfn.XLOOKUP($D144,'LD-ELFA'!F:F,'LD-ELFA'!U:U)="","Documento a emitir",_xlfn.XLOOKUP($D144,'LD-ELFA'!F:F,'LD-ELFA'!U:U))</f>
        <v>46193.521463460653</v>
      </c>
      <c r="L144" s="43">
        <f>IF(K144="Documento a emitir","Documento a emitir",IF(K144&lt;&gt;"Documento a emitir",IF(_xlfn.XLOOKUP(D144,'LD-ELFA'!F:F,'LD-ELFA'!W:W)="","",_xlfn.XLOOKUP(D144,'LD-ELFA'!F:F,'LD-ELFA'!W:W)),""))</f>
        <v>46204.495983761582</v>
      </c>
      <c r="M144" s="43" t="str">
        <f>IF(K144="Documento a emitir","",IF(AND(Q144="APC-R  - APC-R - Aprovado com Comentários (Retornar para uma nova Aprovação)",Q144="APC-L  - APC-L  - Aprovado com Comentários (Retornar Aprovado)"),"",IF(OR(_xlfn.XLOOKUP(D144,'LD-ELFA'!F:F,'LD-ELFA'!N:N)="PARA CONHECIMENTO",_xlfn.XLOOKUP(D144,'LD-ELFA'!F:F,'LD-ELFA'!N:N)="PARA CONSTRUÇÃO",_xlfn.XLOOKUP(D144,'LD-ELFA'!F:F,'LD-ELFA'!N:N)="PARA COTAÇÃO",_xlfn.XLOOKUP(D144,'LD-ELFA'!F:F,'LD-ELFA'!N:N)="CANCELADO"),_xlfn.XLOOKUP(D144,'LD-ELFA'!F:F,'LD-ELFA'!U:U),IF(AND(L144="",J144&lt;&gt;"PARA APROVAÇÃO"),"",""))))</f>
        <v/>
      </c>
      <c r="N144" s="63" t="str">
        <f t="shared" ca="1" si="27"/>
        <v>Atrasado</v>
      </c>
      <c r="O144" s="63" t="str">
        <f t="shared" si="21"/>
        <v>Blossom - Atendimento de Comentário</v>
      </c>
      <c r="P144" s="63" t="str">
        <f t="shared" si="22"/>
        <v>Blossom</v>
      </c>
      <c r="Q144" s="63" t="str">
        <f>IF(_xlfn.XLOOKUP(D144,'LD-ELFA'!F:F,'LD-ELFA'!V:V)="","",_xlfn.XLOOKUP(D144,'LD-ELFA'!F:F,'LD-ELFA'!V:V))</f>
        <v>APC-R  - APC-R - Aprovado com Comentários (Retornar para uma nova Aprovação)</v>
      </c>
      <c r="R144" s="40" t="str">
        <f>IFERROR(IF(I144&lt;&gt;"","Documento Emitido",_xlfn.XLOOKUP(D144,Cronograma!P:P,Cronograma!Q:Q)),"Documento Removido")</f>
        <v>Documento Emitido</v>
      </c>
      <c r="S144" s="40" t="str">
        <f t="shared" ca="1" si="23"/>
        <v>Documento Emitido</v>
      </c>
      <c r="T144" s="40" t="str">
        <f>IFERROR(IF(I144&lt;&gt;"","Documento Emitido",_xlfn.XLOOKUP(D144,Cronograma!P:P,Cronograma!R:R)),"Documento Removido")</f>
        <v>Documento Emitido</v>
      </c>
      <c r="U144" s="39" t="str">
        <f t="shared" si="24"/>
        <v>Documento Emitido</v>
      </c>
      <c r="V144" s="39" t="str">
        <f t="shared" si="25"/>
        <v>Documento Emitido</v>
      </c>
      <c r="W144" s="39" t="str">
        <f t="shared" ca="1" si="26"/>
        <v/>
      </c>
    </row>
    <row r="145" spans="1:23" s="60" customFormat="1" ht="28.5" customHeight="1" x14ac:dyDescent="0.2">
      <c r="A145" s="39">
        <v>142</v>
      </c>
      <c r="B145" s="39" t="str">
        <f>_xlfn.XLOOKUP(D145,'LD-ELFA'!F:F,'LD-ELFA'!C:C)</f>
        <v>EL - Eletrica</v>
      </c>
      <c r="C145" s="39" t="str">
        <f>_xlfn.XLOOKUP(D145,'LD-ELFA'!F:F,'LD-ELFA'!D:D)</f>
        <v>EDP - Estudos E Planos</v>
      </c>
      <c r="D145" s="39" t="s">
        <v>148</v>
      </c>
      <c r="E145" s="39" t="str">
        <f>_xlfn.LET(_xlpm.q,_xlfn.XLOOKUP(D145,'LD-ELFA'!F:F,'LD-ELFA'!Q:Q),
   _xlpm.r,_xlfn.XLOOKUP(D145,'LD-ELFA'!F:F,'LD-ELFA'!R:R),
   IF(_xlpm.r = "", _xlpm.q, _xlpm.q &amp; " - " &amp; _xlpm.r))</f>
        <v>ESTUDO DE CARGAS E DEMANDA
RELATÓRIO TÉCNICO</v>
      </c>
      <c r="F145" s="63" t="str">
        <f t="shared" si="20"/>
        <v>Básico</v>
      </c>
      <c r="G145" s="63">
        <f>_xlfn.XLOOKUP(D145,'LD-ELFA'!F:F,'LD-ELFA'!G:G)</f>
        <v>0</v>
      </c>
      <c r="H145" s="63">
        <f>_xlfn.XLOOKUP(D145,'LD-ELFA'!F:F,'LD-ELFA'!I:I)</f>
        <v>0</v>
      </c>
      <c r="I145" s="63" t="str">
        <f>IF(_xlfn.XLOOKUP(D145,'LD-ELFA'!F:F,'LD-ELFA'!T:T)="","",_xlfn.XLOOKUP(D145,'LD-ELFA'!F:F,'LD-ELFA'!T:T))</f>
        <v/>
      </c>
      <c r="J145" s="63" t="str">
        <f>IF(K145="Documento a emitir", "",_xlfn.XLOOKUP(D145,'LD-ELFA'!F:F,'LD-ELFA'!N:N))</f>
        <v/>
      </c>
      <c r="K145" s="43" t="str">
        <f>IF(_xlfn.XLOOKUP($D145,'LD-ELFA'!F:F,'LD-ELFA'!U:U)="","Documento a emitir",_xlfn.XLOOKUP($D145,'LD-ELFA'!F:F,'LD-ELFA'!U:U))</f>
        <v>Documento a emitir</v>
      </c>
      <c r="L145" s="43" t="str">
        <f>IF(K145="Documento a emitir","Documento a emitir",IF(K145&lt;&gt;"Documento a emitir",IF(_xlfn.XLOOKUP(D145,'LD-ELFA'!F:F,'LD-ELFA'!W:W)="","",_xlfn.XLOOKUP(D145,'LD-ELFA'!F:F,'LD-ELFA'!W:W)),""))</f>
        <v>Documento a emitir</v>
      </c>
      <c r="M145" s="43" t="str">
        <f>IF(K145="Documento a emitir","",IF(AND(Q145="APC-R  - APC-R - Aprovado com Comentários (Retornar para uma nova Aprovação)",Q145="APC-L  - APC-L  - Aprovado com Comentários (Retornar Aprovado)"),"",IF(OR(_xlfn.XLOOKUP(D145,'LD-ELFA'!F:F,'LD-ELFA'!N:N)="PARA CONHECIMENTO",_xlfn.XLOOKUP(D145,'LD-ELFA'!F:F,'LD-ELFA'!N:N)="PARA CONSTRUÇÃO",_xlfn.XLOOKUP(D145,'LD-ELFA'!F:F,'LD-ELFA'!N:N)="PARA COTAÇÃO",_xlfn.XLOOKUP(D145,'LD-ELFA'!F:F,'LD-ELFA'!N:N)="CANCELADO"),_xlfn.XLOOKUP(D145,'LD-ELFA'!F:F,'LD-ELFA'!U:U),IF(AND(L145="",J145&lt;&gt;"PARA APROVAÇÃO"),"",""))))</f>
        <v/>
      </c>
      <c r="N145" s="63" t="str">
        <f t="shared" ca="1" si="27"/>
        <v>Documento a Emitir</v>
      </c>
      <c r="O145" s="63" t="str">
        <f t="shared" si="21"/>
        <v>Blossom - Documento a emitir</v>
      </c>
      <c r="P145" s="63" t="str">
        <f t="shared" si="22"/>
        <v>Blossom</v>
      </c>
      <c r="Q145" s="63" t="str">
        <f>IF(_xlfn.XLOOKUP(D145,'LD-ELFA'!F:F,'LD-ELFA'!V:V)="","",_xlfn.XLOOKUP(D145,'LD-ELFA'!F:F,'LD-ELFA'!V:V))</f>
        <v/>
      </c>
      <c r="R145" s="40">
        <f>IFERROR(IF(I145&lt;&gt;"","Documento Emitido",_xlfn.XLOOKUP(D145,Cronograma!P:P,Cronograma!Q:Q)),"Documento Removido")</f>
        <v>46246</v>
      </c>
      <c r="S145" s="40" t="str">
        <f t="shared" ca="1" si="23"/>
        <v>No prazo</v>
      </c>
      <c r="T145" s="40">
        <f>IFERROR(IF(I145&lt;&gt;"","Documento Emitido",_xlfn.XLOOKUP(D145,Cronograma!P:P,Cronograma!R:R)),"Documento Removido")</f>
        <v>46244</v>
      </c>
      <c r="U145" s="39" t="str">
        <f t="shared" si="24"/>
        <v>Emissão Atrasada</v>
      </c>
      <c r="V145" s="39" t="str">
        <f t="shared" si="25"/>
        <v/>
      </c>
      <c r="W145" s="39" t="str">
        <f t="shared" ca="1" si="26"/>
        <v/>
      </c>
    </row>
    <row r="146" spans="1:23" s="60" customFormat="1" ht="28.5" customHeight="1" x14ac:dyDescent="0.2">
      <c r="A146" s="39">
        <v>143</v>
      </c>
      <c r="B146" s="39" t="str">
        <f>_xlfn.XLOOKUP(D146,'LD-ELFA'!F:F,'LD-ELFA'!C:C)</f>
        <v>EL - Eletrica</v>
      </c>
      <c r="C146" s="39" t="str">
        <f>_xlfn.XLOOKUP(D146,'LD-ELFA'!F:F,'LD-ELFA'!D:D)</f>
        <v>ETE - Especificação Técnica</v>
      </c>
      <c r="D146" s="39" t="s">
        <v>149</v>
      </c>
      <c r="E146" s="39" t="str">
        <f>_xlfn.LET(_xlpm.q,_xlfn.XLOOKUP(D146,'LD-ELFA'!F:F,'LD-ELFA'!Q:Q),
   _xlpm.r,_xlfn.XLOOKUP(D146,'LD-ELFA'!F:F,'LD-ELFA'!R:R),
   IF(_xlpm.r = "", _xlpm.q, _xlpm.q &amp; " - " &amp; _xlpm.r))</f>
        <v>ESPECIFICAÇÃO TÉCNICA
FORNECIMENTO TURN KEY DA SUBESTAÇÃO PRINCIPAL 
1901-SE-01</v>
      </c>
      <c r="F146" s="63" t="str">
        <f t="shared" si="20"/>
        <v>Básico</v>
      </c>
      <c r="G146" s="63">
        <f>_xlfn.XLOOKUP(D146,'LD-ELFA'!F:F,'LD-ELFA'!G:G)</f>
        <v>0</v>
      </c>
      <c r="H146" s="63">
        <f>_xlfn.XLOOKUP(D146,'LD-ELFA'!F:F,'LD-ELFA'!I:I)</f>
        <v>0</v>
      </c>
      <c r="I146" s="63" t="str">
        <f>IF(_xlfn.XLOOKUP(D146,'LD-ELFA'!F:F,'LD-ELFA'!T:T)="","",_xlfn.XLOOKUP(D146,'LD-ELFA'!F:F,'LD-ELFA'!T:T))</f>
        <v/>
      </c>
      <c r="J146" s="63" t="str">
        <f>IF(K146="Documento a emitir", "",_xlfn.XLOOKUP(D146,'LD-ELFA'!F:F,'LD-ELFA'!N:N))</f>
        <v/>
      </c>
      <c r="K146" s="43" t="str">
        <f>IF(_xlfn.XLOOKUP($D146,'LD-ELFA'!F:F,'LD-ELFA'!U:U)="","Documento a emitir",_xlfn.XLOOKUP($D146,'LD-ELFA'!F:F,'LD-ELFA'!U:U))</f>
        <v>Documento a emitir</v>
      </c>
      <c r="L146" s="43" t="str">
        <f>IF(K146="Documento a emitir","Documento a emitir",IF(K146&lt;&gt;"Documento a emitir",IF(_xlfn.XLOOKUP(D146,'LD-ELFA'!F:F,'LD-ELFA'!W:W)="","",_xlfn.XLOOKUP(D146,'LD-ELFA'!F:F,'LD-ELFA'!W:W)),""))</f>
        <v>Documento a emitir</v>
      </c>
      <c r="M146" s="43" t="str">
        <f>IF(K146="Documento a emitir","",IF(AND(Q146="APC-R  - APC-R - Aprovado com Comentários (Retornar para uma nova Aprovação)",Q146="APC-L  - APC-L  - Aprovado com Comentários (Retornar Aprovado)"),"",IF(OR(_xlfn.XLOOKUP(D146,'LD-ELFA'!F:F,'LD-ELFA'!N:N)="PARA CONHECIMENTO",_xlfn.XLOOKUP(D146,'LD-ELFA'!F:F,'LD-ELFA'!N:N)="PARA CONSTRUÇÃO",_xlfn.XLOOKUP(D146,'LD-ELFA'!F:F,'LD-ELFA'!N:N)="PARA COTAÇÃO",_xlfn.XLOOKUP(D146,'LD-ELFA'!F:F,'LD-ELFA'!N:N)="CANCELADO"),_xlfn.XLOOKUP(D146,'LD-ELFA'!F:F,'LD-ELFA'!U:U),IF(AND(L146="",J146&lt;&gt;"PARA APROVAÇÃO"),"",""))))</f>
        <v/>
      </c>
      <c r="N146" s="63" t="str">
        <f t="shared" ca="1" si="27"/>
        <v>Documento a Emitir</v>
      </c>
      <c r="O146" s="63" t="str">
        <f t="shared" si="21"/>
        <v>Blossom - Documento a emitir</v>
      </c>
      <c r="P146" s="63" t="str">
        <f t="shared" si="22"/>
        <v>Blossom</v>
      </c>
      <c r="Q146" s="63" t="str">
        <f>IF(_xlfn.XLOOKUP(D146,'LD-ELFA'!F:F,'LD-ELFA'!V:V)="","",_xlfn.XLOOKUP(D146,'LD-ELFA'!F:F,'LD-ELFA'!V:V))</f>
        <v/>
      </c>
      <c r="R146" s="40">
        <f>IFERROR(IF(I146&lt;&gt;"","Documento Emitido",_xlfn.XLOOKUP(D146,Cronograma!P:P,Cronograma!Q:Q)),"Documento Removido")</f>
        <v>46261</v>
      </c>
      <c r="S146" s="40" t="str">
        <f t="shared" ca="1" si="23"/>
        <v>No prazo</v>
      </c>
      <c r="T146" s="40">
        <f>IFERROR(IF(I146&lt;&gt;"","Documento Emitido",_xlfn.XLOOKUP(D146,Cronograma!P:P,Cronograma!R:R)),"Documento Removido")</f>
        <v>46262</v>
      </c>
      <c r="U146" s="39" t="str">
        <f t="shared" si="24"/>
        <v>No prazo</v>
      </c>
      <c r="V146" s="39" t="str">
        <f t="shared" si="25"/>
        <v/>
      </c>
      <c r="W146" s="39" t="str">
        <f t="shared" ca="1" si="26"/>
        <v/>
      </c>
    </row>
    <row r="147" spans="1:23" s="60" customFormat="1" ht="28.5" customHeight="1" x14ac:dyDescent="0.2">
      <c r="A147" s="39">
        <v>144</v>
      </c>
      <c r="B147" s="39" t="str">
        <f>_xlfn.XLOOKUP(D147,'LD-ELFA'!F:F,'LD-ELFA'!C:C)</f>
        <v>EL - Eletrica</v>
      </c>
      <c r="C147" s="39" t="str">
        <f>_xlfn.XLOOKUP(D147,'LD-ELFA'!F:F,'LD-ELFA'!D:D)</f>
        <v>ETE - Especificação Técnica</v>
      </c>
      <c r="D147" s="39" t="s">
        <v>150</v>
      </c>
      <c r="E147" s="39" t="str">
        <f>_xlfn.LET(_xlpm.q,_xlfn.XLOOKUP(D147,'LD-ELFA'!F:F,'LD-ELFA'!Q:Q),
   _xlpm.r,_xlfn.XLOOKUP(D147,'LD-ELFA'!F:F,'LD-ELFA'!R:R),
   IF(_xlpm.r = "", _xlpm.q, _xlpm.q &amp; " - " &amp; _xlpm.r))</f>
        <v>ESPECIFICAÇÃO TÉCNICA
FORNECIMENTO TURN KEY DE LINHAS DE DISTRIBUIÇÃO PROTEGIDAS DE 13,8 kV</v>
      </c>
      <c r="F147" s="63" t="str">
        <f t="shared" si="20"/>
        <v>Básico</v>
      </c>
      <c r="G147" s="63">
        <f>_xlfn.XLOOKUP(D147,'LD-ELFA'!F:F,'LD-ELFA'!G:G)</f>
        <v>0</v>
      </c>
      <c r="H147" s="63">
        <f>_xlfn.XLOOKUP(D147,'LD-ELFA'!F:F,'LD-ELFA'!I:I)</f>
        <v>0</v>
      </c>
      <c r="I147" s="63" t="str">
        <f>IF(_xlfn.XLOOKUP(D147,'LD-ELFA'!F:F,'LD-ELFA'!T:T)="","",_xlfn.XLOOKUP(D147,'LD-ELFA'!F:F,'LD-ELFA'!T:T))</f>
        <v/>
      </c>
      <c r="J147" s="63" t="str">
        <f>IF(K147="Documento a emitir", "",_xlfn.XLOOKUP(D147,'LD-ELFA'!F:F,'LD-ELFA'!N:N))</f>
        <v/>
      </c>
      <c r="K147" s="43" t="str">
        <f>IF(_xlfn.XLOOKUP($D147,'LD-ELFA'!F:F,'LD-ELFA'!U:U)="","Documento a emitir",_xlfn.XLOOKUP($D147,'LD-ELFA'!F:F,'LD-ELFA'!U:U))</f>
        <v>Documento a emitir</v>
      </c>
      <c r="L147" s="43" t="str">
        <f>IF(K147="Documento a emitir","Documento a emitir",IF(K147&lt;&gt;"Documento a emitir",IF(_xlfn.XLOOKUP(D147,'LD-ELFA'!F:F,'LD-ELFA'!W:W)="","",_xlfn.XLOOKUP(D147,'LD-ELFA'!F:F,'LD-ELFA'!W:W)),""))</f>
        <v>Documento a emitir</v>
      </c>
      <c r="M147" s="43" t="str">
        <f>IF(K147="Documento a emitir","",IF(AND(Q147="APC-R  - APC-R - Aprovado com Comentários (Retornar para uma nova Aprovação)",Q147="APC-L  - APC-L  - Aprovado com Comentários (Retornar Aprovado)"),"",IF(OR(_xlfn.XLOOKUP(D147,'LD-ELFA'!F:F,'LD-ELFA'!N:N)="PARA CONHECIMENTO",_xlfn.XLOOKUP(D147,'LD-ELFA'!F:F,'LD-ELFA'!N:N)="PARA CONSTRUÇÃO",_xlfn.XLOOKUP(D147,'LD-ELFA'!F:F,'LD-ELFA'!N:N)="PARA COTAÇÃO",_xlfn.XLOOKUP(D147,'LD-ELFA'!F:F,'LD-ELFA'!N:N)="CANCELADO"),_xlfn.XLOOKUP(D147,'LD-ELFA'!F:F,'LD-ELFA'!U:U),IF(AND(L147="",J147&lt;&gt;"PARA APROVAÇÃO"),"",""))))</f>
        <v/>
      </c>
      <c r="N147" s="63" t="str">
        <f t="shared" ca="1" si="27"/>
        <v>Documento a Emitir</v>
      </c>
      <c r="O147" s="63" t="str">
        <f t="shared" si="21"/>
        <v>Blossom - Documento a emitir</v>
      </c>
      <c r="P147" s="63" t="str">
        <f t="shared" si="22"/>
        <v>Blossom</v>
      </c>
      <c r="Q147" s="63" t="str">
        <f>IF(_xlfn.XLOOKUP(D147,'LD-ELFA'!F:F,'LD-ELFA'!V:V)="","",_xlfn.XLOOKUP(D147,'LD-ELFA'!F:F,'LD-ELFA'!V:V))</f>
        <v/>
      </c>
      <c r="R147" s="40">
        <f>IFERROR(IF(I147&lt;&gt;"","Documento Emitido",_xlfn.XLOOKUP(D147,Cronograma!P:P,Cronograma!Q:Q)),"Documento Removido")</f>
        <v>46267</v>
      </c>
      <c r="S147" s="40" t="str">
        <f t="shared" ca="1" si="23"/>
        <v>No prazo</v>
      </c>
      <c r="T147" s="40">
        <f>IFERROR(IF(I147&lt;&gt;"","Documento Emitido",_xlfn.XLOOKUP(D147,Cronograma!P:P,Cronograma!R:R)),"Documento Removido")</f>
        <v>46268</v>
      </c>
      <c r="U147" s="39" t="str">
        <f t="shared" si="24"/>
        <v>No prazo</v>
      </c>
      <c r="V147" s="39" t="str">
        <f t="shared" si="25"/>
        <v/>
      </c>
      <c r="W147" s="39" t="str">
        <f t="shared" ca="1" si="26"/>
        <v/>
      </c>
    </row>
    <row r="148" spans="1:23" s="60" customFormat="1" ht="28.5" customHeight="1" x14ac:dyDescent="0.2">
      <c r="A148" s="39">
        <v>145</v>
      </c>
      <c r="B148" s="39" t="str">
        <f>_xlfn.XLOOKUP(D148,'LD-ELFA'!F:F,'LD-ELFA'!C:C)</f>
        <v>EL - Eletrica</v>
      </c>
      <c r="C148" s="39" t="str">
        <f>_xlfn.XLOOKUP(D148,'LD-ELFA'!F:F,'LD-ELFA'!D:D)</f>
        <v>FDA - Folha De Dados</v>
      </c>
      <c r="D148" s="39" t="s">
        <v>151</v>
      </c>
      <c r="E148" s="39" t="str">
        <f>_xlfn.LET(_xlpm.q,_xlfn.XLOOKUP(D148,'LD-ELFA'!F:F,'LD-ELFA'!Q:Q),
   _xlpm.r,_xlfn.XLOOKUP(D148,'LD-ELFA'!F:F,'LD-ELFA'!R:R),
   IF(_xlpm.r = "", _xlpm.q, _xlpm.q &amp; " - " &amp; _xlpm.r))</f>
        <v>FOLHA DE DADOS - INVERSORES DE MÉDIA TENSÃO</v>
      </c>
      <c r="F148" s="63" t="str">
        <f t="shared" si="20"/>
        <v>Básico</v>
      </c>
      <c r="G148" s="63">
        <f>_xlfn.XLOOKUP(D148,'LD-ELFA'!F:F,'LD-ELFA'!G:G)</f>
        <v>0</v>
      </c>
      <c r="H148" s="63">
        <f>_xlfn.XLOOKUP(D148,'LD-ELFA'!F:F,'LD-ELFA'!I:I)</f>
        <v>0</v>
      </c>
      <c r="I148" s="63" t="str">
        <f>IF(_xlfn.XLOOKUP(D148,'LD-ELFA'!F:F,'LD-ELFA'!T:T)="","",_xlfn.XLOOKUP(D148,'LD-ELFA'!F:F,'LD-ELFA'!T:T))</f>
        <v/>
      </c>
      <c r="J148" s="63" t="str">
        <f>IF(K148="Documento a emitir", "",_xlfn.XLOOKUP(D148,'LD-ELFA'!F:F,'LD-ELFA'!N:N))</f>
        <v/>
      </c>
      <c r="K148" s="43" t="str">
        <f>IF(_xlfn.XLOOKUP($D148,'LD-ELFA'!F:F,'LD-ELFA'!U:U)="","Documento a emitir",_xlfn.XLOOKUP($D148,'LD-ELFA'!F:F,'LD-ELFA'!U:U))</f>
        <v>Documento a emitir</v>
      </c>
      <c r="L148" s="43" t="str">
        <f>IF(K148="Documento a emitir","Documento a emitir",IF(K148&lt;&gt;"Documento a emitir",IF(_xlfn.XLOOKUP(D148,'LD-ELFA'!F:F,'LD-ELFA'!W:W)="","",_xlfn.XLOOKUP(D148,'LD-ELFA'!F:F,'LD-ELFA'!W:W)),""))</f>
        <v>Documento a emitir</v>
      </c>
      <c r="M148" s="43" t="str">
        <f>IF(K148="Documento a emitir","",IF(AND(Q148="APC-R  - APC-R - Aprovado com Comentários (Retornar para uma nova Aprovação)",Q148="APC-L  - APC-L  - Aprovado com Comentários (Retornar Aprovado)"),"",IF(OR(_xlfn.XLOOKUP(D148,'LD-ELFA'!F:F,'LD-ELFA'!N:N)="PARA CONHECIMENTO",_xlfn.XLOOKUP(D148,'LD-ELFA'!F:F,'LD-ELFA'!N:N)="PARA CONSTRUÇÃO",_xlfn.XLOOKUP(D148,'LD-ELFA'!F:F,'LD-ELFA'!N:N)="PARA COTAÇÃO",_xlfn.XLOOKUP(D148,'LD-ELFA'!F:F,'LD-ELFA'!N:N)="CANCELADO"),_xlfn.XLOOKUP(D148,'LD-ELFA'!F:F,'LD-ELFA'!U:U),IF(AND(L148="",J148&lt;&gt;"PARA APROVAÇÃO"),"",""))))</f>
        <v/>
      </c>
      <c r="N148" s="63" t="str">
        <f t="shared" ca="1" si="27"/>
        <v>Documento a Emitir</v>
      </c>
      <c r="O148" s="63" t="str">
        <f t="shared" si="21"/>
        <v>Blossom - Documento a emitir</v>
      </c>
      <c r="P148" s="63" t="str">
        <f t="shared" si="22"/>
        <v>Blossom</v>
      </c>
      <c r="Q148" s="63" t="str">
        <f>IF(_xlfn.XLOOKUP(D148,'LD-ELFA'!F:F,'LD-ELFA'!V:V)="","",_xlfn.XLOOKUP(D148,'LD-ELFA'!F:F,'LD-ELFA'!V:V))</f>
        <v/>
      </c>
      <c r="R148" s="40">
        <f>IFERROR(IF(I148&lt;&gt;"","Documento Emitido",_xlfn.XLOOKUP(D148,Cronograma!P:P,Cronograma!Q:Q)),"Documento Removido")</f>
        <v>46217</v>
      </c>
      <c r="S148" s="40" t="str">
        <f t="shared" ca="1" si="23"/>
        <v>No prazo</v>
      </c>
      <c r="T148" s="40">
        <f>IFERROR(IF(I148&lt;&gt;"","Documento Emitido",_xlfn.XLOOKUP(D148,Cronograma!P:P,Cronograma!R:R)),"Documento Removido")</f>
        <v>46218</v>
      </c>
      <c r="U148" s="39" t="str">
        <f t="shared" si="24"/>
        <v>No prazo</v>
      </c>
      <c r="V148" s="39" t="str">
        <f t="shared" si="25"/>
        <v>Semana 1</v>
      </c>
      <c r="W148" s="39" t="str">
        <f t="shared" ca="1" si="26"/>
        <v/>
      </c>
    </row>
    <row r="149" spans="1:23" s="60" customFormat="1" ht="28.5" customHeight="1" x14ac:dyDescent="0.2">
      <c r="A149" s="39">
        <v>146</v>
      </c>
      <c r="B149" s="39" t="str">
        <f>_xlfn.XLOOKUP(D149,'LD-ELFA'!F:F,'LD-ELFA'!C:C)</f>
        <v>EL - Eletrica</v>
      </c>
      <c r="C149" s="39" t="str">
        <f>_xlfn.XLOOKUP(D149,'LD-ELFA'!F:F,'LD-ELFA'!D:D)</f>
        <v>FDA - Folha De Dados</v>
      </c>
      <c r="D149" s="39" t="s">
        <v>152</v>
      </c>
      <c r="E149" s="39" t="str">
        <f>_xlfn.LET(_xlpm.q,_xlfn.XLOOKUP(D149,'LD-ELFA'!F:F,'LD-ELFA'!Q:Q),
   _xlpm.r,_xlfn.XLOOKUP(D149,'LD-ELFA'!F:F,'LD-ELFA'!R:R),
   IF(_xlpm.r = "", _xlpm.q, _xlpm.q &amp; " - " &amp; _xlpm.r))</f>
        <v>FOLHA DE DADOS - INVERSORES DE BAIXA TENSÃO</v>
      </c>
      <c r="F149" s="63" t="str">
        <f t="shared" si="20"/>
        <v>Básico</v>
      </c>
      <c r="G149" s="63">
        <f>_xlfn.XLOOKUP(D149,'LD-ELFA'!F:F,'LD-ELFA'!G:G)</f>
        <v>0</v>
      </c>
      <c r="H149" s="63" t="str">
        <f>_xlfn.XLOOKUP(D149,'LD-ELFA'!F:F,'LD-ELFA'!I:I)</f>
        <v>1</v>
      </c>
      <c r="I149" s="63" t="str">
        <f>IF(_xlfn.XLOOKUP(D149,'LD-ELFA'!F:F,'LD-ELFA'!T:T)="","",_xlfn.XLOOKUP(D149,'LD-ELFA'!F:F,'LD-ELFA'!T:T))</f>
        <v>0029</v>
      </c>
      <c r="J149" s="63" t="str">
        <f>IF(K149="Documento a emitir", "",_xlfn.XLOOKUP(D149,'LD-ELFA'!F:F,'LD-ELFA'!N:N))</f>
        <v>CANCELADO</v>
      </c>
      <c r="K149" s="43">
        <f>IF(_xlfn.XLOOKUP($D149,'LD-ELFA'!F:F,'LD-ELFA'!U:U)="","Documento a emitir",_xlfn.XLOOKUP($D149,'LD-ELFA'!F:F,'LD-ELFA'!U:U))</f>
        <v>46212.676171412037</v>
      </c>
      <c r="L149" s="43">
        <f>IF(K149="Documento a emitir","Documento a emitir",IF(K149&lt;&gt;"Documento a emitir",IF(_xlfn.XLOOKUP(D149,'LD-ELFA'!F:F,'LD-ELFA'!W:W)="","",_xlfn.XLOOKUP(D149,'LD-ELFA'!F:F,'LD-ELFA'!W:W)),""))</f>
        <v>46213.660067627323</v>
      </c>
      <c r="M149" s="43">
        <f>IF(K149="Documento a emitir","",IF(AND(Q149="APC-R  - APC-R - Aprovado com Comentários (Retornar para uma nova Aprovação)",Q149="APC-L  - APC-L  - Aprovado com Comentários (Retornar Aprovado)"),"",IF(OR(_xlfn.XLOOKUP(D149,'LD-ELFA'!F:F,'LD-ELFA'!N:N)="PARA CONHECIMENTO",_xlfn.XLOOKUP(D149,'LD-ELFA'!F:F,'LD-ELFA'!N:N)="PARA CONSTRUÇÃO",_xlfn.XLOOKUP(D149,'LD-ELFA'!F:F,'LD-ELFA'!N:N)="PARA COTAÇÃO",_xlfn.XLOOKUP(D149,'LD-ELFA'!F:F,'LD-ELFA'!N:N)="CANCELADO"),_xlfn.XLOOKUP(D149,'LD-ELFA'!F:F,'LD-ELFA'!U:U),IF(AND(L149="",J149&lt;&gt;"PARA APROVAÇÃO"),"",""))))</f>
        <v>46212.676171412037</v>
      </c>
      <c r="N149" s="63" t="str">
        <f t="shared" ca="1" si="27"/>
        <v>Documento Concluído</v>
      </c>
      <c r="O149" s="63" t="str">
        <f t="shared" si="21"/>
        <v>Documento Concluído</v>
      </c>
      <c r="P149" s="63" t="str">
        <f t="shared" si="22"/>
        <v>Blossom</v>
      </c>
      <c r="Q149" s="63" t="str">
        <f>IF(_xlfn.XLOOKUP(D149,'LD-ELFA'!F:F,'LD-ELFA'!V:V)="","",_xlfn.XLOOKUP(D149,'LD-ELFA'!F:F,'LD-ELFA'!V:V))</f>
        <v>CLD - CANCELADO</v>
      </c>
      <c r="R149" s="40" t="str">
        <f>IFERROR(IF(I149&lt;&gt;"","Documento Emitido",_xlfn.XLOOKUP(D149,Cronograma!P:P,Cronograma!Q:Q)),"Documento Removido")</f>
        <v>Documento Emitido</v>
      </c>
      <c r="S149" s="40" t="str">
        <f t="shared" ca="1" si="23"/>
        <v>Documento Emitido</v>
      </c>
      <c r="T149" s="40" t="str">
        <f>IFERROR(IF(I149&lt;&gt;"","Documento Emitido",_xlfn.XLOOKUP(D149,Cronograma!P:P,Cronograma!R:R)),"Documento Removido")</f>
        <v>Documento Emitido</v>
      </c>
      <c r="U149" s="39" t="str">
        <f t="shared" si="24"/>
        <v>Documento Emitido</v>
      </c>
      <c r="V149" s="39" t="str">
        <f t="shared" si="25"/>
        <v>Documento Emitido</v>
      </c>
      <c r="W149" s="39" t="str">
        <f t="shared" ca="1" si="26"/>
        <v>Emissão Semana</v>
      </c>
    </row>
    <row r="150" spans="1:23" s="60" customFormat="1" ht="28.5" customHeight="1" x14ac:dyDescent="0.2">
      <c r="A150" s="39">
        <v>147</v>
      </c>
      <c r="B150" s="39" t="str">
        <f>_xlfn.XLOOKUP(D150,'LD-ELFA'!F:F,'LD-ELFA'!C:C)</f>
        <v>EL - Eletrica</v>
      </c>
      <c r="C150" s="39" t="str">
        <f>_xlfn.XLOOKUP(D150,'LD-ELFA'!F:F,'LD-ELFA'!D:D)</f>
        <v>FDA - Folha De Dados</v>
      </c>
      <c r="D150" s="39" t="s">
        <v>153</v>
      </c>
      <c r="E150" s="39" t="str">
        <f>_xlfn.LET(_xlpm.q,_xlfn.XLOOKUP(D150,'LD-ELFA'!F:F,'LD-ELFA'!Q:Q),
   _xlpm.r,_xlfn.XLOOKUP(D150,'LD-ELFA'!F:F,'LD-ELFA'!R:R),
   IF(_xlpm.r = "", _xlpm.q, _xlpm.q &amp; " - " &amp; _xlpm.r))</f>
        <v>FOLHA DE DADOS - TRANSFORMADORES DE ILUMINAÇÃO</v>
      </c>
      <c r="F150" s="63" t="str">
        <f t="shared" si="20"/>
        <v>Básico</v>
      </c>
      <c r="G150" s="63">
        <f>_xlfn.XLOOKUP(D150,'LD-ELFA'!F:F,'LD-ELFA'!G:G)</f>
        <v>0</v>
      </c>
      <c r="H150" s="63">
        <f>_xlfn.XLOOKUP(D150,'LD-ELFA'!F:F,'LD-ELFA'!I:I)</f>
        <v>0</v>
      </c>
      <c r="I150" s="63" t="str">
        <f>IF(_xlfn.XLOOKUP(D150,'LD-ELFA'!F:F,'LD-ELFA'!T:T)="","",_xlfn.XLOOKUP(D150,'LD-ELFA'!F:F,'LD-ELFA'!T:T))</f>
        <v/>
      </c>
      <c r="J150" s="63" t="str">
        <f>IF(K150="Documento a emitir", "",_xlfn.XLOOKUP(D150,'LD-ELFA'!F:F,'LD-ELFA'!N:N))</f>
        <v/>
      </c>
      <c r="K150" s="43" t="str">
        <f>IF(_xlfn.XLOOKUP($D150,'LD-ELFA'!F:F,'LD-ELFA'!U:U)="","Documento a emitir",_xlfn.XLOOKUP($D150,'LD-ELFA'!F:F,'LD-ELFA'!U:U))</f>
        <v>Documento a emitir</v>
      </c>
      <c r="L150" s="43" t="str">
        <f>IF(K150="Documento a emitir","Documento a emitir",IF(K150&lt;&gt;"Documento a emitir",IF(_xlfn.XLOOKUP(D150,'LD-ELFA'!F:F,'LD-ELFA'!W:W)="","",_xlfn.XLOOKUP(D150,'LD-ELFA'!F:F,'LD-ELFA'!W:W)),""))</f>
        <v>Documento a emitir</v>
      </c>
      <c r="M150" s="43" t="str">
        <f>IF(K150="Documento a emitir","",IF(AND(Q150="APC-R  - APC-R - Aprovado com Comentários (Retornar para uma nova Aprovação)",Q150="APC-L  - APC-L  - Aprovado com Comentários (Retornar Aprovado)"),"",IF(OR(_xlfn.XLOOKUP(D150,'LD-ELFA'!F:F,'LD-ELFA'!N:N)="PARA CONHECIMENTO",_xlfn.XLOOKUP(D150,'LD-ELFA'!F:F,'LD-ELFA'!N:N)="PARA CONSTRUÇÃO",_xlfn.XLOOKUP(D150,'LD-ELFA'!F:F,'LD-ELFA'!N:N)="PARA COTAÇÃO",_xlfn.XLOOKUP(D150,'LD-ELFA'!F:F,'LD-ELFA'!N:N)="CANCELADO"),_xlfn.XLOOKUP(D150,'LD-ELFA'!F:F,'LD-ELFA'!U:U),IF(AND(L150="",J150&lt;&gt;"PARA APROVAÇÃO"),"",""))))</f>
        <v/>
      </c>
      <c r="N150" s="63" t="str">
        <f t="shared" ca="1" si="27"/>
        <v>Documento a Emitir</v>
      </c>
      <c r="O150" s="63" t="str">
        <f t="shared" si="21"/>
        <v>Blossom - Documento a emitir</v>
      </c>
      <c r="P150" s="63" t="str">
        <f t="shared" si="22"/>
        <v>Blossom</v>
      </c>
      <c r="Q150" s="63" t="str">
        <f>IF(_xlfn.XLOOKUP(D150,'LD-ELFA'!F:F,'LD-ELFA'!V:V)="","",_xlfn.XLOOKUP(D150,'LD-ELFA'!F:F,'LD-ELFA'!V:V))</f>
        <v/>
      </c>
      <c r="R150" s="40">
        <f>IFERROR(IF(I150&lt;&gt;"","Documento Emitido",_xlfn.XLOOKUP(D150,Cronograma!P:P,Cronograma!Q:Q)),"Documento Removido")</f>
        <v>46220</v>
      </c>
      <c r="S150" s="40" t="str">
        <f t="shared" ca="1" si="23"/>
        <v>No prazo</v>
      </c>
      <c r="T150" s="40">
        <f>IFERROR(IF(I150&lt;&gt;"","Documento Emitido",_xlfn.XLOOKUP(D150,Cronograma!P:P,Cronograma!R:R)),"Documento Removido")</f>
        <v>46218</v>
      </c>
      <c r="U150" s="39" t="str">
        <f t="shared" si="24"/>
        <v>Emissão Atrasada</v>
      </c>
      <c r="V150" s="39" t="str">
        <f t="shared" si="25"/>
        <v>Semana 1</v>
      </c>
      <c r="W150" s="39" t="str">
        <f t="shared" ca="1" si="26"/>
        <v/>
      </c>
    </row>
    <row r="151" spans="1:23" s="60" customFormat="1" ht="28.5" customHeight="1" x14ac:dyDescent="0.2">
      <c r="A151" s="39">
        <v>148</v>
      </c>
      <c r="B151" s="39" t="str">
        <f>_xlfn.XLOOKUP(D151,'LD-ELFA'!F:F,'LD-ELFA'!C:C)</f>
        <v>EL - Eletrica</v>
      </c>
      <c r="C151" s="39" t="str">
        <f>_xlfn.XLOOKUP(D151,'LD-ELFA'!F:F,'LD-ELFA'!D:D)</f>
        <v>FDA - Folha De Dados</v>
      </c>
      <c r="D151" s="39" t="s">
        <v>154</v>
      </c>
      <c r="E151" s="39" t="str">
        <f>_xlfn.LET(_xlpm.q,_xlfn.XLOOKUP(D151,'LD-ELFA'!F:F,'LD-ELFA'!Q:Q),
   _xlpm.r,_xlfn.XLOOKUP(D151,'LD-ELFA'!F:F,'LD-ELFA'!R:R),
   IF(_xlpm.r = "", _xlpm.q, _xlpm.q &amp; " - " &amp; _xlpm.r))</f>
        <v>FOLHA DE DADOS - TRANSFORMADORES DE FORÇA</v>
      </c>
      <c r="F151" s="63" t="str">
        <f t="shared" si="20"/>
        <v>Básico</v>
      </c>
      <c r="G151" s="63">
        <f>_xlfn.XLOOKUP(D151,'LD-ELFA'!F:F,'LD-ELFA'!G:G)</f>
        <v>0</v>
      </c>
      <c r="H151" s="63">
        <f>_xlfn.XLOOKUP(D151,'LD-ELFA'!F:F,'LD-ELFA'!I:I)</f>
        <v>0</v>
      </c>
      <c r="I151" s="63" t="str">
        <f>IF(_xlfn.XLOOKUP(D151,'LD-ELFA'!F:F,'LD-ELFA'!T:T)="","",_xlfn.XLOOKUP(D151,'LD-ELFA'!F:F,'LD-ELFA'!T:T))</f>
        <v/>
      </c>
      <c r="J151" s="63" t="str">
        <f>IF(K151="Documento a emitir", "",_xlfn.XLOOKUP(D151,'LD-ELFA'!F:F,'LD-ELFA'!N:N))</f>
        <v/>
      </c>
      <c r="K151" s="43" t="str">
        <f>IF(_xlfn.XLOOKUP($D151,'LD-ELFA'!F:F,'LD-ELFA'!U:U)="","Documento a emitir",_xlfn.XLOOKUP($D151,'LD-ELFA'!F:F,'LD-ELFA'!U:U))</f>
        <v>Documento a emitir</v>
      </c>
      <c r="L151" s="43" t="str">
        <f>IF(K151="Documento a emitir","Documento a emitir",IF(K151&lt;&gt;"Documento a emitir",IF(_xlfn.XLOOKUP(D151,'LD-ELFA'!F:F,'LD-ELFA'!W:W)="","",_xlfn.XLOOKUP(D151,'LD-ELFA'!F:F,'LD-ELFA'!W:W)),""))</f>
        <v>Documento a emitir</v>
      </c>
      <c r="M151" s="43" t="str">
        <f>IF(K151="Documento a emitir","",IF(AND(Q151="APC-R  - APC-R - Aprovado com Comentários (Retornar para uma nova Aprovação)",Q151="APC-L  - APC-L  - Aprovado com Comentários (Retornar Aprovado)"),"",IF(OR(_xlfn.XLOOKUP(D151,'LD-ELFA'!F:F,'LD-ELFA'!N:N)="PARA CONHECIMENTO",_xlfn.XLOOKUP(D151,'LD-ELFA'!F:F,'LD-ELFA'!N:N)="PARA CONSTRUÇÃO",_xlfn.XLOOKUP(D151,'LD-ELFA'!F:F,'LD-ELFA'!N:N)="PARA COTAÇÃO",_xlfn.XLOOKUP(D151,'LD-ELFA'!F:F,'LD-ELFA'!N:N)="CANCELADO"),_xlfn.XLOOKUP(D151,'LD-ELFA'!F:F,'LD-ELFA'!U:U),IF(AND(L151="",J151&lt;&gt;"PARA APROVAÇÃO"),"",""))))</f>
        <v/>
      </c>
      <c r="N151" s="63" t="str">
        <f t="shared" ca="1" si="27"/>
        <v>Documento a Emitir</v>
      </c>
      <c r="O151" s="63" t="str">
        <f t="shared" si="21"/>
        <v>Blossom - Documento a emitir</v>
      </c>
      <c r="P151" s="63" t="str">
        <f t="shared" si="22"/>
        <v>Blossom</v>
      </c>
      <c r="Q151" s="63" t="str">
        <f>IF(_xlfn.XLOOKUP(D151,'LD-ELFA'!F:F,'LD-ELFA'!V:V)="","",_xlfn.XLOOKUP(D151,'LD-ELFA'!F:F,'LD-ELFA'!V:V))</f>
        <v/>
      </c>
      <c r="R151" s="40">
        <f>IFERROR(IF(I151&lt;&gt;"","Documento Emitido",_xlfn.XLOOKUP(D151,Cronograma!P:P,Cronograma!Q:Q)),"Documento Removido")</f>
        <v>46225</v>
      </c>
      <c r="S151" s="40" t="str">
        <f t="shared" ca="1" si="23"/>
        <v>No prazo</v>
      </c>
      <c r="T151" s="40">
        <f>IFERROR(IF(I151&lt;&gt;"","Documento Emitido",_xlfn.XLOOKUP(D151,Cronograma!P:P,Cronograma!R:R)),"Documento Removido")</f>
        <v>46223</v>
      </c>
      <c r="U151" s="39" t="str">
        <f t="shared" si="24"/>
        <v>Emissão Atrasada</v>
      </c>
      <c r="V151" s="39" t="str">
        <f t="shared" si="25"/>
        <v>Semana 2</v>
      </c>
      <c r="W151" s="39" t="str">
        <f t="shared" ca="1" si="26"/>
        <v/>
      </c>
    </row>
    <row r="152" spans="1:23" s="60" customFormat="1" ht="28.5" customHeight="1" x14ac:dyDescent="0.2">
      <c r="A152" s="39">
        <v>149</v>
      </c>
      <c r="B152" s="39" t="str">
        <f>_xlfn.XLOOKUP(D152,'LD-ELFA'!F:F,'LD-ELFA'!C:C)</f>
        <v>EL - Eletrica</v>
      </c>
      <c r="C152" s="39" t="str">
        <f>_xlfn.XLOOKUP(D152,'LD-ELFA'!F:F,'LD-ELFA'!D:D)</f>
        <v>FDA - Folha De Dados</v>
      </c>
      <c r="D152" s="39" t="s">
        <v>155</v>
      </c>
      <c r="E152" s="39" t="str">
        <f>_xlfn.LET(_xlpm.q,_xlfn.XLOOKUP(D152,'LD-ELFA'!F:F,'LD-ELFA'!Q:Q),
   _xlpm.r,_xlfn.XLOOKUP(D152,'LD-ELFA'!F:F,'LD-ELFA'!R:R),
   IF(_xlpm.r = "", _xlpm.q, _xlpm.q &amp; " - " &amp; _xlpm.r))</f>
        <v>FOLHA DE DADOS - RETIFICADOR E BATERIAS</v>
      </c>
      <c r="F152" s="63" t="str">
        <f t="shared" si="20"/>
        <v>Básico</v>
      </c>
      <c r="G152" s="63">
        <f>_xlfn.XLOOKUP(D152,'LD-ELFA'!F:F,'LD-ELFA'!G:G)</f>
        <v>0</v>
      </c>
      <c r="H152" s="63">
        <f>_xlfn.XLOOKUP(D152,'LD-ELFA'!F:F,'LD-ELFA'!I:I)</f>
        <v>0</v>
      </c>
      <c r="I152" s="63" t="str">
        <f>IF(_xlfn.XLOOKUP(D152,'LD-ELFA'!F:F,'LD-ELFA'!T:T)="","",_xlfn.XLOOKUP(D152,'LD-ELFA'!F:F,'LD-ELFA'!T:T))</f>
        <v/>
      </c>
      <c r="J152" s="63" t="str">
        <f>IF(K152="Documento a emitir", "",_xlfn.XLOOKUP(D152,'LD-ELFA'!F:F,'LD-ELFA'!N:N))</f>
        <v/>
      </c>
      <c r="K152" s="43" t="str">
        <f>IF(_xlfn.XLOOKUP($D152,'LD-ELFA'!F:F,'LD-ELFA'!U:U)="","Documento a emitir",_xlfn.XLOOKUP($D152,'LD-ELFA'!F:F,'LD-ELFA'!U:U))</f>
        <v>Documento a emitir</v>
      </c>
      <c r="L152" s="43" t="str">
        <f>IF(K152="Documento a emitir","Documento a emitir",IF(K152&lt;&gt;"Documento a emitir",IF(_xlfn.XLOOKUP(D152,'LD-ELFA'!F:F,'LD-ELFA'!W:W)="","",_xlfn.XLOOKUP(D152,'LD-ELFA'!F:F,'LD-ELFA'!W:W)),""))</f>
        <v>Documento a emitir</v>
      </c>
      <c r="M152" s="43" t="str">
        <f>IF(K152="Documento a emitir","",IF(AND(Q152="APC-R  - APC-R - Aprovado com Comentários (Retornar para uma nova Aprovação)",Q152="APC-L  - APC-L  - Aprovado com Comentários (Retornar Aprovado)"),"",IF(OR(_xlfn.XLOOKUP(D152,'LD-ELFA'!F:F,'LD-ELFA'!N:N)="PARA CONHECIMENTO",_xlfn.XLOOKUP(D152,'LD-ELFA'!F:F,'LD-ELFA'!N:N)="PARA CONSTRUÇÃO",_xlfn.XLOOKUP(D152,'LD-ELFA'!F:F,'LD-ELFA'!N:N)="PARA COTAÇÃO",_xlfn.XLOOKUP(D152,'LD-ELFA'!F:F,'LD-ELFA'!N:N)="CANCELADO"),_xlfn.XLOOKUP(D152,'LD-ELFA'!F:F,'LD-ELFA'!U:U),IF(AND(L152="",J152&lt;&gt;"PARA APROVAÇÃO"),"",""))))</f>
        <v/>
      </c>
      <c r="N152" s="63" t="str">
        <f t="shared" ca="1" si="27"/>
        <v>Documento a Emitir</v>
      </c>
      <c r="O152" s="63" t="str">
        <f t="shared" si="21"/>
        <v>Blossom - Documento a emitir</v>
      </c>
      <c r="P152" s="63" t="str">
        <f t="shared" si="22"/>
        <v>Blossom</v>
      </c>
      <c r="Q152" s="63" t="str">
        <f>IF(_xlfn.XLOOKUP(D152,'LD-ELFA'!F:F,'LD-ELFA'!V:V)="","",_xlfn.XLOOKUP(D152,'LD-ELFA'!F:F,'LD-ELFA'!V:V))</f>
        <v/>
      </c>
      <c r="R152" s="40">
        <f>IFERROR(IF(I152&lt;&gt;"","Documento Emitido",_xlfn.XLOOKUP(D152,Cronograma!P:P,Cronograma!Q:Q)),"Documento Removido")</f>
        <v>46230</v>
      </c>
      <c r="S152" s="40" t="str">
        <f t="shared" ca="1" si="23"/>
        <v>No prazo</v>
      </c>
      <c r="T152" s="40">
        <f>IFERROR(IF(I152&lt;&gt;"","Documento Emitido",_xlfn.XLOOKUP(D152,Cronograma!P:P,Cronograma!R:R)),"Documento Removido")</f>
        <v>46226</v>
      </c>
      <c r="U152" s="39" t="str">
        <f t="shared" si="24"/>
        <v>Emissão Atrasada</v>
      </c>
      <c r="V152" s="39" t="str">
        <f t="shared" si="25"/>
        <v>Semana 3</v>
      </c>
      <c r="W152" s="39" t="str">
        <f t="shared" ca="1" si="26"/>
        <v/>
      </c>
    </row>
    <row r="153" spans="1:23" s="60" customFormat="1" ht="28.5" customHeight="1" x14ac:dyDescent="0.2">
      <c r="A153" s="39">
        <v>150</v>
      </c>
      <c r="B153" s="39" t="str">
        <f>_xlfn.XLOOKUP(D153,'LD-ELFA'!F:F,'LD-ELFA'!C:C)</f>
        <v>EL - Eletrica</v>
      </c>
      <c r="C153" s="39" t="str">
        <f>_xlfn.XLOOKUP(D153,'LD-ELFA'!F:F,'LD-ELFA'!D:D)</f>
        <v>FDA - Folha De Dados</v>
      </c>
      <c r="D153" s="39" t="s">
        <v>156</v>
      </c>
      <c r="E153" s="39" t="str">
        <f>_xlfn.LET(_xlpm.q,_xlfn.XLOOKUP(D153,'LD-ELFA'!F:F,'LD-ELFA'!Q:Q),
   _xlpm.r,_xlfn.XLOOKUP(D153,'LD-ELFA'!F:F,'LD-ELFA'!R:R),
   IF(_xlpm.r = "", _xlpm.q, _xlpm.q &amp; " - " &amp; _xlpm.r))</f>
        <v>FOLHA DE DADOS - QUADROS DE ILUMINAÇÃO</v>
      </c>
      <c r="F153" s="63" t="str">
        <f t="shared" si="20"/>
        <v>Básico</v>
      </c>
      <c r="G153" s="63">
        <f>_xlfn.XLOOKUP(D153,'LD-ELFA'!F:F,'LD-ELFA'!G:G)</f>
        <v>0</v>
      </c>
      <c r="H153" s="63">
        <f>_xlfn.XLOOKUP(D153,'LD-ELFA'!F:F,'LD-ELFA'!I:I)</f>
        <v>0</v>
      </c>
      <c r="I153" s="63" t="str">
        <f>IF(_xlfn.XLOOKUP(D153,'LD-ELFA'!F:F,'LD-ELFA'!T:T)="","",_xlfn.XLOOKUP(D153,'LD-ELFA'!F:F,'LD-ELFA'!T:T))</f>
        <v/>
      </c>
      <c r="J153" s="63" t="str">
        <f>IF(K153="Documento a emitir", "",_xlfn.XLOOKUP(D153,'LD-ELFA'!F:F,'LD-ELFA'!N:N))</f>
        <v/>
      </c>
      <c r="K153" s="43" t="str">
        <f>IF(_xlfn.XLOOKUP($D153,'LD-ELFA'!F:F,'LD-ELFA'!U:U)="","Documento a emitir",_xlfn.XLOOKUP($D153,'LD-ELFA'!F:F,'LD-ELFA'!U:U))</f>
        <v>Documento a emitir</v>
      </c>
      <c r="L153" s="43" t="str">
        <f>IF(K153="Documento a emitir","Documento a emitir",IF(K153&lt;&gt;"Documento a emitir",IF(_xlfn.XLOOKUP(D153,'LD-ELFA'!F:F,'LD-ELFA'!W:W)="","",_xlfn.XLOOKUP(D153,'LD-ELFA'!F:F,'LD-ELFA'!W:W)),""))</f>
        <v>Documento a emitir</v>
      </c>
      <c r="M153" s="43" t="str">
        <f>IF(K153="Documento a emitir","",IF(AND(Q153="APC-R  - APC-R - Aprovado com Comentários (Retornar para uma nova Aprovação)",Q153="APC-L  - APC-L  - Aprovado com Comentários (Retornar Aprovado)"),"",IF(OR(_xlfn.XLOOKUP(D153,'LD-ELFA'!F:F,'LD-ELFA'!N:N)="PARA CONHECIMENTO",_xlfn.XLOOKUP(D153,'LD-ELFA'!F:F,'LD-ELFA'!N:N)="PARA CONSTRUÇÃO",_xlfn.XLOOKUP(D153,'LD-ELFA'!F:F,'LD-ELFA'!N:N)="PARA COTAÇÃO",_xlfn.XLOOKUP(D153,'LD-ELFA'!F:F,'LD-ELFA'!N:N)="CANCELADO"),_xlfn.XLOOKUP(D153,'LD-ELFA'!F:F,'LD-ELFA'!U:U),IF(AND(L153="",J153&lt;&gt;"PARA APROVAÇÃO"),"",""))))</f>
        <v/>
      </c>
      <c r="N153" s="63" t="str">
        <f t="shared" ca="1" si="27"/>
        <v>Documento a Emitir</v>
      </c>
      <c r="O153" s="63" t="str">
        <f t="shared" si="21"/>
        <v>Blossom - Documento a emitir</v>
      </c>
      <c r="P153" s="63" t="str">
        <f t="shared" si="22"/>
        <v>Blossom</v>
      </c>
      <c r="Q153" s="63" t="str">
        <f>IF(_xlfn.XLOOKUP(D153,'LD-ELFA'!F:F,'LD-ELFA'!V:V)="","",_xlfn.XLOOKUP(D153,'LD-ELFA'!F:F,'LD-ELFA'!V:V))</f>
        <v/>
      </c>
      <c r="R153" s="40">
        <f>IFERROR(IF(I153&lt;&gt;"","Documento Emitido",_xlfn.XLOOKUP(D153,Cronograma!P:P,Cronograma!Q:Q)),"Documento Removido")</f>
        <v>46230</v>
      </c>
      <c r="S153" s="40" t="str">
        <f t="shared" ca="1" si="23"/>
        <v>No prazo</v>
      </c>
      <c r="T153" s="40">
        <f>IFERROR(IF(I153&lt;&gt;"","Documento Emitido",_xlfn.XLOOKUP(D153,Cronograma!P:P,Cronograma!R:R)),"Documento Removido")</f>
        <v>46226</v>
      </c>
      <c r="U153" s="39" t="str">
        <f t="shared" si="24"/>
        <v>Emissão Atrasada</v>
      </c>
      <c r="V153" s="39" t="str">
        <f t="shared" si="25"/>
        <v>Semana 3</v>
      </c>
      <c r="W153" s="39" t="str">
        <f t="shared" ca="1" si="26"/>
        <v/>
      </c>
    </row>
    <row r="154" spans="1:23" s="60" customFormat="1" ht="28.5" customHeight="1" x14ac:dyDescent="0.2">
      <c r="A154" s="39">
        <v>151</v>
      </c>
      <c r="B154" s="39" t="str">
        <f>_xlfn.XLOOKUP(D154,'LD-ELFA'!F:F,'LD-ELFA'!C:C)</f>
        <v>EL - Eletrica</v>
      </c>
      <c r="C154" s="39" t="str">
        <f>_xlfn.XLOOKUP(D154,'LD-ELFA'!F:F,'LD-ELFA'!D:D)</f>
        <v>FDA - Folha De Dados</v>
      </c>
      <c r="D154" s="39" t="s">
        <v>157</v>
      </c>
      <c r="E154" s="39" t="str">
        <f>_xlfn.LET(_xlpm.q,_xlfn.XLOOKUP(D154,'LD-ELFA'!F:F,'LD-ELFA'!Q:Q),
   _xlpm.r,_xlfn.XLOOKUP(D154,'LD-ELFA'!F:F,'LD-ELFA'!R:R),
   IF(_xlpm.r = "", _xlpm.q, _xlpm.q &amp; " - " &amp; _xlpm.r))</f>
        <v>FOLHA DE DADOS - QUADRO DE TRANSFERÊNCIA AUTOMÁTICA</v>
      </c>
      <c r="F154" s="63" t="str">
        <f t="shared" si="20"/>
        <v>Básico</v>
      </c>
      <c r="G154" s="63">
        <f>_xlfn.XLOOKUP(D154,'LD-ELFA'!F:F,'LD-ELFA'!G:G)</f>
        <v>0</v>
      </c>
      <c r="H154" s="63">
        <f>_xlfn.XLOOKUP(D154,'LD-ELFA'!F:F,'LD-ELFA'!I:I)</f>
        <v>0</v>
      </c>
      <c r="I154" s="63" t="str">
        <f>IF(_xlfn.XLOOKUP(D154,'LD-ELFA'!F:F,'LD-ELFA'!T:T)="","",_xlfn.XLOOKUP(D154,'LD-ELFA'!F:F,'LD-ELFA'!T:T))</f>
        <v/>
      </c>
      <c r="J154" s="63" t="str">
        <f>IF(K154="Documento a emitir", "",_xlfn.XLOOKUP(D154,'LD-ELFA'!F:F,'LD-ELFA'!N:N))</f>
        <v/>
      </c>
      <c r="K154" s="43" t="str">
        <f>IF(_xlfn.XLOOKUP($D154,'LD-ELFA'!F:F,'LD-ELFA'!U:U)="","Documento a emitir",_xlfn.XLOOKUP($D154,'LD-ELFA'!F:F,'LD-ELFA'!U:U))</f>
        <v>Documento a emitir</v>
      </c>
      <c r="L154" s="43" t="str">
        <f>IF(K154="Documento a emitir","Documento a emitir",IF(K154&lt;&gt;"Documento a emitir",IF(_xlfn.XLOOKUP(D154,'LD-ELFA'!F:F,'LD-ELFA'!W:W)="","",_xlfn.XLOOKUP(D154,'LD-ELFA'!F:F,'LD-ELFA'!W:W)),""))</f>
        <v>Documento a emitir</v>
      </c>
      <c r="M154" s="43" t="str">
        <f>IF(K154="Documento a emitir","",IF(AND(Q154="APC-R  - APC-R - Aprovado com Comentários (Retornar para uma nova Aprovação)",Q154="APC-L  - APC-L  - Aprovado com Comentários (Retornar Aprovado)"),"",IF(OR(_xlfn.XLOOKUP(D154,'LD-ELFA'!F:F,'LD-ELFA'!N:N)="PARA CONHECIMENTO",_xlfn.XLOOKUP(D154,'LD-ELFA'!F:F,'LD-ELFA'!N:N)="PARA CONSTRUÇÃO",_xlfn.XLOOKUP(D154,'LD-ELFA'!F:F,'LD-ELFA'!N:N)="PARA COTAÇÃO",_xlfn.XLOOKUP(D154,'LD-ELFA'!F:F,'LD-ELFA'!N:N)="CANCELADO"),_xlfn.XLOOKUP(D154,'LD-ELFA'!F:F,'LD-ELFA'!U:U),IF(AND(L154="",J154&lt;&gt;"PARA APROVAÇÃO"),"",""))))</f>
        <v/>
      </c>
      <c r="N154" s="63" t="str">
        <f t="shared" ca="1" si="27"/>
        <v>Documento a Emitir</v>
      </c>
      <c r="O154" s="63" t="str">
        <f t="shared" si="21"/>
        <v>Blossom - Documento a emitir</v>
      </c>
      <c r="P154" s="63" t="str">
        <f t="shared" si="22"/>
        <v>Blossom</v>
      </c>
      <c r="Q154" s="63" t="str">
        <f>IF(_xlfn.XLOOKUP(D154,'LD-ELFA'!F:F,'LD-ELFA'!V:V)="","",_xlfn.XLOOKUP(D154,'LD-ELFA'!F:F,'LD-ELFA'!V:V))</f>
        <v/>
      </c>
      <c r="R154" s="40">
        <f>IFERROR(IF(I154&lt;&gt;"","Documento Emitido",_xlfn.XLOOKUP(D154,Cronograma!P:P,Cronograma!Q:Q)),"Documento Removido")</f>
        <v>46232</v>
      </c>
      <c r="S154" s="40" t="str">
        <f t="shared" ca="1" si="23"/>
        <v>No prazo</v>
      </c>
      <c r="T154" s="40">
        <f>IFERROR(IF(I154&lt;&gt;"","Documento Emitido",_xlfn.XLOOKUP(D154,Cronograma!P:P,Cronograma!R:R)),"Documento Removido")</f>
        <v>46230</v>
      </c>
      <c r="U154" s="39" t="str">
        <f t="shared" si="24"/>
        <v>Emissão Atrasada</v>
      </c>
      <c r="V154" s="39" t="str">
        <f t="shared" si="25"/>
        <v>Semana 3</v>
      </c>
      <c r="W154" s="39" t="str">
        <f t="shared" ca="1" si="26"/>
        <v/>
      </c>
    </row>
    <row r="155" spans="1:23" s="60" customFormat="1" ht="28.5" customHeight="1" x14ac:dyDescent="0.2">
      <c r="A155" s="39">
        <v>152</v>
      </c>
      <c r="B155" s="39" t="str">
        <f>_xlfn.XLOOKUP(D155,'LD-ELFA'!F:F,'LD-ELFA'!C:C)</f>
        <v>EL - Eletrica</v>
      </c>
      <c r="C155" s="39" t="str">
        <f>_xlfn.XLOOKUP(D155,'LD-ELFA'!F:F,'LD-ELFA'!D:D)</f>
        <v>FDA - Folha De Dados</v>
      </c>
      <c r="D155" s="39" t="s">
        <v>158</v>
      </c>
      <c r="E155" s="39" t="str">
        <f>_xlfn.LET(_xlpm.q,_xlfn.XLOOKUP(D155,'LD-ELFA'!F:F,'LD-ELFA'!Q:Q),
   _xlpm.r,_xlfn.XLOOKUP(D155,'LD-ELFA'!F:F,'LD-ELFA'!R:R),
   IF(_xlpm.r = "", _xlpm.q, _xlpm.q &amp; " - " &amp; _xlpm.r))</f>
        <v>FOLHA DE DADOS - QUADRO DE DISTRIBUIÇÃO AUXILIAR</v>
      </c>
      <c r="F155" s="63" t="str">
        <f t="shared" si="20"/>
        <v>Básico</v>
      </c>
      <c r="G155" s="63">
        <f>_xlfn.XLOOKUP(D155,'LD-ELFA'!F:F,'LD-ELFA'!G:G)</f>
        <v>0</v>
      </c>
      <c r="H155" s="63">
        <f>_xlfn.XLOOKUP(D155,'LD-ELFA'!F:F,'LD-ELFA'!I:I)</f>
        <v>0</v>
      </c>
      <c r="I155" s="63" t="str">
        <f>IF(_xlfn.XLOOKUP(D155,'LD-ELFA'!F:F,'LD-ELFA'!T:T)="","",_xlfn.XLOOKUP(D155,'LD-ELFA'!F:F,'LD-ELFA'!T:T))</f>
        <v/>
      </c>
      <c r="J155" s="63" t="str">
        <f>IF(K155="Documento a emitir", "",_xlfn.XLOOKUP(D155,'LD-ELFA'!F:F,'LD-ELFA'!N:N))</f>
        <v/>
      </c>
      <c r="K155" s="43" t="str">
        <f>IF(_xlfn.XLOOKUP($D155,'LD-ELFA'!F:F,'LD-ELFA'!U:U)="","Documento a emitir",_xlfn.XLOOKUP($D155,'LD-ELFA'!F:F,'LD-ELFA'!U:U))</f>
        <v>Documento a emitir</v>
      </c>
      <c r="L155" s="43" t="str">
        <f>IF(K155="Documento a emitir","Documento a emitir",IF(K155&lt;&gt;"Documento a emitir",IF(_xlfn.XLOOKUP(D155,'LD-ELFA'!F:F,'LD-ELFA'!W:W)="","",_xlfn.XLOOKUP(D155,'LD-ELFA'!F:F,'LD-ELFA'!W:W)),""))</f>
        <v>Documento a emitir</v>
      </c>
      <c r="M155" s="43" t="str">
        <f>IF(K155="Documento a emitir","",IF(AND(Q155="APC-R  - APC-R - Aprovado com Comentários (Retornar para uma nova Aprovação)",Q155="APC-L  - APC-L  - Aprovado com Comentários (Retornar Aprovado)"),"",IF(OR(_xlfn.XLOOKUP(D155,'LD-ELFA'!F:F,'LD-ELFA'!N:N)="PARA CONHECIMENTO",_xlfn.XLOOKUP(D155,'LD-ELFA'!F:F,'LD-ELFA'!N:N)="PARA CONSTRUÇÃO",_xlfn.XLOOKUP(D155,'LD-ELFA'!F:F,'LD-ELFA'!N:N)="PARA COTAÇÃO",_xlfn.XLOOKUP(D155,'LD-ELFA'!F:F,'LD-ELFA'!N:N)="CANCELADO"),_xlfn.XLOOKUP(D155,'LD-ELFA'!F:F,'LD-ELFA'!U:U),IF(AND(L155="",J155&lt;&gt;"PARA APROVAÇÃO"),"",""))))</f>
        <v/>
      </c>
      <c r="N155" s="63" t="str">
        <f t="shared" ca="1" si="27"/>
        <v>Documento a Emitir</v>
      </c>
      <c r="O155" s="63" t="str">
        <f t="shared" si="21"/>
        <v>Blossom - Documento a emitir</v>
      </c>
      <c r="P155" s="63" t="str">
        <f t="shared" si="22"/>
        <v>Blossom</v>
      </c>
      <c r="Q155" s="63" t="str">
        <f>IF(_xlfn.XLOOKUP(D155,'LD-ELFA'!F:F,'LD-ELFA'!V:V)="","",_xlfn.XLOOKUP(D155,'LD-ELFA'!F:F,'LD-ELFA'!V:V))</f>
        <v/>
      </c>
      <c r="R155" s="40">
        <f>IFERROR(IF(I155&lt;&gt;"","Documento Emitido",_xlfn.XLOOKUP(D155,Cronograma!P:P,Cronograma!Q:Q)),"Documento Removido")</f>
        <v>46232</v>
      </c>
      <c r="S155" s="40" t="str">
        <f t="shared" ca="1" si="23"/>
        <v>No prazo</v>
      </c>
      <c r="T155" s="40">
        <f>IFERROR(IF(I155&lt;&gt;"","Documento Emitido",_xlfn.XLOOKUP(D155,Cronograma!P:P,Cronograma!R:R)),"Documento Removido")</f>
        <v>46230</v>
      </c>
      <c r="U155" s="39" t="str">
        <f t="shared" si="24"/>
        <v>Emissão Atrasada</v>
      </c>
      <c r="V155" s="39" t="str">
        <f t="shared" si="25"/>
        <v>Semana 3</v>
      </c>
      <c r="W155" s="39" t="str">
        <f t="shared" ca="1" si="26"/>
        <v/>
      </c>
    </row>
    <row r="156" spans="1:23" s="60" customFormat="1" ht="28.5" customHeight="1" x14ac:dyDescent="0.2">
      <c r="A156" s="39">
        <v>153</v>
      </c>
      <c r="B156" s="39" t="str">
        <f>_xlfn.XLOOKUP(D156,'LD-ELFA'!F:F,'LD-ELFA'!C:C)</f>
        <v>EL - Eletrica</v>
      </c>
      <c r="C156" s="39" t="str">
        <f>_xlfn.XLOOKUP(D156,'LD-ELFA'!F:F,'LD-ELFA'!D:D)</f>
        <v>FDA - Folha De Dados</v>
      </c>
      <c r="D156" s="39" t="s">
        <v>159</v>
      </c>
      <c r="E156" s="39" t="str">
        <f>_xlfn.LET(_xlpm.q,_xlfn.XLOOKUP(D156,'LD-ELFA'!F:F,'LD-ELFA'!Q:Q),
   _xlpm.r,_xlfn.XLOOKUP(D156,'LD-ELFA'!F:F,'LD-ELFA'!R:R),
   IF(_xlpm.r = "", _xlpm.q, _xlpm.q &amp; " - " &amp; _xlpm.r))</f>
        <v>FOLHA DE DADOS - QUADRO DE DISTRIBUIÇÃO 13,8kV</v>
      </c>
      <c r="F156" s="63" t="str">
        <f t="shared" si="20"/>
        <v>Básico</v>
      </c>
      <c r="G156" s="63">
        <f>_xlfn.XLOOKUP(D156,'LD-ELFA'!F:F,'LD-ELFA'!G:G)</f>
        <v>0</v>
      </c>
      <c r="H156" s="63">
        <f>_xlfn.XLOOKUP(D156,'LD-ELFA'!F:F,'LD-ELFA'!I:I)</f>
        <v>0</v>
      </c>
      <c r="I156" s="63" t="str">
        <f>IF(_xlfn.XLOOKUP(D156,'LD-ELFA'!F:F,'LD-ELFA'!T:T)="","",_xlfn.XLOOKUP(D156,'LD-ELFA'!F:F,'LD-ELFA'!T:T))</f>
        <v/>
      </c>
      <c r="J156" s="63" t="str">
        <f>IF(K156="Documento a emitir", "",_xlfn.XLOOKUP(D156,'LD-ELFA'!F:F,'LD-ELFA'!N:N))</f>
        <v/>
      </c>
      <c r="K156" s="43" t="str">
        <f>IF(_xlfn.XLOOKUP($D156,'LD-ELFA'!F:F,'LD-ELFA'!U:U)="","Documento a emitir",_xlfn.XLOOKUP($D156,'LD-ELFA'!F:F,'LD-ELFA'!U:U))</f>
        <v>Documento a emitir</v>
      </c>
      <c r="L156" s="43" t="str">
        <f>IF(K156="Documento a emitir","Documento a emitir",IF(K156&lt;&gt;"Documento a emitir",IF(_xlfn.XLOOKUP(D156,'LD-ELFA'!F:F,'LD-ELFA'!W:W)="","",_xlfn.XLOOKUP(D156,'LD-ELFA'!F:F,'LD-ELFA'!W:W)),""))</f>
        <v>Documento a emitir</v>
      </c>
      <c r="M156" s="43" t="str">
        <f>IF(K156="Documento a emitir","",IF(AND(Q156="APC-R  - APC-R - Aprovado com Comentários (Retornar para uma nova Aprovação)",Q156="APC-L  - APC-L  - Aprovado com Comentários (Retornar Aprovado)"),"",IF(OR(_xlfn.XLOOKUP(D156,'LD-ELFA'!F:F,'LD-ELFA'!N:N)="PARA CONHECIMENTO",_xlfn.XLOOKUP(D156,'LD-ELFA'!F:F,'LD-ELFA'!N:N)="PARA CONSTRUÇÃO",_xlfn.XLOOKUP(D156,'LD-ELFA'!F:F,'LD-ELFA'!N:N)="PARA COTAÇÃO",_xlfn.XLOOKUP(D156,'LD-ELFA'!F:F,'LD-ELFA'!N:N)="CANCELADO"),_xlfn.XLOOKUP(D156,'LD-ELFA'!F:F,'LD-ELFA'!U:U),IF(AND(L156="",J156&lt;&gt;"PARA APROVAÇÃO"),"",""))))</f>
        <v/>
      </c>
      <c r="N156" s="63" t="str">
        <f t="shared" ca="1" si="27"/>
        <v>Documento a Emitir</v>
      </c>
      <c r="O156" s="63" t="str">
        <f t="shared" si="21"/>
        <v>Blossom - Documento a emitir</v>
      </c>
      <c r="P156" s="63" t="str">
        <f t="shared" si="22"/>
        <v>Blossom</v>
      </c>
      <c r="Q156" s="63" t="str">
        <f>IF(_xlfn.XLOOKUP(D156,'LD-ELFA'!F:F,'LD-ELFA'!V:V)="","",_xlfn.XLOOKUP(D156,'LD-ELFA'!F:F,'LD-ELFA'!V:V))</f>
        <v/>
      </c>
      <c r="R156" s="40">
        <f>IFERROR(IF(I156&lt;&gt;"","Documento Emitido",_xlfn.XLOOKUP(D156,Cronograma!P:P,Cronograma!Q:Q)),"Documento Removido")</f>
        <v>46237</v>
      </c>
      <c r="S156" s="40" t="str">
        <f t="shared" ca="1" si="23"/>
        <v>No prazo</v>
      </c>
      <c r="T156" s="40">
        <f>IFERROR(IF(I156&lt;&gt;"","Documento Emitido",_xlfn.XLOOKUP(D156,Cronograma!P:P,Cronograma!R:R)),"Documento Removido")</f>
        <v>46233</v>
      </c>
      <c r="U156" s="39" t="str">
        <f t="shared" si="24"/>
        <v>Emissão Atrasada</v>
      </c>
      <c r="V156" s="39" t="str">
        <f t="shared" si="25"/>
        <v/>
      </c>
      <c r="W156" s="39" t="str">
        <f t="shared" ca="1" si="26"/>
        <v/>
      </c>
    </row>
    <row r="157" spans="1:23" s="60" customFormat="1" ht="28.5" customHeight="1" x14ac:dyDescent="0.2">
      <c r="A157" s="39">
        <v>154</v>
      </c>
      <c r="B157" s="39" t="str">
        <f>_xlfn.XLOOKUP(D157,'LD-ELFA'!F:F,'LD-ELFA'!C:C)</f>
        <v>EL - Eletrica</v>
      </c>
      <c r="C157" s="39" t="str">
        <f>_xlfn.XLOOKUP(D157,'LD-ELFA'!F:F,'LD-ELFA'!D:D)</f>
        <v>FDA - Folha De Dados</v>
      </c>
      <c r="D157" s="39" t="s">
        <v>160</v>
      </c>
      <c r="E157" s="39" t="str">
        <f>_xlfn.LET(_xlpm.q,_xlfn.XLOOKUP(D157,'LD-ELFA'!F:F,'LD-ELFA'!Q:Q),
   _xlpm.r,_xlfn.XLOOKUP(D157,'LD-ELFA'!F:F,'LD-ELFA'!R:R),
   IF(_xlpm.r = "", _xlpm.q, _xlpm.q &amp; " - " &amp; _xlpm.r))</f>
        <v>FOLHA DE DADOS - PAINEL ILUMINAÇÃO</v>
      </c>
      <c r="F157" s="63" t="str">
        <f t="shared" si="20"/>
        <v>Básico</v>
      </c>
      <c r="G157" s="63">
        <f>_xlfn.XLOOKUP(D157,'LD-ELFA'!F:F,'LD-ELFA'!G:G)</f>
        <v>0</v>
      </c>
      <c r="H157" s="63">
        <f>_xlfn.XLOOKUP(D157,'LD-ELFA'!F:F,'LD-ELFA'!I:I)</f>
        <v>0</v>
      </c>
      <c r="I157" s="63" t="str">
        <f>IF(_xlfn.XLOOKUP(D157,'LD-ELFA'!F:F,'LD-ELFA'!T:T)="","",_xlfn.XLOOKUP(D157,'LD-ELFA'!F:F,'LD-ELFA'!T:T))</f>
        <v/>
      </c>
      <c r="J157" s="63" t="str">
        <f>IF(K157="Documento a emitir", "",_xlfn.XLOOKUP(D157,'LD-ELFA'!F:F,'LD-ELFA'!N:N))</f>
        <v/>
      </c>
      <c r="K157" s="43" t="str">
        <f>IF(_xlfn.XLOOKUP($D157,'LD-ELFA'!F:F,'LD-ELFA'!U:U)="","Documento a emitir",_xlfn.XLOOKUP($D157,'LD-ELFA'!F:F,'LD-ELFA'!U:U))</f>
        <v>Documento a emitir</v>
      </c>
      <c r="L157" s="43" t="str">
        <f>IF(K157="Documento a emitir","Documento a emitir",IF(K157&lt;&gt;"Documento a emitir",IF(_xlfn.XLOOKUP(D157,'LD-ELFA'!F:F,'LD-ELFA'!W:W)="","",_xlfn.XLOOKUP(D157,'LD-ELFA'!F:F,'LD-ELFA'!W:W)),""))</f>
        <v>Documento a emitir</v>
      </c>
      <c r="M157" s="43" t="str">
        <f>IF(K157="Documento a emitir","",IF(AND(Q157="APC-R  - APC-R - Aprovado com Comentários (Retornar para uma nova Aprovação)",Q157="APC-L  - APC-L  - Aprovado com Comentários (Retornar Aprovado)"),"",IF(OR(_xlfn.XLOOKUP(D157,'LD-ELFA'!F:F,'LD-ELFA'!N:N)="PARA CONHECIMENTO",_xlfn.XLOOKUP(D157,'LD-ELFA'!F:F,'LD-ELFA'!N:N)="PARA CONSTRUÇÃO",_xlfn.XLOOKUP(D157,'LD-ELFA'!F:F,'LD-ELFA'!N:N)="PARA COTAÇÃO",_xlfn.XLOOKUP(D157,'LD-ELFA'!F:F,'LD-ELFA'!N:N)="CANCELADO"),_xlfn.XLOOKUP(D157,'LD-ELFA'!F:F,'LD-ELFA'!U:U),IF(AND(L157="",J157&lt;&gt;"PARA APROVAÇÃO"),"",""))))</f>
        <v/>
      </c>
      <c r="N157" s="63" t="str">
        <f t="shared" ca="1" si="27"/>
        <v>Documento a Emitir</v>
      </c>
      <c r="O157" s="63" t="str">
        <f t="shared" si="21"/>
        <v>Blossom - Documento a emitir</v>
      </c>
      <c r="P157" s="63" t="str">
        <f t="shared" si="22"/>
        <v>Blossom</v>
      </c>
      <c r="Q157" s="63" t="str">
        <f>IF(_xlfn.XLOOKUP(D157,'LD-ELFA'!F:F,'LD-ELFA'!V:V)="","",_xlfn.XLOOKUP(D157,'LD-ELFA'!F:F,'LD-ELFA'!V:V))</f>
        <v/>
      </c>
      <c r="R157" s="40">
        <f>IFERROR(IF(I157&lt;&gt;"","Documento Emitido",_xlfn.XLOOKUP(D157,Cronograma!P:P,Cronograma!Q:Q)),"Documento Removido")</f>
        <v>46237</v>
      </c>
      <c r="S157" s="40" t="str">
        <f t="shared" ca="1" si="23"/>
        <v>No prazo</v>
      </c>
      <c r="T157" s="40">
        <f>IFERROR(IF(I157&lt;&gt;"","Documento Emitido",_xlfn.XLOOKUP(D157,Cronograma!P:P,Cronograma!R:R)),"Documento Removido")</f>
        <v>46233</v>
      </c>
      <c r="U157" s="39" t="str">
        <f t="shared" si="24"/>
        <v>Emissão Atrasada</v>
      </c>
      <c r="V157" s="39" t="str">
        <f t="shared" si="25"/>
        <v/>
      </c>
      <c r="W157" s="39" t="str">
        <f t="shared" ca="1" si="26"/>
        <v/>
      </c>
    </row>
    <row r="158" spans="1:23" s="60" customFormat="1" ht="28.5" customHeight="1" x14ac:dyDescent="0.2">
      <c r="A158" s="39">
        <v>155</v>
      </c>
      <c r="B158" s="39" t="str">
        <f>_xlfn.XLOOKUP(D158,'LD-ELFA'!F:F,'LD-ELFA'!C:C)</f>
        <v>EL - Eletrica</v>
      </c>
      <c r="C158" s="39" t="str">
        <f>_xlfn.XLOOKUP(D158,'LD-ELFA'!F:F,'LD-ELFA'!D:D)</f>
        <v>FDA - Folha De Dados</v>
      </c>
      <c r="D158" s="39" t="s">
        <v>161</v>
      </c>
      <c r="E158" s="39" t="str">
        <f>_xlfn.LET(_xlpm.q,_xlfn.XLOOKUP(D158,'LD-ELFA'!F:F,'LD-ELFA'!Q:Q),
   _xlpm.r,_xlfn.XLOOKUP(D158,'LD-ELFA'!F:F,'LD-ELFA'!R:R),
   IF(_xlpm.r = "", _xlpm.q, _xlpm.q &amp; " - " &amp; _xlpm.r))</f>
        <v>FOLHA DE DADOS - NO-BREAKS</v>
      </c>
      <c r="F158" s="63" t="str">
        <f t="shared" si="20"/>
        <v>Básico</v>
      </c>
      <c r="G158" s="63">
        <f>_xlfn.XLOOKUP(D158,'LD-ELFA'!F:F,'LD-ELFA'!G:G)</f>
        <v>0</v>
      </c>
      <c r="H158" s="63">
        <f>_xlfn.XLOOKUP(D158,'LD-ELFA'!F:F,'LD-ELFA'!I:I)</f>
        <v>0</v>
      </c>
      <c r="I158" s="63" t="str">
        <f>IF(_xlfn.XLOOKUP(D158,'LD-ELFA'!F:F,'LD-ELFA'!T:T)="","",_xlfn.XLOOKUP(D158,'LD-ELFA'!F:F,'LD-ELFA'!T:T))</f>
        <v/>
      </c>
      <c r="J158" s="63" t="str">
        <f>IF(K158="Documento a emitir", "",_xlfn.XLOOKUP(D158,'LD-ELFA'!F:F,'LD-ELFA'!N:N))</f>
        <v/>
      </c>
      <c r="K158" s="43" t="str">
        <f>IF(_xlfn.XLOOKUP($D158,'LD-ELFA'!F:F,'LD-ELFA'!U:U)="","Documento a emitir",_xlfn.XLOOKUP($D158,'LD-ELFA'!F:F,'LD-ELFA'!U:U))</f>
        <v>Documento a emitir</v>
      </c>
      <c r="L158" s="43" t="str">
        <f>IF(K158="Documento a emitir","Documento a emitir",IF(K158&lt;&gt;"Documento a emitir",IF(_xlfn.XLOOKUP(D158,'LD-ELFA'!F:F,'LD-ELFA'!W:W)="","",_xlfn.XLOOKUP(D158,'LD-ELFA'!F:F,'LD-ELFA'!W:W)),""))</f>
        <v>Documento a emitir</v>
      </c>
      <c r="M158" s="43" t="str">
        <f>IF(K158="Documento a emitir","",IF(AND(Q158="APC-R  - APC-R - Aprovado com Comentários (Retornar para uma nova Aprovação)",Q158="APC-L  - APC-L  - Aprovado com Comentários (Retornar Aprovado)"),"",IF(OR(_xlfn.XLOOKUP(D158,'LD-ELFA'!F:F,'LD-ELFA'!N:N)="PARA CONHECIMENTO",_xlfn.XLOOKUP(D158,'LD-ELFA'!F:F,'LD-ELFA'!N:N)="PARA CONSTRUÇÃO",_xlfn.XLOOKUP(D158,'LD-ELFA'!F:F,'LD-ELFA'!N:N)="PARA COTAÇÃO",_xlfn.XLOOKUP(D158,'LD-ELFA'!F:F,'LD-ELFA'!N:N)="CANCELADO"),_xlfn.XLOOKUP(D158,'LD-ELFA'!F:F,'LD-ELFA'!U:U),IF(AND(L158="",J158&lt;&gt;"PARA APROVAÇÃO"),"",""))))</f>
        <v/>
      </c>
      <c r="N158" s="63" t="str">
        <f t="shared" ca="1" si="27"/>
        <v>Documento a Emitir</v>
      </c>
      <c r="O158" s="63" t="str">
        <f t="shared" si="21"/>
        <v>Blossom - Documento a emitir</v>
      </c>
      <c r="P158" s="63" t="str">
        <f t="shared" si="22"/>
        <v>Blossom</v>
      </c>
      <c r="Q158" s="63" t="str">
        <f>IF(_xlfn.XLOOKUP(D158,'LD-ELFA'!F:F,'LD-ELFA'!V:V)="","",_xlfn.XLOOKUP(D158,'LD-ELFA'!F:F,'LD-ELFA'!V:V))</f>
        <v/>
      </c>
      <c r="R158" s="40">
        <f>IFERROR(IF(I158&lt;&gt;"","Documento Emitido",_xlfn.XLOOKUP(D158,Cronograma!P:P,Cronograma!Q:Q)),"Documento Removido")</f>
        <v>46240</v>
      </c>
      <c r="S158" s="40" t="str">
        <f t="shared" ca="1" si="23"/>
        <v>No prazo</v>
      </c>
      <c r="T158" s="40">
        <f>IFERROR(IF(I158&lt;&gt;"","Documento Emitido",_xlfn.XLOOKUP(D158,Cronograma!P:P,Cronograma!R:R)),"Documento Removido")</f>
        <v>46238</v>
      </c>
      <c r="U158" s="39" t="str">
        <f t="shared" si="24"/>
        <v>Emissão Atrasada</v>
      </c>
      <c r="V158" s="39" t="str">
        <f t="shared" si="25"/>
        <v/>
      </c>
      <c r="W158" s="39" t="str">
        <f t="shared" ca="1" si="26"/>
        <v/>
      </c>
    </row>
    <row r="159" spans="1:23" s="60" customFormat="1" ht="28.5" customHeight="1" x14ac:dyDescent="0.2">
      <c r="A159" s="39">
        <v>156</v>
      </c>
      <c r="B159" s="39" t="str">
        <f>_xlfn.XLOOKUP(D159,'LD-ELFA'!F:F,'LD-ELFA'!C:C)</f>
        <v>EL - Eletrica</v>
      </c>
      <c r="C159" s="39" t="str">
        <f>_xlfn.XLOOKUP(D159,'LD-ELFA'!F:F,'LD-ELFA'!D:D)</f>
        <v>FDA - Folha De Dados</v>
      </c>
      <c r="D159" s="39" t="s">
        <v>162</v>
      </c>
      <c r="E159" s="39" t="str">
        <f>_xlfn.LET(_xlpm.q,_xlfn.XLOOKUP(D159,'LD-ELFA'!F:F,'LD-ELFA'!Q:Q),
   _xlpm.r,_xlfn.XLOOKUP(D159,'LD-ELFA'!F:F,'LD-ELFA'!R:R),
   IF(_xlpm.r = "", _xlpm.q, _xlpm.q &amp; " - " &amp; _xlpm.r))</f>
        <v>FOLHA DE DADOS - RESISTORES DE ATERRAMENTO</v>
      </c>
      <c r="F159" s="63" t="str">
        <f t="shared" si="20"/>
        <v>Básico</v>
      </c>
      <c r="G159" s="63">
        <f>_xlfn.XLOOKUP(D159,'LD-ELFA'!F:F,'LD-ELFA'!G:G)</f>
        <v>0</v>
      </c>
      <c r="H159" s="63">
        <f>_xlfn.XLOOKUP(D159,'LD-ELFA'!F:F,'LD-ELFA'!I:I)</f>
        <v>0</v>
      </c>
      <c r="I159" s="63" t="str">
        <f>IF(_xlfn.XLOOKUP(D159,'LD-ELFA'!F:F,'LD-ELFA'!T:T)="","",_xlfn.XLOOKUP(D159,'LD-ELFA'!F:F,'LD-ELFA'!T:T))</f>
        <v/>
      </c>
      <c r="J159" s="63" t="str">
        <f>IF(K159="Documento a emitir", "",_xlfn.XLOOKUP(D159,'LD-ELFA'!F:F,'LD-ELFA'!N:N))</f>
        <v/>
      </c>
      <c r="K159" s="43" t="str">
        <f>IF(_xlfn.XLOOKUP($D159,'LD-ELFA'!F:F,'LD-ELFA'!U:U)="","Documento a emitir",_xlfn.XLOOKUP($D159,'LD-ELFA'!F:F,'LD-ELFA'!U:U))</f>
        <v>Documento a emitir</v>
      </c>
      <c r="L159" s="43" t="str">
        <f>IF(K159="Documento a emitir","Documento a emitir",IF(K159&lt;&gt;"Documento a emitir",IF(_xlfn.XLOOKUP(D159,'LD-ELFA'!F:F,'LD-ELFA'!W:W)="","",_xlfn.XLOOKUP(D159,'LD-ELFA'!F:F,'LD-ELFA'!W:W)),""))</f>
        <v>Documento a emitir</v>
      </c>
      <c r="M159" s="43" t="str">
        <f>IF(K159="Documento a emitir","",IF(AND(Q159="APC-R  - APC-R - Aprovado com Comentários (Retornar para uma nova Aprovação)",Q159="APC-L  - APC-L  - Aprovado com Comentários (Retornar Aprovado)"),"",IF(OR(_xlfn.XLOOKUP(D159,'LD-ELFA'!F:F,'LD-ELFA'!N:N)="PARA CONHECIMENTO",_xlfn.XLOOKUP(D159,'LD-ELFA'!F:F,'LD-ELFA'!N:N)="PARA CONSTRUÇÃO",_xlfn.XLOOKUP(D159,'LD-ELFA'!F:F,'LD-ELFA'!N:N)="PARA COTAÇÃO",_xlfn.XLOOKUP(D159,'LD-ELFA'!F:F,'LD-ELFA'!N:N)="CANCELADO"),_xlfn.XLOOKUP(D159,'LD-ELFA'!F:F,'LD-ELFA'!U:U),IF(AND(L159="",J159&lt;&gt;"PARA APROVAÇÃO"),"",""))))</f>
        <v/>
      </c>
      <c r="N159" s="63" t="str">
        <f t="shared" ca="1" si="27"/>
        <v>Documento a Emitir</v>
      </c>
      <c r="O159" s="63" t="str">
        <f t="shared" si="21"/>
        <v>Blossom - Documento a emitir</v>
      </c>
      <c r="P159" s="63" t="str">
        <f t="shared" si="22"/>
        <v>Blossom</v>
      </c>
      <c r="Q159" s="63" t="str">
        <f>IF(_xlfn.XLOOKUP(D159,'LD-ELFA'!F:F,'LD-ELFA'!V:V)="","",_xlfn.XLOOKUP(D159,'LD-ELFA'!F:F,'LD-ELFA'!V:V))</f>
        <v/>
      </c>
      <c r="R159" s="40">
        <f>IFERROR(IF(I159&lt;&gt;"","Documento Emitido",_xlfn.XLOOKUP(D159,Cronograma!P:P,Cronograma!Q:Q)),"Documento Removido")</f>
        <v>46240</v>
      </c>
      <c r="S159" s="40" t="str">
        <f t="shared" ca="1" si="23"/>
        <v>No prazo</v>
      </c>
      <c r="T159" s="40">
        <f>IFERROR(IF(I159&lt;&gt;"","Documento Emitido",_xlfn.XLOOKUP(D159,Cronograma!P:P,Cronograma!R:R)),"Documento Removido")</f>
        <v>46238</v>
      </c>
      <c r="U159" s="39" t="str">
        <f t="shared" si="24"/>
        <v>Emissão Atrasada</v>
      </c>
      <c r="V159" s="39" t="str">
        <f t="shared" si="25"/>
        <v/>
      </c>
      <c r="W159" s="39" t="str">
        <f t="shared" ca="1" si="26"/>
        <v/>
      </c>
    </row>
    <row r="160" spans="1:23" s="60" customFormat="1" ht="28.5" customHeight="1" x14ac:dyDescent="0.2">
      <c r="A160" s="39">
        <v>157</v>
      </c>
      <c r="B160" s="39" t="str">
        <f>_xlfn.XLOOKUP(D160,'LD-ELFA'!F:F,'LD-ELFA'!C:C)</f>
        <v>EL - Eletrica</v>
      </c>
      <c r="C160" s="39" t="str">
        <f>_xlfn.XLOOKUP(D160,'LD-ELFA'!F:F,'LD-ELFA'!D:D)</f>
        <v>FDA - Folha De Dados</v>
      </c>
      <c r="D160" s="39" t="s">
        <v>163</v>
      </c>
      <c r="E160" s="39" t="str">
        <f>_xlfn.LET(_xlpm.q,_xlfn.XLOOKUP(D160,'LD-ELFA'!F:F,'LD-ELFA'!Q:Q),
   _xlpm.r,_xlfn.XLOOKUP(D160,'LD-ELFA'!F:F,'LD-ELFA'!R:R),
   IF(_xlpm.r = "", _xlpm.q, _xlpm.q &amp; " - " &amp; _xlpm.r))</f>
        <v>FOLHA DE DADOS - CONJUNTO DE MANOBRA DE BT</v>
      </c>
      <c r="F160" s="63" t="str">
        <f t="shared" si="20"/>
        <v>Básico</v>
      </c>
      <c r="G160" s="63">
        <f>_xlfn.XLOOKUP(D160,'LD-ELFA'!F:F,'LD-ELFA'!G:G)</f>
        <v>0</v>
      </c>
      <c r="H160" s="63">
        <f>_xlfn.XLOOKUP(D160,'LD-ELFA'!F:F,'LD-ELFA'!I:I)</f>
        <v>0</v>
      </c>
      <c r="I160" s="63" t="str">
        <f>IF(_xlfn.XLOOKUP(D160,'LD-ELFA'!F:F,'LD-ELFA'!T:T)="","",_xlfn.XLOOKUP(D160,'LD-ELFA'!F:F,'LD-ELFA'!T:T))</f>
        <v/>
      </c>
      <c r="J160" s="63" t="str">
        <f>IF(K160="Documento a emitir", "",_xlfn.XLOOKUP(D160,'LD-ELFA'!F:F,'LD-ELFA'!N:N))</f>
        <v/>
      </c>
      <c r="K160" s="43" t="str">
        <f>IF(_xlfn.XLOOKUP($D160,'LD-ELFA'!F:F,'LD-ELFA'!U:U)="","Documento a emitir",_xlfn.XLOOKUP($D160,'LD-ELFA'!F:F,'LD-ELFA'!U:U))</f>
        <v>Documento a emitir</v>
      </c>
      <c r="L160" s="43" t="str">
        <f>IF(K160="Documento a emitir","Documento a emitir",IF(K160&lt;&gt;"Documento a emitir",IF(_xlfn.XLOOKUP(D160,'LD-ELFA'!F:F,'LD-ELFA'!W:W)="","",_xlfn.XLOOKUP(D160,'LD-ELFA'!F:F,'LD-ELFA'!W:W)),""))</f>
        <v>Documento a emitir</v>
      </c>
      <c r="M160" s="43" t="str">
        <f>IF(K160="Documento a emitir","",IF(AND(Q160="APC-R  - APC-R - Aprovado com Comentários (Retornar para uma nova Aprovação)",Q160="APC-L  - APC-L  - Aprovado com Comentários (Retornar Aprovado)"),"",IF(OR(_xlfn.XLOOKUP(D160,'LD-ELFA'!F:F,'LD-ELFA'!N:N)="PARA CONHECIMENTO",_xlfn.XLOOKUP(D160,'LD-ELFA'!F:F,'LD-ELFA'!N:N)="PARA CONSTRUÇÃO",_xlfn.XLOOKUP(D160,'LD-ELFA'!F:F,'LD-ELFA'!N:N)="PARA COTAÇÃO",_xlfn.XLOOKUP(D160,'LD-ELFA'!F:F,'LD-ELFA'!N:N)="CANCELADO"),_xlfn.XLOOKUP(D160,'LD-ELFA'!F:F,'LD-ELFA'!U:U),IF(AND(L160="",J160&lt;&gt;"PARA APROVAÇÃO"),"",""))))</f>
        <v/>
      </c>
      <c r="N160" s="63" t="str">
        <f t="shared" ca="1" si="27"/>
        <v>Documento a Emitir</v>
      </c>
      <c r="O160" s="63" t="str">
        <f t="shared" si="21"/>
        <v>Blossom - Documento a emitir</v>
      </c>
      <c r="P160" s="63" t="str">
        <f t="shared" si="22"/>
        <v>Blossom</v>
      </c>
      <c r="Q160" s="63" t="str">
        <f>IF(_xlfn.XLOOKUP(D160,'LD-ELFA'!F:F,'LD-ELFA'!V:V)="","",_xlfn.XLOOKUP(D160,'LD-ELFA'!F:F,'LD-ELFA'!V:V))</f>
        <v/>
      </c>
      <c r="R160" s="40">
        <f>IFERROR(IF(I160&lt;&gt;"","Documento Emitido",_xlfn.XLOOKUP(D160,Cronograma!P:P,Cronograma!Q:Q)),"Documento Removido")</f>
        <v>46245</v>
      </c>
      <c r="S160" s="40" t="str">
        <f t="shared" ca="1" si="23"/>
        <v>No prazo</v>
      </c>
      <c r="T160" s="40">
        <f>IFERROR(IF(I160&lt;&gt;"","Documento Emitido",_xlfn.XLOOKUP(D160,Cronograma!P:P,Cronograma!R:R)),"Documento Removido")</f>
        <v>46241</v>
      </c>
      <c r="U160" s="39" t="str">
        <f t="shared" si="24"/>
        <v>Emissão Atrasada</v>
      </c>
      <c r="V160" s="39" t="str">
        <f t="shared" si="25"/>
        <v/>
      </c>
      <c r="W160" s="39" t="str">
        <f t="shared" ca="1" si="26"/>
        <v/>
      </c>
    </row>
    <row r="161" spans="1:23" s="60" customFormat="1" ht="28.5" customHeight="1" x14ac:dyDescent="0.2">
      <c r="A161" s="39">
        <v>158</v>
      </c>
      <c r="B161" s="39" t="str">
        <f>_xlfn.XLOOKUP(D161,'LD-ELFA'!F:F,'LD-ELFA'!C:C)</f>
        <v>EL - Eletrica</v>
      </c>
      <c r="C161" s="39" t="str">
        <f>_xlfn.XLOOKUP(D161,'LD-ELFA'!F:F,'LD-ELFA'!D:D)</f>
        <v>FDA - Folha De Dados</v>
      </c>
      <c r="D161" s="39" t="s">
        <v>164</v>
      </c>
      <c r="E161" s="39" t="str">
        <f>_xlfn.LET(_xlpm.q,_xlfn.XLOOKUP(D161,'LD-ELFA'!F:F,'LD-ELFA'!Q:Q),
   _xlpm.r,_xlfn.XLOOKUP(D161,'LD-ELFA'!F:F,'LD-ELFA'!R:R),
   IF(_xlpm.r = "", _xlpm.q, _xlpm.q &amp; " - " &amp; _xlpm.r))</f>
        <v>FOLHA DE DADOS - CENTRO DE CONTROLE DE MOTORES MT</v>
      </c>
      <c r="F161" s="63" t="str">
        <f t="shared" si="20"/>
        <v>Básico</v>
      </c>
      <c r="G161" s="63">
        <f>_xlfn.XLOOKUP(D161,'LD-ELFA'!F:F,'LD-ELFA'!G:G)</f>
        <v>0</v>
      </c>
      <c r="H161" s="63">
        <f>_xlfn.XLOOKUP(D161,'LD-ELFA'!F:F,'LD-ELFA'!I:I)</f>
        <v>0</v>
      </c>
      <c r="I161" s="63" t="str">
        <f>IF(_xlfn.XLOOKUP(D161,'LD-ELFA'!F:F,'LD-ELFA'!T:T)="","",_xlfn.XLOOKUP(D161,'LD-ELFA'!F:F,'LD-ELFA'!T:T))</f>
        <v/>
      </c>
      <c r="J161" s="63" t="str">
        <f>IF(K161="Documento a emitir", "",_xlfn.XLOOKUP(D161,'LD-ELFA'!F:F,'LD-ELFA'!N:N))</f>
        <v/>
      </c>
      <c r="K161" s="43" t="str">
        <f>IF(_xlfn.XLOOKUP($D161,'LD-ELFA'!F:F,'LD-ELFA'!U:U)="","Documento a emitir",_xlfn.XLOOKUP($D161,'LD-ELFA'!F:F,'LD-ELFA'!U:U))</f>
        <v>Documento a emitir</v>
      </c>
      <c r="L161" s="43" t="str">
        <f>IF(K161="Documento a emitir","Documento a emitir",IF(K161&lt;&gt;"Documento a emitir",IF(_xlfn.XLOOKUP(D161,'LD-ELFA'!F:F,'LD-ELFA'!W:W)="","",_xlfn.XLOOKUP(D161,'LD-ELFA'!F:F,'LD-ELFA'!W:W)),""))</f>
        <v>Documento a emitir</v>
      </c>
      <c r="M161" s="43" t="str">
        <f>IF(K161="Documento a emitir","",IF(AND(Q161="APC-R  - APC-R - Aprovado com Comentários (Retornar para uma nova Aprovação)",Q161="APC-L  - APC-L  - Aprovado com Comentários (Retornar Aprovado)"),"",IF(OR(_xlfn.XLOOKUP(D161,'LD-ELFA'!F:F,'LD-ELFA'!N:N)="PARA CONHECIMENTO",_xlfn.XLOOKUP(D161,'LD-ELFA'!F:F,'LD-ELFA'!N:N)="PARA CONSTRUÇÃO",_xlfn.XLOOKUP(D161,'LD-ELFA'!F:F,'LD-ELFA'!N:N)="PARA COTAÇÃO",_xlfn.XLOOKUP(D161,'LD-ELFA'!F:F,'LD-ELFA'!N:N)="CANCELADO"),_xlfn.XLOOKUP(D161,'LD-ELFA'!F:F,'LD-ELFA'!U:U),IF(AND(L161="",J161&lt;&gt;"PARA APROVAÇÃO"),"",""))))</f>
        <v/>
      </c>
      <c r="N161" s="63" t="str">
        <f t="shared" ca="1" si="27"/>
        <v>Documento a Emitir</v>
      </c>
      <c r="O161" s="63" t="str">
        <f t="shared" si="21"/>
        <v>Blossom - Documento a emitir</v>
      </c>
      <c r="P161" s="63" t="str">
        <f t="shared" si="22"/>
        <v>Blossom</v>
      </c>
      <c r="Q161" s="63" t="str">
        <f>IF(_xlfn.XLOOKUP(D161,'LD-ELFA'!F:F,'LD-ELFA'!V:V)="","",_xlfn.XLOOKUP(D161,'LD-ELFA'!F:F,'LD-ELFA'!V:V))</f>
        <v/>
      </c>
      <c r="R161" s="40">
        <f>IFERROR(IF(I161&lt;&gt;"","Documento Emitido",_xlfn.XLOOKUP(D161,Cronograma!P:P,Cronograma!Q:Q)),"Documento Removido")</f>
        <v>46245</v>
      </c>
      <c r="S161" s="40" t="str">
        <f t="shared" ca="1" si="23"/>
        <v>No prazo</v>
      </c>
      <c r="T161" s="40">
        <f>IFERROR(IF(I161&lt;&gt;"","Documento Emitido",_xlfn.XLOOKUP(D161,Cronograma!P:P,Cronograma!R:R)),"Documento Removido")</f>
        <v>46241</v>
      </c>
      <c r="U161" s="39" t="str">
        <f t="shared" si="24"/>
        <v>Emissão Atrasada</v>
      </c>
      <c r="V161" s="39" t="str">
        <f t="shared" si="25"/>
        <v/>
      </c>
      <c r="W161" s="39" t="str">
        <f t="shared" ca="1" si="26"/>
        <v/>
      </c>
    </row>
    <row r="162" spans="1:23" s="60" customFormat="1" ht="28.5" customHeight="1" x14ac:dyDescent="0.2">
      <c r="A162" s="39">
        <v>159</v>
      </c>
      <c r="B162" s="39" t="str">
        <f>_xlfn.XLOOKUP(D162,'LD-ELFA'!F:F,'LD-ELFA'!C:C)</f>
        <v>EL - Eletrica</v>
      </c>
      <c r="C162" s="39" t="str">
        <f>_xlfn.XLOOKUP(D162,'LD-ELFA'!F:F,'LD-ELFA'!D:D)</f>
        <v>FDA - Folha De Dados</v>
      </c>
      <c r="D162" s="39" t="s">
        <v>165</v>
      </c>
      <c r="E162" s="39" t="str">
        <f>_xlfn.LET(_xlpm.q,_xlfn.XLOOKUP(D162,'LD-ELFA'!F:F,'LD-ELFA'!Q:Q),
   _xlpm.r,_xlfn.XLOOKUP(D162,'LD-ELFA'!F:F,'LD-ELFA'!R:R),
   IF(_xlpm.r = "", _xlpm.q, _xlpm.q &amp; " - " &amp; _xlpm.r))</f>
        <v>FOLHA DE DADOS - CENTRO DE CONTROLE DE MOTORES BT</v>
      </c>
      <c r="F162" s="63" t="str">
        <f t="shared" si="20"/>
        <v>Básico</v>
      </c>
      <c r="G162" s="63">
        <f>_xlfn.XLOOKUP(D162,'LD-ELFA'!F:F,'LD-ELFA'!G:G)</f>
        <v>0</v>
      </c>
      <c r="H162" s="63">
        <f>_xlfn.XLOOKUP(D162,'LD-ELFA'!F:F,'LD-ELFA'!I:I)</f>
        <v>0</v>
      </c>
      <c r="I162" s="63" t="str">
        <f>IF(_xlfn.XLOOKUP(D162,'LD-ELFA'!F:F,'LD-ELFA'!T:T)="","",_xlfn.XLOOKUP(D162,'LD-ELFA'!F:F,'LD-ELFA'!T:T))</f>
        <v/>
      </c>
      <c r="J162" s="63" t="str">
        <f>IF(K162="Documento a emitir", "",_xlfn.XLOOKUP(D162,'LD-ELFA'!F:F,'LD-ELFA'!N:N))</f>
        <v/>
      </c>
      <c r="K162" s="43" t="str">
        <f>IF(_xlfn.XLOOKUP($D162,'LD-ELFA'!F:F,'LD-ELFA'!U:U)="","Documento a emitir",_xlfn.XLOOKUP($D162,'LD-ELFA'!F:F,'LD-ELFA'!U:U))</f>
        <v>Documento a emitir</v>
      </c>
      <c r="L162" s="43" t="str">
        <f>IF(K162="Documento a emitir","Documento a emitir",IF(K162&lt;&gt;"Documento a emitir",IF(_xlfn.XLOOKUP(D162,'LD-ELFA'!F:F,'LD-ELFA'!W:W)="","",_xlfn.XLOOKUP(D162,'LD-ELFA'!F:F,'LD-ELFA'!W:W)),""))</f>
        <v>Documento a emitir</v>
      </c>
      <c r="M162" s="43" t="str">
        <f>IF(K162="Documento a emitir","",IF(AND(Q162="APC-R  - APC-R - Aprovado com Comentários (Retornar para uma nova Aprovação)",Q162="APC-L  - APC-L  - Aprovado com Comentários (Retornar Aprovado)"),"",IF(OR(_xlfn.XLOOKUP(D162,'LD-ELFA'!F:F,'LD-ELFA'!N:N)="PARA CONHECIMENTO",_xlfn.XLOOKUP(D162,'LD-ELFA'!F:F,'LD-ELFA'!N:N)="PARA CONSTRUÇÃO",_xlfn.XLOOKUP(D162,'LD-ELFA'!F:F,'LD-ELFA'!N:N)="PARA COTAÇÃO",_xlfn.XLOOKUP(D162,'LD-ELFA'!F:F,'LD-ELFA'!N:N)="CANCELADO"),_xlfn.XLOOKUP(D162,'LD-ELFA'!F:F,'LD-ELFA'!U:U),IF(AND(L162="",J162&lt;&gt;"PARA APROVAÇÃO"),"",""))))</f>
        <v/>
      </c>
      <c r="N162" s="63" t="str">
        <f t="shared" ca="1" si="27"/>
        <v>Documento a Emitir</v>
      </c>
      <c r="O162" s="63" t="str">
        <f t="shared" si="21"/>
        <v>Blossom - Documento a emitir</v>
      </c>
      <c r="P162" s="63" t="str">
        <f t="shared" si="22"/>
        <v>Blossom</v>
      </c>
      <c r="Q162" s="63" t="str">
        <f>IF(_xlfn.XLOOKUP(D162,'LD-ELFA'!F:F,'LD-ELFA'!V:V)="","",_xlfn.XLOOKUP(D162,'LD-ELFA'!F:F,'LD-ELFA'!V:V))</f>
        <v/>
      </c>
      <c r="R162" s="40">
        <f>IFERROR(IF(I162&lt;&gt;"","Documento Emitido",_xlfn.XLOOKUP(D162,Cronograma!P:P,Cronograma!Q:Q)),"Documento Removido")</f>
        <v>46245</v>
      </c>
      <c r="S162" s="40" t="str">
        <f t="shared" ca="1" si="23"/>
        <v>No prazo</v>
      </c>
      <c r="T162" s="40">
        <f>IFERROR(IF(I162&lt;&gt;"","Documento Emitido",_xlfn.XLOOKUP(D162,Cronograma!P:P,Cronograma!R:R)),"Documento Removido")</f>
        <v>46246</v>
      </c>
      <c r="U162" s="39" t="str">
        <f t="shared" si="24"/>
        <v>No prazo</v>
      </c>
      <c r="V162" s="39" t="str">
        <f t="shared" si="25"/>
        <v/>
      </c>
      <c r="W162" s="39" t="str">
        <f t="shared" ca="1" si="26"/>
        <v/>
      </c>
    </row>
    <row r="163" spans="1:23" ht="28.5" customHeight="1" x14ac:dyDescent="0.25">
      <c r="A163" s="39">
        <v>160</v>
      </c>
      <c r="B163" s="39" t="str">
        <f>_xlfn.XLOOKUP(D163,'LD-ELFA'!F:F,'LD-ELFA'!C:C)</f>
        <v>EL - Eletrica</v>
      </c>
      <c r="C163" s="39" t="str">
        <f>_xlfn.XLOOKUP(D163,'LD-ELFA'!F:F,'LD-ELFA'!D:D)</f>
        <v>FDA - Folha De Dados</v>
      </c>
      <c r="D163" s="39" t="s">
        <v>166</v>
      </c>
      <c r="E163" s="39" t="str">
        <f>_xlfn.LET(_xlpm.q,_xlfn.XLOOKUP(D163,'LD-ELFA'!F:F,'LD-ELFA'!Q:Q),
   _xlpm.r,_xlfn.XLOOKUP(D163,'LD-ELFA'!F:F,'LD-ELFA'!R:R),
   IF(_xlpm.r = "", _xlpm.q, _xlpm.q &amp; " - " &amp; _xlpm.r))</f>
        <v>FOLHA DE DADOS - GERADOR</v>
      </c>
      <c r="F163" s="63" t="str">
        <f t="shared" si="20"/>
        <v>Básico</v>
      </c>
      <c r="G163" s="63">
        <f>_xlfn.XLOOKUP(D163,'LD-ELFA'!F:F,'LD-ELFA'!G:G)</f>
        <v>0</v>
      </c>
      <c r="H163" s="63">
        <f>_xlfn.XLOOKUP(D163,'LD-ELFA'!F:F,'LD-ELFA'!I:I)</f>
        <v>0</v>
      </c>
      <c r="I163" s="63" t="str">
        <f>IF(_xlfn.XLOOKUP(D163,'LD-ELFA'!F:F,'LD-ELFA'!T:T)="","",_xlfn.XLOOKUP(D163,'LD-ELFA'!F:F,'LD-ELFA'!T:T))</f>
        <v/>
      </c>
      <c r="J163" s="63" t="str">
        <f>IF(K163="Documento a emitir", "",_xlfn.XLOOKUP(D163,'LD-ELFA'!F:F,'LD-ELFA'!N:N))</f>
        <v/>
      </c>
      <c r="K163" s="43" t="str">
        <f>IF(_xlfn.XLOOKUP($D163,'LD-ELFA'!F:F,'LD-ELFA'!U:U)="","Documento a emitir",_xlfn.XLOOKUP($D163,'LD-ELFA'!F:F,'LD-ELFA'!U:U))</f>
        <v>Documento a emitir</v>
      </c>
      <c r="L163" s="43" t="str">
        <f>IF(K163="Documento a emitir","Documento a emitir",IF(K163&lt;&gt;"Documento a emitir",IF(_xlfn.XLOOKUP(D163,'LD-ELFA'!F:F,'LD-ELFA'!W:W)="","",_xlfn.XLOOKUP(D163,'LD-ELFA'!F:F,'LD-ELFA'!W:W)),""))</f>
        <v>Documento a emitir</v>
      </c>
      <c r="M163" s="43" t="str">
        <f>IF(K163="Documento a emitir","",IF(AND(Q163="APC-R  - APC-R - Aprovado com Comentários (Retornar para uma nova Aprovação)",Q163="APC-L  - APC-L  - Aprovado com Comentários (Retornar Aprovado)"),"",IF(OR(_xlfn.XLOOKUP(D163,'LD-ELFA'!F:F,'LD-ELFA'!N:N)="PARA CONHECIMENTO",_xlfn.XLOOKUP(D163,'LD-ELFA'!F:F,'LD-ELFA'!N:N)="PARA CONSTRUÇÃO",_xlfn.XLOOKUP(D163,'LD-ELFA'!F:F,'LD-ELFA'!N:N)="PARA COTAÇÃO",_xlfn.XLOOKUP(D163,'LD-ELFA'!F:F,'LD-ELFA'!N:N)="CANCELADO"),_xlfn.XLOOKUP(D163,'LD-ELFA'!F:F,'LD-ELFA'!U:U),IF(AND(L163="",J163&lt;&gt;"PARA APROVAÇÃO"),"",""))))</f>
        <v/>
      </c>
      <c r="N163" s="63" t="str">
        <f t="shared" ca="1" si="27"/>
        <v>Documento a Emitir</v>
      </c>
      <c r="O163" s="63" t="str">
        <f t="shared" si="21"/>
        <v>Blossom - Documento a emitir</v>
      </c>
      <c r="P163" s="63" t="str">
        <f t="shared" si="22"/>
        <v>Blossom</v>
      </c>
      <c r="Q163" s="63" t="str">
        <f>IF(_xlfn.XLOOKUP(D163,'LD-ELFA'!F:F,'LD-ELFA'!V:V)="","",_xlfn.XLOOKUP(D163,'LD-ELFA'!F:F,'LD-ELFA'!V:V))</f>
        <v/>
      </c>
      <c r="R163" s="40">
        <f>IFERROR(IF(I163&lt;&gt;"","Documento Emitido",_xlfn.XLOOKUP(D163,Cronograma!P:P,Cronograma!Q:Q)),"Documento Removido")</f>
        <v>46245</v>
      </c>
      <c r="S163" s="40" t="str">
        <f t="shared" ca="1" si="23"/>
        <v>No prazo</v>
      </c>
      <c r="T163" s="40">
        <f>IFERROR(IF(I163&lt;&gt;"","Documento Emitido",_xlfn.XLOOKUP(D163,Cronograma!P:P,Cronograma!R:R)),"Documento Removido")</f>
        <v>46246</v>
      </c>
      <c r="U163" s="39" t="str">
        <f t="shared" si="24"/>
        <v>No prazo</v>
      </c>
      <c r="V163" s="39" t="str">
        <f t="shared" si="25"/>
        <v/>
      </c>
      <c r="W163" s="39" t="str">
        <f t="shared" ca="1" si="26"/>
        <v/>
      </c>
    </row>
    <row r="164" spans="1:23" ht="28.5" customHeight="1" x14ac:dyDescent="0.25">
      <c r="A164" s="39">
        <v>161</v>
      </c>
      <c r="B164" s="39" t="str">
        <f>_xlfn.XLOOKUP(D164,'LD-ELFA'!F:F,'LD-ELFA'!C:C)</f>
        <v>EL - Eletrica</v>
      </c>
      <c r="C164" s="39" t="str">
        <f>_xlfn.XLOOKUP(D164,'LD-ELFA'!F:F,'LD-ELFA'!D:D)</f>
        <v>FDA - Folha De Dados</v>
      </c>
      <c r="D164" s="39" t="s">
        <v>991</v>
      </c>
      <c r="E164" s="39" t="str">
        <f>_xlfn.LET(_xlpm.q,_xlfn.XLOOKUP(D164,'LD-ELFA'!F:F,'LD-ELFA'!Q:Q),
   _xlpm.r,_xlfn.XLOOKUP(D164,'LD-ELFA'!F:F,'LD-ELFA'!R:R),
   IF(_xlpm.r = "", _xlpm.q, _xlpm.q &amp; " - " &amp; _xlpm.r))</f>
        <v>FOLHA DE DADOS - INVERSORES DE BAIXA TENSÃO</v>
      </c>
      <c r="F164" s="63" t="str">
        <f t="shared" si="20"/>
        <v>Básico</v>
      </c>
      <c r="G164" s="63">
        <f>_xlfn.XLOOKUP(D164,'LD-ELFA'!F:F,'LD-ELFA'!G:G)</f>
        <v>0</v>
      </c>
      <c r="H164" s="63">
        <f>_xlfn.XLOOKUP(D164,'LD-ELFA'!F:F,'LD-ELFA'!I:I)</f>
        <v>0</v>
      </c>
      <c r="I164" s="63" t="str">
        <f>IF(_xlfn.XLOOKUP(D164,'LD-ELFA'!F:F,'LD-ELFA'!T:T)="","",_xlfn.XLOOKUP(D164,'LD-ELFA'!F:F,'LD-ELFA'!T:T))</f>
        <v/>
      </c>
      <c r="J164" s="63" t="str">
        <f>IF(K164="Documento a emitir", "",_xlfn.XLOOKUP(D164,'LD-ELFA'!F:F,'LD-ELFA'!N:N))</f>
        <v/>
      </c>
      <c r="K164" s="43" t="str">
        <f>IF(_xlfn.XLOOKUP($D164,'LD-ELFA'!F:F,'LD-ELFA'!U:U)="","Documento a emitir",_xlfn.XLOOKUP($D164,'LD-ELFA'!F:F,'LD-ELFA'!U:U))</f>
        <v>Documento a emitir</v>
      </c>
      <c r="L164" s="43" t="str">
        <f>IF(K164="Documento a emitir","Documento a emitir",IF(K164&lt;&gt;"Documento a emitir",IF(_xlfn.XLOOKUP(D164,'LD-ELFA'!F:F,'LD-ELFA'!W:W)="","",_xlfn.XLOOKUP(D164,'LD-ELFA'!F:F,'LD-ELFA'!W:W)),""))</f>
        <v>Documento a emitir</v>
      </c>
      <c r="M164" s="43" t="str">
        <f>IF(K164="Documento a emitir","",IF(AND(Q164="APC-R  - APC-R - Aprovado com Comentários (Retornar para uma nova Aprovação)",Q164="APC-L  - APC-L  - Aprovado com Comentários (Retornar Aprovado)"),"",IF(OR(_xlfn.XLOOKUP(D164,'LD-ELFA'!F:F,'LD-ELFA'!N:N)="PARA CONHECIMENTO",_xlfn.XLOOKUP(D164,'LD-ELFA'!F:F,'LD-ELFA'!N:N)="PARA CONSTRUÇÃO",_xlfn.XLOOKUP(D164,'LD-ELFA'!F:F,'LD-ELFA'!N:N)="PARA COTAÇÃO",_xlfn.XLOOKUP(D164,'LD-ELFA'!F:F,'LD-ELFA'!N:N)="CANCELADO"),_xlfn.XLOOKUP(D164,'LD-ELFA'!F:F,'LD-ELFA'!U:U),IF(AND(L164="",J164&lt;&gt;"PARA APROVAÇÃO"),"",""))))</f>
        <v/>
      </c>
      <c r="N164" s="63" t="str">
        <f t="shared" ca="1" si="27"/>
        <v>Documento a Emitir</v>
      </c>
      <c r="O164" s="63" t="str">
        <f t="shared" si="21"/>
        <v>Blossom - Documento a emitir</v>
      </c>
      <c r="P164" s="63" t="str">
        <f t="shared" si="22"/>
        <v>Blossom</v>
      </c>
      <c r="Q164" s="63" t="str">
        <f>IF(_xlfn.XLOOKUP(D164,'LD-ELFA'!F:F,'LD-ELFA'!V:V)="","",_xlfn.XLOOKUP(D164,'LD-ELFA'!F:F,'LD-ELFA'!V:V))</f>
        <v/>
      </c>
      <c r="R164" s="40">
        <f>IFERROR(IF(I164&lt;&gt;"","Documento Emitido",_xlfn.XLOOKUP(D164,Cronograma!P:P,Cronograma!Q:Q)),"Documento Removido")</f>
        <v>46245</v>
      </c>
      <c r="S164" s="40" t="str">
        <f t="shared" ca="1" si="23"/>
        <v>No prazo</v>
      </c>
      <c r="T164" s="40" t="str">
        <f>IFERROR(IF(I164&lt;&gt;"","Documento Emitido",_xlfn.XLOOKUP(D164,Cronograma!P:P,Cronograma!R:R)),"Documento Removido")</f>
        <v>ND</v>
      </c>
      <c r="U164" s="39" t="str">
        <f t="shared" si="24"/>
        <v>No prazo</v>
      </c>
      <c r="V164" s="39" t="str">
        <f t="shared" si="25"/>
        <v/>
      </c>
      <c r="W164" s="39" t="str">
        <f t="shared" ca="1" si="26"/>
        <v/>
      </c>
    </row>
    <row r="165" spans="1:23" ht="28.5" customHeight="1" x14ac:dyDescent="0.25">
      <c r="A165" s="39">
        <v>162</v>
      </c>
      <c r="B165" s="39" t="str">
        <f>_xlfn.XLOOKUP(D165,'LD-ELFA'!F:F,'LD-ELFA'!C:C)</f>
        <v>EL - Eletrica</v>
      </c>
      <c r="C165" s="39" t="str">
        <f>_xlfn.XLOOKUP(D165,'LD-ELFA'!F:F,'LD-ELFA'!D:D)</f>
        <v>LEI - Lista De Equipamentos E Instrumentos</v>
      </c>
      <c r="D165" s="39" t="s">
        <v>167</v>
      </c>
      <c r="E165" s="39" t="str">
        <f>_xlfn.LET(_xlpm.q,_xlfn.XLOOKUP(D165,'LD-ELFA'!F:F,'LD-ELFA'!Q:Q),
   _xlpm.r,_xlfn.XLOOKUP(D165,'LD-ELFA'!F:F,'LD-ELFA'!R:R),
   IF(_xlpm.r = "", _xlpm.q, _xlpm.q &amp; " - " &amp; _xlpm.r))</f>
        <v>LISTA DE EQUIPAMENTOS ELÉTRICOS</v>
      </c>
      <c r="F165" s="63" t="str">
        <f t="shared" si="20"/>
        <v>Básico</v>
      </c>
      <c r="G165" s="63">
        <f>_xlfn.XLOOKUP(D165,'LD-ELFA'!F:F,'LD-ELFA'!G:G)</f>
        <v>0</v>
      </c>
      <c r="H165" s="63">
        <f>_xlfn.XLOOKUP(D165,'LD-ELFA'!F:F,'LD-ELFA'!I:I)</f>
        <v>0</v>
      </c>
      <c r="I165" s="63" t="str">
        <f>IF(_xlfn.XLOOKUP(D165,'LD-ELFA'!F:F,'LD-ELFA'!T:T)="","",_xlfn.XLOOKUP(D165,'LD-ELFA'!F:F,'LD-ELFA'!T:T))</f>
        <v/>
      </c>
      <c r="J165" s="63" t="str">
        <f>IF(K165="Documento a emitir", "",_xlfn.XLOOKUP(D165,'LD-ELFA'!F:F,'LD-ELFA'!N:N))</f>
        <v/>
      </c>
      <c r="K165" s="43" t="str">
        <f>IF(_xlfn.XLOOKUP($D165,'LD-ELFA'!F:F,'LD-ELFA'!U:U)="","Documento a emitir",_xlfn.XLOOKUP($D165,'LD-ELFA'!F:F,'LD-ELFA'!U:U))</f>
        <v>Documento a emitir</v>
      </c>
      <c r="L165" s="43" t="str">
        <f>IF(K165="Documento a emitir","Documento a emitir",IF(K165&lt;&gt;"Documento a emitir",IF(_xlfn.XLOOKUP(D165,'LD-ELFA'!F:F,'LD-ELFA'!W:W)="","",_xlfn.XLOOKUP(D165,'LD-ELFA'!F:F,'LD-ELFA'!W:W)),""))</f>
        <v>Documento a emitir</v>
      </c>
      <c r="M165" s="43" t="str">
        <f>IF(K165="Documento a emitir","",IF(AND(Q165="APC-R  - APC-R - Aprovado com Comentários (Retornar para uma nova Aprovação)",Q165="APC-L  - APC-L  - Aprovado com Comentários (Retornar Aprovado)"),"",IF(OR(_xlfn.XLOOKUP(D165,'LD-ELFA'!F:F,'LD-ELFA'!N:N)="PARA CONHECIMENTO",_xlfn.XLOOKUP(D165,'LD-ELFA'!F:F,'LD-ELFA'!N:N)="PARA CONSTRUÇÃO",_xlfn.XLOOKUP(D165,'LD-ELFA'!F:F,'LD-ELFA'!N:N)="PARA COTAÇÃO",_xlfn.XLOOKUP(D165,'LD-ELFA'!F:F,'LD-ELFA'!N:N)="CANCELADO"),_xlfn.XLOOKUP(D165,'LD-ELFA'!F:F,'LD-ELFA'!U:U),IF(AND(L165="",J165&lt;&gt;"PARA APROVAÇÃO"),"",""))))</f>
        <v/>
      </c>
      <c r="N165" s="63" t="str">
        <f ca="1">IF(O165="Documento Concluído","Documento Concluído",IF(O165="Cliente - Atendimento de Comentário",IF(TODAY()&lt;=(K165+3),"No prazo","Atrasado"),IF(O165="Cliente - Atendimento de Comentário",IF(TODAY()&lt;=(WORKDAY(K165,3,0)),"No prazo","Atrasado"),IF(O165="Blossom - Emissão Final",IF(TODAY()&lt;=(WORKDAY(L165,3,0)),"No prazo","Atrasado"),IF(O165="Blossom - Atendimento de Comentário",IF(TODAY()&lt;=(WORKDAY(L165,3,0)),"No prazo","Atrasado"),IF(O165="Blossom - Documento a emitir","Documento a Emitir",IF(O165="Documento Removido","Documento Removido","ERRO")))))))</f>
        <v>Documento a Emitir</v>
      </c>
      <c r="O165" s="63" t="str">
        <f t="shared" si="21"/>
        <v>Blossom - Documento a emitir</v>
      </c>
      <c r="P165" s="63" t="str">
        <f t="shared" si="22"/>
        <v>Blossom</v>
      </c>
      <c r="Q165" s="63" t="str">
        <f>IF(_xlfn.XLOOKUP(D165,'LD-ELFA'!F:F,'LD-ELFA'!V:V)="","",_xlfn.XLOOKUP(D165,'LD-ELFA'!F:F,'LD-ELFA'!V:V))</f>
        <v/>
      </c>
      <c r="R165" s="40">
        <f>IFERROR(IF(I165&lt;&gt;"","Documento Emitido",_xlfn.XLOOKUP(D165,Cronograma!P:P,Cronograma!Q:Q)),"Documento Removido")</f>
        <v>46251</v>
      </c>
      <c r="S165" s="40" t="str">
        <f t="shared" ca="1" si="23"/>
        <v>No prazo</v>
      </c>
      <c r="T165" s="40">
        <f>IFERROR(IF(I165&lt;&gt;"","Documento Emitido",_xlfn.XLOOKUP(D165,Cronograma!P:P,Cronograma!R:R)),"Documento Removido")</f>
        <v>46252</v>
      </c>
      <c r="U165" s="39" t="str">
        <f t="shared" si="24"/>
        <v>No prazo</v>
      </c>
      <c r="V165" s="39" t="str">
        <f t="shared" si="25"/>
        <v/>
      </c>
      <c r="W165" s="39" t="str">
        <f t="shared" ca="1" si="26"/>
        <v/>
      </c>
    </row>
    <row r="166" spans="1:23" ht="28.5" customHeight="1" x14ac:dyDescent="0.25">
      <c r="A166" s="39">
        <v>163</v>
      </c>
      <c r="B166" s="39" t="str">
        <f>_xlfn.XLOOKUP(D166,'LD-ELFA'!F:F,'LD-ELFA'!C:C)</f>
        <v>EL - Eletrica</v>
      </c>
      <c r="C166" s="39" t="str">
        <f>_xlfn.XLOOKUP(D166,'LD-ELFA'!F:F,'LD-ELFA'!D:D)</f>
        <v>LEI - Lista De Equipamentos E Instrumentos</v>
      </c>
      <c r="D166" s="39" t="s">
        <v>168</v>
      </c>
      <c r="E166" s="39" t="str">
        <f>_xlfn.LET(_xlpm.q,_xlfn.XLOOKUP(D166,'LD-ELFA'!F:F,'LD-ELFA'!Q:Q),
   _xlpm.r,_xlfn.XLOOKUP(D166,'LD-ELFA'!F:F,'LD-ELFA'!R:R),
   IF(_xlpm.r = "", _xlpm.q, _xlpm.q &amp; " - " &amp; _xlpm.r))</f>
        <v>LISTA DE EQUIPAMENTOS ELÉTRICOS</v>
      </c>
      <c r="F166" s="63" t="str">
        <f t="shared" si="20"/>
        <v>Básico</v>
      </c>
      <c r="G166" s="63">
        <f>_xlfn.XLOOKUP(D166,'LD-ELFA'!F:F,'LD-ELFA'!G:G)</f>
        <v>0</v>
      </c>
      <c r="H166" s="63">
        <f>_xlfn.XLOOKUP(D166,'LD-ELFA'!F:F,'LD-ELFA'!I:I)</f>
        <v>0</v>
      </c>
      <c r="I166" s="63" t="str">
        <f>IF(_xlfn.XLOOKUP(D166,'LD-ELFA'!F:F,'LD-ELFA'!T:T)="","",_xlfn.XLOOKUP(D166,'LD-ELFA'!F:F,'LD-ELFA'!T:T))</f>
        <v/>
      </c>
      <c r="J166" s="63" t="str">
        <f>IF(K166="Documento a emitir", "",_xlfn.XLOOKUP(D166,'LD-ELFA'!F:F,'LD-ELFA'!N:N))</f>
        <v/>
      </c>
      <c r="K166" s="43" t="str">
        <f>IF(_xlfn.XLOOKUP($D166,'LD-ELFA'!F:F,'LD-ELFA'!U:U)="","Documento a emitir",_xlfn.XLOOKUP($D166,'LD-ELFA'!F:F,'LD-ELFA'!U:U))</f>
        <v>Documento a emitir</v>
      </c>
      <c r="L166" s="43" t="str">
        <f>IF(K166="Documento a emitir","Documento a emitir",IF(K166&lt;&gt;"Documento a emitir",IF(_xlfn.XLOOKUP(D166,'LD-ELFA'!F:F,'LD-ELFA'!W:W)="","",_xlfn.XLOOKUP(D166,'LD-ELFA'!F:F,'LD-ELFA'!W:W)),""))</f>
        <v>Documento a emitir</v>
      </c>
      <c r="M166" s="43" t="str">
        <f>IF(K166="Documento a emitir","",IF(AND(Q166="APC-R  - APC-R - Aprovado com Comentários (Retornar para uma nova Aprovação)",Q166="APC-L  - APC-L  - Aprovado com Comentários (Retornar Aprovado)"),"",IF(OR(_xlfn.XLOOKUP(D166,'LD-ELFA'!F:F,'LD-ELFA'!N:N)="PARA CONHECIMENTO",_xlfn.XLOOKUP(D166,'LD-ELFA'!F:F,'LD-ELFA'!N:N)="PARA CONSTRUÇÃO",_xlfn.XLOOKUP(D166,'LD-ELFA'!F:F,'LD-ELFA'!N:N)="PARA COTAÇÃO",_xlfn.XLOOKUP(D166,'LD-ELFA'!F:F,'LD-ELFA'!N:N)="CANCELADO"),_xlfn.XLOOKUP(D166,'LD-ELFA'!F:F,'LD-ELFA'!U:U),IF(AND(L166="",J166&lt;&gt;"PARA APROVAÇÃO"),"",""))))</f>
        <v/>
      </c>
      <c r="N166" s="63" t="str">
        <f t="shared" ref="N166:N174" ca="1" si="28">IF(O166="Documento Concluído","Documento Concluído",IF(O166="Cliente - Atendimento de Comentário",IF(TODAY()&lt;=(K166+3),"No prazo","Atrasado"),IF(O166="Cliente - Atendimento de Comentário",IF(TODAY()&lt;=(WORKDAY(K166,3,0)),"No prazo","Atrasado"),IF(O166="Blossom - Emissão Final",IF(TODAY()&lt;=(WORKDAY(L166,3,0)),"No prazo","Atrasado"),IF(O166="Blossom - Atendimento de Comentário",IF(TODAY()&lt;=(WORKDAY(L166,3,0)),"No prazo","Atrasado"),IF(O166="Blossom - Documento a emitir","Documento a Emitir","ERRO"))))))</f>
        <v>Documento a Emitir</v>
      </c>
      <c r="O166" s="63" t="str">
        <f t="shared" si="21"/>
        <v>Blossom - Documento a emitir</v>
      </c>
      <c r="P166" s="63" t="str">
        <f t="shared" si="22"/>
        <v>Blossom</v>
      </c>
      <c r="Q166" s="63" t="str">
        <f>IF(_xlfn.XLOOKUP(D166,'LD-ELFA'!F:F,'LD-ELFA'!V:V)="","",_xlfn.XLOOKUP(D166,'LD-ELFA'!F:F,'LD-ELFA'!V:V))</f>
        <v/>
      </c>
      <c r="R166" s="40">
        <f>IFERROR(IF(I166&lt;&gt;"","Documento Emitido",_xlfn.XLOOKUP(D166,Cronograma!P:P,Cronograma!Q:Q)),"Documento Removido")</f>
        <v>46252</v>
      </c>
      <c r="S166" s="40" t="str">
        <f t="shared" ca="1" si="23"/>
        <v>No prazo</v>
      </c>
      <c r="T166" s="40">
        <f>IFERROR(IF(I166&lt;&gt;"","Documento Emitido",_xlfn.XLOOKUP(D166,Cronograma!P:P,Cronograma!R:R)),"Documento Removido")</f>
        <v>46248</v>
      </c>
      <c r="U166" s="39" t="str">
        <f t="shared" si="24"/>
        <v>Emissão Atrasada</v>
      </c>
      <c r="V166" s="39" t="str">
        <f t="shared" si="25"/>
        <v/>
      </c>
      <c r="W166" s="39" t="str">
        <f t="shared" ca="1" si="26"/>
        <v/>
      </c>
    </row>
    <row r="167" spans="1:23" ht="28.5" customHeight="1" x14ac:dyDescent="0.25">
      <c r="A167" s="39">
        <v>164</v>
      </c>
      <c r="B167" s="39" t="str">
        <f>_xlfn.XLOOKUP(D167,'LD-ELFA'!F:F,'LD-ELFA'!C:C)</f>
        <v>EL - Eletrica</v>
      </c>
      <c r="C167" s="39" t="str">
        <f>_xlfn.XLOOKUP(D167,'LD-ELFA'!F:F,'LD-ELFA'!D:D)</f>
        <v>LLC - Lista De Linhas E Cabos</v>
      </c>
      <c r="D167" s="39" t="s">
        <v>169</v>
      </c>
      <c r="E167" s="39" t="str">
        <f>_xlfn.LET(_xlpm.q,_xlfn.XLOOKUP(D167,'LD-ELFA'!F:F,'LD-ELFA'!Q:Q),
   _xlpm.r,_xlfn.XLOOKUP(D167,'LD-ELFA'!F:F,'LD-ELFA'!R:R),
   IF(_xlpm.r = "", _xlpm.q, _xlpm.q &amp; " - " &amp; _xlpm.r))</f>
        <v>LISTAS DE CABOS ELÉTRICOS</v>
      </c>
      <c r="F167" s="63" t="str">
        <f t="shared" si="20"/>
        <v>Básico</v>
      </c>
      <c r="G167" s="63">
        <f>_xlfn.XLOOKUP(D167,'LD-ELFA'!F:F,'LD-ELFA'!G:G)</f>
        <v>0</v>
      </c>
      <c r="H167" s="63">
        <f>_xlfn.XLOOKUP(D167,'LD-ELFA'!F:F,'LD-ELFA'!I:I)</f>
        <v>0</v>
      </c>
      <c r="I167" s="63" t="str">
        <f>IF(_xlfn.XLOOKUP(D167,'LD-ELFA'!F:F,'LD-ELFA'!T:T)="","",_xlfn.XLOOKUP(D167,'LD-ELFA'!F:F,'LD-ELFA'!T:T))</f>
        <v/>
      </c>
      <c r="J167" s="63" t="str">
        <f>IF(K167="Documento a emitir", "",_xlfn.XLOOKUP(D167,'LD-ELFA'!F:F,'LD-ELFA'!N:N))</f>
        <v/>
      </c>
      <c r="K167" s="43" t="str">
        <f>IF(_xlfn.XLOOKUP($D167,'LD-ELFA'!F:F,'LD-ELFA'!U:U)="","Documento a emitir",_xlfn.XLOOKUP($D167,'LD-ELFA'!F:F,'LD-ELFA'!U:U))</f>
        <v>Documento a emitir</v>
      </c>
      <c r="L167" s="43" t="str">
        <f>IF(K167="Documento a emitir","Documento a emitir",IF(K167&lt;&gt;"Documento a emitir",IF(_xlfn.XLOOKUP(D167,'LD-ELFA'!F:F,'LD-ELFA'!W:W)="","",_xlfn.XLOOKUP(D167,'LD-ELFA'!F:F,'LD-ELFA'!W:W)),""))</f>
        <v>Documento a emitir</v>
      </c>
      <c r="M167" s="43" t="str">
        <f>IF(K167="Documento a emitir","",IF(AND(Q167="APC-R  - APC-R - Aprovado com Comentários (Retornar para uma nova Aprovação)",Q167="APC-L  - APC-L  - Aprovado com Comentários (Retornar Aprovado)"),"",IF(OR(_xlfn.XLOOKUP(D167,'LD-ELFA'!F:F,'LD-ELFA'!N:N)="PARA CONHECIMENTO",_xlfn.XLOOKUP(D167,'LD-ELFA'!F:F,'LD-ELFA'!N:N)="PARA CONSTRUÇÃO",_xlfn.XLOOKUP(D167,'LD-ELFA'!F:F,'LD-ELFA'!N:N)="PARA COTAÇÃO",_xlfn.XLOOKUP(D167,'LD-ELFA'!F:F,'LD-ELFA'!N:N)="CANCELADO"),_xlfn.XLOOKUP(D167,'LD-ELFA'!F:F,'LD-ELFA'!U:U),IF(AND(L167="",J167&lt;&gt;"PARA APROVAÇÃO"),"",""))))</f>
        <v/>
      </c>
      <c r="N167" s="63" t="str">
        <f t="shared" ca="1" si="28"/>
        <v>Documento a Emitir</v>
      </c>
      <c r="O167" s="63" t="str">
        <f t="shared" si="21"/>
        <v>Blossom - Documento a emitir</v>
      </c>
      <c r="P167" s="63" t="str">
        <f t="shared" si="22"/>
        <v>Blossom</v>
      </c>
      <c r="Q167" s="63" t="str">
        <f>IF(_xlfn.XLOOKUP(D167,'LD-ELFA'!F:F,'LD-ELFA'!V:V)="","",_xlfn.XLOOKUP(D167,'LD-ELFA'!F:F,'LD-ELFA'!V:V))</f>
        <v/>
      </c>
      <c r="R167" s="40">
        <f>IFERROR(IF(I167&lt;&gt;"","Documento Emitido",_xlfn.XLOOKUP(D167,Cronograma!P:P,Cronograma!Q:Q)),"Documento Removido")</f>
        <v>46248</v>
      </c>
      <c r="S167" s="40" t="str">
        <f t="shared" ca="1" si="23"/>
        <v>No prazo</v>
      </c>
      <c r="T167" s="40" t="str">
        <f>IFERROR(IF(I167&lt;&gt;"","Documento Emitido",_xlfn.XLOOKUP(D167,Cronograma!P:P,Cronograma!R:R)),"Documento Removido")</f>
        <v>ND</v>
      </c>
      <c r="U167" s="39" t="str">
        <f t="shared" si="24"/>
        <v>No prazo</v>
      </c>
      <c r="V167" s="39" t="str">
        <f t="shared" si="25"/>
        <v/>
      </c>
      <c r="W167" s="39" t="str">
        <f t="shared" ca="1" si="26"/>
        <v/>
      </c>
    </row>
    <row r="168" spans="1:23" ht="28.5" customHeight="1" x14ac:dyDescent="0.25">
      <c r="A168" s="39">
        <v>165</v>
      </c>
      <c r="B168" s="39" t="str">
        <f>_xlfn.XLOOKUP(D168,'LD-ELFA'!F:F,'LD-ELFA'!C:C)</f>
        <v>EL - Eletrica</v>
      </c>
      <c r="C168" s="39" t="str">
        <f>_xlfn.XLOOKUP(D168,'LD-ELFA'!F:F,'LD-ELFA'!D:D)</f>
        <v>LLC - Lista De Linhas E Cabos</v>
      </c>
      <c r="D168" s="39" t="s">
        <v>170</v>
      </c>
      <c r="E168" s="39" t="str">
        <f>_xlfn.LET(_xlpm.q,_xlfn.XLOOKUP(D168,'LD-ELFA'!F:F,'LD-ELFA'!Q:Q),
   _xlpm.r,_xlfn.XLOOKUP(D168,'LD-ELFA'!F:F,'LD-ELFA'!R:R),
   IF(_xlpm.r = "", _xlpm.q, _xlpm.q &amp; " - " &amp; _xlpm.r))</f>
        <v>LISTAS DE CABOS ELÉTRICOS</v>
      </c>
      <c r="F168" s="63" t="str">
        <f t="shared" si="20"/>
        <v>Básico</v>
      </c>
      <c r="G168" s="63">
        <f>_xlfn.XLOOKUP(D168,'LD-ELFA'!F:F,'LD-ELFA'!G:G)</f>
        <v>0</v>
      </c>
      <c r="H168" s="63">
        <f>_xlfn.XLOOKUP(D168,'LD-ELFA'!F:F,'LD-ELFA'!I:I)</f>
        <v>0</v>
      </c>
      <c r="I168" s="63" t="str">
        <f>IF(_xlfn.XLOOKUP(D168,'LD-ELFA'!F:F,'LD-ELFA'!T:T)="","",_xlfn.XLOOKUP(D168,'LD-ELFA'!F:F,'LD-ELFA'!T:T))</f>
        <v/>
      </c>
      <c r="J168" s="63" t="str">
        <f>IF(K168="Documento a emitir", "",_xlfn.XLOOKUP(D168,'LD-ELFA'!F:F,'LD-ELFA'!N:N))</f>
        <v/>
      </c>
      <c r="K168" s="43" t="str">
        <f>IF(_xlfn.XLOOKUP($D168,'LD-ELFA'!F:F,'LD-ELFA'!U:U)="","Documento a emitir",_xlfn.XLOOKUP($D168,'LD-ELFA'!F:F,'LD-ELFA'!U:U))</f>
        <v>Documento a emitir</v>
      </c>
      <c r="L168" s="43" t="str">
        <f>IF(K168="Documento a emitir","Documento a emitir",IF(K168&lt;&gt;"Documento a emitir",IF(_xlfn.XLOOKUP(D168,'LD-ELFA'!F:F,'LD-ELFA'!W:W)="","",_xlfn.XLOOKUP(D168,'LD-ELFA'!F:F,'LD-ELFA'!W:W)),""))</f>
        <v>Documento a emitir</v>
      </c>
      <c r="M168" s="43" t="str">
        <f>IF(K168="Documento a emitir","",IF(AND(Q168="APC-R  - APC-R - Aprovado com Comentários (Retornar para uma nova Aprovação)",Q168="APC-L  - APC-L  - Aprovado com Comentários (Retornar Aprovado)"),"",IF(OR(_xlfn.XLOOKUP(D168,'LD-ELFA'!F:F,'LD-ELFA'!N:N)="PARA CONHECIMENTO",_xlfn.XLOOKUP(D168,'LD-ELFA'!F:F,'LD-ELFA'!N:N)="PARA CONSTRUÇÃO",_xlfn.XLOOKUP(D168,'LD-ELFA'!F:F,'LD-ELFA'!N:N)="PARA COTAÇÃO",_xlfn.XLOOKUP(D168,'LD-ELFA'!F:F,'LD-ELFA'!N:N)="CANCELADO"),_xlfn.XLOOKUP(D168,'LD-ELFA'!F:F,'LD-ELFA'!U:U),IF(AND(L168="",J168&lt;&gt;"PARA APROVAÇÃO"),"",""))))</f>
        <v/>
      </c>
      <c r="N168" s="63" t="str">
        <f t="shared" ca="1" si="28"/>
        <v>Documento a Emitir</v>
      </c>
      <c r="O168" s="63" t="str">
        <f t="shared" si="21"/>
        <v>Blossom - Documento a emitir</v>
      </c>
      <c r="P168" s="63" t="str">
        <f t="shared" si="22"/>
        <v>Blossom</v>
      </c>
      <c r="Q168" s="63" t="str">
        <f>IF(_xlfn.XLOOKUP(D168,'LD-ELFA'!F:F,'LD-ELFA'!V:V)="","",_xlfn.XLOOKUP(D168,'LD-ELFA'!F:F,'LD-ELFA'!V:V))</f>
        <v/>
      </c>
      <c r="R168" s="40">
        <f>IFERROR(IF(I168&lt;&gt;"","Documento Emitido",_xlfn.XLOOKUP(D168,Cronograma!P:P,Cronograma!Q:Q)),"Documento Removido")</f>
        <v>46261</v>
      </c>
      <c r="S168" s="40" t="str">
        <f t="shared" ca="1" si="23"/>
        <v>No prazo</v>
      </c>
      <c r="T168" s="40">
        <f>IFERROR(IF(I168&lt;&gt;"","Documento Emitido",_xlfn.XLOOKUP(D168,Cronograma!P:P,Cronograma!R:R)),"Documento Removido")</f>
        <v>46259</v>
      </c>
      <c r="U168" s="39" t="str">
        <f t="shared" si="24"/>
        <v>Emissão Atrasada</v>
      </c>
      <c r="V168" s="39" t="str">
        <f t="shared" si="25"/>
        <v/>
      </c>
      <c r="W168" s="39" t="str">
        <f t="shared" ca="1" si="26"/>
        <v/>
      </c>
    </row>
    <row r="169" spans="1:23" ht="28.5" customHeight="1" x14ac:dyDescent="0.25">
      <c r="A169" s="39">
        <v>166</v>
      </c>
      <c r="B169" s="39" t="str">
        <f>_xlfn.XLOOKUP(D169,'LD-ELFA'!F:F,'LD-ELFA'!C:C)</f>
        <v>EL - Eletrica</v>
      </c>
      <c r="C169" s="39" t="str">
        <f>_xlfn.XLOOKUP(D169,'LD-ELFA'!F:F,'LD-ELFA'!D:D)</f>
        <v>MCA - Memória De Cálculo</v>
      </c>
      <c r="D169" s="39" t="s">
        <v>171</v>
      </c>
      <c r="E169" s="39" t="str">
        <f>_xlfn.LET(_xlpm.q,_xlfn.XLOOKUP(D169,'LD-ELFA'!F:F,'LD-ELFA'!Q:Q),
   _xlpm.r,_xlfn.XLOOKUP(D169,'LD-ELFA'!F:F,'LD-ELFA'!R:R),
   IF(_xlpm.r = "", _xlpm.q, _xlpm.q &amp; " - " &amp; _xlpm.r))</f>
        <v>MEMÓRIA DE CÁLCULO DE CABOS</v>
      </c>
      <c r="F169" s="63" t="str">
        <f t="shared" si="20"/>
        <v>Básico</v>
      </c>
      <c r="G169" s="63">
        <f>_xlfn.XLOOKUP(D169,'LD-ELFA'!F:F,'LD-ELFA'!G:G)</f>
        <v>0</v>
      </c>
      <c r="H169" s="63">
        <f>_xlfn.XLOOKUP(D169,'LD-ELFA'!F:F,'LD-ELFA'!I:I)</f>
        <v>0</v>
      </c>
      <c r="I169" s="63" t="str">
        <f>IF(_xlfn.XLOOKUP(D169,'LD-ELFA'!F:F,'LD-ELFA'!T:T)="","",_xlfn.XLOOKUP(D169,'LD-ELFA'!F:F,'LD-ELFA'!T:T))</f>
        <v/>
      </c>
      <c r="J169" s="63" t="str">
        <f>IF(K169="Documento a emitir", "",_xlfn.XLOOKUP(D169,'LD-ELFA'!F:F,'LD-ELFA'!N:N))</f>
        <v/>
      </c>
      <c r="K169" s="43" t="str">
        <f>IF(_xlfn.XLOOKUP($D169,'LD-ELFA'!F:F,'LD-ELFA'!U:U)="","Documento a emitir",_xlfn.XLOOKUP($D169,'LD-ELFA'!F:F,'LD-ELFA'!U:U))</f>
        <v>Documento a emitir</v>
      </c>
      <c r="L169" s="43" t="str">
        <f>IF(K169="Documento a emitir","Documento a emitir",IF(K169&lt;&gt;"Documento a emitir",IF(_xlfn.XLOOKUP(D169,'LD-ELFA'!F:F,'LD-ELFA'!W:W)="","",_xlfn.XLOOKUP(D169,'LD-ELFA'!F:F,'LD-ELFA'!W:W)),""))</f>
        <v>Documento a emitir</v>
      </c>
      <c r="M169" s="43" t="str">
        <f>IF(K169="Documento a emitir","",IF(AND(Q169="APC-R  - APC-R - Aprovado com Comentários (Retornar para uma nova Aprovação)",Q169="APC-L  - APC-L  - Aprovado com Comentários (Retornar Aprovado)"),"",IF(OR(_xlfn.XLOOKUP(D169,'LD-ELFA'!F:F,'LD-ELFA'!N:N)="PARA CONHECIMENTO",_xlfn.XLOOKUP(D169,'LD-ELFA'!F:F,'LD-ELFA'!N:N)="PARA CONSTRUÇÃO",_xlfn.XLOOKUP(D169,'LD-ELFA'!F:F,'LD-ELFA'!N:N)="PARA COTAÇÃO",_xlfn.XLOOKUP(D169,'LD-ELFA'!F:F,'LD-ELFA'!N:N)="CANCELADO"),_xlfn.XLOOKUP(D169,'LD-ELFA'!F:F,'LD-ELFA'!U:U),IF(AND(L169="",J169&lt;&gt;"PARA APROVAÇÃO"),"",""))))</f>
        <v/>
      </c>
      <c r="N169" s="63" t="str">
        <f t="shared" ca="1" si="28"/>
        <v>Documento a Emitir</v>
      </c>
      <c r="O169" s="63" t="str">
        <f t="shared" si="21"/>
        <v>Blossom - Documento a emitir</v>
      </c>
      <c r="P169" s="63" t="str">
        <f t="shared" si="22"/>
        <v>Blossom</v>
      </c>
      <c r="Q169" s="63" t="str">
        <f>IF(_xlfn.XLOOKUP(D169,'LD-ELFA'!F:F,'LD-ELFA'!V:V)="","",_xlfn.XLOOKUP(D169,'LD-ELFA'!F:F,'LD-ELFA'!V:V))</f>
        <v/>
      </c>
      <c r="R169" s="40">
        <f>IFERROR(IF(I169&lt;&gt;"","Documento Emitido",_xlfn.XLOOKUP(D169,Cronograma!P:P,Cronograma!Q:Q)),"Documento Removido")</f>
        <v>46248</v>
      </c>
      <c r="S169" s="40" t="str">
        <f t="shared" ca="1" si="23"/>
        <v>No prazo</v>
      </c>
      <c r="T169" s="40">
        <f>IFERROR(IF(I169&lt;&gt;"","Documento Emitido",_xlfn.XLOOKUP(D169,Cronograma!P:P,Cronograma!R:R)),"Documento Removido")</f>
        <v>46251</v>
      </c>
      <c r="U169" s="39" t="str">
        <f t="shared" si="24"/>
        <v>No prazo</v>
      </c>
      <c r="V169" s="39" t="str">
        <f t="shared" si="25"/>
        <v/>
      </c>
      <c r="W169" s="39" t="str">
        <f t="shared" ca="1" si="26"/>
        <v/>
      </c>
    </row>
    <row r="170" spans="1:23" ht="28.5" customHeight="1" x14ac:dyDescent="0.25">
      <c r="A170" s="39">
        <v>167</v>
      </c>
      <c r="B170" s="39" t="str">
        <f>_xlfn.XLOOKUP(D170,'LD-ELFA'!F:F,'LD-ELFA'!C:C)</f>
        <v>EL - Eletrica</v>
      </c>
      <c r="C170" s="39" t="str">
        <f>_xlfn.XLOOKUP(D170,'LD-ELFA'!F:F,'LD-ELFA'!D:D)</f>
        <v>MCA - Memória De Cálculo</v>
      </c>
      <c r="D170" s="39" t="s">
        <v>172</v>
      </c>
      <c r="E170" s="39" t="str">
        <f>_xlfn.LET(_xlpm.q,_xlfn.XLOOKUP(D170,'LD-ELFA'!F:F,'LD-ELFA'!Q:Q),
   _xlpm.r,_xlfn.XLOOKUP(D170,'LD-ELFA'!F:F,'LD-ELFA'!R:R),
   IF(_xlpm.r = "", _xlpm.q, _xlpm.q &amp; " - " &amp; _xlpm.r))</f>
        <v>MEMÓRIA DE CÁLCULO DE EQUIPAMENTOS ELÉTRICOS</v>
      </c>
      <c r="F170" s="63" t="str">
        <f t="shared" si="20"/>
        <v>Básico</v>
      </c>
      <c r="G170" s="63">
        <f>_xlfn.XLOOKUP(D170,'LD-ELFA'!F:F,'LD-ELFA'!G:G)</f>
        <v>0</v>
      </c>
      <c r="H170" s="63">
        <f>_xlfn.XLOOKUP(D170,'LD-ELFA'!F:F,'LD-ELFA'!I:I)</f>
        <v>0</v>
      </c>
      <c r="I170" s="63" t="str">
        <f>IF(_xlfn.XLOOKUP(D170,'LD-ELFA'!F:F,'LD-ELFA'!T:T)="","",_xlfn.XLOOKUP(D170,'LD-ELFA'!F:F,'LD-ELFA'!T:T))</f>
        <v/>
      </c>
      <c r="J170" s="63" t="str">
        <f>IF(K170="Documento a emitir", "",_xlfn.XLOOKUP(D170,'LD-ELFA'!F:F,'LD-ELFA'!N:N))</f>
        <v/>
      </c>
      <c r="K170" s="43" t="str">
        <f>IF(_xlfn.XLOOKUP($D170,'LD-ELFA'!F:F,'LD-ELFA'!U:U)="","Documento a emitir",_xlfn.XLOOKUP($D170,'LD-ELFA'!F:F,'LD-ELFA'!U:U))</f>
        <v>Documento a emitir</v>
      </c>
      <c r="L170" s="43" t="str">
        <f>IF(K170="Documento a emitir","Documento a emitir",IF(K170&lt;&gt;"Documento a emitir",IF(_xlfn.XLOOKUP(D170,'LD-ELFA'!F:F,'LD-ELFA'!W:W)="","",_xlfn.XLOOKUP(D170,'LD-ELFA'!F:F,'LD-ELFA'!W:W)),""))</f>
        <v>Documento a emitir</v>
      </c>
      <c r="M170" s="43" t="str">
        <f>IF(K170="Documento a emitir","",IF(AND(Q170="APC-R  - APC-R - Aprovado com Comentários (Retornar para uma nova Aprovação)",Q170="APC-L  - APC-L  - Aprovado com Comentários (Retornar Aprovado)"),"",IF(OR(_xlfn.XLOOKUP(D170,'LD-ELFA'!F:F,'LD-ELFA'!N:N)="PARA CONHECIMENTO",_xlfn.XLOOKUP(D170,'LD-ELFA'!F:F,'LD-ELFA'!N:N)="PARA CONSTRUÇÃO",_xlfn.XLOOKUP(D170,'LD-ELFA'!F:F,'LD-ELFA'!N:N)="PARA COTAÇÃO",_xlfn.XLOOKUP(D170,'LD-ELFA'!F:F,'LD-ELFA'!N:N)="CANCELADO"),_xlfn.XLOOKUP(D170,'LD-ELFA'!F:F,'LD-ELFA'!U:U),IF(AND(L170="",J170&lt;&gt;"PARA APROVAÇÃO"),"",""))))</f>
        <v/>
      </c>
      <c r="N170" s="63" t="str">
        <f t="shared" ca="1" si="28"/>
        <v>Documento a Emitir</v>
      </c>
      <c r="O170" s="63" t="str">
        <f t="shared" si="21"/>
        <v>Blossom - Documento a emitir</v>
      </c>
      <c r="P170" s="63" t="str">
        <f t="shared" si="22"/>
        <v>Blossom</v>
      </c>
      <c r="Q170" s="63" t="str">
        <f>IF(_xlfn.XLOOKUP(D170,'LD-ELFA'!F:F,'LD-ELFA'!V:V)="","",_xlfn.XLOOKUP(D170,'LD-ELFA'!F:F,'LD-ELFA'!V:V))</f>
        <v/>
      </c>
      <c r="R170" s="40">
        <f>IFERROR(IF(I170&lt;&gt;"","Documento Emitido",_xlfn.XLOOKUP(D170,Cronograma!P:P,Cronograma!Q:Q)),"Documento Removido")</f>
        <v>46253</v>
      </c>
      <c r="S170" s="40" t="str">
        <f t="shared" ca="1" si="23"/>
        <v>No prazo</v>
      </c>
      <c r="T170" s="40">
        <f>IFERROR(IF(I170&lt;&gt;"","Documento Emitido",_xlfn.XLOOKUP(D170,Cronograma!P:P,Cronograma!R:R)),"Documento Removido")</f>
        <v>46254</v>
      </c>
      <c r="U170" s="39" t="str">
        <f t="shared" si="24"/>
        <v>No prazo</v>
      </c>
      <c r="V170" s="39" t="str">
        <f t="shared" si="25"/>
        <v/>
      </c>
      <c r="W170" s="39" t="str">
        <f t="shared" ca="1" si="26"/>
        <v/>
      </c>
    </row>
    <row r="171" spans="1:23" ht="28.5" customHeight="1" x14ac:dyDescent="0.25">
      <c r="A171" s="39">
        <v>168</v>
      </c>
      <c r="B171" s="39" t="str">
        <f>_xlfn.XLOOKUP(D171,'LD-ELFA'!F:F,'LD-ELFA'!C:C)</f>
        <v>EL - Eletrica</v>
      </c>
      <c r="C171" s="39" t="str">
        <f>_xlfn.XLOOKUP(D171,'LD-ELFA'!F:F,'LD-ELFA'!D:D)</f>
        <v>MCA - Memória De Cálculo</v>
      </c>
      <c r="D171" s="39" t="s">
        <v>173</v>
      </c>
      <c r="E171" s="39" t="str">
        <f>_xlfn.LET(_xlpm.q,_xlfn.XLOOKUP(D171,'LD-ELFA'!F:F,'LD-ELFA'!Q:Q),
   _xlpm.r,_xlfn.XLOOKUP(D171,'LD-ELFA'!F:F,'LD-ELFA'!R:R),
   IF(_xlpm.r = "", _xlpm.q, _xlpm.q &amp; " - " &amp; _xlpm.r))</f>
        <v>MEMÓRA DE CÁLCULO DE CABOS</v>
      </c>
      <c r="F171" s="63" t="str">
        <f t="shared" si="20"/>
        <v>Básico</v>
      </c>
      <c r="G171" s="63">
        <f>_xlfn.XLOOKUP(D171,'LD-ELFA'!F:F,'LD-ELFA'!G:G)</f>
        <v>0</v>
      </c>
      <c r="H171" s="63">
        <f>_xlfn.XLOOKUP(D171,'LD-ELFA'!F:F,'LD-ELFA'!I:I)</f>
        <v>0</v>
      </c>
      <c r="I171" s="63" t="str">
        <f>IF(_xlfn.XLOOKUP(D171,'LD-ELFA'!F:F,'LD-ELFA'!T:T)="","",_xlfn.XLOOKUP(D171,'LD-ELFA'!F:F,'LD-ELFA'!T:T))</f>
        <v/>
      </c>
      <c r="J171" s="63" t="str">
        <f>IF(K171="Documento a emitir", "",_xlfn.XLOOKUP(D171,'LD-ELFA'!F:F,'LD-ELFA'!N:N))</f>
        <v/>
      </c>
      <c r="K171" s="43" t="str">
        <f>IF(_xlfn.XLOOKUP($D171,'LD-ELFA'!F:F,'LD-ELFA'!U:U)="","Documento a emitir",_xlfn.XLOOKUP($D171,'LD-ELFA'!F:F,'LD-ELFA'!U:U))</f>
        <v>Documento a emitir</v>
      </c>
      <c r="L171" s="43" t="str">
        <f>IF(K171="Documento a emitir","Documento a emitir",IF(K171&lt;&gt;"Documento a emitir",IF(_xlfn.XLOOKUP(D171,'LD-ELFA'!F:F,'LD-ELFA'!W:W)="","",_xlfn.XLOOKUP(D171,'LD-ELFA'!F:F,'LD-ELFA'!W:W)),""))</f>
        <v>Documento a emitir</v>
      </c>
      <c r="M171" s="43" t="str">
        <f>IF(K171="Documento a emitir","",IF(AND(Q171="APC-R  - APC-R - Aprovado com Comentários (Retornar para uma nova Aprovação)",Q171="APC-L  - APC-L  - Aprovado com Comentários (Retornar Aprovado)"),"",IF(OR(_xlfn.XLOOKUP(D171,'LD-ELFA'!F:F,'LD-ELFA'!N:N)="PARA CONHECIMENTO",_xlfn.XLOOKUP(D171,'LD-ELFA'!F:F,'LD-ELFA'!N:N)="PARA CONSTRUÇÃO",_xlfn.XLOOKUP(D171,'LD-ELFA'!F:F,'LD-ELFA'!N:N)="PARA COTAÇÃO",_xlfn.XLOOKUP(D171,'LD-ELFA'!F:F,'LD-ELFA'!N:N)="CANCELADO"),_xlfn.XLOOKUP(D171,'LD-ELFA'!F:F,'LD-ELFA'!U:U),IF(AND(L171="",J171&lt;&gt;"PARA APROVAÇÃO"),"",""))))</f>
        <v/>
      </c>
      <c r="N171" s="63" t="str">
        <f t="shared" ca="1" si="28"/>
        <v>Documento a Emitir</v>
      </c>
      <c r="O171" s="63" t="str">
        <f t="shared" si="21"/>
        <v>Blossom - Documento a emitir</v>
      </c>
      <c r="P171" s="63" t="str">
        <f t="shared" si="22"/>
        <v>Blossom</v>
      </c>
      <c r="Q171" s="63" t="str">
        <f>IF(_xlfn.XLOOKUP(D171,'LD-ELFA'!F:F,'LD-ELFA'!V:V)="","",_xlfn.XLOOKUP(D171,'LD-ELFA'!F:F,'LD-ELFA'!V:V))</f>
        <v/>
      </c>
      <c r="R171" s="40">
        <f>IFERROR(IF(I171&lt;&gt;"","Documento Emitido",_xlfn.XLOOKUP(D171,Cronograma!P:P,Cronograma!Q:Q)),"Documento Removido")</f>
        <v>46258</v>
      </c>
      <c r="S171" s="40" t="str">
        <f t="shared" ca="1" si="23"/>
        <v>No prazo</v>
      </c>
      <c r="T171" s="40">
        <f>IFERROR(IF(I171&lt;&gt;"","Documento Emitido",_xlfn.XLOOKUP(D171,Cronograma!P:P,Cronograma!R:R)),"Documento Removido")</f>
        <v>46254</v>
      </c>
      <c r="U171" s="39" t="str">
        <f t="shared" si="24"/>
        <v>Emissão Atrasada</v>
      </c>
      <c r="V171" s="39" t="str">
        <f t="shared" si="25"/>
        <v/>
      </c>
      <c r="W171" s="39" t="str">
        <f t="shared" ca="1" si="26"/>
        <v/>
      </c>
    </row>
    <row r="172" spans="1:23" ht="28.5" customHeight="1" x14ac:dyDescent="0.25">
      <c r="A172" s="39">
        <v>169</v>
      </c>
      <c r="B172" s="39" t="str">
        <f>_xlfn.XLOOKUP(D172,'LD-ELFA'!F:F,'LD-ELFA'!C:C)</f>
        <v>EL - Eletrica</v>
      </c>
      <c r="C172" s="39" t="str">
        <f>_xlfn.XLOOKUP(D172,'LD-ELFA'!F:F,'LD-ELFA'!D:D)</f>
        <v>MCA - Memória De Cálculo</v>
      </c>
      <c r="D172" s="39" t="s">
        <v>174</v>
      </c>
      <c r="E172" s="39" t="str">
        <f>_xlfn.LET(_xlpm.q,_xlfn.XLOOKUP(D172,'LD-ELFA'!F:F,'LD-ELFA'!Q:Q),
   _xlpm.r,_xlfn.XLOOKUP(D172,'LD-ELFA'!F:F,'LD-ELFA'!R:R),
   IF(_xlpm.r = "", _xlpm.q, _xlpm.q &amp; " - " &amp; _xlpm.r))</f>
        <v>MEMÓRIA DE CÁLCULO DE CABOS DE CONTROLE</v>
      </c>
      <c r="F172" s="63" t="str">
        <f t="shared" si="20"/>
        <v>Básico</v>
      </c>
      <c r="G172" s="63">
        <f>_xlfn.XLOOKUP(D172,'LD-ELFA'!F:F,'LD-ELFA'!G:G)</f>
        <v>0</v>
      </c>
      <c r="H172" s="63">
        <f>_xlfn.XLOOKUP(D172,'LD-ELFA'!F:F,'LD-ELFA'!I:I)</f>
        <v>0</v>
      </c>
      <c r="I172" s="63" t="str">
        <f>IF(_xlfn.XLOOKUP(D172,'LD-ELFA'!F:F,'LD-ELFA'!T:T)="","",_xlfn.XLOOKUP(D172,'LD-ELFA'!F:F,'LD-ELFA'!T:T))</f>
        <v/>
      </c>
      <c r="J172" s="63" t="str">
        <f>IF(K172="Documento a emitir", "",_xlfn.XLOOKUP(D172,'LD-ELFA'!F:F,'LD-ELFA'!N:N))</f>
        <v/>
      </c>
      <c r="K172" s="43" t="str">
        <f>IF(_xlfn.XLOOKUP($D172,'LD-ELFA'!F:F,'LD-ELFA'!U:U)="","Documento a emitir",_xlfn.XLOOKUP($D172,'LD-ELFA'!F:F,'LD-ELFA'!U:U))</f>
        <v>Documento a emitir</v>
      </c>
      <c r="L172" s="43" t="str">
        <f>IF(K172="Documento a emitir","Documento a emitir",IF(K172&lt;&gt;"Documento a emitir",IF(_xlfn.XLOOKUP(D172,'LD-ELFA'!F:F,'LD-ELFA'!W:W)="","",_xlfn.XLOOKUP(D172,'LD-ELFA'!F:F,'LD-ELFA'!W:W)),""))</f>
        <v>Documento a emitir</v>
      </c>
      <c r="M172" s="43" t="str">
        <f>IF(K172="Documento a emitir","",IF(AND(Q172="APC-R  - APC-R - Aprovado com Comentários (Retornar para uma nova Aprovação)",Q172="APC-L  - APC-L  - Aprovado com Comentários (Retornar Aprovado)"),"",IF(OR(_xlfn.XLOOKUP(D172,'LD-ELFA'!F:F,'LD-ELFA'!N:N)="PARA CONHECIMENTO",_xlfn.XLOOKUP(D172,'LD-ELFA'!F:F,'LD-ELFA'!N:N)="PARA CONSTRUÇÃO",_xlfn.XLOOKUP(D172,'LD-ELFA'!F:F,'LD-ELFA'!N:N)="PARA COTAÇÃO",_xlfn.XLOOKUP(D172,'LD-ELFA'!F:F,'LD-ELFA'!N:N)="CANCELADO"),_xlfn.XLOOKUP(D172,'LD-ELFA'!F:F,'LD-ELFA'!U:U),IF(AND(L172="",J172&lt;&gt;"PARA APROVAÇÃO"),"",""))))</f>
        <v/>
      </c>
      <c r="N172" s="63" t="str">
        <f t="shared" ca="1" si="28"/>
        <v>Documento a Emitir</v>
      </c>
      <c r="O172" s="63" t="str">
        <f t="shared" si="21"/>
        <v>Blossom - Documento a emitir</v>
      </c>
      <c r="P172" s="63" t="str">
        <f t="shared" si="22"/>
        <v>Blossom</v>
      </c>
      <c r="Q172" s="63" t="str">
        <f>IF(_xlfn.XLOOKUP(D172,'LD-ELFA'!F:F,'LD-ELFA'!V:V)="","",_xlfn.XLOOKUP(D172,'LD-ELFA'!F:F,'LD-ELFA'!V:V))</f>
        <v/>
      </c>
      <c r="R172" s="40">
        <f>IFERROR(IF(I172&lt;&gt;"","Documento Emitido",_xlfn.XLOOKUP(D172,Cronograma!P:P,Cronograma!Q:Q)),"Documento Removido")</f>
        <v>46258</v>
      </c>
      <c r="S172" s="40" t="str">
        <f t="shared" ca="1" si="23"/>
        <v>No prazo</v>
      </c>
      <c r="T172" s="40">
        <f>IFERROR(IF(I172&lt;&gt;"","Documento Emitido",_xlfn.XLOOKUP(D172,Cronograma!P:P,Cronograma!R:R)),"Documento Removido")</f>
        <v>46259</v>
      </c>
      <c r="U172" s="39" t="str">
        <f t="shared" si="24"/>
        <v>No prazo</v>
      </c>
      <c r="V172" s="39" t="str">
        <f t="shared" si="25"/>
        <v/>
      </c>
      <c r="W172" s="39" t="str">
        <f t="shared" ca="1" si="26"/>
        <v/>
      </c>
    </row>
    <row r="173" spans="1:23" ht="28.5" customHeight="1" x14ac:dyDescent="0.25">
      <c r="A173" s="39">
        <v>170</v>
      </c>
      <c r="B173" s="39" t="str">
        <f>_xlfn.XLOOKUP(D173,'LD-ELFA'!F:F,'LD-ELFA'!C:C)</f>
        <v>EL - Eletrica</v>
      </c>
      <c r="C173" s="39" t="str">
        <f>_xlfn.XLOOKUP(D173,'LD-ELFA'!F:F,'LD-ELFA'!D:D)</f>
        <v>MDE - Memorial Descritivo</v>
      </c>
      <c r="D173" s="39" t="s">
        <v>175</v>
      </c>
      <c r="E173" s="39" t="str">
        <f>_xlfn.LET(_xlpm.q,_xlfn.XLOOKUP(D173,'LD-ELFA'!F:F,'LD-ELFA'!Q:Q),
   _xlpm.r,_xlfn.XLOOKUP(D173,'LD-ELFA'!F:F,'LD-ELFA'!R:R),
   IF(_xlpm.r = "", _xlpm.q, _xlpm.q &amp; " - " &amp; _xlpm.r))</f>
        <v>MEMORIAL DESCRITIVO DO PROJETO BÁSICO DO SISTEMA ELÉTRICO</v>
      </c>
      <c r="F173" s="63" t="str">
        <f t="shared" si="20"/>
        <v>Básico</v>
      </c>
      <c r="G173" s="63">
        <f>_xlfn.XLOOKUP(D173,'LD-ELFA'!F:F,'LD-ELFA'!G:G)</f>
        <v>0</v>
      </c>
      <c r="H173" s="63">
        <f>_xlfn.XLOOKUP(D173,'LD-ELFA'!F:F,'LD-ELFA'!I:I)</f>
        <v>0</v>
      </c>
      <c r="I173" s="63" t="str">
        <f>IF(_xlfn.XLOOKUP(D173,'LD-ELFA'!F:F,'LD-ELFA'!T:T)="","",_xlfn.XLOOKUP(D173,'LD-ELFA'!F:F,'LD-ELFA'!T:T))</f>
        <v/>
      </c>
      <c r="J173" s="63" t="str">
        <f>IF(K173="Documento a emitir", "",_xlfn.XLOOKUP(D173,'LD-ELFA'!F:F,'LD-ELFA'!N:N))</f>
        <v/>
      </c>
      <c r="K173" s="43" t="str">
        <f>IF(_xlfn.XLOOKUP($D173,'LD-ELFA'!F:F,'LD-ELFA'!U:U)="","Documento a emitir",_xlfn.XLOOKUP($D173,'LD-ELFA'!F:F,'LD-ELFA'!U:U))</f>
        <v>Documento a emitir</v>
      </c>
      <c r="L173" s="43" t="str">
        <f>IF(K173="Documento a emitir","Documento a emitir",IF(K173&lt;&gt;"Documento a emitir",IF(_xlfn.XLOOKUP(D173,'LD-ELFA'!F:F,'LD-ELFA'!W:W)="","",_xlfn.XLOOKUP(D173,'LD-ELFA'!F:F,'LD-ELFA'!W:W)),""))</f>
        <v>Documento a emitir</v>
      </c>
      <c r="M173" s="43" t="str">
        <f>IF(K173="Documento a emitir","",IF(AND(Q173="APC-R  - APC-R - Aprovado com Comentários (Retornar para uma nova Aprovação)",Q173="APC-L  - APC-L  - Aprovado com Comentários (Retornar Aprovado)"),"",IF(OR(_xlfn.XLOOKUP(D173,'LD-ELFA'!F:F,'LD-ELFA'!N:N)="PARA CONHECIMENTO",_xlfn.XLOOKUP(D173,'LD-ELFA'!F:F,'LD-ELFA'!N:N)="PARA CONSTRUÇÃO",_xlfn.XLOOKUP(D173,'LD-ELFA'!F:F,'LD-ELFA'!N:N)="PARA COTAÇÃO",_xlfn.XLOOKUP(D173,'LD-ELFA'!F:F,'LD-ELFA'!N:N)="CANCELADO"),_xlfn.XLOOKUP(D173,'LD-ELFA'!F:F,'LD-ELFA'!U:U),IF(AND(L173="",J173&lt;&gt;"PARA APROVAÇÃO"),"",""))))</f>
        <v/>
      </c>
      <c r="N173" s="63" t="str">
        <f t="shared" ca="1" si="28"/>
        <v>Documento a Emitir</v>
      </c>
      <c r="O173" s="63" t="str">
        <f t="shared" si="21"/>
        <v>Blossom - Documento a emitir</v>
      </c>
      <c r="P173" s="63" t="str">
        <f t="shared" si="22"/>
        <v>Blossom</v>
      </c>
      <c r="Q173" s="63" t="str">
        <f>IF(_xlfn.XLOOKUP(D173,'LD-ELFA'!F:F,'LD-ELFA'!V:V)="","",_xlfn.XLOOKUP(D173,'LD-ELFA'!F:F,'LD-ELFA'!V:V))</f>
        <v/>
      </c>
      <c r="R173" s="40">
        <f>IFERROR(IF(I173&lt;&gt;"","Documento Emitido",_xlfn.XLOOKUP(D173,Cronograma!P:P,Cronograma!Q:Q)),"Documento Removido")</f>
        <v>46269</v>
      </c>
      <c r="S173" s="40" t="str">
        <f t="shared" ca="1" si="23"/>
        <v>No prazo</v>
      </c>
      <c r="T173" s="40">
        <f>IFERROR(IF(I173&lt;&gt;"","Documento Emitido",_xlfn.XLOOKUP(D173,Cronograma!P:P,Cronograma!R:R)),"Documento Removido")</f>
        <v>46273</v>
      </c>
      <c r="U173" s="39" t="str">
        <f t="shared" si="24"/>
        <v>No prazo</v>
      </c>
      <c r="V173" s="39" t="str">
        <f t="shared" si="25"/>
        <v/>
      </c>
      <c r="W173" s="39" t="str">
        <f t="shared" ca="1" si="26"/>
        <v/>
      </c>
    </row>
    <row r="174" spans="1:23" ht="28.5" customHeight="1" x14ac:dyDescent="0.25">
      <c r="A174" s="39">
        <v>171</v>
      </c>
      <c r="B174" s="39" t="str">
        <f>_xlfn.XLOOKUP(D174,'LD-ELFA'!F:F,'LD-ELFA'!C:C)</f>
        <v>EL - Eletrica</v>
      </c>
      <c r="C174" s="39" t="str">
        <f>_xlfn.XLOOKUP(D174,'LD-ELFA'!F:F,'LD-ELFA'!D:D)</f>
        <v>MDE - Memorial Descritivo</v>
      </c>
      <c r="D174" s="39" t="s">
        <v>176</v>
      </c>
      <c r="E174" s="39" t="str">
        <f>_xlfn.LET(_xlpm.q,_xlfn.XLOOKUP(D174,'LD-ELFA'!F:F,'LD-ELFA'!Q:Q),
   _xlpm.r,_xlfn.XLOOKUP(D174,'LD-ELFA'!F:F,'LD-ELFA'!R:R),
   IF(_xlpm.r = "", _xlpm.q, _xlpm.q &amp; " - " &amp; _xlpm.r))</f>
        <v>MEMORIAL DESCRITIVO DO PROJETO BÁSICO DO SISTEMA ELÉTRICO</v>
      </c>
      <c r="F174" s="63" t="str">
        <f t="shared" si="20"/>
        <v>Básico</v>
      </c>
      <c r="G174" s="63">
        <f>_xlfn.XLOOKUP(D174,'LD-ELFA'!F:F,'LD-ELFA'!G:G)</f>
        <v>0</v>
      </c>
      <c r="H174" s="63">
        <f>_xlfn.XLOOKUP(D174,'LD-ELFA'!F:F,'LD-ELFA'!I:I)</f>
        <v>0</v>
      </c>
      <c r="I174" s="63" t="str">
        <f>IF(_xlfn.XLOOKUP(D174,'LD-ELFA'!F:F,'LD-ELFA'!T:T)="","",_xlfn.XLOOKUP(D174,'LD-ELFA'!F:F,'LD-ELFA'!T:T))</f>
        <v/>
      </c>
      <c r="J174" s="63" t="str">
        <f>IF(K174="Documento a emitir", "",_xlfn.XLOOKUP(D174,'LD-ELFA'!F:F,'LD-ELFA'!N:N))</f>
        <v/>
      </c>
      <c r="K174" s="43" t="str">
        <f>IF(_xlfn.XLOOKUP($D174,'LD-ELFA'!F:F,'LD-ELFA'!U:U)="","Documento a emitir",_xlfn.XLOOKUP($D174,'LD-ELFA'!F:F,'LD-ELFA'!U:U))</f>
        <v>Documento a emitir</v>
      </c>
      <c r="L174" s="43" t="str">
        <f>IF(K174="Documento a emitir","Documento a emitir",IF(K174&lt;&gt;"Documento a emitir",IF(_xlfn.XLOOKUP(D174,'LD-ELFA'!F:F,'LD-ELFA'!W:W)="","",_xlfn.XLOOKUP(D174,'LD-ELFA'!F:F,'LD-ELFA'!W:W)),""))</f>
        <v>Documento a emitir</v>
      </c>
      <c r="M174" s="43" t="str">
        <f>IF(K174="Documento a emitir","",IF(AND(Q174="APC-R  - APC-R - Aprovado com Comentários (Retornar para uma nova Aprovação)",Q174="APC-L  - APC-L  - Aprovado com Comentários (Retornar Aprovado)"),"",IF(OR(_xlfn.XLOOKUP(D174,'LD-ELFA'!F:F,'LD-ELFA'!N:N)="PARA CONHECIMENTO",_xlfn.XLOOKUP(D174,'LD-ELFA'!F:F,'LD-ELFA'!N:N)="PARA CONSTRUÇÃO",_xlfn.XLOOKUP(D174,'LD-ELFA'!F:F,'LD-ELFA'!N:N)="PARA COTAÇÃO",_xlfn.XLOOKUP(D174,'LD-ELFA'!F:F,'LD-ELFA'!N:N)="CANCELADO"),_xlfn.XLOOKUP(D174,'LD-ELFA'!F:F,'LD-ELFA'!U:U),IF(AND(L174="",J174&lt;&gt;"PARA APROVAÇÃO"),"",""))))</f>
        <v/>
      </c>
      <c r="N174" s="63" t="str">
        <f t="shared" ca="1" si="28"/>
        <v>Documento a Emitir</v>
      </c>
      <c r="O174" s="63" t="str">
        <f t="shared" si="21"/>
        <v>Blossom - Documento a emitir</v>
      </c>
      <c r="P174" s="63" t="str">
        <f t="shared" si="22"/>
        <v>Blossom</v>
      </c>
      <c r="Q174" s="63" t="str">
        <f>IF(_xlfn.XLOOKUP(D174,'LD-ELFA'!F:F,'LD-ELFA'!V:V)="","",_xlfn.XLOOKUP(D174,'LD-ELFA'!F:F,'LD-ELFA'!V:V))</f>
        <v/>
      </c>
      <c r="R174" s="40">
        <f>IFERROR(IF(I174&lt;&gt;"","Documento Emitido",_xlfn.XLOOKUP(D174,Cronograma!P:P,Cronograma!Q:Q)),"Documento Removido")</f>
        <v>46266</v>
      </c>
      <c r="S174" s="40" t="str">
        <f t="shared" ca="1" si="23"/>
        <v>No prazo</v>
      </c>
      <c r="T174" s="40">
        <f>IFERROR(IF(I174&lt;&gt;"","Documento Emitido",_xlfn.XLOOKUP(D174,Cronograma!P:P,Cronograma!R:R)),"Documento Removido")</f>
        <v>46265</v>
      </c>
      <c r="U174" s="39" t="str">
        <f t="shared" si="24"/>
        <v>Emissão Atrasada</v>
      </c>
      <c r="V174" s="39" t="str">
        <f t="shared" si="25"/>
        <v/>
      </c>
      <c r="W174" s="39" t="str">
        <f t="shared" ca="1" si="26"/>
        <v/>
      </c>
    </row>
    <row r="175" spans="1:23" ht="28.5" customHeight="1" x14ac:dyDescent="0.25">
      <c r="A175" s="39">
        <v>172</v>
      </c>
      <c r="B175" s="39" t="str">
        <f>_xlfn.XLOOKUP(D175,'LD-ELFA'!F:F,'LD-ELFA'!C:C)</f>
        <v>EL - Eletrica</v>
      </c>
      <c r="C175" s="39" t="str">
        <f>_xlfn.XLOOKUP(D175,'LD-ELFA'!F:F,'LD-ELFA'!D:D)</f>
        <v>PQU - Planilha De Quantitativos</v>
      </c>
      <c r="D175" s="39" t="s">
        <v>177</v>
      </c>
      <c r="E175" s="39" t="str">
        <f>_xlfn.LET(_xlpm.q,_xlfn.XLOOKUP(D175,'LD-ELFA'!F:F,'LD-ELFA'!Q:Q),
   _xlpm.r,_xlfn.XLOOKUP(D175,'LD-ELFA'!F:F,'LD-ELFA'!R:R),
   IF(_xlpm.r = "", _xlpm.q, _xlpm.q &amp; " - " &amp; _xlpm.r))</f>
        <v xml:space="preserve">PLANILHA DE QUANTIDADES </v>
      </c>
      <c r="F175" s="63" t="str">
        <f t="shared" si="20"/>
        <v>Básico</v>
      </c>
      <c r="G175" s="63">
        <f>_xlfn.XLOOKUP(D175,'LD-ELFA'!F:F,'LD-ELFA'!G:G)</f>
        <v>0</v>
      </c>
      <c r="H175" s="63">
        <f>_xlfn.XLOOKUP(D175,'LD-ELFA'!F:F,'LD-ELFA'!I:I)</f>
        <v>0</v>
      </c>
      <c r="I175" s="63" t="str">
        <f>IF(_xlfn.XLOOKUP(D175,'LD-ELFA'!F:F,'LD-ELFA'!T:T)="","",_xlfn.XLOOKUP(D175,'LD-ELFA'!F:F,'LD-ELFA'!T:T))</f>
        <v/>
      </c>
      <c r="J175" s="63" t="str">
        <f>IF(K175="Documento a emitir", "",_xlfn.XLOOKUP(D175,'LD-ELFA'!F:F,'LD-ELFA'!N:N))</f>
        <v/>
      </c>
      <c r="K175" s="43" t="str">
        <f>IF(_xlfn.XLOOKUP($D175,'LD-ELFA'!F:F,'LD-ELFA'!U:U)="","Documento a emitir",_xlfn.XLOOKUP($D175,'LD-ELFA'!F:F,'LD-ELFA'!U:U))</f>
        <v>Documento a emitir</v>
      </c>
      <c r="L175" s="43" t="str">
        <f>IF(K175="Documento a emitir","Documento a emitir",IF(K175&lt;&gt;"Documento a emitir",IF(_xlfn.XLOOKUP(D175,'LD-ELFA'!F:F,'LD-ELFA'!W:W)="","",_xlfn.XLOOKUP(D175,'LD-ELFA'!F:F,'LD-ELFA'!W:W)),""))</f>
        <v>Documento a emitir</v>
      </c>
      <c r="M175" s="43" t="str">
        <f>IF(K175="Documento a emitir","",IF(AND(Q175="APC-R  - APC-R - Aprovado com Comentários (Retornar para uma nova Aprovação)",Q175="APC-L  - APC-L  - Aprovado com Comentários (Retornar Aprovado)"),"",IF(OR(_xlfn.XLOOKUP(D175,'LD-ELFA'!F:F,'LD-ELFA'!N:N)="PARA CONHECIMENTO",_xlfn.XLOOKUP(D175,'LD-ELFA'!F:F,'LD-ELFA'!N:N)="PARA CONSTRUÇÃO",_xlfn.XLOOKUP(D175,'LD-ELFA'!F:F,'LD-ELFA'!N:N)="PARA COTAÇÃO",_xlfn.XLOOKUP(D175,'LD-ELFA'!F:F,'LD-ELFA'!N:N)="CANCELADO"),_xlfn.XLOOKUP(D175,'LD-ELFA'!F:F,'LD-ELFA'!U:U),IF(AND(L175="",J175&lt;&gt;"PARA APROVAÇÃO"),"",""))))</f>
        <v/>
      </c>
      <c r="N175" s="63" t="str">
        <f ca="1">IF(O175="Documento Concluído","Documento Concluído",IF(O175="Cliente - Atendimento de Comentário",IF(TODAY()&lt;=(K175+3),"No prazo","Atrasado"),IF(O175="Cliente - Atendimento de Comentário",IF(TODAY()&lt;=(WORKDAY(K175,3,0)),"No prazo","Atrasado"),IF(O175="Blossom - Emissão Final",IF(TODAY()&lt;=(WORKDAY(L175,3,0)),"No prazo","Atrasado"),IF(O175="Blossom - Atendimento de Comentário",IF(TODAY()&lt;=(WORKDAY(L175,3,0)),"No prazo","Atrasado"),IF(O175="Blossom - Documento a emitir","Documento a Emitir",IF(O175="Documento Removido","Documento Removido","ERRO")))))))</f>
        <v>Documento a Emitir</v>
      </c>
      <c r="O175" s="63" t="str">
        <f t="shared" si="21"/>
        <v>Blossom - Documento a emitir</v>
      </c>
      <c r="P175" s="63" t="str">
        <f t="shared" si="22"/>
        <v>Blossom</v>
      </c>
      <c r="Q175" s="63" t="str">
        <f>IF(_xlfn.XLOOKUP(D175,'LD-ELFA'!F:F,'LD-ELFA'!V:V)="","",_xlfn.XLOOKUP(D175,'LD-ELFA'!F:F,'LD-ELFA'!V:V))</f>
        <v/>
      </c>
      <c r="R175" s="40">
        <f>IFERROR(IF(I175&lt;&gt;"","Documento Emitido",_xlfn.XLOOKUP(D175,Cronograma!P:P,Cronograma!Q:Q)),"Documento Removido")</f>
        <v>46274</v>
      </c>
      <c r="S175" s="40" t="str">
        <f t="shared" ca="1" si="23"/>
        <v>No prazo</v>
      </c>
      <c r="T175" s="40">
        <f>IFERROR(IF(I175&lt;&gt;"","Documento Emitido",_xlfn.XLOOKUP(D175,Cronograma!P:P,Cronograma!R:R)),"Documento Removido")</f>
        <v>46275</v>
      </c>
      <c r="U175" s="39" t="str">
        <f t="shared" si="24"/>
        <v>No prazo</v>
      </c>
      <c r="V175" s="39" t="str">
        <f t="shared" si="25"/>
        <v/>
      </c>
      <c r="W175" s="39" t="str">
        <f t="shared" ca="1" si="26"/>
        <v/>
      </c>
    </row>
    <row r="176" spans="1:23" ht="28.5" customHeight="1" x14ac:dyDescent="0.25">
      <c r="A176" s="39">
        <v>173</v>
      </c>
      <c r="B176" s="39" t="str">
        <f>_xlfn.XLOOKUP(D176,'LD-ELFA'!F:F,'LD-ELFA'!C:C)</f>
        <v>EL - Eletrica</v>
      </c>
      <c r="C176" s="39" t="str">
        <f>_xlfn.XLOOKUP(D176,'LD-ELFA'!F:F,'LD-ELFA'!D:D)</f>
        <v>PQU - Planilha De Quantitativos</v>
      </c>
      <c r="D176" s="39" t="s">
        <v>178</v>
      </c>
      <c r="E176" s="39" t="str">
        <f>_xlfn.LET(_xlpm.q,_xlfn.XLOOKUP(D176,'LD-ELFA'!F:F,'LD-ELFA'!Q:Q),
   _xlpm.r,_xlfn.XLOOKUP(D176,'LD-ELFA'!F:F,'LD-ELFA'!R:R),
   IF(_xlpm.r = "", _xlpm.q, _xlpm.q &amp; " - " &amp; _xlpm.r))</f>
        <v xml:space="preserve">PLANILHA DE QUANTIDADES </v>
      </c>
      <c r="F176" s="63" t="str">
        <f t="shared" si="20"/>
        <v>Básico</v>
      </c>
      <c r="G176" s="63">
        <f>_xlfn.XLOOKUP(D176,'LD-ELFA'!F:F,'LD-ELFA'!G:G)</f>
        <v>0</v>
      </c>
      <c r="H176" s="63">
        <f>_xlfn.XLOOKUP(D176,'LD-ELFA'!F:F,'LD-ELFA'!I:I)</f>
        <v>0</v>
      </c>
      <c r="I176" s="63" t="str">
        <f>IF(_xlfn.XLOOKUP(D176,'LD-ELFA'!F:F,'LD-ELFA'!T:T)="","",_xlfn.XLOOKUP(D176,'LD-ELFA'!F:F,'LD-ELFA'!T:T))</f>
        <v/>
      </c>
      <c r="J176" s="63" t="str">
        <f>IF(K176="Documento a emitir", "",_xlfn.XLOOKUP(D176,'LD-ELFA'!F:F,'LD-ELFA'!N:N))</f>
        <v/>
      </c>
      <c r="K176" s="43" t="str">
        <f>IF(_xlfn.XLOOKUP($D176,'LD-ELFA'!F:F,'LD-ELFA'!U:U)="","Documento a emitir",_xlfn.XLOOKUP($D176,'LD-ELFA'!F:F,'LD-ELFA'!U:U))</f>
        <v>Documento a emitir</v>
      </c>
      <c r="L176" s="43" t="str">
        <f>IF(K176="Documento a emitir","Documento a emitir",IF(K176&lt;&gt;"Documento a emitir",IF(_xlfn.XLOOKUP(D176,'LD-ELFA'!F:F,'LD-ELFA'!W:W)="","",_xlfn.XLOOKUP(D176,'LD-ELFA'!F:F,'LD-ELFA'!W:W)),""))</f>
        <v>Documento a emitir</v>
      </c>
      <c r="M176" s="43" t="str">
        <f>IF(K176="Documento a emitir","",IF(AND(Q176="APC-R  - APC-R - Aprovado com Comentários (Retornar para uma nova Aprovação)",Q176="APC-L  - APC-L  - Aprovado com Comentários (Retornar Aprovado)"),"",IF(OR(_xlfn.XLOOKUP(D176,'LD-ELFA'!F:F,'LD-ELFA'!N:N)="PARA CONHECIMENTO",_xlfn.XLOOKUP(D176,'LD-ELFA'!F:F,'LD-ELFA'!N:N)="PARA CONSTRUÇÃO",_xlfn.XLOOKUP(D176,'LD-ELFA'!F:F,'LD-ELFA'!N:N)="PARA COTAÇÃO",_xlfn.XLOOKUP(D176,'LD-ELFA'!F:F,'LD-ELFA'!N:N)="CANCELADO"),_xlfn.XLOOKUP(D176,'LD-ELFA'!F:F,'LD-ELFA'!U:U),IF(AND(L176="",J176&lt;&gt;"PARA APROVAÇÃO"),"",""))))</f>
        <v/>
      </c>
      <c r="N176" s="63" t="str">
        <f ca="1">IF(O176="Documento Concluído","Documento Concluído",IF(O176="Cliente - Atendimento de Comentário",IF(TODAY()&lt;=(K176+3),"No prazo","Atrasado"),IF(O176="Cliente - Atendimento de Comentário",IF(TODAY()&lt;=(WORKDAY(K176,3,0)),"No prazo","Atrasado"),IF(O176="Blossom - Emissão Final",IF(TODAY()&lt;=(WORKDAY(L176,3,0)),"No prazo","Atrasado"),IF(O176="Blossom - Atendimento de Comentário",IF(TODAY()&lt;=(WORKDAY(L176,3,0)),"No prazo","Atrasado"),IF(O176="Blossom - Documento a emitir","Documento a Emitir","ERRO"))))))</f>
        <v>Documento a Emitir</v>
      </c>
      <c r="O176" s="63" t="str">
        <f t="shared" si="21"/>
        <v>Blossom - Documento a emitir</v>
      </c>
      <c r="P176" s="63" t="str">
        <f t="shared" si="22"/>
        <v>Blossom</v>
      </c>
      <c r="Q176" s="63" t="str">
        <f>IF(_xlfn.XLOOKUP(D176,'LD-ELFA'!F:F,'LD-ELFA'!V:V)="","",_xlfn.XLOOKUP(D176,'LD-ELFA'!F:F,'LD-ELFA'!V:V))</f>
        <v/>
      </c>
      <c r="R176" s="40">
        <f>IFERROR(IF(I176&lt;&gt;"","Documento Emitido",_xlfn.XLOOKUP(D176,Cronograma!P:P,Cronograma!Q:Q)),"Documento Removido")</f>
        <v>46266</v>
      </c>
      <c r="S176" s="40" t="str">
        <f t="shared" ca="1" si="23"/>
        <v>No prazo</v>
      </c>
      <c r="T176" s="40">
        <f>IFERROR(IF(I176&lt;&gt;"","Documento Emitido",_xlfn.XLOOKUP(D176,Cronograma!P:P,Cronograma!R:R)),"Documento Removido")</f>
        <v>46268</v>
      </c>
      <c r="U176" s="39" t="str">
        <f t="shared" si="24"/>
        <v>No prazo</v>
      </c>
      <c r="V176" s="39" t="str">
        <f t="shared" si="25"/>
        <v/>
      </c>
      <c r="W176" s="39" t="str">
        <f t="shared" ca="1" si="26"/>
        <v/>
      </c>
    </row>
    <row r="177" spans="1:23" ht="28.5" customHeight="1" x14ac:dyDescent="0.25">
      <c r="A177" s="39">
        <v>174</v>
      </c>
      <c r="B177" s="39" t="e">
        <f>_xlfn.XLOOKUP(D177,'LD-ELFA'!F:F,'LD-ELFA'!C:C)</f>
        <v>#N/A</v>
      </c>
      <c r="C177" s="39" t="e">
        <f>_xlfn.XLOOKUP(D177,'LD-ELFA'!F:F,'LD-ELFA'!D:D)</f>
        <v>#N/A</v>
      </c>
      <c r="D177" s="39" t="s">
        <v>179</v>
      </c>
      <c r="E177" s="39" t="e">
        <f>_xlfn.LET(_xlpm.q,_xlfn.XLOOKUP(D177,'LD-ELFA'!F:F,'LD-ELFA'!Q:Q),
   _xlpm.r,_xlfn.XLOOKUP(D177,'LD-ELFA'!F:F,'LD-ELFA'!R:R),
   IF(_xlpm.r = "", _xlpm.q, _xlpm.q &amp; " - " &amp; _xlpm.r))</f>
        <v>#N/A</v>
      </c>
      <c r="F177" s="63" t="str">
        <f t="shared" si="20"/>
        <v>Básico</v>
      </c>
      <c r="G177" s="63" t="e">
        <f>_xlfn.XLOOKUP(D177,'LD-ELFA'!F:F,'LD-ELFA'!G:G)</f>
        <v>#N/A</v>
      </c>
      <c r="H177" s="63" t="e">
        <f>_xlfn.XLOOKUP(D177,'LD-ELFA'!F:F,'LD-ELFA'!I:I)</f>
        <v>#N/A</v>
      </c>
      <c r="I177" s="63" t="e">
        <f>IF(_xlfn.XLOOKUP(D177,'LD-ELFA'!F:F,'LD-ELFA'!T:T)="","",_xlfn.XLOOKUP(D177,'LD-ELFA'!F:F,'LD-ELFA'!T:T))</f>
        <v>#N/A</v>
      </c>
      <c r="J177" s="63" t="e">
        <f>IF(K177="Documento a emitir", "",_xlfn.XLOOKUP(D177,'LD-ELFA'!F:F,'LD-ELFA'!N:N))</f>
        <v>#N/A</v>
      </c>
      <c r="K177" s="43" t="e">
        <f>IF(_xlfn.XLOOKUP($D177,'LD-ELFA'!F:F,'LD-ELFA'!U:U)="","Documento a emitir",_xlfn.XLOOKUP($D177,'LD-ELFA'!F:F,'LD-ELFA'!U:U))</f>
        <v>#N/A</v>
      </c>
      <c r="L177" s="43" t="e">
        <f>IF(K177="Documento a emitir","Documento a emitir",IF(K177&lt;&gt;"Documento a emitir",IF(_xlfn.XLOOKUP(D177,'LD-ELFA'!F:F,'LD-ELFA'!W:W)="","",_xlfn.XLOOKUP(D177,'LD-ELFA'!F:F,'LD-ELFA'!W:W)),""))</f>
        <v>#N/A</v>
      </c>
      <c r="M177" s="43" t="e">
        <f>IF(K177="Documento a emitir","",IF(AND(Q177="APC-R  - APC-R - Aprovado com Comentários (Retornar para uma nova Aprovação)",Q177="APC-L  - APC-L  - Aprovado com Comentários (Retornar Aprovado)"),"",IF(OR(_xlfn.XLOOKUP(D177,'LD-ELFA'!F:F,'LD-ELFA'!N:N)="PARA CONHECIMENTO",_xlfn.XLOOKUP(D177,'LD-ELFA'!F:F,'LD-ELFA'!N:N)="PARA CONSTRUÇÃO",_xlfn.XLOOKUP(D177,'LD-ELFA'!F:F,'LD-ELFA'!N:N)="PARA COTAÇÃO",_xlfn.XLOOKUP(D177,'LD-ELFA'!F:F,'LD-ELFA'!N:N)="CANCELADO"),_xlfn.XLOOKUP(D177,'LD-ELFA'!F:F,'LD-ELFA'!U:U),IF(AND(L177="",J177&lt;&gt;"PARA APROVAÇÃO"),"",""))))</f>
        <v>#N/A</v>
      </c>
      <c r="N177" s="63" t="str">
        <f ca="1">IF(O177="Documento Concluído","Documento Concluído",IF(O177="Cliente - Atendimento de Comentário",IF(TODAY()&lt;=(K177+3),"No prazo","Atrasado"),IF(O177="Cliente - Atendimento de Comentário",IF(TODAY()&lt;=(WORKDAY(K177,3,0)),"No prazo","Atrasado"),IF(O177="Blossom - Emissão Final",IF(TODAY()&lt;=(WORKDAY(L177,3,0)),"No prazo","Atrasado"),IF(O177="Blossom - Atendimento de Comentário",IF(TODAY()&lt;=(WORKDAY(L177,3,0)),"No prazo","Atrasado"),IF(O177="Blossom - Documento a emitir","Documento a Emitir","ERRO"))))))</f>
        <v>ERRO</v>
      </c>
      <c r="O177" s="63" t="str">
        <f t="shared" si="21"/>
        <v>Documento Removido</v>
      </c>
      <c r="P177" s="63" t="str">
        <f t="shared" si="22"/>
        <v>Blossom</v>
      </c>
      <c r="Q177" s="63" t="e">
        <f>IF(_xlfn.XLOOKUP(D177,'LD-ELFA'!F:F,'LD-ELFA'!V:V)="","",_xlfn.XLOOKUP(D177,'LD-ELFA'!F:F,'LD-ELFA'!V:V))</f>
        <v>#N/A</v>
      </c>
      <c r="R177" s="40" t="str">
        <f>IFERROR(IF(I177&lt;&gt;"","Documento Emitido",_xlfn.XLOOKUP(D177,Cronograma!P:P,Cronograma!Q:Q)),"Documento Removido")</f>
        <v>Documento Removido</v>
      </c>
      <c r="S177" s="40" t="str">
        <f t="shared" ca="1" si="23"/>
        <v>Documento Removido</v>
      </c>
      <c r="T177" s="40" t="str">
        <f>IFERROR(IF(I177&lt;&gt;"","Documento Emitido",_xlfn.XLOOKUP(D177,Cronograma!P:P,Cronograma!R:R)),"Documento Removido")</f>
        <v>Documento Removido</v>
      </c>
      <c r="U177" s="39" t="str">
        <f t="shared" si="24"/>
        <v>Documento Removido</v>
      </c>
      <c r="V177" s="39" t="str">
        <f t="shared" si="25"/>
        <v>Documento Removido</v>
      </c>
      <c r="W177" s="39" t="e">
        <f t="shared" ca="1" si="26"/>
        <v>#N/A</v>
      </c>
    </row>
    <row r="178" spans="1:23" ht="28.5" customHeight="1" x14ac:dyDescent="0.25">
      <c r="A178" s="39">
        <v>175</v>
      </c>
      <c r="B178" s="39" t="str">
        <f>_xlfn.XLOOKUP(D178,'LD-ELFA'!F:F,'LD-ELFA'!C:C)</f>
        <v>EM - Estrutura Metalica</v>
      </c>
      <c r="C178" s="39" t="str">
        <f>_xlfn.XLOOKUP(D178,'LD-ELFA'!F:F,'LD-ELFA'!D:D)</f>
        <v>MCA - Memória De Cálculo</v>
      </c>
      <c r="D178" s="39" t="s">
        <v>180</v>
      </c>
      <c r="E178" s="39" t="str">
        <f>_xlfn.LET(_xlpm.q,_xlfn.XLOOKUP(D178,'LD-ELFA'!F:F,'LD-ELFA'!Q:Q),
   _xlpm.r,_xlfn.XLOOKUP(D178,'LD-ELFA'!F:F,'LD-ELFA'!R:R),
   IF(_xlpm.r = "", _xlpm.q, _xlpm.q &amp; " - " &amp; _xlpm.r))</f>
        <v>MEMÓRIA DE CÁLCULO - COBERTURA METÁLICA</v>
      </c>
      <c r="F178" s="63" t="str">
        <f t="shared" si="20"/>
        <v>Básico</v>
      </c>
      <c r="G178" s="63">
        <f>_xlfn.XLOOKUP(D178,'LD-ELFA'!F:F,'LD-ELFA'!G:G)</f>
        <v>0</v>
      </c>
      <c r="H178" s="63">
        <f>_xlfn.XLOOKUP(D178,'LD-ELFA'!F:F,'LD-ELFA'!I:I)</f>
        <v>0</v>
      </c>
      <c r="I178" s="63" t="str">
        <f>IF(_xlfn.XLOOKUP(D178,'LD-ELFA'!F:F,'LD-ELFA'!T:T)="","",_xlfn.XLOOKUP(D178,'LD-ELFA'!F:F,'LD-ELFA'!T:T))</f>
        <v/>
      </c>
      <c r="J178" s="63" t="str">
        <f>IF(K178="Documento a emitir", "",_xlfn.XLOOKUP(D178,'LD-ELFA'!F:F,'LD-ELFA'!N:N))</f>
        <v/>
      </c>
      <c r="K178" s="43" t="str">
        <f>IF(_xlfn.XLOOKUP($D178,'LD-ELFA'!F:F,'LD-ELFA'!U:U)="","Documento a emitir",_xlfn.XLOOKUP($D178,'LD-ELFA'!F:F,'LD-ELFA'!U:U))</f>
        <v>Documento a emitir</v>
      </c>
      <c r="L178" s="43" t="str">
        <f>IF(K178="Documento a emitir","Documento a emitir",IF(K178&lt;&gt;"Documento a emitir",IF(_xlfn.XLOOKUP(D178,'LD-ELFA'!F:F,'LD-ELFA'!W:W)="","",_xlfn.XLOOKUP(D178,'LD-ELFA'!F:F,'LD-ELFA'!W:W)),""))</f>
        <v>Documento a emitir</v>
      </c>
      <c r="M178" s="43" t="str">
        <f>IF(K178="Documento a emitir","",IF(AND(Q178="APC-R  - APC-R - Aprovado com Comentários (Retornar para uma nova Aprovação)",Q178="APC-L  - APC-L  - Aprovado com Comentários (Retornar Aprovado)"),"",IF(OR(_xlfn.XLOOKUP(D178,'LD-ELFA'!F:F,'LD-ELFA'!N:N)="PARA CONHECIMENTO",_xlfn.XLOOKUP(D178,'LD-ELFA'!F:F,'LD-ELFA'!N:N)="PARA CONSTRUÇÃO",_xlfn.XLOOKUP(D178,'LD-ELFA'!F:F,'LD-ELFA'!N:N)="PARA COTAÇÃO",_xlfn.XLOOKUP(D178,'LD-ELFA'!F:F,'LD-ELFA'!N:N)="CANCELADO"),_xlfn.XLOOKUP(D178,'LD-ELFA'!F:F,'LD-ELFA'!U:U),IF(AND(L178="",J178&lt;&gt;"PARA APROVAÇÃO"),"",""))))</f>
        <v/>
      </c>
      <c r="N178" s="63" t="str">
        <f ca="1">IF(O178="Documento Concluído","Documento Concluído",IF(O178="Cliente - Atendimento de Comentário",IF(TODAY()&lt;=(K178+3),"No prazo","Atrasado"),IF(O178="Cliente - Atendimento de Comentário",IF(TODAY()&lt;=(WORKDAY(K178,3,0)),"No prazo","Atrasado"),IF(O178="Blossom - Emissão Final",IF(TODAY()&lt;=(WORKDAY(L178,3,0)),"No prazo","Atrasado"),IF(O178="Blossom - Atendimento de Comentário",IF(TODAY()&lt;=(WORKDAY(L178,3,0)),"No prazo","Atrasado"),IF(O178="Blossom - Documento a emitir","Documento a Emitir","ERRO"))))))</f>
        <v>Documento a Emitir</v>
      </c>
      <c r="O178" s="63" t="str">
        <f t="shared" si="21"/>
        <v>Blossom - Documento a emitir</v>
      </c>
      <c r="P178" s="63" t="str">
        <f t="shared" si="22"/>
        <v>Blossom</v>
      </c>
      <c r="Q178" s="63" t="str">
        <f>IF(_xlfn.XLOOKUP(D178,'LD-ELFA'!F:F,'LD-ELFA'!V:V)="","",_xlfn.XLOOKUP(D178,'LD-ELFA'!F:F,'LD-ELFA'!V:V))</f>
        <v/>
      </c>
      <c r="R178" s="40">
        <f>IFERROR(IF(I178&lt;&gt;"","Documento Emitido",_xlfn.XLOOKUP(D178,Cronograma!P:P,Cronograma!Q:Q)),"Documento Removido")</f>
        <v>46237</v>
      </c>
      <c r="S178" s="40" t="str">
        <f t="shared" ca="1" si="23"/>
        <v>No prazo</v>
      </c>
      <c r="T178" s="40">
        <f>IFERROR(IF(I178&lt;&gt;"","Documento Emitido",_xlfn.XLOOKUP(D178,Cronograma!P:P,Cronograma!R:R)),"Documento Removido")</f>
        <v>46234</v>
      </c>
      <c r="U178" s="39" t="str">
        <f t="shared" si="24"/>
        <v>Emissão Atrasada</v>
      </c>
      <c r="V178" s="39" t="str">
        <f t="shared" si="25"/>
        <v/>
      </c>
      <c r="W178" s="39" t="str">
        <f t="shared" ca="1" si="26"/>
        <v/>
      </c>
    </row>
    <row r="179" spans="1:23" ht="28.5" customHeight="1" x14ac:dyDescent="0.25">
      <c r="A179" s="39">
        <v>176</v>
      </c>
      <c r="B179" s="39" t="str">
        <f>_xlfn.XLOOKUP(D179,'LD-ELFA'!F:F,'LD-ELFA'!C:C)</f>
        <v>EM - Estrutura Metalica</v>
      </c>
      <c r="C179" s="39" t="str">
        <f>_xlfn.XLOOKUP(D179,'LD-ELFA'!F:F,'LD-ELFA'!D:D)</f>
        <v>MCA - Memória De Cálculo</v>
      </c>
      <c r="D179" s="39" t="s">
        <v>181</v>
      </c>
      <c r="E179" s="39" t="str">
        <f>_xlfn.LET(_xlpm.q,_xlfn.XLOOKUP(D179,'LD-ELFA'!F:F,'LD-ELFA'!Q:Q),
   _xlpm.r,_xlfn.XLOOKUP(D179,'LD-ELFA'!F:F,'LD-ELFA'!R:R),
   IF(_xlpm.r = "", _xlpm.q, _xlpm.q &amp; " - " &amp; _xlpm.r))</f>
        <v>MEMÓRIA DE CÁLCULO - COBERTURA METÁLICA</v>
      </c>
      <c r="F179" s="63" t="str">
        <f t="shared" si="20"/>
        <v>Básico</v>
      </c>
      <c r="G179" s="63">
        <f>_xlfn.XLOOKUP(D179,'LD-ELFA'!F:F,'LD-ELFA'!G:G)</f>
        <v>0</v>
      </c>
      <c r="H179" s="63">
        <f>_xlfn.XLOOKUP(D179,'LD-ELFA'!F:F,'LD-ELFA'!I:I)</f>
        <v>0</v>
      </c>
      <c r="I179" s="63" t="str">
        <f>IF(_xlfn.XLOOKUP(D179,'LD-ELFA'!F:F,'LD-ELFA'!T:T)="","",_xlfn.XLOOKUP(D179,'LD-ELFA'!F:F,'LD-ELFA'!T:T))</f>
        <v/>
      </c>
      <c r="J179" s="63" t="str">
        <f>IF(K179="Documento a emitir", "",_xlfn.XLOOKUP(D179,'LD-ELFA'!F:F,'LD-ELFA'!N:N))</f>
        <v/>
      </c>
      <c r="K179" s="43" t="str">
        <f>IF(_xlfn.XLOOKUP($D179,'LD-ELFA'!F:F,'LD-ELFA'!U:U)="","Documento a emitir",_xlfn.XLOOKUP($D179,'LD-ELFA'!F:F,'LD-ELFA'!U:U))</f>
        <v>Documento a emitir</v>
      </c>
      <c r="L179" s="43" t="str">
        <f>IF(K179="Documento a emitir","Documento a emitir",IF(K179&lt;&gt;"Documento a emitir",IF(_xlfn.XLOOKUP(D179,'LD-ELFA'!F:F,'LD-ELFA'!W:W)="","",_xlfn.XLOOKUP(D179,'LD-ELFA'!F:F,'LD-ELFA'!W:W)),""))</f>
        <v>Documento a emitir</v>
      </c>
      <c r="M179" s="43" t="str">
        <f>IF(K179="Documento a emitir","",IF(AND(Q179="APC-R  - APC-R - Aprovado com Comentários (Retornar para uma nova Aprovação)",Q179="APC-L  - APC-L  - Aprovado com Comentários (Retornar Aprovado)"),"",IF(OR(_xlfn.XLOOKUP(D179,'LD-ELFA'!F:F,'LD-ELFA'!N:N)="PARA CONHECIMENTO",_xlfn.XLOOKUP(D179,'LD-ELFA'!F:F,'LD-ELFA'!N:N)="PARA CONSTRUÇÃO",_xlfn.XLOOKUP(D179,'LD-ELFA'!F:F,'LD-ELFA'!N:N)="PARA COTAÇÃO",_xlfn.XLOOKUP(D179,'LD-ELFA'!F:F,'LD-ELFA'!N:N)="CANCELADO"),_xlfn.XLOOKUP(D179,'LD-ELFA'!F:F,'LD-ELFA'!U:U),IF(AND(L179="",J179&lt;&gt;"PARA APROVAÇÃO"),"",""))))</f>
        <v/>
      </c>
      <c r="N179" s="63" t="str">
        <f ca="1">IF(O179="Documento Concluído","Documento Concluído",IF(O179="Cliente - Atendimento de Comentário",IF(TODAY()&lt;=(K179+3),"No prazo","Atrasado"),IF(O179="Cliente - Atendimento de Comentário",IF(TODAY()&lt;=(WORKDAY(K179,3,0)),"No prazo","Atrasado"),IF(O179="Blossom - Emissão Final",IF(TODAY()&lt;=(WORKDAY(L179,3,0)),"No prazo","Atrasado"),IF(O179="Blossom - Atendimento de Comentário",IF(TODAY()&lt;=(WORKDAY(L179,3,0)),"No prazo","Atrasado"),IF(O179="Blossom - Documento a emitir","Documento a Emitir",IF(O179="Documento Removido","Documento Removido","ERRO")))))))</f>
        <v>Documento a Emitir</v>
      </c>
      <c r="O179" s="63" t="str">
        <f t="shared" si="21"/>
        <v>Blossom - Documento a emitir</v>
      </c>
      <c r="P179" s="63" t="str">
        <f t="shared" si="22"/>
        <v>Blossom</v>
      </c>
      <c r="Q179" s="63" t="str">
        <f>IF(_xlfn.XLOOKUP(D179,'LD-ELFA'!F:F,'LD-ELFA'!V:V)="","",_xlfn.XLOOKUP(D179,'LD-ELFA'!F:F,'LD-ELFA'!V:V))</f>
        <v/>
      </c>
      <c r="R179" s="40">
        <f>IFERROR(IF(I179&lt;&gt;"","Documento Emitido",_xlfn.XLOOKUP(D179,Cronograma!P:P,Cronograma!Q:Q)),"Documento Removido")</f>
        <v>46234</v>
      </c>
      <c r="S179" s="40" t="str">
        <f t="shared" ca="1" si="23"/>
        <v>No prazo</v>
      </c>
      <c r="T179" s="40">
        <f>IFERROR(IF(I179&lt;&gt;"","Documento Emitido",_xlfn.XLOOKUP(D179,Cronograma!P:P,Cronograma!R:R)),"Documento Removido")</f>
        <v>46245</v>
      </c>
      <c r="U179" s="39" t="str">
        <f t="shared" si="24"/>
        <v>No prazo</v>
      </c>
      <c r="V179" s="39" t="str">
        <f t="shared" si="25"/>
        <v>Semana 3</v>
      </c>
      <c r="W179" s="39" t="str">
        <f t="shared" ca="1" si="26"/>
        <v/>
      </c>
    </row>
    <row r="180" spans="1:23" ht="28.5" customHeight="1" x14ac:dyDescent="0.25">
      <c r="A180" s="39">
        <v>177</v>
      </c>
      <c r="B180" s="39" t="str">
        <f>_xlfn.XLOOKUP(D180,'LD-ELFA'!F:F,'LD-ELFA'!C:C)</f>
        <v>EM - Estrutura Metalica</v>
      </c>
      <c r="C180" s="39" t="str">
        <f>_xlfn.XLOOKUP(D180,'LD-ELFA'!F:F,'LD-ELFA'!D:D)</f>
        <v>MCA - Memória De Cálculo</v>
      </c>
      <c r="D180" s="39" t="s">
        <v>182</v>
      </c>
      <c r="E180" s="39" t="str">
        <f>_xlfn.LET(_xlpm.q,_xlfn.XLOOKUP(D180,'LD-ELFA'!F:F,'LD-ELFA'!Q:Q),
   _xlpm.r,_xlfn.XLOOKUP(D180,'LD-ELFA'!F:F,'LD-ELFA'!R:R),
   IF(_xlpm.r = "", _xlpm.q, _xlpm.q &amp; " - " &amp; _xlpm.r))</f>
        <v>MEMÓRIA DE CÁLCULO - COBERTURA METÁLICA</v>
      </c>
      <c r="F180" s="63" t="str">
        <f t="shared" si="20"/>
        <v>Básico</v>
      </c>
      <c r="G180" s="63">
        <f>_xlfn.XLOOKUP(D180,'LD-ELFA'!F:F,'LD-ELFA'!G:G)</f>
        <v>0</v>
      </c>
      <c r="H180" s="63">
        <f>_xlfn.XLOOKUP(D180,'LD-ELFA'!F:F,'LD-ELFA'!I:I)</f>
        <v>0</v>
      </c>
      <c r="I180" s="63" t="str">
        <f>IF(_xlfn.XLOOKUP(D180,'LD-ELFA'!F:F,'LD-ELFA'!T:T)="","",_xlfn.XLOOKUP(D180,'LD-ELFA'!F:F,'LD-ELFA'!T:T))</f>
        <v/>
      </c>
      <c r="J180" s="63" t="str">
        <f>IF(K180="Documento a emitir", "",_xlfn.XLOOKUP(D180,'LD-ELFA'!F:F,'LD-ELFA'!N:N))</f>
        <v/>
      </c>
      <c r="K180" s="43" t="str">
        <f>IF(_xlfn.XLOOKUP($D180,'LD-ELFA'!F:F,'LD-ELFA'!U:U)="","Documento a emitir",_xlfn.XLOOKUP($D180,'LD-ELFA'!F:F,'LD-ELFA'!U:U))</f>
        <v>Documento a emitir</v>
      </c>
      <c r="L180" s="43" t="str">
        <f>IF(K180="Documento a emitir","Documento a emitir",IF(K180&lt;&gt;"Documento a emitir",IF(_xlfn.XLOOKUP(D180,'LD-ELFA'!F:F,'LD-ELFA'!W:W)="","",_xlfn.XLOOKUP(D180,'LD-ELFA'!F:F,'LD-ELFA'!W:W)),""))</f>
        <v>Documento a emitir</v>
      </c>
      <c r="M180" s="43" t="str">
        <f>IF(K180="Documento a emitir","",IF(AND(Q180="APC-R  - APC-R - Aprovado com Comentários (Retornar para uma nova Aprovação)",Q180="APC-L  - APC-L  - Aprovado com Comentários (Retornar Aprovado)"),"",IF(OR(_xlfn.XLOOKUP(D180,'LD-ELFA'!F:F,'LD-ELFA'!N:N)="PARA CONHECIMENTO",_xlfn.XLOOKUP(D180,'LD-ELFA'!F:F,'LD-ELFA'!N:N)="PARA CONSTRUÇÃO",_xlfn.XLOOKUP(D180,'LD-ELFA'!F:F,'LD-ELFA'!N:N)="PARA COTAÇÃO",_xlfn.XLOOKUP(D180,'LD-ELFA'!F:F,'LD-ELFA'!N:N)="CANCELADO"),_xlfn.XLOOKUP(D180,'LD-ELFA'!F:F,'LD-ELFA'!U:U),IF(AND(L180="",J180&lt;&gt;"PARA APROVAÇÃO"),"",""))))</f>
        <v/>
      </c>
      <c r="N180" s="63" t="str">
        <f ca="1">IF(O180="Documento Concluído","Documento Concluído",IF(O180="Cliente - Atendimento de Comentário",IF(TODAY()&lt;=(K180+3),"No prazo","Atrasado"),IF(O180="Cliente - Atendimento de Comentário",IF(TODAY()&lt;=(WORKDAY(K180,3,0)),"No prazo","Atrasado"),IF(O180="Blossom - Emissão Final",IF(TODAY()&lt;=(WORKDAY(L180,3,0)),"No prazo","Atrasado"),IF(O180="Blossom - Atendimento de Comentário",IF(TODAY()&lt;=(WORKDAY(L180,3,0)),"No prazo","Atrasado"),IF(O180="Blossom - Documento a emitir","Documento a Emitir","ERRO"))))))</f>
        <v>Documento a Emitir</v>
      </c>
      <c r="O180" s="63" t="str">
        <f t="shared" si="21"/>
        <v>Blossom - Documento a emitir</v>
      </c>
      <c r="P180" s="63" t="str">
        <f t="shared" si="22"/>
        <v>Blossom</v>
      </c>
      <c r="Q180" s="63" t="str">
        <f>IF(_xlfn.XLOOKUP(D180,'LD-ELFA'!F:F,'LD-ELFA'!V:V)="","",_xlfn.XLOOKUP(D180,'LD-ELFA'!F:F,'LD-ELFA'!V:V))</f>
        <v/>
      </c>
      <c r="R180" s="40">
        <f>IFERROR(IF(I180&lt;&gt;"","Documento Emitido",_xlfn.XLOOKUP(D180,Cronograma!P:P,Cronograma!Q:Q)),"Documento Removido")</f>
        <v>46233</v>
      </c>
      <c r="S180" s="40" t="str">
        <f t="shared" ca="1" si="23"/>
        <v>No prazo</v>
      </c>
      <c r="T180" s="40">
        <f>IFERROR(IF(I180&lt;&gt;"","Documento Emitido",_xlfn.XLOOKUP(D180,Cronograma!P:P,Cronograma!R:R)),"Documento Removido")</f>
        <v>46254</v>
      </c>
      <c r="U180" s="39" t="str">
        <f t="shared" si="24"/>
        <v>No prazo</v>
      </c>
      <c r="V180" s="39" t="str">
        <f t="shared" si="25"/>
        <v>Semana 3</v>
      </c>
      <c r="W180" s="39" t="str">
        <f t="shared" ca="1" si="26"/>
        <v/>
      </c>
    </row>
    <row r="181" spans="1:23" ht="28.5" customHeight="1" x14ac:dyDescent="0.25">
      <c r="A181" s="39">
        <v>178</v>
      </c>
      <c r="B181" s="39" t="e">
        <f>_xlfn.XLOOKUP(D181,'LD-ELFA'!F:F,'LD-ELFA'!C:C)</f>
        <v>#N/A</v>
      </c>
      <c r="C181" s="39" t="e">
        <f>_xlfn.XLOOKUP(D181,'LD-ELFA'!F:F,'LD-ELFA'!D:D)</f>
        <v>#N/A</v>
      </c>
      <c r="D181" s="39" t="s">
        <v>183</v>
      </c>
      <c r="E181" s="39" t="e">
        <f>_xlfn.LET(_xlpm.q,_xlfn.XLOOKUP(D181,'LD-ELFA'!F:F,'LD-ELFA'!Q:Q),
   _xlpm.r,_xlfn.XLOOKUP(D181,'LD-ELFA'!F:F,'LD-ELFA'!R:R),
   IF(_xlpm.r = "", _xlpm.q, _xlpm.q &amp; " - " &amp; _xlpm.r))</f>
        <v>#N/A</v>
      </c>
      <c r="F181" s="63" t="str">
        <f t="shared" si="20"/>
        <v>Básico</v>
      </c>
      <c r="G181" s="63" t="e">
        <f>_xlfn.XLOOKUP(D181,'LD-ELFA'!F:F,'LD-ELFA'!G:G)</f>
        <v>#N/A</v>
      </c>
      <c r="H181" s="63" t="e">
        <f>_xlfn.XLOOKUP(D181,'LD-ELFA'!F:F,'LD-ELFA'!I:I)</f>
        <v>#N/A</v>
      </c>
      <c r="I181" s="63" t="e">
        <f>IF(_xlfn.XLOOKUP(D181,'LD-ELFA'!F:F,'LD-ELFA'!T:T)="","",_xlfn.XLOOKUP(D181,'LD-ELFA'!F:F,'LD-ELFA'!T:T))</f>
        <v>#N/A</v>
      </c>
      <c r="J181" s="63" t="e">
        <f>IF(K181="Documento a emitir", "",_xlfn.XLOOKUP(D181,'LD-ELFA'!F:F,'LD-ELFA'!N:N))</f>
        <v>#N/A</v>
      </c>
      <c r="K181" s="43" t="e">
        <f>IF(_xlfn.XLOOKUP($D181,'LD-ELFA'!F:F,'LD-ELFA'!U:U)="","Documento a emitir",_xlfn.XLOOKUP($D181,'LD-ELFA'!F:F,'LD-ELFA'!U:U))</f>
        <v>#N/A</v>
      </c>
      <c r="L181" s="43" t="e">
        <f>IF(K181="Documento a emitir","Documento a emitir",IF(K181&lt;&gt;"Documento a emitir",IF(_xlfn.XLOOKUP(D181,'LD-ELFA'!F:F,'LD-ELFA'!W:W)="","",_xlfn.XLOOKUP(D181,'LD-ELFA'!F:F,'LD-ELFA'!W:W)),""))</f>
        <v>#N/A</v>
      </c>
      <c r="M181" s="43" t="e">
        <f>IF(K181="Documento a emitir","",IF(AND(Q181="APC-R  - APC-R - Aprovado com Comentários (Retornar para uma nova Aprovação)",Q181="APC-L  - APC-L  - Aprovado com Comentários (Retornar Aprovado)"),"",IF(OR(_xlfn.XLOOKUP(D181,'LD-ELFA'!F:F,'LD-ELFA'!N:N)="PARA CONHECIMENTO",_xlfn.XLOOKUP(D181,'LD-ELFA'!F:F,'LD-ELFA'!N:N)="PARA CONSTRUÇÃO",_xlfn.XLOOKUP(D181,'LD-ELFA'!F:F,'LD-ELFA'!N:N)="PARA COTAÇÃO",_xlfn.XLOOKUP(D181,'LD-ELFA'!F:F,'LD-ELFA'!N:N)="CANCELADO"),_xlfn.XLOOKUP(D181,'LD-ELFA'!F:F,'LD-ELFA'!U:U),IF(AND(L181="",J181&lt;&gt;"PARA APROVAÇÃO"),"",""))))</f>
        <v>#N/A</v>
      </c>
      <c r="N181" s="63" t="str">
        <f ca="1">IF(O181="Documento Concluído","Documento Concluído",IF(O181="Cliente - Atendimento de Comentário",IF(TODAY()&lt;=(K181+3),"No prazo","Atrasado"),IF(O181="Cliente - Atendimento de Comentário",IF(TODAY()&lt;=(WORKDAY(K181,3,0)),"No prazo","Atrasado"),IF(O181="Blossom - Emissão Final",IF(TODAY()&lt;=(WORKDAY(L181,3,0)),"No prazo","Atrasado"),IF(O181="Blossom - Atendimento de Comentário",IF(TODAY()&lt;=(WORKDAY(L181,3,0)),"No prazo","Atrasado"),IF(O181="Blossom - Documento a emitir","Documento a Emitir","ERRO"))))))</f>
        <v>ERRO</v>
      </c>
      <c r="O181" s="63" t="str">
        <f t="shared" si="21"/>
        <v>Documento Removido</v>
      </c>
      <c r="P181" s="63" t="str">
        <f t="shared" si="22"/>
        <v>Blossom</v>
      </c>
      <c r="Q181" s="63" t="e">
        <f>IF(_xlfn.XLOOKUP(D181,'LD-ELFA'!F:F,'LD-ELFA'!V:V)="","",_xlfn.XLOOKUP(D181,'LD-ELFA'!F:F,'LD-ELFA'!V:V))</f>
        <v>#N/A</v>
      </c>
      <c r="R181" s="40" t="str">
        <f>IFERROR(IF(I181&lt;&gt;"","Documento Emitido",_xlfn.XLOOKUP(D181,Cronograma!P:P,Cronograma!Q:Q)),"Documento Removido")</f>
        <v>Documento Removido</v>
      </c>
      <c r="S181" s="40" t="str">
        <f t="shared" ca="1" si="23"/>
        <v>Documento Removido</v>
      </c>
      <c r="T181" s="40" t="str">
        <f>IFERROR(IF(I181&lt;&gt;"","Documento Emitido",_xlfn.XLOOKUP(D181,Cronograma!P:P,Cronograma!R:R)),"Documento Removido")</f>
        <v>Documento Removido</v>
      </c>
      <c r="U181" s="39" t="str">
        <f t="shared" si="24"/>
        <v>Documento Removido</v>
      </c>
      <c r="V181" s="39" t="str">
        <f t="shared" si="25"/>
        <v>Documento Removido</v>
      </c>
      <c r="W181" s="39" t="e">
        <f t="shared" ca="1" si="26"/>
        <v>#N/A</v>
      </c>
    </row>
    <row r="182" spans="1:23" ht="28.5" customHeight="1" x14ac:dyDescent="0.25">
      <c r="A182" s="39">
        <v>179</v>
      </c>
      <c r="B182" s="39" t="str">
        <f>_xlfn.XLOOKUP(D182,'LD-ELFA'!F:F,'LD-ELFA'!C:C)</f>
        <v>EM - Estrutura Metalica</v>
      </c>
      <c r="C182" s="39" t="str">
        <f>_xlfn.XLOOKUP(D182,'LD-ELFA'!F:F,'LD-ELFA'!D:D)</f>
        <v>MCA - Memória De Cálculo</v>
      </c>
      <c r="D182" s="39" t="s">
        <v>184</v>
      </c>
      <c r="E182" s="39" t="str">
        <f>_xlfn.LET(_xlpm.q,_xlfn.XLOOKUP(D182,'LD-ELFA'!F:F,'LD-ELFA'!Q:Q),
   _xlpm.r,_xlfn.XLOOKUP(D182,'LD-ELFA'!F:F,'LD-ELFA'!R:R),
   IF(_xlpm.r = "", _xlpm.q, _xlpm.q &amp; " - " &amp; _xlpm.r))</f>
        <v>BRITAGEM PRIMÁRIA - 1201-ED-001</v>
      </c>
      <c r="F182" s="63" t="str">
        <f t="shared" si="20"/>
        <v>Básico</v>
      </c>
      <c r="G182" s="63">
        <f>_xlfn.XLOOKUP(D182,'LD-ELFA'!F:F,'LD-ELFA'!G:G)</f>
        <v>0</v>
      </c>
      <c r="H182" s="63" t="str">
        <f>_xlfn.XLOOKUP(D182,'LD-ELFA'!F:F,'LD-ELFA'!I:I)</f>
        <v>A</v>
      </c>
      <c r="I182" s="63" t="str">
        <f>IF(_xlfn.XLOOKUP(D182,'LD-ELFA'!F:F,'LD-ELFA'!T:T)="","",_xlfn.XLOOKUP(D182,'LD-ELFA'!F:F,'LD-ELFA'!T:T))</f>
        <v/>
      </c>
      <c r="J182" s="63" t="str">
        <f>IF(K182="Documento a emitir", "",_xlfn.XLOOKUP(D182,'LD-ELFA'!F:F,'LD-ELFA'!N:N))</f>
        <v/>
      </c>
      <c r="K182" s="43" t="str">
        <f>IF(_xlfn.XLOOKUP($D182,'LD-ELFA'!F:F,'LD-ELFA'!U:U)="","Documento a emitir",_xlfn.XLOOKUP($D182,'LD-ELFA'!F:F,'LD-ELFA'!U:U))</f>
        <v>Documento a emitir</v>
      </c>
      <c r="L182" s="43" t="str">
        <f>IF(K182="Documento a emitir","Documento a emitir",IF(K182&lt;&gt;"Documento a emitir",IF(_xlfn.XLOOKUP(D182,'LD-ELFA'!F:F,'LD-ELFA'!W:W)="","",_xlfn.XLOOKUP(D182,'LD-ELFA'!F:F,'LD-ELFA'!W:W)),""))</f>
        <v>Documento a emitir</v>
      </c>
      <c r="M182" s="43" t="str">
        <f>IF(K182="Documento a emitir","",IF(AND(Q182="APC-R  - APC-R - Aprovado com Comentários (Retornar para uma nova Aprovação)",Q182="APC-L  - APC-L  - Aprovado com Comentários (Retornar Aprovado)"),"",IF(OR(_xlfn.XLOOKUP(D182,'LD-ELFA'!F:F,'LD-ELFA'!N:N)="PARA CONHECIMENTO",_xlfn.XLOOKUP(D182,'LD-ELFA'!F:F,'LD-ELFA'!N:N)="PARA CONSTRUÇÃO",_xlfn.XLOOKUP(D182,'LD-ELFA'!F:F,'LD-ELFA'!N:N)="PARA COTAÇÃO",_xlfn.XLOOKUP(D182,'LD-ELFA'!F:F,'LD-ELFA'!N:N)="CANCELADO"),_xlfn.XLOOKUP(D182,'LD-ELFA'!F:F,'LD-ELFA'!U:U),IF(AND(L182="",J182&lt;&gt;"PARA APROVAÇÃO"),"",""))))</f>
        <v/>
      </c>
      <c r="N182" s="63" t="str">
        <f ca="1">IF(O182="Documento Concluído","Documento Concluído",IF(O182="Cliente - Atendimento de Comentário",IF(TODAY()&lt;=(K182+3),"No prazo","Atrasado"),IF(O182="Cliente - Atendimento de Comentário",IF(TODAY()&lt;=(WORKDAY(K182,3,0)),"No prazo","Atrasado"),IF(O182="Blossom - Emissão Final",IF(TODAY()&lt;=(WORKDAY(L182,3,0)),"No prazo","Atrasado"),IF(O182="Blossom - Atendimento de Comentário",IF(TODAY()&lt;=(WORKDAY(L182,3,0)),"No prazo","Atrasado"),IF(O182="Blossom - Documento a emitir","Documento a Emitir","ERRO"))))))</f>
        <v>Documento a Emitir</v>
      </c>
      <c r="O182" s="63" t="str">
        <f t="shared" si="21"/>
        <v>Blossom - Documento a emitir</v>
      </c>
      <c r="P182" s="63" t="str">
        <f t="shared" si="22"/>
        <v>Blossom</v>
      </c>
      <c r="Q182" s="63" t="str">
        <f>IF(_xlfn.XLOOKUP(D182,'LD-ELFA'!F:F,'LD-ELFA'!V:V)="","",_xlfn.XLOOKUP(D182,'LD-ELFA'!F:F,'LD-ELFA'!V:V))</f>
        <v/>
      </c>
      <c r="R182" s="40">
        <f>IFERROR(IF(I182&lt;&gt;"","Documento Emitido",_xlfn.XLOOKUP(D182,Cronograma!P:P,Cronograma!Q:Q)),"Documento Removido")</f>
        <v>46220</v>
      </c>
      <c r="S182" s="40" t="str">
        <f t="shared" ca="1" si="23"/>
        <v>No prazo</v>
      </c>
      <c r="T182" s="40">
        <f>IFERROR(IF(I182&lt;&gt;"","Documento Emitido",_xlfn.XLOOKUP(D182,Cronograma!P:P,Cronograma!R:R)),"Documento Removido")</f>
        <v>46205</v>
      </c>
      <c r="U182" s="39" t="str">
        <f t="shared" si="24"/>
        <v>Emissão Atrasada</v>
      </c>
      <c r="V182" s="39" t="str">
        <f t="shared" si="25"/>
        <v>Semana 1</v>
      </c>
      <c r="W182" s="39" t="str">
        <f t="shared" ca="1" si="26"/>
        <v/>
      </c>
    </row>
    <row r="183" spans="1:23" ht="28.5" customHeight="1" x14ac:dyDescent="0.25">
      <c r="A183" s="39">
        <v>180</v>
      </c>
      <c r="B183" s="39" t="str">
        <f>_xlfn.XLOOKUP(D183,'LD-ELFA'!F:F,'LD-ELFA'!C:C)</f>
        <v>EM - Estrutura Metalica</v>
      </c>
      <c r="C183" s="39" t="str">
        <f>_xlfn.XLOOKUP(D183,'LD-ELFA'!F:F,'LD-ELFA'!D:D)</f>
        <v>MCA - Memória De Cálculo</v>
      </c>
      <c r="D183" s="39" t="s">
        <v>185</v>
      </c>
      <c r="E183" s="39" t="str">
        <f>_xlfn.LET(_xlpm.q,_xlfn.XLOOKUP(D183,'LD-ELFA'!F:F,'LD-ELFA'!Q:Q),
   _xlpm.r,_xlfn.XLOOKUP(D183,'LD-ELFA'!F:F,'LD-ELFA'!R:R),
   IF(_xlpm.r = "", _xlpm.q, _xlpm.q &amp; " - " &amp; _xlpm.r))</f>
        <v>CASAS DE TRANSFERÊNCIA -1201-CT-001</v>
      </c>
      <c r="F183" s="63" t="str">
        <f t="shared" si="20"/>
        <v>Básico</v>
      </c>
      <c r="G183" s="63">
        <f>_xlfn.XLOOKUP(D183,'LD-ELFA'!F:F,'LD-ELFA'!G:G)</f>
        <v>0</v>
      </c>
      <c r="H183" s="63">
        <f>_xlfn.XLOOKUP(D183,'LD-ELFA'!F:F,'LD-ELFA'!I:I)</f>
        <v>0</v>
      </c>
      <c r="I183" s="63" t="str">
        <f>IF(_xlfn.XLOOKUP(D183,'LD-ELFA'!F:F,'LD-ELFA'!T:T)="","",_xlfn.XLOOKUP(D183,'LD-ELFA'!F:F,'LD-ELFA'!T:T))</f>
        <v/>
      </c>
      <c r="J183" s="63" t="str">
        <f>IF(K183="Documento a emitir", "",_xlfn.XLOOKUP(D183,'LD-ELFA'!F:F,'LD-ELFA'!N:N))</f>
        <v/>
      </c>
      <c r="K183" s="43" t="str">
        <f>IF(_xlfn.XLOOKUP($D183,'LD-ELFA'!F:F,'LD-ELFA'!U:U)="","Documento a emitir",_xlfn.XLOOKUP($D183,'LD-ELFA'!F:F,'LD-ELFA'!U:U))</f>
        <v>Documento a emitir</v>
      </c>
      <c r="L183" s="43" t="str">
        <f>IF(K183="Documento a emitir","Documento a emitir",IF(K183&lt;&gt;"Documento a emitir",IF(_xlfn.XLOOKUP(D183,'LD-ELFA'!F:F,'LD-ELFA'!W:W)="","",_xlfn.XLOOKUP(D183,'LD-ELFA'!F:F,'LD-ELFA'!W:W)),""))</f>
        <v>Documento a emitir</v>
      </c>
      <c r="M183" s="43" t="str">
        <f>IF(K183="Documento a emitir","",IF(AND(Q183="APC-R  - APC-R - Aprovado com Comentários (Retornar para uma nova Aprovação)",Q183="APC-L  - APC-L  - Aprovado com Comentários (Retornar Aprovado)"),"",IF(OR(_xlfn.XLOOKUP(D183,'LD-ELFA'!F:F,'LD-ELFA'!N:N)="PARA CONHECIMENTO",_xlfn.XLOOKUP(D183,'LD-ELFA'!F:F,'LD-ELFA'!N:N)="PARA CONSTRUÇÃO",_xlfn.XLOOKUP(D183,'LD-ELFA'!F:F,'LD-ELFA'!N:N)="PARA COTAÇÃO",_xlfn.XLOOKUP(D183,'LD-ELFA'!F:F,'LD-ELFA'!N:N)="CANCELADO"),_xlfn.XLOOKUP(D183,'LD-ELFA'!F:F,'LD-ELFA'!U:U),IF(AND(L183="",J183&lt;&gt;"PARA APROVAÇÃO"),"",""))))</f>
        <v/>
      </c>
      <c r="N183" s="63" t="str">
        <f ca="1">IF(O183="Documento Concluído","Documento Concluído",IF(O183="Cliente - Atendimento de Comentário",IF(TODAY()&lt;=(K183+3),"No prazo","Atrasado"),IF(O183="Cliente - Atendimento de Comentário",IF(TODAY()&lt;=(WORKDAY(K183,3,0)),"No prazo","Atrasado"),IF(O183="Blossom - Emissão Final",IF(TODAY()&lt;=(WORKDAY(L183,3,0)),"No prazo","Atrasado"),IF(O183="Blossom - Atendimento de Comentário",IF(TODAY()&lt;=(WORKDAY(L183,3,0)),"No prazo","Atrasado"),IF(O183="Blossom - Documento a emitir","Documento a Emitir",IF(O183="Documento Removido","Documento Removido","ERRO")))))))</f>
        <v>Documento a Emitir</v>
      </c>
      <c r="O183" s="63" t="str">
        <f t="shared" si="21"/>
        <v>Blossom - Documento a emitir</v>
      </c>
      <c r="P183" s="63" t="str">
        <f t="shared" si="22"/>
        <v>Blossom</v>
      </c>
      <c r="Q183" s="63" t="str">
        <f>IF(_xlfn.XLOOKUP(D183,'LD-ELFA'!F:F,'LD-ELFA'!V:V)="","",_xlfn.XLOOKUP(D183,'LD-ELFA'!F:F,'LD-ELFA'!V:V))</f>
        <v/>
      </c>
      <c r="R183" s="40">
        <f>IFERROR(IF(I183&lt;&gt;"","Documento Emitido",_xlfn.XLOOKUP(D183,Cronograma!P:P,Cronograma!Q:Q)),"Documento Removido")</f>
        <v>46224</v>
      </c>
      <c r="S183" s="40" t="str">
        <f t="shared" ca="1" si="23"/>
        <v>No prazo</v>
      </c>
      <c r="T183" s="40">
        <f>IFERROR(IF(I183&lt;&gt;"","Documento Emitido",_xlfn.XLOOKUP(D183,Cronograma!P:P,Cronograma!R:R)),"Documento Removido")</f>
        <v>46210</v>
      </c>
      <c r="U183" s="39" t="str">
        <f t="shared" si="24"/>
        <v>Emissão Atrasada</v>
      </c>
      <c r="V183" s="39" t="str">
        <f t="shared" si="25"/>
        <v>Semana 2</v>
      </c>
      <c r="W183" s="39" t="str">
        <f t="shared" ca="1" si="26"/>
        <v/>
      </c>
    </row>
    <row r="184" spans="1:23" ht="28.5" customHeight="1" x14ac:dyDescent="0.25">
      <c r="A184" s="39">
        <v>181</v>
      </c>
      <c r="B184" s="39" t="str">
        <f>_xlfn.XLOOKUP(D184,'LD-ELFA'!F:F,'LD-ELFA'!C:C)</f>
        <v>EM - Estrutura Metalica</v>
      </c>
      <c r="C184" s="39" t="str">
        <f>_xlfn.XLOOKUP(D184,'LD-ELFA'!F:F,'LD-ELFA'!D:D)</f>
        <v>MCA - Memória De Cálculo</v>
      </c>
      <c r="D184" s="39" t="s">
        <v>186</v>
      </c>
      <c r="E184" s="39" t="str">
        <f>_xlfn.LET(_xlpm.q,_xlfn.XLOOKUP(D184,'LD-ELFA'!F:F,'LD-ELFA'!Q:Q),
   _xlpm.r,_xlfn.XLOOKUP(D184,'LD-ELFA'!F:F,'LD-ELFA'!R:R),
   IF(_xlpm.r = "", _xlpm.q, _xlpm.q &amp; " - " &amp; _xlpm.r))</f>
        <v>(ESCADA DE ACESSO (1502-ED-001), TORRE DE ESCADA (1502-ED-002),PLATAFORMA 01 (1502-ED-003), PLATAFORMA 02 (1502-ED-004)</v>
      </c>
      <c r="F184" s="63" t="str">
        <f t="shared" si="20"/>
        <v>Básico</v>
      </c>
      <c r="G184" s="63">
        <f>_xlfn.XLOOKUP(D184,'LD-ELFA'!F:F,'LD-ELFA'!G:G)</f>
        <v>0</v>
      </c>
      <c r="H184" s="63">
        <f>_xlfn.XLOOKUP(D184,'LD-ELFA'!F:F,'LD-ELFA'!I:I)</f>
        <v>0</v>
      </c>
      <c r="I184" s="63" t="str">
        <f>IF(_xlfn.XLOOKUP(D184,'LD-ELFA'!F:F,'LD-ELFA'!T:T)="","",_xlfn.XLOOKUP(D184,'LD-ELFA'!F:F,'LD-ELFA'!T:T))</f>
        <v/>
      </c>
      <c r="J184" s="63" t="str">
        <f>IF(K184="Documento a emitir", "",_xlfn.XLOOKUP(D184,'LD-ELFA'!F:F,'LD-ELFA'!N:N))</f>
        <v/>
      </c>
      <c r="K184" s="43" t="str">
        <f>IF(_xlfn.XLOOKUP($D184,'LD-ELFA'!F:F,'LD-ELFA'!U:U)="","Documento a emitir",_xlfn.XLOOKUP($D184,'LD-ELFA'!F:F,'LD-ELFA'!U:U))</f>
        <v>Documento a emitir</v>
      </c>
      <c r="L184" s="43" t="str">
        <f>IF(K184="Documento a emitir","Documento a emitir",IF(K184&lt;&gt;"Documento a emitir",IF(_xlfn.XLOOKUP(D184,'LD-ELFA'!F:F,'LD-ELFA'!W:W)="","",_xlfn.XLOOKUP(D184,'LD-ELFA'!F:F,'LD-ELFA'!W:W)),""))</f>
        <v>Documento a emitir</v>
      </c>
      <c r="M184" s="43" t="str">
        <f>IF(K184="Documento a emitir","",IF(AND(Q184="APC-R  - APC-R - Aprovado com Comentários (Retornar para uma nova Aprovação)",Q184="APC-L  - APC-L  - Aprovado com Comentários (Retornar Aprovado)"),"",IF(OR(_xlfn.XLOOKUP(D184,'LD-ELFA'!F:F,'LD-ELFA'!N:N)="PARA CONHECIMENTO",_xlfn.XLOOKUP(D184,'LD-ELFA'!F:F,'LD-ELFA'!N:N)="PARA CONSTRUÇÃO",_xlfn.XLOOKUP(D184,'LD-ELFA'!F:F,'LD-ELFA'!N:N)="PARA COTAÇÃO",_xlfn.XLOOKUP(D184,'LD-ELFA'!F:F,'LD-ELFA'!N:N)="CANCELADO"),_xlfn.XLOOKUP(D184,'LD-ELFA'!F:F,'LD-ELFA'!U:U),IF(AND(L184="",J184&lt;&gt;"PARA APROVAÇÃO"),"",""))))</f>
        <v/>
      </c>
      <c r="N184" s="63" t="str">
        <f t="shared" ref="N184:N189" ca="1" si="29">IF(O184="Documento Concluído","Documento Concluído",IF(O184="Cliente - Atendimento de Comentário",IF(TODAY()&lt;=(K184+3),"No prazo","Atrasado"),IF(O184="Cliente - Atendimento de Comentário",IF(TODAY()&lt;=(WORKDAY(K184,3,0)),"No prazo","Atrasado"),IF(O184="Blossom - Emissão Final",IF(TODAY()&lt;=(WORKDAY(L184,3,0)),"No prazo","Atrasado"),IF(O184="Blossom - Atendimento de Comentário",IF(TODAY()&lt;=(WORKDAY(L184,3,0)),"No prazo","Atrasado"),IF(O184="Blossom - Documento a emitir","Documento a Emitir","ERRO"))))))</f>
        <v>Documento a Emitir</v>
      </c>
      <c r="O184" s="63" t="str">
        <f t="shared" si="21"/>
        <v>Blossom - Documento a emitir</v>
      </c>
      <c r="P184" s="63" t="str">
        <f t="shared" si="22"/>
        <v>Blossom</v>
      </c>
      <c r="Q184" s="63" t="str">
        <f>IF(_xlfn.XLOOKUP(D184,'LD-ELFA'!F:F,'LD-ELFA'!V:V)="","",_xlfn.XLOOKUP(D184,'LD-ELFA'!F:F,'LD-ELFA'!V:V))</f>
        <v/>
      </c>
      <c r="R184" s="40">
        <f>IFERROR(IF(I184&lt;&gt;"","Documento Emitido",_xlfn.XLOOKUP(D184,Cronograma!P:P,Cronograma!Q:Q)),"Documento Removido")</f>
        <v>46241</v>
      </c>
      <c r="S184" s="40" t="str">
        <f t="shared" ca="1" si="23"/>
        <v>No prazo</v>
      </c>
      <c r="T184" s="40">
        <f>IFERROR(IF(I184&lt;&gt;"","Documento Emitido",_xlfn.XLOOKUP(D184,Cronograma!P:P,Cronograma!R:R)),"Documento Removido")</f>
        <v>46247</v>
      </c>
      <c r="U184" s="39" t="str">
        <f t="shared" si="24"/>
        <v>No prazo</v>
      </c>
      <c r="V184" s="39" t="str">
        <f t="shared" si="25"/>
        <v/>
      </c>
      <c r="W184" s="39" t="str">
        <f t="shared" ca="1" si="26"/>
        <v/>
      </c>
    </row>
    <row r="185" spans="1:23" ht="28.5" customHeight="1" x14ac:dyDescent="0.25">
      <c r="A185" s="39">
        <v>182</v>
      </c>
      <c r="B185" s="39" t="e">
        <f>_xlfn.XLOOKUP(D185,'LD-ELFA'!F:F,'LD-ELFA'!C:C)</f>
        <v>#N/A</v>
      </c>
      <c r="C185" s="39" t="e">
        <f>_xlfn.XLOOKUP(D185,'LD-ELFA'!F:F,'LD-ELFA'!D:D)</f>
        <v>#N/A</v>
      </c>
      <c r="D185" s="39" t="s">
        <v>187</v>
      </c>
      <c r="E185" s="39" t="e">
        <f>_xlfn.LET(_xlpm.q,_xlfn.XLOOKUP(D185,'LD-ELFA'!F:F,'LD-ELFA'!Q:Q),
   _xlpm.r,_xlfn.XLOOKUP(D185,'LD-ELFA'!F:F,'LD-ELFA'!R:R),
   IF(_xlpm.r = "", _xlpm.q, _xlpm.q &amp; " - " &amp; _xlpm.r))</f>
        <v>#N/A</v>
      </c>
      <c r="F185" s="63" t="str">
        <f t="shared" si="20"/>
        <v>Básico</v>
      </c>
      <c r="G185" s="63" t="e">
        <f>_xlfn.XLOOKUP(D185,'LD-ELFA'!F:F,'LD-ELFA'!G:G)</f>
        <v>#N/A</v>
      </c>
      <c r="H185" s="63" t="e">
        <f>_xlfn.XLOOKUP(D185,'LD-ELFA'!F:F,'LD-ELFA'!I:I)</f>
        <v>#N/A</v>
      </c>
      <c r="I185" s="63" t="e">
        <f>IF(_xlfn.XLOOKUP(D185,'LD-ELFA'!F:F,'LD-ELFA'!T:T)="","",_xlfn.XLOOKUP(D185,'LD-ELFA'!F:F,'LD-ELFA'!T:T))</f>
        <v>#N/A</v>
      </c>
      <c r="J185" s="63" t="e">
        <f>IF(K185="Documento a emitir", "",_xlfn.XLOOKUP(D185,'LD-ELFA'!F:F,'LD-ELFA'!N:N))</f>
        <v>#N/A</v>
      </c>
      <c r="K185" s="43" t="e">
        <f>IF(_xlfn.XLOOKUP($D185,'LD-ELFA'!F:F,'LD-ELFA'!U:U)="","Documento a emitir",_xlfn.XLOOKUP($D185,'LD-ELFA'!F:F,'LD-ELFA'!U:U))</f>
        <v>#N/A</v>
      </c>
      <c r="L185" s="43" t="e">
        <f>IF(K185="Documento a emitir","Documento a emitir",IF(K185&lt;&gt;"Documento a emitir",IF(_xlfn.XLOOKUP(D185,'LD-ELFA'!F:F,'LD-ELFA'!W:W)="","",_xlfn.XLOOKUP(D185,'LD-ELFA'!F:F,'LD-ELFA'!W:W)),""))</f>
        <v>#N/A</v>
      </c>
      <c r="M185" s="43" t="e">
        <f>IF(K185="Documento a emitir","",IF(AND(Q185="APC-R  - APC-R - Aprovado com Comentários (Retornar para uma nova Aprovação)",Q185="APC-L  - APC-L  - Aprovado com Comentários (Retornar Aprovado)"),"",IF(OR(_xlfn.XLOOKUP(D185,'LD-ELFA'!F:F,'LD-ELFA'!N:N)="PARA CONHECIMENTO",_xlfn.XLOOKUP(D185,'LD-ELFA'!F:F,'LD-ELFA'!N:N)="PARA CONSTRUÇÃO",_xlfn.XLOOKUP(D185,'LD-ELFA'!F:F,'LD-ELFA'!N:N)="PARA COTAÇÃO",_xlfn.XLOOKUP(D185,'LD-ELFA'!F:F,'LD-ELFA'!N:N)="CANCELADO"),_xlfn.XLOOKUP(D185,'LD-ELFA'!F:F,'LD-ELFA'!U:U),IF(AND(L185="",J185&lt;&gt;"PARA APROVAÇÃO"),"",""))))</f>
        <v>#N/A</v>
      </c>
      <c r="N185" s="63" t="str">
        <f t="shared" ca="1" si="29"/>
        <v>ERRO</v>
      </c>
      <c r="O185" s="63" t="str">
        <f t="shared" si="21"/>
        <v>Documento Removido</v>
      </c>
      <c r="P185" s="63" t="str">
        <f t="shared" si="22"/>
        <v>Blossom</v>
      </c>
      <c r="Q185" s="63" t="e">
        <f>IF(_xlfn.XLOOKUP(D185,'LD-ELFA'!F:F,'LD-ELFA'!V:V)="","",_xlfn.XLOOKUP(D185,'LD-ELFA'!F:F,'LD-ELFA'!V:V))</f>
        <v>#N/A</v>
      </c>
      <c r="R185" s="40" t="str">
        <f>IFERROR(IF(I185&lt;&gt;"","Documento Emitido",_xlfn.XLOOKUP(D185,Cronograma!P:P,Cronograma!Q:Q)),"Documento Removido")</f>
        <v>Documento Removido</v>
      </c>
      <c r="S185" s="40" t="str">
        <f t="shared" ca="1" si="23"/>
        <v>Documento Removido</v>
      </c>
      <c r="T185" s="40" t="str">
        <f>IFERROR(IF(I185&lt;&gt;"","Documento Emitido",_xlfn.XLOOKUP(D185,Cronograma!P:P,Cronograma!R:R)),"Documento Removido")</f>
        <v>Documento Removido</v>
      </c>
      <c r="U185" s="39" t="str">
        <f t="shared" si="24"/>
        <v>Documento Removido</v>
      </c>
      <c r="V185" s="39" t="str">
        <f t="shared" si="25"/>
        <v>Documento Removido</v>
      </c>
      <c r="W185" s="39" t="e">
        <f t="shared" ca="1" si="26"/>
        <v>#N/A</v>
      </c>
    </row>
    <row r="186" spans="1:23" ht="28.5" customHeight="1" x14ac:dyDescent="0.25">
      <c r="A186" s="39">
        <v>183</v>
      </c>
      <c r="B186" s="39" t="e">
        <f>_xlfn.XLOOKUP(D186,'LD-ELFA'!F:F,'LD-ELFA'!C:C)</f>
        <v>#N/A</v>
      </c>
      <c r="C186" s="39" t="e">
        <f>_xlfn.XLOOKUP(D186,'LD-ELFA'!F:F,'LD-ELFA'!D:D)</f>
        <v>#N/A</v>
      </c>
      <c r="D186" s="39" t="s">
        <v>188</v>
      </c>
      <c r="E186" s="39" t="e">
        <f>_xlfn.LET(_xlpm.q,_xlfn.XLOOKUP(D186,'LD-ELFA'!F:F,'LD-ELFA'!Q:Q),
   _xlpm.r,_xlfn.XLOOKUP(D186,'LD-ELFA'!F:F,'LD-ELFA'!R:R),
   IF(_xlpm.r = "", _xlpm.q, _xlpm.q &amp; " - " &amp; _xlpm.r))</f>
        <v>#N/A</v>
      </c>
      <c r="F186" s="63" t="str">
        <f t="shared" si="20"/>
        <v>Básico</v>
      </c>
      <c r="G186" s="63" t="e">
        <f>_xlfn.XLOOKUP(D186,'LD-ELFA'!F:F,'LD-ELFA'!G:G)</f>
        <v>#N/A</v>
      </c>
      <c r="H186" s="63" t="e">
        <f>_xlfn.XLOOKUP(D186,'LD-ELFA'!F:F,'LD-ELFA'!I:I)</f>
        <v>#N/A</v>
      </c>
      <c r="I186" s="63" t="e">
        <f>IF(_xlfn.XLOOKUP(D186,'LD-ELFA'!F:F,'LD-ELFA'!T:T)="","",_xlfn.XLOOKUP(D186,'LD-ELFA'!F:F,'LD-ELFA'!T:T))</f>
        <v>#N/A</v>
      </c>
      <c r="J186" s="63" t="e">
        <f>IF(K186="Documento a emitir", "",_xlfn.XLOOKUP(D186,'LD-ELFA'!F:F,'LD-ELFA'!N:N))</f>
        <v>#N/A</v>
      </c>
      <c r="K186" s="43" t="e">
        <f>IF(_xlfn.XLOOKUP($D186,'LD-ELFA'!F:F,'LD-ELFA'!U:U)="","Documento a emitir",_xlfn.XLOOKUP($D186,'LD-ELFA'!F:F,'LD-ELFA'!U:U))</f>
        <v>#N/A</v>
      </c>
      <c r="L186" s="43" t="e">
        <f>IF(K186="Documento a emitir","Documento a emitir",IF(K186&lt;&gt;"Documento a emitir",IF(_xlfn.XLOOKUP(D186,'LD-ELFA'!F:F,'LD-ELFA'!W:W)="","",_xlfn.XLOOKUP(D186,'LD-ELFA'!F:F,'LD-ELFA'!W:W)),""))</f>
        <v>#N/A</v>
      </c>
      <c r="M186" s="43" t="e">
        <f>IF(K186="Documento a emitir","",IF(AND(Q186="APC-R  - APC-R - Aprovado com Comentários (Retornar para uma nova Aprovação)",Q186="APC-L  - APC-L  - Aprovado com Comentários (Retornar Aprovado)"),"",IF(OR(_xlfn.XLOOKUP(D186,'LD-ELFA'!F:F,'LD-ELFA'!N:N)="PARA CONHECIMENTO",_xlfn.XLOOKUP(D186,'LD-ELFA'!F:F,'LD-ELFA'!N:N)="PARA CONSTRUÇÃO",_xlfn.XLOOKUP(D186,'LD-ELFA'!F:F,'LD-ELFA'!N:N)="PARA COTAÇÃO",_xlfn.XLOOKUP(D186,'LD-ELFA'!F:F,'LD-ELFA'!N:N)="CANCELADO"),_xlfn.XLOOKUP(D186,'LD-ELFA'!F:F,'LD-ELFA'!U:U),IF(AND(L186="",J186&lt;&gt;"PARA APROVAÇÃO"),"",""))))</f>
        <v>#N/A</v>
      </c>
      <c r="N186" s="63" t="str">
        <f t="shared" ca="1" si="29"/>
        <v>ERRO</v>
      </c>
      <c r="O186" s="63" t="str">
        <f t="shared" si="21"/>
        <v>Documento Removido</v>
      </c>
      <c r="P186" s="63" t="str">
        <f t="shared" si="22"/>
        <v>Blossom</v>
      </c>
      <c r="Q186" s="63" t="e">
        <f>IF(_xlfn.XLOOKUP(D186,'LD-ELFA'!F:F,'LD-ELFA'!V:V)="","",_xlfn.XLOOKUP(D186,'LD-ELFA'!F:F,'LD-ELFA'!V:V))</f>
        <v>#N/A</v>
      </c>
      <c r="R186" s="40" t="str">
        <f>IFERROR(IF(I186&lt;&gt;"","Documento Emitido",_xlfn.XLOOKUP(D186,Cronograma!P:P,Cronograma!Q:Q)),"Documento Removido")</f>
        <v>Documento Removido</v>
      </c>
      <c r="S186" s="40" t="str">
        <f t="shared" ca="1" si="23"/>
        <v>Documento Removido</v>
      </c>
      <c r="T186" s="40" t="str">
        <f>IFERROR(IF(I186&lt;&gt;"","Documento Emitido",_xlfn.XLOOKUP(D186,Cronograma!P:P,Cronograma!R:R)),"Documento Removido")</f>
        <v>Documento Removido</v>
      </c>
      <c r="U186" s="39" t="str">
        <f t="shared" si="24"/>
        <v>Documento Removido</v>
      </c>
      <c r="V186" s="39" t="str">
        <f t="shared" si="25"/>
        <v>Documento Removido</v>
      </c>
      <c r="W186" s="39" t="e">
        <f t="shared" ca="1" si="26"/>
        <v>#N/A</v>
      </c>
    </row>
    <row r="187" spans="1:23" ht="28.5" customHeight="1" x14ac:dyDescent="0.25">
      <c r="A187" s="39">
        <v>184</v>
      </c>
      <c r="B187" s="39" t="str">
        <f>_xlfn.XLOOKUP(D187,'LD-ELFA'!F:F,'LD-ELFA'!C:C)</f>
        <v>EM - Estrutura Metalica</v>
      </c>
      <c r="C187" s="39" t="str">
        <f>_xlfn.XLOOKUP(D187,'LD-ELFA'!F:F,'LD-ELFA'!D:D)</f>
        <v>MCA - Memória De Cálculo</v>
      </c>
      <c r="D187" s="39" t="s">
        <v>189</v>
      </c>
      <c r="E187" s="39" t="str">
        <f>_xlfn.LET(_xlpm.q,_xlfn.XLOOKUP(D187,'LD-ELFA'!F:F,'LD-ELFA'!Q:Q),
   _xlpm.r,_xlfn.XLOOKUP(D187,'LD-ELFA'!F:F,'LD-ELFA'!R:R),
   IF(_xlpm.r = "", _xlpm.q, _xlpm.q &amp; " - " &amp; _xlpm.r))</f>
        <v>PIPECABLE RACK</v>
      </c>
      <c r="F187" s="63" t="str">
        <f t="shared" si="20"/>
        <v>Básico</v>
      </c>
      <c r="G187" s="63">
        <f>_xlfn.XLOOKUP(D187,'LD-ELFA'!F:F,'LD-ELFA'!G:G)</f>
        <v>0</v>
      </c>
      <c r="H187" s="63">
        <f>_xlfn.XLOOKUP(D187,'LD-ELFA'!F:F,'LD-ELFA'!I:I)</f>
        <v>0</v>
      </c>
      <c r="I187" s="63" t="str">
        <f>IF(_xlfn.XLOOKUP(D187,'LD-ELFA'!F:F,'LD-ELFA'!T:T)="","",_xlfn.XLOOKUP(D187,'LD-ELFA'!F:F,'LD-ELFA'!T:T))</f>
        <v/>
      </c>
      <c r="J187" s="63" t="str">
        <f>IF(K187="Documento a emitir", "",_xlfn.XLOOKUP(D187,'LD-ELFA'!F:F,'LD-ELFA'!N:N))</f>
        <v/>
      </c>
      <c r="K187" s="43" t="str">
        <f>IF(_xlfn.XLOOKUP($D187,'LD-ELFA'!F:F,'LD-ELFA'!U:U)="","Documento a emitir",_xlfn.XLOOKUP($D187,'LD-ELFA'!F:F,'LD-ELFA'!U:U))</f>
        <v>Documento a emitir</v>
      </c>
      <c r="L187" s="43" t="str">
        <f>IF(K187="Documento a emitir","Documento a emitir",IF(K187&lt;&gt;"Documento a emitir",IF(_xlfn.XLOOKUP(D187,'LD-ELFA'!F:F,'LD-ELFA'!W:W)="","",_xlfn.XLOOKUP(D187,'LD-ELFA'!F:F,'LD-ELFA'!W:W)),""))</f>
        <v>Documento a emitir</v>
      </c>
      <c r="M187" s="43" t="str">
        <f>IF(K187="Documento a emitir","",IF(AND(Q187="APC-R  - APC-R - Aprovado com Comentários (Retornar para uma nova Aprovação)",Q187="APC-L  - APC-L  - Aprovado com Comentários (Retornar Aprovado)"),"",IF(OR(_xlfn.XLOOKUP(D187,'LD-ELFA'!F:F,'LD-ELFA'!N:N)="PARA CONHECIMENTO",_xlfn.XLOOKUP(D187,'LD-ELFA'!F:F,'LD-ELFA'!N:N)="PARA CONSTRUÇÃO",_xlfn.XLOOKUP(D187,'LD-ELFA'!F:F,'LD-ELFA'!N:N)="PARA COTAÇÃO",_xlfn.XLOOKUP(D187,'LD-ELFA'!F:F,'LD-ELFA'!N:N)="CANCELADO"),_xlfn.XLOOKUP(D187,'LD-ELFA'!F:F,'LD-ELFA'!U:U),IF(AND(L187="",J187&lt;&gt;"PARA APROVAÇÃO"),"",""))))</f>
        <v/>
      </c>
      <c r="N187" s="63" t="str">
        <f t="shared" ca="1" si="29"/>
        <v>Documento a Emitir</v>
      </c>
      <c r="O187" s="63" t="str">
        <f t="shared" si="21"/>
        <v>Blossom - Documento a emitir</v>
      </c>
      <c r="P187" s="63" t="str">
        <f t="shared" si="22"/>
        <v>Blossom</v>
      </c>
      <c r="Q187" s="63" t="str">
        <f>IF(_xlfn.XLOOKUP(D187,'LD-ELFA'!F:F,'LD-ELFA'!V:V)="","",_xlfn.XLOOKUP(D187,'LD-ELFA'!F:F,'LD-ELFA'!V:V))</f>
        <v/>
      </c>
      <c r="R187" s="40">
        <f>IFERROR(IF(I187&lt;&gt;"","Documento Emitido",_xlfn.XLOOKUP(D187,Cronograma!P:P,Cronograma!Q:Q)),"Documento Removido")</f>
        <v>46260</v>
      </c>
      <c r="S187" s="40" t="str">
        <f t="shared" ca="1" si="23"/>
        <v>No prazo</v>
      </c>
      <c r="T187" s="40">
        <f>IFERROR(IF(I187&lt;&gt;"","Documento Emitido",_xlfn.XLOOKUP(D187,Cronograma!P:P,Cronograma!R:R)),"Documento Removido")</f>
        <v>46260</v>
      </c>
      <c r="U187" s="39" t="str">
        <f t="shared" si="24"/>
        <v>No prazo</v>
      </c>
      <c r="V187" s="39" t="str">
        <f t="shared" si="25"/>
        <v/>
      </c>
      <c r="W187" s="39" t="str">
        <f t="shared" ca="1" si="26"/>
        <v/>
      </c>
    </row>
    <row r="188" spans="1:23" ht="28.5" customHeight="1" x14ac:dyDescent="0.25">
      <c r="A188" s="39">
        <v>185</v>
      </c>
      <c r="B188" s="39" t="str">
        <f>_xlfn.XLOOKUP(D188,'LD-ELFA'!F:F,'LD-ELFA'!C:C)</f>
        <v>EM - Estrutura Metalica</v>
      </c>
      <c r="C188" s="39" t="str">
        <f>_xlfn.XLOOKUP(D188,'LD-ELFA'!F:F,'LD-ELFA'!D:D)</f>
        <v>MCA - Memória De Cálculo</v>
      </c>
      <c r="D188" s="39" t="s">
        <v>190</v>
      </c>
      <c r="E188" s="39" t="str">
        <f>_xlfn.LET(_xlpm.q,_xlfn.XLOOKUP(D188,'LD-ELFA'!F:F,'LD-ELFA'!Q:Q),
   _xlpm.r,_xlfn.XLOOKUP(D188,'LD-ELFA'!F:F,'LD-ELFA'!R:R),
   IF(_xlpm.r = "", _xlpm.q, _xlpm.q &amp; " - " &amp; _xlpm.r))</f>
        <v>MEMÓRIA DE CÁLCULO - GALPÃO PARA ENSACAMENTO - RENWA META</v>
      </c>
      <c r="F188" s="63" t="str">
        <f t="shared" si="20"/>
        <v>Básico</v>
      </c>
      <c r="G188" s="63">
        <f>_xlfn.XLOOKUP(D188,'LD-ELFA'!F:F,'LD-ELFA'!G:G)</f>
        <v>0</v>
      </c>
      <c r="H188" s="63">
        <f>_xlfn.XLOOKUP(D188,'LD-ELFA'!F:F,'LD-ELFA'!I:I)</f>
        <v>0</v>
      </c>
      <c r="I188" s="63" t="str">
        <f>IF(_xlfn.XLOOKUP(D188,'LD-ELFA'!F:F,'LD-ELFA'!T:T)="","",_xlfn.XLOOKUP(D188,'LD-ELFA'!F:F,'LD-ELFA'!T:T))</f>
        <v/>
      </c>
      <c r="J188" s="63" t="str">
        <f>IF(K188="Documento a emitir", "",_xlfn.XLOOKUP(D188,'LD-ELFA'!F:F,'LD-ELFA'!N:N))</f>
        <v/>
      </c>
      <c r="K188" s="43" t="str">
        <f>IF(_xlfn.XLOOKUP($D188,'LD-ELFA'!F:F,'LD-ELFA'!U:U)="","Documento a emitir",_xlfn.XLOOKUP($D188,'LD-ELFA'!F:F,'LD-ELFA'!U:U))</f>
        <v>Documento a emitir</v>
      </c>
      <c r="L188" s="43" t="str">
        <f>IF(K188="Documento a emitir","Documento a emitir",IF(K188&lt;&gt;"Documento a emitir",IF(_xlfn.XLOOKUP(D188,'LD-ELFA'!F:F,'LD-ELFA'!W:W)="","",_xlfn.XLOOKUP(D188,'LD-ELFA'!F:F,'LD-ELFA'!W:W)),""))</f>
        <v>Documento a emitir</v>
      </c>
      <c r="M188" s="43" t="str">
        <f>IF(K188="Documento a emitir","",IF(AND(Q188="APC-R  - APC-R - Aprovado com Comentários (Retornar para uma nova Aprovação)",Q188="APC-L  - APC-L  - Aprovado com Comentários (Retornar Aprovado)"),"",IF(OR(_xlfn.XLOOKUP(D188,'LD-ELFA'!F:F,'LD-ELFA'!N:N)="PARA CONHECIMENTO",_xlfn.XLOOKUP(D188,'LD-ELFA'!F:F,'LD-ELFA'!N:N)="PARA CONSTRUÇÃO",_xlfn.XLOOKUP(D188,'LD-ELFA'!F:F,'LD-ELFA'!N:N)="PARA COTAÇÃO",_xlfn.XLOOKUP(D188,'LD-ELFA'!F:F,'LD-ELFA'!N:N)="CANCELADO"),_xlfn.XLOOKUP(D188,'LD-ELFA'!F:F,'LD-ELFA'!U:U),IF(AND(L188="",J188&lt;&gt;"PARA APROVAÇÃO"),"",""))))</f>
        <v/>
      </c>
      <c r="N188" s="63" t="str">
        <f t="shared" ca="1" si="29"/>
        <v>Documento a Emitir</v>
      </c>
      <c r="O188" s="63" t="str">
        <f t="shared" si="21"/>
        <v>Blossom - Documento a emitir</v>
      </c>
      <c r="P188" s="63" t="str">
        <f t="shared" si="22"/>
        <v>Blossom</v>
      </c>
      <c r="Q188" s="63" t="str">
        <f>IF(_xlfn.XLOOKUP(D188,'LD-ELFA'!F:F,'LD-ELFA'!V:V)="","",_xlfn.XLOOKUP(D188,'LD-ELFA'!F:F,'LD-ELFA'!V:V))</f>
        <v/>
      </c>
      <c r="R188" s="40">
        <f>IFERROR(IF(I188&lt;&gt;"","Documento Emitido",_xlfn.XLOOKUP(D188,Cronograma!P:P,Cronograma!Q:Q)),"Documento Removido")</f>
        <v>46237</v>
      </c>
      <c r="S188" s="40" t="str">
        <f t="shared" ca="1" si="23"/>
        <v>No prazo</v>
      </c>
      <c r="T188" s="40">
        <f>IFERROR(IF(I188&lt;&gt;"","Documento Emitido",_xlfn.XLOOKUP(D188,Cronograma!P:P,Cronograma!R:R)),"Documento Removido")</f>
        <v>46212</v>
      </c>
      <c r="U188" s="39" t="str">
        <f t="shared" si="24"/>
        <v>Emissão Atrasada</v>
      </c>
      <c r="V188" s="39" t="str">
        <f t="shared" si="25"/>
        <v/>
      </c>
      <c r="W188" s="39" t="str">
        <f t="shared" ca="1" si="26"/>
        <v/>
      </c>
    </row>
    <row r="189" spans="1:23" ht="28.5" customHeight="1" x14ac:dyDescent="0.25">
      <c r="A189" s="39">
        <v>186</v>
      </c>
      <c r="B189" s="39" t="str">
        <f>_xlfn.XLOOKUP(D189,'LD-ELFA'!F:F,'LD-ELFA'!C:C)</f>
        <v>EM - Estrutura Metalica</v>
      </c>
      <c r="C189" s="39" t="str">
        <f>_xlfn.XLOOKUP(D189,'LD-ELFA'!F:F,'LD-ELFA'!D:D)</f>
        <v>MCA - Memória De Cálculo</v>
      </c>
      <c r="D189" s="39" t="s">
        <v>191</v>
      </c>
      <c r="E189" s="39" t="str">
        <f>_xlfn.LET(_xlpm.q,_xlfn.XLOOKUP(D189,'LD-ELFA'!F:F,'LD-ELFA'!Q:Q),
   _xlpm.r,_xlfn.XLOOKUP(D189,'LD-ELFA'!F:F,'LD-ELFA'!R:R),
   IF(_xlpm.r = "", _xlpm.q, _xlpm.q &amp; " - " &amp; _xlpm.r))</f>
        <v>MEMÓRIA DE CÁLCULO  - COBERTURAS METÁLICAS – 2201-ED-001</v>
      </c>
      <c r="F189" s="63" t="str">
        <f t="shared" si="20"/>
        <v>Básico</v>
      </c>
      <c r="G189" s="63">
        <f>_xlfn.XLOOKUP(D189,'LD-ELFA'!F:F,'LD-ELFA'!G:G)</f>
        <v>0</v>
      </c>
      <c r="H189" s="63" t="str">
        <f>_xlfn.XLOOKUP(D189,'LD-ELFA'!F:F,'LD-ELFA'!I:I)</f>
        <v>A</v>
      </c>
      <c r="I189" s="63" t="str">
        <f>IF(_xlfn.XLOOKUP(D189,'LD-ELFA'!F:F,'LD-ELFA'!T:T)="","",_xlfn.XLOOKUP(D189,'LD-ELFA'!F:F,'LD-ELFA'!T:T))</f>
        <v>0008</v>
      </c>
      <c r="J189" s="63" t="str">
        <f>IF(K189="Documento a emitir", "",_xlfn.XLOOKUP(D189,'LD-ELFA'!F:F,'LD-ELFA'!N:N))</f>
        <v>PARA APROVAÇÃO</v>
      </c>
      <c r="K189" s="43">
        <f>IF(_xlfn.XLOOKUP($D189,'LD-ELFA'!F:F,'LD-ELFA'!U:U)="","Documento a emitir",_xlfn.XLOOKUP($D189,'LD-ELFA'!F:F,'LD-ELFA'!U:U))</f>
        <v>46202.5380540162</v>
      </c>
      <c r="L189" s="43">
        <f>IF(K189="Documento a emitir","Documento a emitir",IF(K189&lt;&gt;"Documento a emitir",IF(_xlfn.XLOOKUP(D189,'LD-ELFA'!F:F,'LD-ELFA'!W:W)="","",_xlfn.XLOOKUP(D189,'LD-ELFA'!F:F,'LD-ELFA'!W:W)),""))</f>
        <v>46205.400029942131</v>
      </c>
      <c r="M189" s="43" t="str">
        <f>IF(K189="Documento a emitir","",IF(AND(Q189="APC-R  - APC-R - Aprovado com Comentários (Retornar para uma nova Aprovação)",Q189="APC-L  - APC-L  - Aprovado com Comentários (Retornar Aprovado)"),"",IF(OR(_xlfn.XLOOKUP(D189,'LD-ELFA'!F:F,'LD-ELFA'!N:N)="PARA CONHECIMENTO",_xlfn.XLOOKUP(D189,'LD-ELFA'!F:F,'LD-ELFA'!N:N)="PARA CONSTRUÇÃO",_xlfn.XLOOKUP(D189,'LD-ELFA'!F:F,'LD-ELFA'!N:N)="PARA COTAÇÃO",_xlfn.XLOOKUP(D189,'LD-ELFA'!F:F,'LD-ELFA'!N:N)="CANCELADO"),_xlfn.XLOOKUP(D189,'LD-ELFA'!F:F,'LD-ELFA'!U:U),IF(AND(L189="",J189&lt;&gt;"PARA APROVAÇÃO"),"",""))))</f>
        <v/>
      </c>
      <c r="N189" s="63" t="str">
        <f t="shared" ca="1" si="29"/>
        <v>Atrasado</v>
      </c>
      <c r="O189" s="63" t="str">
        <f t="shared" si="21"/>
        <v>Blossom - Atendimento de Comentário</v>
      </c>
      <c r="P189" s="63" t="str">
        <f t="shared" si="22"/>
        <v>Blossom</v>
      </c>
      <c r="Q189" s="63" t="str">
        <f>IF(_xlfn.XLOOKUP(D189,'LD-ELFA'!F:F,'LD-ELFA'!V:V)="","",_xlfn.XLOOKUP(D189,'LD-ELFA'!F:F,'LD-ELFA'!V:V))</f>
        <v>APC-R  - APC-R - Aprovado com Comentários (Retornar para uma nova Aprovação)</v>
      </c>
      <c r="R189" s="40" t="str">
        <f>IFERROR(IF(I189&lt;&gt;"","Documento Emitido",_xlfn.XLOOKUP(D189,Cronograma!P:P,Cronograma!Q:Q)),"Documento Removido")</f>
        <v>Documento Emitido</v>
      </c>
      <c r="S189" s="40" t="str">
        <f t="shared" ca="1" si="23"/>
        <v>Documento Emitido</v>
      </c>
      <c r="T189" s="40" t="str">
        <f>IFERROR(IF(I189&lt;&gt;"","Documento Emitido",_xlfn.XLOOKUP(D189,Cronograma!P:P,Cronograma!R:R)),"Documento Removido")</f>
        <v>Documento Emitido</v>
      </c>
      <c r="U189" s="39" t="str">
        <f t="shared" si="24"/>
        <v>Documento Emitido</v>
      </c>
      <c r="V189" s="39" t="str">
        <f t="shared" si="25"/>
        <v>Documento Emitido</v>
      </c>
      <c r="W189" s="39" t="str">
        <f t="shared" ca="1" si="26"/>
        <v/>
      </c>
    </row>
    <row r="190" spans="1:23" ht="28.5" customHeight="1" x14ac:dyDescent="0.25">
      <c r="A190" s="39">
        <v>187</v>
      </c>
      <c r="B190" s="39" t="str">
        <f>_xlfn.XLOOKUP(D190,'LD-ELFA'!F:F,'LD-ELFA'!C:C)</f>
        <v>EM - Estrutura Metalica</v>
      </c>
      <c r="C190" s="39" t="str">
        <f>_xlfn.XLOOKUP(D190,'LD-ELFA'!F:F,'LD-ELFA'!D:D)</f>
        <v>MCA - Memória De Cálculo</v>
      </c>
      <c r="D190" s="39" t="s">
        <v>192</v>
      </c>
      <c r="E190" s="39" t="str">
        <f>_xlfn.LET(_xlpm.q,_xlfn.XLOOKUP(D190,'LD-ELFA'!F:F,'LD-ELFA'!Q:Q),
   _xlpm.r,_xlfn.XLOOKUP(D190,'LD-ELFA'!F:F,'LD-ELFA'!R:R),
   IF(_xlpm.r = "", _xlpm.q, _xlpm.q &amp; " - " &amp; _xlpm.r))</f>
        <v>MEMÓRIA DE CÁLCULO  - COBERTURAS METÁLICAS – 2202-ED-001</v>
      </c>
      <c r="F190" s="63" t="str">
        <f t="shared" si="20"/>
        <v>Básico</v>
      </c>
      <c r="G190" s="63">
        <f>_xlfn.XLOOKUP(D190,'LD-ELFA'!F:F,'LD-ELFA'!G:G)</f>
        <v>0</v>
      </c>
      <c r="H190" s="63" t="str">
        <f>_xlfn.XLOOKUP(D190,'LD-ELFA'!F:F,'LD-ELFA'!I:I)</f>
        <v>A</v>
      </c>
      <c r="I190" s="63" t="str">
        <f>IF(_xlfn.XLOOKUP(D190,'LD-ELFA'!F:F,'LD-ELFA'!T:T)="","",_xlfn.XLOOKUP(D190,'LD-ELFA'!F:F,'LD-ELFA'!T:T))</f>
        <v>0010</v>
      </c>
      <c r="J190" s="63" t="str">
        <f>IF(K190="Documento a emitir", "",_xlfn.XLOOKUP(D190,'LD-ELFA'!F:F,'LD-ELFA'!N:N))</f>
        <v>PARA APROVAÇÃO</v>
      </c>
      <c r="K190" s="43">
        <f>IF(_xlfn.XLOOKUP($D190,'LD-ELFA'!F:F,'LD-ELFA'!U:U)="","Documento a emitir",_xlfn.XLOOKUP($D190,'LD-ELFA'!F:F,'LD-ELFA'!U:U))</f>
        <v>46204.519203321761</v>
      </c>
      <c r="L190" s="43">
        <f>IF(K190="Documento a emitir","Documento a emitir",IF(K190&lt;&gt;"Documento a emitir",IF(_xlfn.XLOOKUP(D190,'LD-ELFA'!F:F,'LD-ELFA'!W:W)="","",_xlfn.XLOOKUP(D190,'LD-ELFA'!F:F,'LD-ELFA'!W:W)),""))</f>
        <v>46205.449777083333</v>
      </c>
      <c r="M190" s="43" t="str">
        <f>IF(K190="Documento a emitir","",IF(AND(Q190="APC-R  - APC-R - Aprovado com Comentários (Retornar para uma nova Aprovação)",Q190="APC-L  - APC-L  - Aprovado com Comentários (Retornar Aprovado)"),"",IF(OR(_xlfn.XLOOKUP(D190,'LD-ELFA'!F:F,'LD-ELFA'!N:N)="PARA CONHECIMENTO",_xlfn.XLOOKUP(D190,'LD-ELFA'!F:F,'LD-ELFA'!N:N)="PARA CONSTRUÇÃO",_xlfn.XLOOKUP(D190,'LD-ELFA'!F:F,'LD-ELFA'!N:N)="PARA COTAÇÃO",_xlfn.XLOOKUP(D190,'LD-ELFA'!F:F,'LD-ELFA'!N:N)="CANCELADO"),_xlfn.XLOOKUP(D190,'LD-ELFA'!F:F,'LD-ELFA'!U:U),IF(AND(L190="",J190&lt;&gt;"PARA APROVAÇÃO"),"",""))))</f>
        <v/>
      </c>
      <c r="N190" s="63" t="str">
        <f ca="1">IF(O190="Documento Concluído","Documento Concluído",IF(O190="Cliente - Atendimento de Comentário",IF(TODAY()&lt;=(K190+3),"No prazo","Atrasado"),IF(O190="Cliente - Atendimento de Comentário",IF(TODAY()&lt;=(WORKDAY(K190,3,0)),"No prazo","Atrasado"),IF(O190="Blossom - Emissão Final",IF(TODAY()&lt;=(WORKDAY(L190,3,0)),"No prazo","Atrasado"),IF(O190="Blossom - Atendimento de Comentário",IF(TODAY()&lt;=(WORKDAY(L190,3,0)),"No prazo","Atrasado"),IF(O190="Blossom - Documento a emitir","Documento a Emitir",IF(O190="Documento Removido","Documento Removido","ERRO")))))))</f>
        <v>Atrasado</v>
      </c>
      <c r="O190" s="63" t="str">
        <f t="shared" si="21"/>
        <v>Blossom - Atendimento de Comentário</v>
      </c>
      <c r="P190" s="63" t="str">
        <f t="shared" si="22"/>
        <v>Blossom</v>
      </c>
      <c r="Q190" s="63" t="str">
        <f>IF(_xlfn.XLOOKUP(D190,'LD-ELFA'!F:F,'LD-ELFA'!V:V)="","",_xlfn.XLOOKUP(D190,'LD-ELFA'!F:F,'LD-ELFA'!V:V))</f>
        <v>APC-L  - APC-L  - Aprovado com Comentários (Retornar Aprovado)</v>
      </c>
      <c r="R190" s="40" t="str">
        <f>IFERROR(IF(I190&lt;&gt;"","Documento Emitido",_xlfn.XLOOKUP(D190,Cronograma!P:P,Cronograma!Q:Q)),"Documento Removido")</f>
        <v>Documento Emitido</v>
      </c>
      <c r="S190" s="40" t="str">
        <f t="shared" ca="1" si="23"/>
        <v>Documento Emitido</v>
      </c>
      <c r="T190" s="40" t="str">
        <f>IFERROR(IF(I190&lt;&gt;"","Documento Emitido",_xlfn.XLOOKUP(D190,Cronograma!P:P,Cronograma!R:R)),"Documento Removido")</f>
        <v>Documento Emitido</v>
      </c>
      <c r="U190" s="39" t="str">
        <f t="shared" si="24"/>
        <v>Documento Emitido</v>
      </c>
      <c r="V190" s="39" t="str">
        <f t="shared" si="25"/>
        <v>Documento Emitido</v>
      </c>
      <c r="W190" s="39" t="str">
        <f t="shared" ca="1" si="26"/>
        <v/>
      </c>
    </row>
    <row r="191" spans="1:23" ht="28.5" customHeight="1" x14ac:dyDescent="0.25">
      <c r="A191" s="39">
        <v>188</v>
      </c>
      <c r="B191" s="39" t="str">
        <f>_xlfn.XLOOKUP(D191,'LD-ELFA'!F:F,'LD-ELFA'!C:C)</f>
        <v>EM - Estrutura Metalica</v>
      </c>
      <c r="C191" s="39" t="str">
        <f>_xlfn.XLOOKUP(D191,'LD-ELFA'!F:F,'LD-ELFA'!D:D)</f>
        <v>MCA - Memória De Cálculo</v>
      </c>
      <c r="D191" s="39" t="s">
        <v>193</v>
      </c>
      <c r="E191" s="39" t="str">
        <f>_xlfn.LET(_xlpm.q,_xlfn.XLOOKUP(D191,'LD-ELFA'!F:F,'LD-ELFA'!Q:Q),
   _xlpm.r,_xlfn.XLOOKUP(D191,'LD-ELFA'!F:F,'LD-ELFA'!R:R),
   IF(_xlpm.r = "", _xlpm.q, _xlpm.q &amp; " - " &amp; _xlpm.r))</f>
        <v>MEMÓRIA DE CÁLCULO  - COBERTURAS METÁLICAS – 2203-ED-001</v>
      </c>
      <c r="F191" s="63" t="str">
        <f t="shared" si="20"/>
        <v>Básico</v>
      </c>
      <c r="G191" s="63">
        <f>_xlfn.XLOOKUP(D191,'LD-ELFA'!F:F,'LD-ELFA'!G:G)</f>
        <v>0</v>
      </c>
      <c r="H191" s="63" t="str">
        <f>_xlfn.XLOOKUP(D191,'LD-ELFA'!F:F,'LD-ELFA'!I:I)</f>
        <v>A</v>
      </c>
      <c r="I191" s="63" t="str">
        <f>IF(_xlfn.XLOOKUP(D191,'LD-ELFA'!F:F,'LD-ELFA'!T:T)="","",_xlfn.XLOOKUP(D191,'LD-ELFA'!F:F,'LD-ELFA'!T:T))</f>
        <v>0010</v>
      </c>
      <c r="J191" s="63" t="str">
        <f>IF(K191="Documento a emitir", "",_xlfn.XLOOKUP(D191,'LD-ELFA'!F:F,'LD-ELFA'!N:N))</f>
        <v>PARA APROVAÇÃO</v>
      </c>
      <c r="K191" s="43">
        <f>IF(_xlfn.XLOOKUP($D191,'LD-ELFA'!F:F,'LD-ELFA'!U:U)="","Documento a emitir",_xlfn.XLOOKUP($D191,'LD-ELFA'!F:F,'LD-ELFA'!U:U))</f>
        <v>46204.519204976852</v>
      </c>
      <c r="L191" s="43">
        <f>IF(K191="Documento a emitir","Documento a emitir",IF(K191&lt;&gt;"Documento a emitir",IF(_xlfn.XLOOKUP(D191,'LD-ELFA'!F:F,'LD-ELFA'!W:W)="","",_xlfn.XLOOKUP(D191,'LD-ELFA'!F:F,'LD-ELFA'!W:W)),""))</f>
        <v>46205.480170868053</v>
      </c>
      <c r="M191" s="43" t="str">
        <f>IF(K191="Documento a emitir","",IF(AND(Q191="APC-R  - APC-R - Aprovado com Comentários (Retornar para uma nova Aprovação)",Q191="APC-L  - APC-L  - Aprovado com Comentários (Retornar Aprovado)"),"",IF(OR(_xlfn.XLOOKUP(D191,'LD-ELFA'!F:F,'LD-ELFA'!N:N)="PARA CONHECIMENTO",_xlfn.XLOOKUP(D191,'LD-ELFA'!F:F,'LD-ELFA'!N:N)="PARA CONSTRUÇÃO",_xlfn.XLOOKUP(D191,'LD-ELFA'!F:F,'LD-ELFA'!N:N)="PARA COTAÇÃO",_xlfn.XLOOKUP(D191,'LD-ELFA'!F:F,'LD-ELFA'!N:N)="CANCELADO"),_xlfn.XLOOKUP(D191,'LD-ELFA'!F:F,'LD-ELFA'!U:U),IF(AND(L191="",J191&lt;&gt;"PARA APROVAÇÃO"),"",""))))</f>
        <v/>
      </c>
      <c r="N191" s="63" t="str">
        <f ca="1">IF(O191="Documento Concluído","Documento Concluído",IF(O191="Cliente - Atendimento de Comentário",IF(TODAY()&lt;=(K191+3),"No prazo","Atrasado"),IF(O191="Cliente - Atendimento de Comentário",IF(TODAY()&lt;=(WORKDAY(K191,3,0)),"No prazo","Atrasado"),IF(O191="Blossom - Emissão Final",IF(TODAY()&lt;=(WORKDAY(L191,3,0)),"No prazo","Atrasado"),IF(O191="Blossom - Atendimento de Comentário",IF(TODAY()&lt;=(WORKDAY(L191,3,0)),"No prazo","Atrasado"),IF(O191="Blossom - Documento a emitir","Documento a Emitir",IF(O191="Documento Removido","Documento Removido","ERRO")))))))</f>
        <v>Atrasado</v>
      </c>
      <c r="O191" s="63" t="str">
        <f t="shared" si="21"/>
        <v>Blossom - Atendimento de Comentário</v>
      </c>
      <c r="P191" s="63" t="str">
        <f t="shared" si="22"/>
        <v>Blossom</v>
      </c>
      <c r="Q191" s="63" t="str">
        <f>IF(_xlfn.XLOOKUP(D191,'LD-ELFA'!F:F,'LD-ELFA'!V:V)="","",_xlfn.XLOOKUP(D191,'LD-ELFA'!F:F,'LD-ELFA'!V:V))</f>
        <v>APC-L  - APC-L  - Aprovado com Comentários (Retornar Aprovado)</v>
      </c>
      <c r="R191" s="40" t="str">
        <f>IFERROR(IF(I191&lt;&gt;"","Documento Emitido",_xlfn.XLOOKUP(D191,Cronograma!P:P,Cronograma!Q:Q)),"Documento Removido")</f>
        <v>Documento Emitido</v>
      </c>
      <c r="S191" s="40" t="str">
        <f t="shared" ca="1" si="23"/>
        <v>Documento Emitido</v>
      </c>
      <c r="T191" s="40" t="str">
        <f>IFERROR(IF(I191&lt;&gt;"","Documento Emitido",_xlfn.XLOOKUP(D191,Cronograma!P:P,Cronograma!R:R)),"Documento Removido")</f>
        <v>Documento Emitido</v>
      </c>
      <c r="U191" s="39" t="str">
        <f t="shared" si="24"/>
        <v>Documento Emitido</v>
      </c>
      <c r="V191" s="39" t="str">
        <f t="shared" si="25"/>
        <v>Documento Emitido</v>
      </c>
      <c r="W191" s="39" t="str">
        <f t="shared" ca="1" si="26"/>
        <v/>
      </c>
    </row>
    <row r="192" spans="1:23" ht="28.5" customHeight="1" x14ac:dyDescent="0.25">
      <c r="A192" s="39">
        <v>189</v>
      </c>
      <c r="B192" s="39" t="str">
        <f>_xlfn.XLOOKUP(D192,'LD-ELFA'!F:F,'LD-ELFA'!C:C)</f>
        <v>EM - Estrutura Metalica</v>
      </c>
      <c r="C192" s="39" t="str">
        <f>_xlfn.XLOOKUP(D192,'LD-ELFA'!F:F,'LD-ELFA'!D:D)</f>
        <v>MCA - Memória De Cálculo</v>
      </c>
      <c r="D192" s="39" t="s">
        <v>194</v>
      </c>
      <c r="E192" s="39" t="str">
        <f>_xlfn.LET(_xlpm.q,_xlfn.XLOOKUP(D192,'LD-ELFA'!F:F,'LD-ELFA'!Q:Q),
   _xlpm.r,_xlfn.XLOOKUP(D192,'LD-ELFA'!F:F,'LD-ELFA'!R:R),
   IF(_xlpm.r = "", _xlpm.q, _xlpm.q &amp; " - " &amp; _xlpm.r))</f>
        <v xml:space="preserve">MEMÓRIA DE CÁLCULO  - COBERTURAS METÁLICAS – 2204-ED-001 </v>
      </c>
      <c r="F192" s="63" t="str">
        <f t="shared" si="20"/>
        <v>Básico</v>
      </c>
      <c r="G192" s="63">
        <f>_xlfn.XLOOKUP(D192,'LD-ELFA'!F:F,'LD-ELFA'!G:G)</f>
        <v>0</v>
      </c>
      <c r="H192" s="63" t="str">
        <f>_xlfn.XLOOKUP(D192,'LD-ELFA'!F:F,'LD-ELFA'!I:I)</f>
        <v>A</v>
      </c>
      <c r="I192" s="63" t="str">
        <f>IF(_xlfn.XLOOKUP(D192,'LD-ELFA'!F:F,'LD-ELFA'!T:T)="","",_xlfn.XLOOKUP(D192,'LD-ELFA'!F:F,'LD-ELFA'!T:T))</f>
        <v>0015</v>
      </c>
      <c r="J192" s="63" t="str">
        <f>IF(K192="Documento a emitir", "",_xlfn.XLOOKUP(D192,'LD-ELFA'!F:F,'LD-ELFA'!N:N))</f>
        <v>PARA APROVAÇÃO</v>
      </c>
      <c r="K192" s="43">
        <f>IF(_xlfn.XLOOKUP($D192,'LD-ELFA'!F:F,'LD-ELFA'!U:U)="","Documento a emitir",_xlfn.XLOOKUP($D192,'LD-ELFA'!F:F,'LD-ELFA'!U:U))</f>
        <v>46204.700839467587</v>
      </c>
      <c r="L192" s="43">
        <f>IF(K192="Documento a emitir","Documento a emitir",IF(K192&lt;&gt;"Documento a emitir",IF(_xlfn.XLOOKUP(D192,'LD-ELFA'!F:F,'LD-ELFA'!W:W)="","",_xlfn.XLOOKUP(D192,'LD-ELFA'!F:F,'LD-ELFA'!W:W)),""))</f>
        <v>46209.573631134263</v>
      </c>
      <c r="M192" s="43" t="str">
        <f>IF(K192="Documento a emitir","",IF(AND(Q192="APC-R  - APC-R - Aprovado com Comentários (Retornar para uma nova Aprovação)",Q192="APC-L  - APC-L  - Aprovado com Comentários (Retornar Aprovado)"),"",IF(OR(_xlfn.XLOOKUP(D192,'LD-ELFA'!F:F,'LD-ELFA'!N:N)="PARA CONHECIMENTO",_xlfn.XLOOKUP(D192,'LD-ELFA'!F:F,'LD-ELFA'!N:N)="PARA CONSTRUÇÃO",_xlfn.XLOOKUP(D192,'LD-ELFA'!F:F,'LD-ELFA'!N:N)="PARA COTAÇÃO",_xlfn.XLOOKUP(D192,'LD-ELFA'!F:F,'LD-ELFA'!N:N)="CANCELADO"),_xlfn.XLOOKUP(D192,'LD-ELFA'!F:F,'LD-ELFA'!U:U),IF(AND(L192="",J192&lt;&gt;"PARA APROVAÇÃO"),"",""))))</f>
        <v/>
      </c>
      <c r="N192" s="63" t="str">
        <f ca="1">IF(O192="Documento Concluído","Documento Concluído",IF(O192="Cliente - Atendimento de Comentário",IF(TODAY()&lt;=(K192+3),"No prazo","Atrasado"),IF(O192="Cliente - Atendimento de Comentário",IF(TODAY()&lt;=(WORKDAY(K192,3,0)),"No prazo","Atrasado"),IF(O192="Blossom - Emissão Final",IF(TODAY()&lt;=(WORKDAY(L192,3,0)),"No prazo","Atrasado"),IF(O192="Blossom - Atendimento de Comentário",IF(TODAY()&lt;=(WORKDAY(L192,3,0)),"No prazo","Atrasado"),IF(O192="Blossom - Documento a emitir","Documento a Emitir",IF(O192="Documento Removido","Documento Removido","ERRO")))))))</f>
        <v>Atrasado</v>
      </c>
      <c r="O192" s="63" t="str">
        <f t="shared" si="21"/>
        <v>Blossom - Atendimento de Comentário</v>
      </c>
      <c r="P192" s="63" t="str">
        <f t="shared" si="22"/>
        <v>Blossom</v>
      </c>
      <c r="Q192" s="63" t="str">
        <f>IF(_xlfn.XLOOKUP(D192,'LD-ELFA'!F:F,'LD-ELFA'!V:V)="","",_xlfn.XLOOKUP(D192,'LD-ELFA'!F:F,'LD-ELFA'!V:V))</f>
        <v>APC-L  - APC-L  - Aprovado com Comentários (Retornar Aprovado)</v>
      </c>
      <c r="R192" s="40" t="str">
        <f>IFERROR(IF(I192&lt;&gt;"","Documento Emitido",_xlfn.XLOOKUP(D192,Cronograma!P:P,Cronograma!Q:Q)),"Documento Removido")</f>
        <v>Documento Emitido</v>
      </c>
      <c r="S192" s="40" t="str">
        <f t="shared" ca="1" si="23"/>
        <v>Documento Emitido</v>
      </c>
      <c r="T192" s="40" t="str">
        <f>IFERROR(IF(I192&lt;&gt;"","Documento Emitido",_xlfn.XLOOKUP(D192,Cronograma!P:P,Cronograma!R:R)),"Documento Removido")</f>
        <v>Documento Emitido</v>
      </c>
      <c r="U192" s="39" t="str">
        <f t="shared" si="24"/>
        <v>Documento Emitido</v>
      </c>
      <c r="V192" s="39" t="str">
        <f t="shared" si="25"/>
        <v>Documento Emitido</v>
      </c>
      <c r="W192" s="39" t="str">
        <f t="shared" ca="1" si="26"/>
        <v/>
      </c>
    </row>
    <row r="193" spans="1:23" ht="28.5" customHeight="1" x14ac:dyDescent="0.25">
      <c r="A193" s="39">
        <v>190</v>
      </c>
      <c r="B193" s="39" t="str">
        <f>_xlfn.XLOOKUP(D193,'LD-ELFA'!F:F,'LD-ELFA'!C:C)</f>
        <v>EM - Estrutura Metalica</v>
      </c>
      <c r="C193" s="39" t="str">
        <f>_xlfn.XLOOKUP(D193,'LD-ELFA'!F:F,'LD-ELFA'!D:D)</f>
        <v>MCA - Memória De Cálculo</v>
      </c>
      <c r="D193" s="39" t="s">
        <v>195</v>
      </c>
      <c r="E193" s="39" t="str">
        <f>_xlfn.LET(_xlpm.q,_xlfn.XLOOKUP(D193,'LD-ELFA'!F:F,'LD-ELFA'!Q:Q),
   _xlpm.r,_xlfn.XLOOKUP(D193,'LD-ELFA'!F:F,'LD-ELFA'!R:R),
   IF(_xlpm.r = "", _xlpm.q, _xlpm.q &amp; " - " &amp; _xlpm.r))</f>
        <v>MEMÓRIA DE CÁLCULO  - COBERTURAS METÁLICAS – 2205-ED-001</v>
      </c>
      <c r="F193" s="63" t="str">
        <f t="shared" si="20"/>
        <v>Básico</v>
      </c>
      <c r="G193" s="63">
        <f>_xlfn.XLOOKUP(D193,'LD-ELFA'!F:F,'LD-ELFA'!G:G)</f>
        <v>0</v>
      </c>
      <c r="H193" s="63" t="str">
        <f>_xlfn.XLOOKUP(D193,'LD-ELFA'!F:F,'LD-ELFA'!I:I)</f>
        <v>A</v>
      </c>
      <c r="I193" s="63" t="str">
        <f>IF(_xlfn.XLOOKUP(D193,'LD-ELFA'!F:F,'LD-ELFA'!T:T)="","",_xlfn.XLOOKUP(D193,'LD-ELFA'!F:F,'LD-ELFA'!T:T))</f>
        <v>0016</v>
      </c>
      <c r="J193" s="63" t="str">
        <f>IF(K193="Documento a emitir", "",_xlfn.XLOOKUP(D193,'LD-ELFA'!F:F,'LD-ELFA'!N:N))</f>
        <v>PARA APROVAÇÃO</v>
      </c>
      <c r="K193" s="43">
        <f>IF(_xlfn.XLOOKUP($D193,'LD-ELFA'!F:F,'LD-ELFA'!U:U)="","Documento a emitir",_xlfn.XLOOKUP($D193,'LD-ELFA'!F:F,'LD-ELFA'!U:U))</f>
        <v>46204.72341875</v>
      </c>
      <c r="L193" s="43">
        <f>IF(K193="Documento a emitir","Documento a emitir",IF(K193&lt;&gt;"Documento a emitir",IF(_xlfn.XLOOKUP(D193,'LD-ELFA'!F:F,'LD-ELFA'!W:W)="","",_xlfn.XLOOKUP(D193,'LD-ELFA'!F:F,'LD-ELFA'!W:W)),""))</f>
        <v>46209.576741666657</v>
      </c>
      <c r="M193" s="43" t="str">
        <f>IF(K193="Documento a emitir","",IF(AND(Q193="APC-R  - APC-R - Aprovado com Comentários (Retornar para uma nova Aprovação)",Q193="APC-L  - APC-L  - Aprovado com Comentários (Retornar Aprovado)"),"",IF(OR(_xlfn.XLOOKUP(D193,'LD-ELFA'!F:F,'LD-ELFA'!N:N)="PARA CONHECIMENTO",_xlfn.XLOOKUP(D193,'LD-ELFA'!F:F,'LD-ELFA'!N:N)="PARA CONSTRUÇÃO",_xlfn.XLOOKUP(D193,'LD-ELFA'!F:F,'LD-ELFA'!N:N)="PARA COTAÇÃO",_xlfn.XLOOKUP(D193,'LD-ELFA'!F:F,'LD-ELFA'!N:N)="CANCELADO"),_xlfn.XLOOKUP(D193,'LD-ELFA'!F:F,'LD-ELFA'!U:U),IF(AND(L193="",J193&lt;&gt;"PARA APROVAÇÃO"),"",""))))</f>
        <v/>
      </c>
      <c r="N193" s="63" t="str">
        <f ca="1">IF(O193="Documento Concluído","Documento Concluído",IF(O193="Cliente - Atendimento de Comentário",IF(TODAY()&lt;=(K193+3),"No prazo","Atrasado"),IF(O193="Cliente - Atendimento de Comentário",IF(TODAY()&lt;=(WORKDAY(K193,3,0)),"No prazo","Atrasado"),IF(O193="Blossom - Emissão Final",IF(TODAY()&lt;=(WORKDAY(L193,3,0)),"No prazo","Atrasado"),IF(O193="Blossom - Atendimento de Comentário",IF(TODAY()&lt;=(WORKDAY(L193,3,0)),"No prazo","Atrasado"),IF(O193="Blossom - Documento a emitir","Documento a Emitir","ERRO"))))))</f>
        <v>Atrasado</v>
      </c>
      <c r="O193" s="63" t="str">
        <f t="shared" si="21"/>
        <v>Blossom - Atendimento de Comentário</v>
      </c>
      <c r="P193" s="63" t="str">
        <f t="shared" si="22"/>
        <v>Blossom</v>
      </c>
      <c r="Q193" s="63" t="str">
        <f>IF(_xlfn.XLOOKUP(D193,'LD-ELFA'!F:F,'LD-ELFA'!V:V)="","",_xlfn.XLOOKUP(D193,'LD-ELFA'!F:F,'LD-ELFA'!V:V))</f>
        <v>APC-L  - APC-L  - Aprovado com Comentários (Retornar Aprovado)</v>
      </c>
      <c r="R193" s="40" t="str">
        <f>IFERROR(IF(I193&lt;&gt;"","Documento Emitido",_xlfn.XLOOKUP(D193,Cronograma!P:P,Cronograma!Q:Q)),"Documento Removido")</f>
        <v>Documento Emitido</v>
      </c>
      <c r="S193" s="40" t="str">
        <f t="shared" ca="1" si="23"/>
        <v>Documento Emitido</v>
      </c>
      <c r="T193" s="40" t="str">
        <f>IFERROR(IF(I193&lt;&gt;"","Documento Emitido",_xlfn.XLOOKUP(D193,Cronograma!P:P,Cronograma!R:R)),"Documento Removido")</f>
        <v>Documento Emitido</v>
      </c>
      <c r="U193" s="39" t="str">
        <f t="shared" si="24"/>
        <v>Documento Emitido</v>
      </c>
      <c r="V193" s="39" t="str">
        <f t="shared" si="25"/>
        <v>Documento Emitido</v>
      </c>
      <c r="W193" s="39" t="str">
        <f t="shared" ca="1" si="26"/>
        <v/>
      </c>
    </row>
    <row r="194" spans="1:23" ht="28.5" customHeight="1" x14ac:dyDescent="0.25">
      <c r="A194" s="39">
        <v>191</v>
      </c>
      <c r="B194" s="39" t="e">
        <f>_xlfn.XLOOKUP(D194,'LD-ELFA'!F:F,'LD-ELFA'!C:C)</f>
        <v>#N/A</v>
      </c>
      <c r="C194" s="39" t="e">
        <f>_xlfn.XLOOKUP(D194,'LD-ELFA'!F:F,'LD-ELFA'!D:D)</f>
        <v>#N/A</v>
      </c>
      <c r="D194" s="39" t="s">
        <v>196</v>
      </c>
      <c r="E194" s="39" t="e">
        <f>_xlfn.LET(_xlpm.q,_xlfn.XLOOKUP(D194,'LD-ELFA'!F:F,'LD-ELFA'!Q:Q),
   _xlpm.r,_xlfn.XLOOKUP(D194,'LD-ELFA'!F:F,'LD-ELFA'!R:R),
   IF(_xlpm.r = "", _xlpm.q, _xlpm.q &amp; " - " &amp; _xlpm.r))</f>
        <v>#N/A</v>
      </c>
      <c r="F194" s="63" t="str">
        <f t="shared" si="20"/>
        <v>Detalhado</v>
      </c>
      <c r="G194" s="63" t="e">
        <f>_xlfn.XLOOKUP(D194,'LD-ELFA'!F:F,'LD-ELFA'!G:G)</f>
        <v>#N/A</v>
      </c>
      <c r="H194" s="63" t="e">
        <f>_xlfn.XLOOKUP(D194,'LD-ELFA'!F:F,'LD-ELFA'!I:I)</f>
        <v>#N/A</v>
      </c>
      <c r="I194" s="63" t="e">
        <f>IF(_xlfn.XLOOKUP(D194,'LD-ELFA'!F:F,'LD-ELFA'!T:T)="","",_xlfn.XLOOKUP(D194,'LD-ELFA'!F:F,'LD-ELFA'!T:T))</f>
        <v>#N/A</v>
      </c>
      <c r="J194" s="63" t="e">
        <f>IF(K194="Documento a emitir", "",_xlfn.XLOOKUP(D194,'LD-ELFA'!F:F,'LD-ELFA'!N:N))</f>
        <v>#N/A</v>
      </c>
      <c r="K194" s="43" t="e">
        <f>IF(_xlfn.XLOOKUP($D194,'LD-ELFA'!F:F,'LD-ELFA'!U:U)="","Documento a emitir",_xlfn.XLOOKUP($D194,'LD-ELFA'!F:F,'LD-ELFA'!U:U))</f>
        <v>#N/A</v>
      </c>
      <c r="L194" s="43" t="e">
        <f>IF(K194="Documento a emitir","Documento a emitir",IF(K194&lt;&gt;"Documento a emitir",IF(_xlfn.XLOOKUP(D194,'LD-ELFA'!F:F,'LD-ELFA'!W:W)="","",_xlfn.XLOOKUP(D194,'LD-ELFA'!F:F,'LD-ELFA'!W:W)),""))</f>
        <v>#N/A</v>
      </c>
      <c r="M194" s="43" t="e">
        <f>IF(K194="Documento a emitir","",IF(AND(Q194="APC-R  - APC-R - Aprovado com Comentários (Retornar para uma nova Aprovação)",Q194="APC-L  - APC-L  - Aprovado com Comentários (Retornar Aprovado)"),"",IF(OR(_xlfn.XLOOKUP(D194,'LD-ELFA'!F:F,'LD-ELFA'!N:N)="PARA CONHECIMENTO",_xlfn.XLOOKUP(D194,'LD-ELFA'!F:F,'LD-ELFA'!N:N)="PARA CONSTRUÇÃO",_xlfn.XLOOKUP(D194,'LD-ELFA'!F:F,'LD-ELFA'!N:N)="PARA COTAÇÃO",_xlfn.XLOOKUP(D194,'LD-ELFA'!F:F,'LD-ELFA'!N:N)="CANCELADO"),_xlfn.XLOOKUP(D194,'LD-ELFA'!F:F,'LD-ELFA'!U:U),IF(AND(L194="",J194&lt;&gt;"PARA APROVAÇÃO"),"",""))))</f>
        <v>#N/A</v>
      </c>
      <c r="N194" s="63" t="str">
        <f ca="1">IF(O194="Documento Concluído","Documento Concluído",IF(O194="Cliente - Atendimento de Comentário",IF(TODAY()&lt;=(K194+3),"No prazo","Atrasado"),IF(O194="Cliente - Atendimento de Comentário",IF(TODAY()&lt;=(WORKDAY(K194,3,0)),"No prazo","Atrasado"),IF(O194="Blossom - Emissão Final",IF(TODAY()&lt;=(WORKDAY(L194,3,0)),"No prazo","Atrasado"),IF(O194="Blossom - Atendimento de Comentário",IF(TODAY()&lt;=(WORKDAY(L194,3,0)),"No prazo","Atrasado"),IF(O194="Blossom - Documento a emitir","Documento a Emitir","ERRO"))))))</f>
        <v>ERRO</v>
      </c>
      <c r="O194" s="63" t="str">
        <f t="shared" si="21"/>
        <v>Documento Removido</v>
      </c>
      <c r="P194" s="63" t="str">
        <f t="shared" si="22"/>
        <v>Blossom</v>
      </c>
      <c r="Q194" s="63" t="e">
        <f>IF(_xlfn.XLOOKUP(D194,'LD-ELFA'!F:F,'LD-ELFA'!V:V)="","",_xlfn.XLOOKUP(D194,'LD-ELFA'!F:F,'LD-ELFA'!V:V))</f>
        <v>#N/A</v>
      </c>
      <c r="R194" s="40" t="str">
        <f>IFERROR(IF(I194&lt;&gt;"","Documento Emitido",_xlfn.XLOOKUP(D194,Cronograma!P:P,Cronograma!Q:Q)),"Documento Removido")</f>
        <v>Documento Removido</v>
      </c>
      <c r="S194" s="40" t="str">
        <f t="shared" ca="1" si="23"/>
        <v>Documento Removido</v>
      </c>
      <c r="T194" s="40" t="str">
        <f>IFERROR(IF(I194&lt;&gt;"","Documento Emitido",_xlfn.XLOOKUP(D194,Cronograma!P:P,Cronograma!R:R)),"Documento Removido")</f>
        <v>Documento Removido</v>
      </c>
      <c r="U194" s="39" t="str">
        <f t="shared" si="24"/>
        <v>Documento Removido</v>
      </c>
      <c r="V194" s="39" t="str">
        <f t="shared" si="25"/>
        <v>Documento Removido</v>
      </c>
      <c r="W194" s="39" t="e">
        <f t="shared" ca="1" si="26"/>
        <v>#N/A</v>
      </c>
    </row>
    <row r="195" spans="1:23" ht="28.5" customHeight="1" x14ac:dyDescent="0.25">
      <c r="A195" s="39">
        <v>192</v>
      </c>
      <c r="B195" s="39" t="str">
        <f>_xlfn.XLOOKUP(D195,'LD-ELFA'!F:F,'LD-ELFA'!C:C)</f>
        <v>EM - Estrutura Metalica</v>
      </c>
      <c r="C195" s="39" t="str">
        <f>_xlfn.XLOOKUP(D195,'LD-ELFA'!F:F,'LD-ELFA'!D:D)</f>
        <v>PQU - Planilha De Quantitativos</v>
      </c>
      <c r="D195" s="39" t="s">
        <v>197</v>
      </c>
      <c r="E195" s="39" t="str">
        <f>_xlfn.LET(_xlpm.q,_xlfn.XLOOKUP(D195,'LD-ELFA'!F:F,'LD-ELFA'!Q:Q),
   _xlpm.r,_xlfn.XLOOKUP(D195,'LD-ELFA'!F:F,'LD-ELFA'!R:R),
   IF(_xlpm.r = "", _xlpm.q, _xlpm.q &amp; " - " &amp; _xlpm.r))</f>
        <v>PLANILHA DE QUANTIDADES - FORNECIMENTO DE ESTRUTURA METÁLICA</v>
      </c>
      <c r="F195" s="63" t="str">
        <f t="shared" si="20"/>
        <v>Básico</v>
      </c>
      <c r="G195" s="63">
        <f>_xlfn.XLOOKUP(D195,'LD-ELFA'!F:F,'LD-ELFA'!G:G)</f>
        <v>0</v>
      </c>
      <c r="H195" s="63">
        <f>_xlfn.XLOOKUP(D195,'LD-ELFA'!F:F,'LD-ELFA'!I:I)</f>
        <v>0</v>
      </c>
      <c r="I195" s="63" t="str">
        <f>IF(_xlfn.XLOOKUP(D195,'LD-ELFA'!F:F,'LD-ELFA'!T:T)="","",_xlfn.XLOOKUP(D195,'LD-ELFA'!F:F,'LD-ELFA'!T:T))</f>
        <v/>
      </c>
      <c r="J195" s="63" t="str">
        <f>IF(K195="Documento a emitir", "",_xlfn.XLOOKUP(D195,'LD-ELFA'!F:F,'LD-ELFA'!N:N))</f>
        <v/>
      </c>
      <c r="K195" s="43" t="str">
        <f>IF(_xlfn.XLOOKUP($D195,'LD-ELFA'!F:F,'LD-ELFA'!U:U)="","Documento a emitir",_xlfn.XLOOKUP($D195,'LD-ELFA'!F:F,'LD-ELFA'!U:U))</f>
        <v>Documento a emitir</v>
      </c>
      <c r="L195" s="43" t="str">
        <f>IF(K195="Documento a emitir","Documento a emitir",IF(K195&lt;&gt;"Documento a emitir",IF(_xlfn.XLOOKUP(D195,'LD-ELFA'!F:F,'LD-ELFA'!W:W)="","",_xlfn.XLOOKUP(D195,'LD-ELFA'!F:F,'LD-ELFA'!W:W)),""))</f>
        <v>Documento a emitir</v>
      </c>
      <c r="M195" s="43" t="str">
        <f>IF(K195="Documento a emitir","",IF(AND(Q195="APC-R  - APC-R - Aprovado com Comentários (Retornar para uma nova Aprovação)",Q195="APC-L  - APC-L  - Aprovado com Comentários (Retornar Aprovado)"),"",IF(OR(_xlfn.XLOOKUP(D195,'LD-ELFA'!F:F,'LD-ELFA'!N:N)="PARA CONHECIMENTO",_xlfn.XLOOKUP(D195,'LD-ELFA'!F:F,'LD-ELFA'!N:N)="PARA CONSTRUÇÃO",_xlfn.XLOOKUP(D195,'LD-ELFA'!F:F,'LD-ELFA'!N:N)="PARA COTAÇÃO",_xlfn.XLOOKUP(D195,'LD-ELFA'!F:F,'LD-ELFA'!N:N)="CANCELADO"),_xlfn.XLOOKUP(D195,'LD-ELFA'!F:F,'LD-ELFA'!U:U),IF(AND(L195="",J195&lt;&gt;"PARA APROVAÇÃO"),"",""))))</f>
        <v/>
      </c>
      <c r="N195" s="63" t="str">
        <f ca="1">IF(O195="Documento Concluído","Documento Concluído",IF(O195="Cliente - Atendimento de Comentário",IF(TODAY()&lt;=(K195+3),"No prazo","Atrasado"),IF(O195="Cliente - Atendimento de Comentário",IF(TODAY()&lt;=(WORKDAY(K195,3,0)),"No prazo","Atrasado"),IF(O195="Blossom - Emissão Final",IF(TODAY()&lt;=(WORKDAY(L195,3,0)),"No prazo","Atrasado"),IF(O195="Blossom - Atendimento de Comentário",IF(TODAY()&lt;=(WORKDAY(L195,3,0)),"No prazo","Atrasado"),IF(O195="Blossom - Documento a emitir","Documento a Emitir",IF(O195="Documento Removido","Documento Removido","ERRO")))))))</f>
        <v>Documento a Emitir</v>
      </c>
      <c r="O195" s="63" t="str">
        <f t="shared" si="21"/>
        <v>Blossom - Documento a emitir</v>
      </c>
      <c r="P195" s="63" t="str">
        <f t="shared" si="22"/>
        <v>Blossom</v>
      </c>
      <c r="Q195" s="63" t="str">
        <f>IF(_xlfn.XLOOKUP(D195,'LD-ELFA'!F:F,'LD-ELFA'!V:V)="","",_xlfn.XLOOKUP(D195,'LD-ELFA'!F:F,'LD-ELFA'!V:V))</f>
        <v/>
      </c>
      <c r="R195" s="40">
        <f>IFERROR(IF(I195&lt;&gt;"","Documento Emitido",_xlfn.XLOOKUP(D195,Cronograma!P:P,Cronograma!Q:Q)),"Documento Removido")</f>
        <v>46274</v>
      </c>
      <c r="S195" s="40" t="str">
        <f t="shared" ca="1" si="23"/>
        <v>No prazo</v>
      </c>
      <c r="T195" s="40">
        <f>IFERROR(IF(I195&lt;&gt;"","Documento Emitido",_xlfn.XLOOKUP(D195,Cronograma!P:P,Cronograma!R:R)),"Documento Removido")</f>
        <v>46234</v>
      </c>
      <c r="U195" s="39" t="str">
        <f t="shared" si="24"/>
        <v>Emissão Atrasada</v>
      </c>
      <c r="V195" s="39" t="str">
        <f t="shared" si="25"/>
        <v/>
      </c>
      <c r="W195" s="39" t="str">
        <f t="shared" ca="1" si="26"/>
        <v/>
      </c>
    </row>
    <row r="196" spans="1:23" ht="28.5" customHeight="1" x14ac:dyDescent="0.25">
      <c r="A196" s="39">
        <v>193</v>
      </c>
      <c r="B196" s="39" t="str">
        <f>_xlfn.XLOOKUP(D196,'LD-ELFA'!F:F,'LD-ELFA'!C:C)</f>
        <v>EM - Estrutura Metalica</v>
      </c>
      <c r="C196" s="39" t="str">
        <f>_xlfn.XLOOKUP(D196,'LD-ELFA'!F:F,'LD-ELFA'!D:D)</f>
        <v>PQU - Planilha De Quantitativos</v>
      </c>
      <c r="D196" s="39" t="s">
        <v>198</v>
      </c>
      <c r="E196" s="39" t="str">
        <f>_xlfn.LET(_xlpm.q,_xlfn.XLOOKUP(D196,'LD-ELFA'!F:F,'LD-ELFA'!Q:Q),
   _xlpm.r,_xlfn.XLOOKUP(D196,'LD-ELFA'!F:F,'LD-ELFA'!R:R),
   IF(_xlpm.r = "", _xlpm.q, _xlpm.q &amp; " - " &amp; _xlpm.r))</f>
        <v>PLANILHA DE QUANTIDADES - FORNECIMENTO DE ESTRUTURA METÁLICA</v>
      </c>
      <c r="F196" s="63" t="str">
        <f t="shared" ref="F196:F259" si="30">IF(ISNUMBER(VALUE(RIGHT(D196,4))),
IF(AND(VALUE(RIGHT(D196,4))&gt;=1000, VALUE(RIGHT(D196,4))&lt;2000), "Conceitual",
IF(AND(VALUE(RIGHT(D196,4))&gt;=2000, VALUE(RIGHT(D196,4))&lt;3000), "Básico",
IF(AND(VALUE(RIGHT(D196,4))&gt;=3000, VALUE(RIGHT(D196,4))&lt;4000), "Detalhado", ""))),
"")</f>
        <v>Básico</v>
      </c>
      <c r="G196" s="63">
        <f>_xlfn.XLOOKUP(D196,'LD-ELFA'!F:F,'LD-ELFA'!G:G)</f>
        <v>0</v>
      </c>
      <c r="H196" s="63">
        <f>_xlfn.XLOOKUP(D196,'LD-ELFA'!F:F,'LD-ELFA'!I:I)</f>
        <v>0</v>
      </c>
      <c r="I196" s="63" t="str">
        <f>IF(_xlfn.XLOOKUP(D196,'LD-ELFA'!F:F,'LD-ELFA'!T:T)="","",_xlfn.XLOOKUP(D196,'LD-ELFA'!F:F,'LD-ELFA'!T:T))</f>
        <v/>
      </c>
      <c r="J196" s="63" t="str">
        <f>IF(K196="Documento a emitir", "",_xlfn.XLOOKUP(D196,'LD-ELFA'!F:F,'LD-ELFA'!N:N))</f>
        <v/>
      </c>
      <c r="K196" s="43" t="str">
        <f>IF(_xlfn.XLOOKUP($D196,'LD-ELFA'!F:F,'LD-ELFA'!U:U)="","Documento a emitir",_xlfn.XLOOKUP($D196,'LD-ELFA'!F:F,'LD-ELFA'!U:U))</f>
        <v>Documento a emitir</v>
      </c>
      <c r="L196" s="43" t="str">
        <f>IF(K196="Documento a emitir","Documento a emitir",IF(K196&lt;&gt;"Documento a emitir",IF(_xlfn.XLOOKUP(D196,'LD-ELFA'!F:F,'LD-ELFA'!W:W)="","",_xlfn.XLOOKUP(D196,'LD-ELFA'!F:F,'LD-ELFA'!W:W)),""))</f>
        <v>Documento a emitir</v>
      </c>
      <c r="M196" s="43" t="str">
        <f>IF(K196="Documento a emitir","",IF(AND(Q196="APC-R  - APC-R - Aprovado com Comentários (Retornar para uma nova Aprovação)",Q196="APC-L  - APC-L  - Aprovado com Comentários (Retornar Aprovado)"),"",IF(OR(_xlfn.XLOOKUP(D196,'LD-ELFA'!F:F,'LD-ELFA'!N:N)="PARA CONHECIMENTO",_xlfn.XLOOKUP(D196,'LD-ELFA'!F:F,'LD-ELFA'!N:N)="PARA CONSTRUÇÃO",_xlfn.XLOOKUP(D196,'LD-ELFA'!F:F,'LD-ELFA'!N:N)="PARA COTAÇÃO",_xlfn.XLOOKUP(D196,'LD-ELFA'!F:F,'LD-ELFA'!N:N)="CANCELADO"),_xlfn.XLOOKUP(D196,'LD-ELFA'!F:F,'LD-ELFA'!U:U),IF(AND(L196="",J196&lt;&gt;"PARA APROVAÇÃO"),"",""))))</f>
        <v/>
      </c>
      <c r="N196" s="63" t="str">
        <f ca="1">IF(O196="Documento Concluído","Documento Concluído",IF(O196="Cliente - Atendimento de Comentário",IF(TODAY()&lt;=(K196+3),"No prazo","Atrasado"),IF(O196="Cliente - Atendimento de Comentário",IF(TODAY()&lt;=(WORKDAY(K196,3,0)),"No prazo","Atrasado"),IF(O196="Blossom - Emissão Final",IF(TODAY()&lt;=(WORKDAY(L196,3,0)),"No prazo","Atrasado"),IF(O196="Blossom - Atendimento de Comentário",IF(TODAY()&lt;=(WORKDAY(L196,3,0)),"No prazo","Atrasado"),IF(O196="Blossom - Documento a emitir","Documento a Emitir","ERRO"))))))</f>
        <v>Documento a Emitir</v>
      </c>
      <c r="O196" s="63" t="str">
        <f t="shared" ref="O196:O259" si="31">IF(R196="Documento Removido","Documento Removido",IF(M196&lt;&gt;"","Documento Concluído",IF(AND(M196="",Q196="PARA APROVAÇÃO"),"Blossom - Emissão Final",IF(AND(M196="",Q196="APC-L  - APC-L  - Aprovado com Comentários (Retornar Aprovado)",Q196="APC-R  - APC-R - Aprovado com Comentários (Retornar para uma nova Aprovação)"),"Blossom - Atendimento de Comentário",IF(AND(L196&lt;&gt;"",J196="PARA APROVAÇÃO"),"Blossom - Atendimento de Comentário",IF(AND(L196&lt;&gt;"",J196="PRELIMINAR"),"Blossom - Atendimento de Comentário",IF(AND(L196="",J196&lt;&gt;"PARA APROVAÇÃO"),"Cliente - Atendimento de Comentário",IF(AND(L196="",J196&lt;&gt;"PRELIMINAR"),"Cliente - Atendimento de Comentário",IF(AND(K196&lt;&gt;"Documento a emitir",J196="PARA APROVAÇÃO"),"Cliente - Atendimento de Comentário",IF(K196="Documento a emitir","Blossom - Documento a emitir","ERRO"))))))))))</f>
        <v>Blossom - Documento a emitir</v>
      </c>
      <c r="P196" s="63" t="str">
        <f t="shared" ref="P196:P259" si="32">IF(O196="Documento finalizado","Documento finalizado",IF(ISNUMBER(FIND("Cliente",O196)),"Circlua","Blossom"))</f>
        <v>Blossom</v>
      </c>
      <c r="Q196" s="63" t="str">
        <f>IF(_xlfn.XLOOKUP(D196,'LD-ELFA'!F:F,'LD-ELFA'!V:V)="","",_xlfn.XLOOKUP(D196,'LD-ELFA'!F:F,'LD-ELFA'!V:V))</f>
        <v/>
      </c>
      <c r="R196" s="40">
        <f>IFERROR(IF(I196&lt;&gt;"","Documento Emitido",_xlfn.XLOOKUP(D196,Cronograma!P:P,Cronograma!Q:Q)),"Documento Removido")</f>
        <v>46259</v>
      </c>
      <c r="S196" s="40" t="str">
        <f t="shared" ref="S196:S259" ca="1" si="33">IFERROR(IF(K196&lt;&gt;"Documento a emitir","Documento Emitido",IF(R196&lt;TODAY(),"Emissão Atrasada","No prazo")),"Documento Removido")</f>
        <v>No prazo</v>
      </c>
      <c r="T196" s="40">
        <f>IFERROR(IF(I196&lt;&gt;"","Documento Emitido",_xlfn.XLOOKUP(D196,Cronograma!P:P,Cronograma!R:R)),"Documento Removido")</f>
        <v>46247</v>
      </c>
      <c r="U196" s="39" t="str">
        <f t="shared" ref="U196:U259" si="34">IFERROR(IF(K196&lt;&gt;"Documento a emitir","Documento Emitido",IF(T196&lt;R196,"Emissão Atrasada","No prazo")),"Documento Removido")</f>
        <v>Emissão Atrasada</v>
      </c>
      <c r="V196" s="39" t="str">
        <f t="shared" ref="V196:V259" si="35">IF(R196="Documento Emitido","Documento Emitido",
IF(R196="Documento Removido","Documento Removido",
IF(AND(R196-$D$1&gt;=0,R196-$D$1&lt;=7),"Semana 1",
IF(AND(R196-$D$1&gt;7,R196-$D$1&lt;=14),"Semana 2",IF(AND(R196-$D$1&gt;14,R196-$D$1&lt;=21),"Semana 3","")))))</f>
        <v/>
      </c>
      <c r="W196" s="39" t="str">
        <f t="shared" ref="W196:W259" ca="1" si="36">IF(OR(K196="Documento a emitir", K196="Documento Emitido"), "",
IF(AND(ISNUMBER(K196),
K196&gt;=TODAY()-WEEKDAY(TODAY(),2)-6,
K196&lt;=TODAY()-WEEKDAY(TODAY(),2)+5),
IF(G196=0, "Emissão Semana", "Atendimento de Comentário"),
""))</f>
        <v/>
      </c>
    </row>
    <row r="197" spans="1:23" ht="28.5" customHeight="1" x14ac:dyDescent="0.25">
      <c r="A197" s="39">
        <v>194</v>
      </c>
      <c r="B197" s="39" t="e">
        <f>_xlfn.XLOOKUP(D197,'LD-ELFA'!F:F,'LD-ELFA'!C:C)</f>
        <v>#N/A</v>
      </c>
      <c r="C197" s="39" t="e">
        <f>_xlfn.XLOOKUP(D197,'LD-ELFA'!F:F,'LD-ELFA'!D:D)</f>
        <v>#N/A</v>
      </c>
      <c r="D197" s="39" t="s">
        <v>199</v>
      </c>
      <c r="E197" s="39" t="e">
        <f>_xlfn.LET(_xlpm.q,_xlfn.XLOOKUP(D197,'LD-ELFA'!F:F,'LD-ELFA'!Q:Q),
   _xlpm.r,_xlfn.XLOOKUP(D197,'LD-ELFA'!F:F,'LD-ELFA'!R:R),
   IF(_xlpm.r = "", _xlpm.q, _xlpm.q &amp; " - " &amp; _xlpm.r))</f>
        <v>#N/A</v>
      </c>
      <c r="F197" s="63" t="str">
        <f t="shared" si="30"/>
        <v>Básico</v>
      </c>
      <c r="G197" s="63" t="e">
        <f>_xlfn.XLOOKUP(D197,'LD-ELFA'!F:F,'LD-ELFA'!G:G)</f>
        <v>#N/A</v>
      </c>
      <c r="H197" s="63" t="e">
        <f>_xlfn.XLOOKUP(D197,'LD-ELFA'!F:F,'LD-ELFA'!I:I)</f>
        <v>#N/A</v>
      </c>
      <c r="I197" s="63" t="e">
        <f>IF(_xlfn.XLOOKUP(D197,'LD-ELFA'!F:F,'LD-ELFA'!T:T)="","",_xlfn.XLOOKUP(D197,'LD-ELFA'!F:F,'LD-ELFA'!T:T))</f>
        <v>#N/A</v>
      </c>
      <c r="J197" s="63" t="e">
        <f>IF(K197="Documento a emitir", "",_xlfn.XLOOKUP(D197,'LD-ELFA'!F:F,'LD-ELFA'!N:N))</f>
        <v>#N/A</v>
      </c>
      <c r="K197" s="43" t="e">
        <f>IF(_xlfn.XLOOKUP($D197,'LD-ELFA'!F:F,'LD-ELFA'!U:U)="","Documento a emitir",_xlfn.XLOOKUP($D197,'LD-ELFA'!F:F,'LD-ELFA'!U:U))</f>
        <v>#N/A</v>
      </c>
      <c r="L197" s="43" t="e">
        <f>IF(K197="Documento a emitir","Documento a emitir",IF(K197&lt;&gt;"Documento a emitir",IF(_xlfn.XLOOKUP(D197,'LD-ELFA'!F:F,'LD-ELFA'!W:W)="","",_xlfn.XLOOKUP(D197,'LD-ELFA'!F:F,'LD-ELFA'!W:W)),""))</f>
        <v>#N/A</v>
      </c>
      <c r="M197" s="43" t="e">
        <f>IF(K197="Documento a emitir","",IF(AND(Q197="APC-R  - APC-R - Aprovado com Comentários (Retornar para uma nova Aprovação)",Q197="APC-L  - APC-L  - Aprovado com Comentários (Retornar Aprovado)"),"",IF(OR(_xlfn.XLOOKUP(D197,'LD-ELFA'!F:F,'LD-ELFA'!N:N)="PARA CONHECIMENTO",_xlfn.XLOOKUP(D197,'LD-ELFA'!F:F,'LD-ELFA'!N:N)="PARA CONSTRUÇÃO",_xlfn.XLOOKUP(D197,'LD-ELFA'!F:F,'LD-ELFA'!N:N)="PARA COTAÇÃO",_xlfn.XLOOKUP(D197,'LD-ELFA'!F:F,'LD-ELFA'!N:N)="CANCELADO"),_xlfn.XLOOKUP(D197,'LD-ELFA'!F:F,'LD-ELFA'!U:U),IF(AND(L197="",J197&lt;&gt;"PARA APROVAÇÃO"),"",""))))</f>
        <v>#N/A</v>
      </c>
      <c r="N197" s="63" t="str">
        <f ca="1">IF(O197="Documento Concluído","Documento Concluído",IF(O197="Cliente - Atendimento de Comentário",IF(TODAY()&lt;=(K197+3),"No prazo","Atrasado"),IF(O197="Cliente - Atendimento de Comentário",IF(TODAY()&lt;=(WORKDAY(K197,3,0)),"No prazo","Atrasado"),IF(O197="Blossom - Emissão Final",IF(TODAY()&lt;=(WORKDAY(L197,3,0)),"No prazo","Atrasado"),IF(O197="Blossom - Atendimento de Comentário",IF(TODAY()&lt;=(WORKDAY(L197,3,0)),"No prazo","Atrasado"),IF(O197="Blossom - Documento a emitir","Documento a Emitir","ERRO"))))))</f>
        <v>ERRO</v>
      </c>
      <c r="O197" s="63" t="str">
        <f t="shared" si="31"/>
        <v>Documento Removido</v>
      </c>
      <c r="P197" s="63" t="str">
        <f t="shared" si="32"/>
        <v>Blossom</v>
      </c>
      <c r="Q197" s="63" t="e">
        <f>IF(_xlfn.XLOOKUP(D197,'LD-ELFA'!F:F,'LD-ELFA'!V:V)="","",_xlfn.XLOOKUP(D197,'LD-ELFA'!F:F,'LD-ELFA'!V:V))</f>
        <v>#N/A</v>
      </c>
      <c r="R197" s="40" t="str">
        <f>IFERROR(IF(I197&lt;&gt;"","Documento Emitido",_xlfn.XLOOKUP(D197,Cronograma!P:P,Cronograma!Q:Q)),"Documento Removido")</f>
        <v>Documento Removido</v>
      </c>
      <c r="S197" s="40" t="str">
        <f t="shared" ca="1" si="33"/>
        <v>Documento Removido</v>
      </c>
      <c r="T197" s="40" t="str">
        <f>IFERROR(IF(I197&lt;&gt;"","Documento Emitido",_xlfn.XLOOKUP(D197,Cronograma!P:P,Cronograma!R:R)),"Documento Removido")</f>
        <v>Documento Removido</v>
      </c>
      <c r="U197" s="39" t="str">
        <f t="shared" si="34"/>
        <v>Documento Removido</v>
      </c>
      <c r="V197" s="39" t="str">
        <f t="shared" si="35"/>
        <v>Documento Removido</v>
      </c>
      <c r="W197" s="39" t="e">
        <f t="shared" ca="1" si="36"/>
        <v>#N/A</v>
      </c>
    </row>
    <row r="198" spans="1:23" ht="28.5" customHeight="1" x14ac:dyDescent="0.25">
      <c r="A198" s="39">
        <v>195</v>
      </c>
      <c r="B198" s="39" t="str">
        <f>_xlfn.XLOOKUP(D198,'LD-ELFA'!F:F,'LD-ELFA'!C:C)</f>
        <v>GE - Gestao De Engenharia</v>
      </c>
      <c r="C198" s="39" t="str">
        <f>_xlfn.XLOOKUP(D198,'LD-ELFA'!F:F,'LD-ELFA'!D:D)</f>
        <v>ATA - Ata E Notas De Reunião</v>
      </c>
      <c r="D198" s="39" t="s">
        <v>200</v>
      </c>
      <c r="E198" s="39" t="str">
        <f>_xlfn.LET(_xlpm.q,_xlfn.XLOOKUP(D198,'LD-ELFA'!F:F,'LD-ELFA'!Q:Q),
   _xlpm.r,_xlfn.XLOOKUP(D198,'LD-ELFA'!F:F,'LD-ELFA'!R:R),
   IF(_xlpm.r = "", _xlpm.q, _xlpm.q &amp; " - " &amp; _xlpm.r))</f>
        <v>ATA - APRESENTAÇÃO PROJETO - PLATÔ ADMINISTRATIVO</v>
      </c>
      <c r="F198" s="63" t="str">
        <f t="shared" si="30"/>
        <v>Básico</v>
      </c>
      <c r="G198" s="63">
        <f>_xlfn.XLOOKUP(D198,'LD-ELFA'!F:F,'LD-ELFA'!G:G)</f>
        <v>1</v>
      </c>
      <c r="H198" s="63" t="str">
        <f>_xlfn.XLOOKUP(D198,'LD-ELFA'!F:F,'LD-ELFA'!I:I)</f>
        <v>0</v>
      </c>
      <c r="I198" s="63" t="str">
        <f>IF(_xlfn.XLOOKUP(D198,'LD-ELFA'!F:F,'LD-ELFA'!T:T)="","",_xlfn.XLOOKUP(D198,'LD-ELFA'!F:F,'LD-ELFA'!T:T))</f>
        <v>0032</v>
      </c>
      <c r="J198" s="63" t="str">
        <f>IF(K198="Documento a emitir", "",_xlfn.XLOOKUP(D198,'LD-ELFA'!F:F,'LD-ELFA'!N:N))</f>
        <v>PARA CONHECIMENTO</v>
      </c>
      <c r="K198" s="43">
        <f>IF(_xlfn.XLOOKUP($D198,'LD-ELFA'!F:F,'LD-ELFA'!U:U)="","Documento a emitir",_xlfn.XLOOKUP($D198,'LD-ELFA'!F:F,'LD-ELFA'!U:U))</f>
        <v>46213.699656909717</v>
      </c>
      <c r="L198" s="43">
        <f>IF(K198="Documento a emitir","Documento a emitir",IF(K198&lt;&gt;"Documento a emitir",IF(_xlfn.XLOOKUP(D198,'LD-ELFA'!F:F,'LD-ELFA'!W:W)="","",_xlfn.XLOOKUP(D198,'LD-ELFA'!F:F,'LD-ELFA'!W:W)),""))</f>
        <v>46216.486942557873</v>
      </c>
      <c r="M198" s="43">
        <f>IF(K198="Documento a emitir","",IF(AND(Q198="APC-R  - APC-R - Aprovado com Comentários (Retornar para uma nova Aprovação)",Q198="APC-L  - APC-L  - Aprovado com Comentários (Retornar Aprovado)"),"",IF(OR(_xlfn.XLOOKUP(D198,'LD-ELFA'!F:F,'LD-ELFA'!N:N)="PARA CONHECIMENTO",_xlfn.XLOOKUP(D198,'LD-ELFA'!F:F,'LD-ELFA'!N:N)="PARA CONSTRUÇÃO",_xlfn.XLOOKUP(D198,'LD-ELFA'!F:F,'LD-ELFA'!N:N)="PARA COTAÇÃO",_xlfn.XLOOKUP(D198,'LD-ELFA'!F:F,'LD-ELFA'!N:N)="CANCELADO"),_xlfn.XLOOKUP(D198,'LD-ELFA'!F:F,'LD-ELFA'!U:U),IF(AND(L198="",J198&lt;&gt;"PARA APROVAÇÃO"),"",""))))</f>
        <v>46213.699656909717</v>
      </c>
      <c r="N198" s="63" t="str">
        <f t="shared" ref="N198:N218" ca="1" si="37">IF(O198="Documento Concluído","Documento Concluído",IF(O198="Cliente - Atendimento de Comentário",IF(TODAY()&lt;=(K198+3),"No prazo","Atrasado"),IF(O198="Cliente - Atendimento de Comentário",IF(TODAY()&lt;=(WORKDAY(K198,3,0)),"No prazo","Atrasado"),IF(O198="Blossom - Emissão Final",IF(TODAY()&lt;=(WORKDAY(L198,3,0)),"No prazo","Atrasado"),IF(O198="Blossom - Atendimento de Comentário",IF(TODAY()&lt;=(WORKDAY(L198,3,0)),"No prazo","Atrasado"),IF(O198="Blossom - Documento a emitir","Documento a Emitir",IF(O198="Documento Removido","Documento Removido","ERRO")))))))</f>
        <v>Documento Concluído</v>
      </c>
      <c r="O198" s="63" t="str">
        <f t="shared" si="31"/>
        <v>Documento Concluído</v>
      </c>
      <c r="P198" s="63" t="str">
        <f t="shared" si="32"/>
        <v>Blossom</v>
      </c>
      <c r="Q198" s="63" t="str">
        <f>IF(_xlfn.XLOOKUP(D198,'LD-ELFA'!F:F,'LD-ELFA'!V:V)="","",_xlfn.XLOOKUP(D198,'LD-ELFA'!F:F,'LD-ELFA'!V:V))</f>
        <v>APR - APROVADO</v>
      </c>
      <c r="R198" s="40" t="str">
        <f>IFERROR(IF(I198&lt;&gt;"","Documento Emitido",_xlfn.XLOOKUP(D198,Cronograma!P:P,Cronograma!Q:Q)),"Documento Removido")</f>
        <v>Documento Emitido</v>
      </c>
      <c r="S198" s="40" t="str">
        <f t="shared" ca="1" si="33"/>
        <v>Documento Emitido</v>
      </c>
      <c r="T198" s="40" t="str">
        <f>IFERROR(IF(I198&lt;&gt;"","Documento Emitido",_xlfn.XLOOKUP(D198,Cronograma!P:P,Cronograma!R:R)),"Documento Removido")</f>
        <v>Documento Emitido</v>
      </c>
      <c r="U198" s="39" t="str">
        <f t="shared" si="34"/>
        <v>Documento Emitido</v>
      </c>
      <c r="V198" s="39" t="str">
        <f t="shared" si="35"/>
        <v>Documento Emitido</v>
      </c>
      <c r="W198" s="39" t="str">
        <f t="shared" ca="1" si="36"/>
        <v>Atendimento de Comentário</v>
      </c>
    </row>
    <row r="199" spans="1:23" ht="28.5" customHeight="1" x14ac:dyDescent="0.25">
      <c r="A199" s="39">
        <v>196</v>
      </c>
      <c r="B199" s="39" t="str">
        <f>_xlfn.XLOOKUP(D199,'LD-ELFA'!F:F,'LD-ELFA'!C:C)</f>
        <v>GE - Gestao De Engenharia</v>
      </c>
      <c r="C199" s="39" t="str">
        <f>_xlfn.XLOOKUP(D199,'LD-ELFA'!F:F,'LD-ELFA'!D:D)</f>
        <v>ATA - Ata E Notas De Reunião</v>
      </c>
      <c r="D199" s="39" t="s">
        <v>201</v>
      </c>
      <c r="E199" s="39" t="str">
        <f>_xlfn.LET(_xlpm.q,_xlfn.XLOOKUP(D199,'LD-ELFA'!F:F,'LD-ELFA'!Q:Q),
   _xlpm.r,_xlfn.XLOOKUP(D199,'LD-ELFA'!F:F,'LD-ELFA'!R:R),
   IF(_xlpm.r = "", _xlpm.q, _xlpm.q &amp; " - " &amp; _xlpm.r))</f>
        <v>ATA - APRESENTAÇÃO PROJETO - BRITAGEM, RENWA META – GALPÃO DE BAGS E EMPILHADOR DE COMBUSTÍVEL SÓLIDO - MECÂNICA</v>
      </c>
      <c r="F199" s="63" t="str">
        <f t="shared" si="30"/>
        <v>Básico</v>
      </c>
      <c r="G199" s="63">
        <f>_xlfn.XLOOKUP(D199,'LD-ELFA'!F:F,'LD-ELFA'!G:G)</f>
        <v>0</v>
      </c>
      <c r="H199" s="63" t="str">
        <f>_xlfn.XLOOKUP(D199,'LD-ELFA'!F:F,'LD-ELFA'!I:I)</f>
        <v>A</v>
      </c>
      <c r="I199" s="63" t="str">
        <f>IF(_xlfn.XLOOKUP(D199,'LD-ELFA'!F:F,'LD-ELFA'!T:T)="","",_xlfn.XLOOKUP(D199,'LD-ELFA'!F:F,'LD-ELFA'!T:T))</f>
        <v>0011</v>
      </c>
      <c r="J199" s="63" t="str">
        <f>IF(K199="Documento a emitir", "",_xlfn.XLOOKUP(D199,'LD-ELFA'!F:F,'LD-ELFA'!N:N))</f>
        <v>PARA APROVAÇÃO</v>
      </c>
      <c r="K199" s="43">
        <f>IF(_xlfn.XLOOKUP($D199,'LD-ELFA'!F:F,'LD-ELFA'!U:U)="","Documento a emitir",_xlfn.XLOOKUP($D199,'LD-ELFA'!F:F,'LD-ELFA'!U:U))</f>
        <v>46204.51934540509</v>
      </c>
      <c r="L199" s="43">
        <f>IF(K199="Documento a emitir","Documento a emitir",IF(K199&lt;&gt;"Documento a emitir",IF(_xlfn.XLOOKUP(D199,'LD-ELFA'!F:F,'LD-ELFA'!W:W)="","",_xlfn.XLOOKUP(D199,'LD-ELFA'!F:F,'LD-ELFA'!W:W)),""))</f>
        <v>46213.598301238417</v>
      </c>
      <c r="M199" s="43" t="str">
        <f>IF(K199="Documento a emitir","",IF(AND(Q199="APC-R  - APC-R - Aprovado com Comentários (Retornar para uma nova Aprovação)",Q199="APC-L  - APC-L  - Aprovado com Comentários (Retornar Aprovado)"),"",IF(OR(_xlfn.XLOOKUP(D199,'LD-ELFA'!F:F,'LD-ELFA'!N:N)="PARA CONHECIMENTO",_xlfn.XLOOKUP(D199,'LD-ELFA'!F:F,'LD-ELFA'!N:N)="PARA CONSTRUÇÃO",_xlfn.XLOOKUP(D199,'LD-ELFA'!F:F,'LD-ELFA'!N:N)="PARA COTAÇÃO",_xlfn.XLOOKUP(D199,'LD-ELFA'!F:F,'LD-ELFA'!N:N)="CANCELADO"),_xlfn.XLOOKUP(D199,'LD-ELFA'!F:F,'LD-ELFA'!U:U),IF(AND(L199="",J199&lt;&gt;"PARA APROVAÇÃO"),"",""))))</f>
        <v/>
      </c>
      <c r="N199" s="63" t="str">
        <f t="shared" ca="1" si="37"/>
        <v>No prazo</v>
      </c>
      <c r="O199" s="63" t="str">
        <f t="shared" si="31"/>
        <v>Blossom - Atendimento de Comentário</v>
      </c>
      <c r="P199" s="63" t="str">
        <f t="shared" si="32"/>
        <v>Blossom</v>
      </c>
      <c r="Q199" s="63" t="str">
        <f>IF(_xlfn.XLOOKUP(D199,'LD-ELFA'!F:F,'LD-ELFA'!V:V)="","",_xlfn.XLOOKUP(D199,'LD-ELFA'!F:F,'LD-ELFA'!V:V))</f>
        <v>APC-R  - APC-R - Aprovado com Comentários (Retornar para uma nova Aprovação)</v>
      </c>
      <c r="R199" s="40" t="str">
        <f>IFERROR(IF(I199&lt;&gt;"","Documento Emitido",_xlfn.XLOOKUP(D199,Cronograma!P:P,Cronograma!Q:Q)),"Documento Removido")</f>
        <v>Documento Emitido</v>
      </c>
      <c r="S199" s="40" t="str">
        <f t="shared" ca="1" si="33"/>
        <v>Documento Emitido</v>
      </c>
      <c r="T199" s="40" t="str">
        <f>IFERROR(IF(I199&lt;&gt;"","Documento Emitido",_xlfn.XLOOKUP(D199,Cronograma!P:P,Cronograma!R:R)),"Documento Removido")</f>
        <v>Documento Emitido</v>
      </c>
      <c r="U199" s="39" t="str">
        <f t="shared" si="34"/>
        <v>Documento Emitido</v>
      </c>
      <c r="V199" s="39" t="str">
        <f t="shared" si="35"/>
        <v>Documento Emitido</v>
      </c>
      <c r="W199" s="39" t="str">
        <f t="shared" ca="1" si="36"/>
        <v/>
      </c>
    </row>
    <row r="200" spans="1:23" ht="28.5" customHeight="1" x14ac:dyDescent="0.25">
      <c r="A200" s="39">
        <v>197</v>
      </c>
      <c r="B200" s="39" t="str">
        <f>_xlfn.XLOOKUP(D200,'LD-ELFA'!F:F,'LD-ELFA'!C:C)</f>
        <v>GE - Gestao De Engenharia</v>
      </c>
      <c r="C200" s="39" t="str">
        <f>_xlfn.XLOOKUP(D200,'LD-ELFA'!F:F,'LD-ELFA'!D:D)</f>
        <v>ATA - Ata E Notas De Reunião</v>
      </c>
      <c r="D200" s="39" t="s">
        <v>202</v>
      </c>
      <c r="E200" s="39" t="str">
        <f>_xlfn.LET(_xlpm.q,_xlfn.XLOOKUP(D200,'LD-ELFA'!F:F,'LD-ELFA'!Q:Q),
   _xlpm.r,_xlfn.XLOOKUP(D200,'LD-ELFA'!F:F,'LD-ELFA'!R:R),
   IF(_xlpm.r = "", _xlpm.q, _xlpm.q &amp; " - " &amp; _xlpm.r))</f>
        <v>ATA - APRESENTAÇÃO PROJETO - ESTOCAGEM DE MATÉRIA PRIMA - PÁTIO DE ESTOCAGEM</v>
      </c>
      <c r="F200" s="63" t="str">
        <f t="shared" si="30"/>
        <v>Básico</v>
      </c>
      <c r="G200" s="63">
        <f>_xlfn.XLOOKUP(D200,'LD-ELFA'!F:F,'LD-ELFA'!G:G)</f>
        <v>0</v>
      </c>
      <c r="H200" s="63" t="str">
        <f>_xlfn.XLOOKUP(D200,'LD-ELFA'!F:F,'LD-ELFA'!I:I)</f>
        <v>A</v>
      </c>
      <c r="I200" s="63" t="str">
        <f>IF(_xlfn.XLOOKUP(D200,'LD-ELFA'!F:F,'LD-ELFA'!T:T)="","",_xlfn.XLOOKUP(D200,'LD-ELFA'!F:F,'LD-ELFA'!T:T))</f>
        <v>0012</v>
      </c>
      <c r="J200" s="63" t="str">
        <f>IF(K200="Documento a emitir", "",_xlfn.XLOOKUP(D200,'LD-ELFA'!F:F,'LD-ELFA'!N:N))</f>
        <v>PARA APROVAÇÃO</v>
      </c>
      <c r="K200" s="43">
        <f>IF(_xlfn.XLOOKUP($D200,'LD-ELFA'!F:F,'LD-ELFA'!U:U)="","Documento a emitir",_xlfn.XLOOKUP($D200,'LD-ELFA'!F:F,'LD-ELFA'!U:U))</f>
        <v>46204.58374707176</v>
      </c>
      <c r="L200" s="43">
        <f>IF(K200="Documento a emitir","Documento a emitir",IF(K200&lt;&gt;"Documento a emitir",IF(_xlfn.XLOOKUP(D200,'LD-ELFA'!F:F,'LD-ELFA'!W:W)="","",_xlfn.XLOOKUP(D200,'LD-ELFA'!F:F,'LD-ELFA'!W:W)),""))</f>
        <v>46213.599122453707</v>
      </c>
      <c r="M200" s="43" t="str">
        <f>IF(K200="Documento a emitir","",IF(AND(Q200="APC-R  - APC-R - Aprovado com Comentários (Retornar para uma nova Aprovação)",Q200="APC-L  - APC-L  - Aprovado com Comentários (Retornar Aprovado)"),"",IF(OR(_xlfn.XLOOKUP(D200,'LD-ELFA'!F:F,'LD-ELFA'!N:N)="PARA CONHECIMENTO",_xlfn.XLOOKUP(D200,'LD-ELFA'!F:F,'LD-ELFA'!N:N)="PARA CONSTRUÇÃO",_xlfn.XLOOKUP(D200,'LD-ELFA'!F:F,'LD-ELFA'!N:N)="PARA COTAÇÃO",_xlfn.XLOOKUP(D200,'LD-ELFA'!F:F,'LD-ELFA'!N:N)="CANCELADO"),_xlfn.XLOOKUP(D200,'LD-ELFA'!F:F,'LD-ELFA'!U:U),IF(AND(L200="",J200&lt;&gt;"PARA APROVAÇÃO"),"",""))))</f>
        <v/>
      </c>
      <c r="N200" s="63" t="str">
        <f t="shared" ca="1" si="37"/>
        <v>No prazo</v>
      </c>
      <c r="O200" s="63" t="str">
        <f t="shared" si="31"/>
        <v>Blossom - Atendimento de Comentário</v>
      </c>
      <c r="P200" s="63" t="str">
        <f t="shared" si="32"/>
        <v>Blossom</v>
      </c>
      <c r="Q200" s="63" t="str">
        <f>IF(_xlfn.XLOOKUP(D200,'LD-ELFA'!F:F,'LD-ELFA'!V:V)="","",_xlfn.XLOOKUP(D200,'LD-ELFA'!F:F,'LD-ELFA'!V:V))</f>
        <v>APR - APROVADO</v>
      </c>
      <c r="R200" s="40" t="str">
        <f>IFERROR(IF(I200&lt;&gt;"","Documento Emitido",_xlfn.XLOOKUP(D200,Cronograma!P:P,Cronograma!Q:Q)),"Documento Removido")</f>
        <v>Documento Emitido</v>
      </c>
      <c r="S200" s="40" t="str">
        <f t="shared" ca="1" si="33"/>
        <v>Documento Emitido</v>
      </c>
      <c r="T200" s="40" t="str">
        <f>IFERROR(IF(I200&lt;&gt;"","Documento Emitido",_xlfn.XLOOKUP(D200,Cronograma!P:P,Cronograma!R:R)),"Documento Removido")</f>
        <v>Documento Emitido</v>
      </c>
      <c r="U200" s="39" t="str">
        <f t="shared" si="34"/>
        <v>Documento Emitido</v>
      </c>
      <c r="V200" s="39" t="str">
        <f t="shared" si="35"/>
        <v>Documento Emitido</v>
      </c>
      <c r="W200" s="39" t="str">
        <f t="shared" ca="1" si="36"/>
        <v/>
      </c>
    </row>
    <row r="201" spans="1:23" ht="28.5" customHeight="1" x14ac:dyDescent="0.25">
      <c r="A201" s="39">
        <v>198</v>
      </c>
      <c r="B201" s="39" t="str">
        <f>_xlfn.XLOOKUP(D201,'LD-ELFA'!F:F,'LD-ELFA'!C:C)</f>
        <v>GE - Gestao De Engenharia</v>
      </c>
      <c r="C201" s="39" t="str">
        <f>_xlfn.XLOOKUP(D201,'LD-ELFA'!F:F,'LD-ELFA'!D:D)</f>
        <v>ATA - Ata E Notas De Reunião</v>
      </c>
      <c r="D201" s="39" t="s">
        <v>203</v>
      </c>
      <c r="E201" s="39" t="str">
        <f>_xlfn.LET(_xlpm.q,_xlfn.XLOOKUP(D201,'LD-ELFA'!F:F,'LD-ELFA'!Q:Q),
   _xlpm.r,_xlfn.XLOOKUP(D201,'LD-ELFA'!F:F,'LD-ELFA'!R:R),
   IF(_xlpm.r = "", _xlpm.q, _xlpm.q &amp; " - " &amp; _xlpm.r))</f>
        <v>ATA - APRESENTAÇÃO PROJETO - SUBESTAÇÕES E DISTRIBUIÇÃO</v>
      </c>
      <c r="F201" s="63" t="str">
        <f t="shared" si="30"/>
        <v>Básico</v>
      </c>
      <c r="G201" s="63">
        <f>_xlfn.XLOOKUP(D201,'LD-ELFA'!F:F,'LD-ELFA'!G:G)</f>
        <v>0</v>
      </c>
      <c r="H201" s="63" t="str">
        <f>_xlfn.XLOOKUP(D201,'LD-ELFA'!F:F,'LD-ELFA'!I:I)</f>
        <v>A</v>
      </c>
      <c r="I201" s="63" t="str">
        <f>IF(_xlfn.XLOOKUP(D201,'LD-ELFA'!F:F,'LD-ELFA'!T:T)="","",_xlfn.XLOOKUP(D201,'LD-ELFA'!F:F,'LD-ELFA'!T:T))</f>
        <v>0023</v>
      </c>
      <c r="J201" s="63" t="str">
        <f>IF(K201="Documento a emitir", "",_xlfn.XLOOKUP(D201,'LD-ELFA'!F:F,'LD-ELFA'!N:N))</f>
        <v>PARA APROVAÇÃO</v>
      </c>
      <c r="K201" s="43">
        <f>IF(_xlfn.XLOOKUP($D201,'LD-ELFA'!F:F,'LD-ELFA'!U:U)="","Documento a emitir",_xlfn.XLOOKUP($D201,'LD-ELFA'!F:F,'LD-ELFA'!U:U))</f>
        <v>46210.679090196762</v>
      </c>
      <c r="L201" s="43">
        <f>IF(K201="Documento a emitir","Documento a emitir",IF(K201&lt;&gt;"Documento a emitir",IF(_xlfn.XLOOKUP(D201,'LD-ELFA'!F:F,'LD-ELFA'!W:W)="","",_xlfn.XLOOKUP(D201,'LD-ELFA'!F:F,'LD-ELFA'!W:W)),""))</f>
        <v>46213.5970241088</v>
      </c>
      <c r="M201" s="43" t="str">
        <f>IF(K201="Documento a emitir","",IF(AND(Q201="APC-R  - APC-R - Aprovado com Comentários (Retornar para uma nova Aprovação)",Q201="APC-L  - APC-L  - Aprovado com Comentários (Retornar Aprovado)"),"",IF(OR(_xlfn.XLOOKUP(D201,'LD-ELFA'!F:F,'LD-ELFA'!N:N)="PARA CONHECIMENTO",_xlfn.XLOOKUP(D201,'LD-ELFA'!F:F,'LD-ELFA'!N:N)="PARA CONSTRUÇÃO",_xlfn.XLOOKUP(D201,'LD-ELFA'!F:F,'LD-ELFA'!N:N)="PARA COTAÇÃO",_xlfn.XLOOKUP(D201,'LD-ELFA'!F:F,'LD-ELFA'!N:N)="CANCELADO"),_xlfn.XLOOKUP(D201,'LD-ELFA'!F:F,'LD-ELFA'!U:U),IF(AND(L201="",J201&lt;&gt;"PARA APROVAÇÃO"),"",""))))</f>
        <v/>
      </c>
      <c r="N201" s="63" t="str">
        <f t="shared" ca="1" si="37"/>
        <v>No prazo</v>
      </c>
      <c r="O201" s="63" t="str">
        <f t="shared" si="31"/>
        <v>Blossom - Atendimento de Comentário</v>
      </c>
      <c r="P201" s="63" t="str">
        <f t="shared" si="32"/>
        <v>Blossom</v>
      </c>
      <c r="Q201" s="63" t="str">
        <f>IF(_xlfn.XLOOKUP(D201,'LD-ELFA'!F:F,'LD-ELFA'!V:V)="","",_xlfn.XLOOKUP(D201,'LD-ELFA'!F:F,'LD-ELFA'!V:V))</f>
        <v>APC-R  - APC-R - Aprovado com Comentários (Retornar para uma nova Aprovação)</v>
      </c>
      <c r="R201" s="40" t="str">
        <f>IFERROR(IF(I201&lt;&gt;"","Documento Emitido",_xlfn.XLOOKUP(D201,Cronograma!P:P,Cronograma!Q:Q)),"Documento Removido")</f>
        <v>Documento Emitido</v>
      </c>
      <c r="S201" s="40" t="str">
        <f t="shared" ca="1" si="33"/>
        <v>Documento Emitido</v>
      </c>
      <c r="T201" s="40" t="str">
        <f>IFERROR(IF(I201&lt;&gt;"","Documento Emitido",_xlfn.XLOOKUP(D201,Cronograma!P:P,Cronograma!R:R)),"Documento Removido")</f>
        <v>Documento Emitido</v>
      </c>
      <c r="U201" s="39" t="str">
        <f t="shared" si="34"/>
        <v>Documento Emitido</v>
      </c>
      <c r="V201" s="39" t="str">
        <f t="shared" si="35"/>
        <v>Documento Emitido</v>
      </c>
      <c r="W201" s="39" t="str">
        <f t="shared" ca="1" si="36"/>
        <v>Emissão Semana</v>
      </c>
    </row>
    <row r="202" spans="1:23" ht="28.5" customHeight="1" x14ac:dyDescent="0.25">
      <c r="A202" s="39">
        <v>199</v>
      </c>
      <c r="B202" s="39" t="str">
        <f>_xlfn.XLOOKUP(D202,'LD-ELFA'!F:F,'LD-ELFA'!C:C)</f>
        <v>GE - Gestao De Engenharia</v>
      </c>
      <c r="C202" s="39" t="str">
        <f>_xlfn.XLOOKUP(D202,'LD-ELFA'!F:F,'LD-ELFA'!D:D)</f>
        <v>ATA - Ata E Notas De Reunião</v>
      </c>
      <c r="D202" s="39" t="s">
        <v>204</v>
      </c>
      <c r="E202" s="39" t="str">
        <f>_xlfn.LET(_xlpm.q,_xlfn.XLOOKUP(D202,'LD-ELFA'!F:F,'LD-ELFA'!Q:Q),
   _xlpm.r,_xlfn.XLOOKUP(D202,'LD-ELFA'!F:F,'LD-ELFA'!R:R),
   IF(_xlpm.r = "", _xlpm.q, _xlpm.q &amp; " - " &amp; _xlpm.r))</f>
        <v>ATA - APRESENTAÇÃO PROJETO - -</v>
      </c>
      <c r="F202" s="63" t="str">
        <f t="shared" si="30"/>
        <v>Básico</v>
      </c>
      <c r="G202" s="63">
        <f>_xlfn.XLOOKUP(D202,'LD-ELFA'!F:F,'LD-ELFA'!G:G)</f>
        <v>0</v>
      </c>
      <c r="H202" s="63">
        <f>_xlfn.XLOOKUP(D202,'LD-ELFA'!F:F,'LD-ELFA'!I:I)</f>
        <v>0</v>
      </c>
      <c r="I202" s="63" t="str">
        <f>IF(_xlfn.XLOOKUP(D202,'LD-ELFA'!F:F,'LD-ELFA'!T:T)="","",_xlfn.XLOOKUP(D202,'LD-ELFA'!F:F,'LD-ELFA'!T:T))</f>
        <v/>
      </c>
      <c r="J202" s="63" t="str">
        <f>IF(K202="Documento a emitir", "",_xlfn.XLOOKUP(D202,'LD-ELFA'!F:F,'LD-ELFA'!N:N))</f>
        <v/>
      </c>
      <c r="K202" s="43" t="str">
        <f>IF(_xlfn.XLOOKUP($D202,'LD-ELFA'!F:F,'LD-ELFA'!U:U)="","Documento a emitir",_xlfn.XLOOKUP($D202,'LD-ELFA'!F:F,'LD-ELFA'!U:U))</f>
        <v>Documento a emitir</v>
      </c>
      <c r="L202" s="43" t="str">
        <f>IF(K202="Documento a emitir","Documento a emitir",IF(K202&lt;&gt;"Documento a emitir",IF(_xlfn.XLOOKUP(D202,'LD-ELFA'!F:F,'LD-ELFA'!W:W)="","",_xlfn.XLOOKUP(D202,'LD-ELFA'!F:F,'LD-ELFA'!W:W)),""))</f>
        <v>Documento a emitir</v>
      </c>
      <c r="M202" s="43" t="str">
        <f>IF(K202="Documento a emitir","",IF(AND(Q202="APC-R  - APC-R - Aprovado com Comentários (Retornar para uma nova Aprovação)",Q202="APC-L  - APC-L  - Aprovado com Comentários (Retornar Aprovado)"),"",IF(OR(_xlfn.XLOOKUP(D202,'LD-ELFA'!F:F,'LD-ELFA'!N:N)="PARA CONHECIMENTO",_xlfn.XLOOKUP(D202,'LD-ELFA'!F:F,'LD-ELFA'!N:N)="PARA CONSTRUÇÃO",_xlfn.XLOOKUP(D202,'LD-ELFA'!F:F,'LD-ELFA'!N:N)="PARA COTAÇÃO",_xlfn.XLOOKUP(D202,'LD-ELFA'!F:F,'LD-ELFA'!N:N)="CANCELADO"),_xlfn.XLOOKUP(D202,'LD-ELFA'!F:F,'LD-ELFA'!U:U),IF(AND(L202="",J202&lt;&gt;"PARA APROVAÇÃO"),"",""))))</f>
        <v/>
      </c>
      <c r="N202" s="63" t="str">
        <f t="shared" ca="1" si="37"/>
        <v>Documento Removido</v>
      </c>
      <c r="O202" s="63" t="str">
        <f t="shared" si="31"/>
        <v>Documento Removido</v>
      </c>
      <c r="P202" s="63" t="str">
        <f t="shared" si="32"/>
        <v>Blossom</v>
      </c>
      <c r="Q202" s="63" t="str">
        <f>IF(_xlfn.XLOOKUP(D202,'LD-ELFA'!F:F,'LD-ELFA'!V:V)="","",_xlfn.XLOOKUP(D202,'LD-ELFA'!F:F,'LD-ELFA'!V:V))</f>
        <v/>
      </c>
      <c r="R202" s="40" t="str">
        <f>IFERROR(IF(I202&lt;&gt;"","Documento Emitido",_xlfn.XLOOKUP(D202,Cronograma!P:P,Cronograma!Q:Q)),"Documento Removido")</f>
        <v>Documento Removido</v>
      </c>
      <c r="S202" s="40" t="str">
        <f t="shared" ca="1" si="33"/>
        <v>No prazo</v>
      </c>
      <c r="T202" s="40" t="str">
        <f>IFERROR(IF(I202&lt;&gt;"","Documento Emitido",_xlfn.XLOOKUP(D202,Cronograma!P:P,Cronograma!R:R)),"Documento Removido")</f>
        <v>Documento Removido</v>
      </c>
      <c r="U202" s="39" t="str">
        <f t="shared" si="34"/>
        <v>No prazo</v>
      </c>
      <c r="V202" s="39" t="str">
        <f t="shared" si="35"/>
        <v>Documento Removido</v>
      </c>
      <c r="W202" s="39" t="str">
        <f t="shared" ca="1" si="36"/>
        <v/>
      </c>
    </row>
    <row r="203" spans="1:23" ht="28.5" customHeight="1" x14ac:dyDescent="0.25">
      <c r="A203" s="39">
        <v>200</v>
      </c>
      <c r="B203" s="39" t="str">
        <f>_xlfn.XLOOKUP(D203,'LD-ELFA'!F:F,'LD-ELFA'!C:C)</f>
        <v>GE - Gestao De Engenharia</v>
      </c>
      <c r="C203" s="39" t="str">
        <f>_xlfn.XLOOKUP(D203,'LD-ELFA'!F:F,'LD-ELFA'!D:D)</f>
        <v>ATA - Ata E Notas De Reunião</v>
      </c>
      <c r="D203" s="39" t="s">
        <v>205</v>
      </c>
      <c r="E203" s="39" t="str">
        <f>_xlfn.LET(_xlpm.q,_xlfn.XLOOKUP(D203,'LD-ELFA'!F:F,'LD-ELFA'!Q:Q),
   _xlpm.r,_xlfn.XLOOKUP(D203,'LD-ELFA'!F:F,'LD-ELFA'!R:R),
   IF(_xlpm.r = "", _xlpm.q, _xlpm.q &amp; " - " &amp; _xlpm.r))</f>
        <v>ATA - APRESENTAÇÃO PROJETO - -</v>
      </c>
      <c r="F203" s="63" t="str">
        <f t="shared" si="30"/>
        <v>Básico</v>
      </c>
      <c r="G203" s="63">
        <f>_xlfn.XLOOKUP(D203,'LD-ELFA'!F:F,'LD-ELFA'!G:G)</f>
        <v>0</v>
      </c>
      <c r="H203" s="63">
        <f>_xlfn.XLOOKUP(D203,'LD-ELFA'!F:F,'LD-ELFA'!I:I)</f>
        <v>0</v>
      </c>
      <c r="I203" s="63" t="str">
        <f>IF(_xlfn.XLOOKUP(D203,'LD-ELFA'!F:F,'LD-ELFA'!T:T)="","",_xlfn.XLOOKUP(D203,'LD-ELFA'!F:F,'LD-ELFA'!T:T))</f>
        <v/>
      </c>
      <c r="J203" s="63" t="str">
        <f>IF(K203="Documento a emitir", "",_xlfn.XLOOKUP(D203,'LD-ELFA'!F:F,'LD-ELFA'!N:N))</f>
        <v/>
      </c>
      <c r="K203" s="43" t="str">
        <f>IF(_xlfn.XLOOKUP($D203,'LD-ELFA'!F:F,'LD-ELFA'!U:U)="","Documento a emitir",_xlfn.XLOOKUP($D203,'LD-ELFA'!F:F,'LD-ELFA'!U:U))</f>
        <v>Documento a emitir</v>
      </c>
      <c r="L203" s="43" t="str">
        <f>IF(K203="Documento a emitir","Documento a emitir",IF(K203&lt;&gt;"Documento a emitir",IF(_xlfn.XLOOKUP(D203,'LD-ELFA'!F:F,'LD-ELFA'!W:W)="","",_xlfn.XLOOKUP(D203,'LD-ELFA'!F:F,'LD-ELFA'!W:W)),""))</f>
        <v>Documento a emitir</v>
      </c>
      <c r="M203" s="43" t="str">
        <f>IF(K203="Documento a emitir","",IF(AND(Q203="APC-R  - APC-R - Aprovado com Comentários (Retornar para uma nova Aprovação)",Q203="APC-L  - APC-L  - Aprovado com Comentários (Retornar Aprovado)"),"",IF(OR(_xlfn.XLOOKUP(D203,'LD-ELFA'!F:F,'LD-ELFA'!N:N)="PARA CONHECIMENTO",_xlfn.XLOOKUP(D203,'LD-ELFA'!F:F,'LD-ELFA'!N:N)="PARA CONSTRUÇÃO",_xlfn.XLOOKUP(D203,'LD-ELFA'!F:F,'LD-ELFA'!N:N)="PARA COTAÇÃO",_xlfn.XLOOKUP(D203,'LD-ELFA'!F:F,'LD-ELFA'!N:N)="CANCELADO"),_xlfn.XLOOKUP(D203,'LD-ELFA'!F:F,'LD-ELFA'!U:U),IF(AND(L203="",J203&lt;&gt;"PARA APROVAÇÃO"),"",""))))</f>
        <v/>
      </c>
      <c r="N203" s="63" t="str">
        <f t="shared" ca="1" si="37"/>
        <v>Documento Removido</v>
      </c>
      <c r="O203" s="63" t="str">
        <f t="shared" si="31"/>
        <v>Documento Removido</v>
      </c>
      <c r="P203" s="63" t="str">
        <f t="shared" si="32"/>
        <v>Blossom</v>
      </c>
      <c r="Q203" s="63" t="str">
        <f>IF(_xlfn.XLOOKUP(D203,'LD-ELFA'!F:F,'LD-ELFA'!V:V)="","",_xlfn.XLOOKUP(D203,'LD-ELFA'!F:F,'LD-ELFA'!V:V))</f>
        <v/>
      </c>
      <c r="R203" s="40" t="str">
        <f>IFERROR(IF(I203&lt;&gt;"","Documento Emitido",_xlfn.XLOOKUP(D203,Cronograma!P:P,Cronograma!Q:Q)),"Documento Removido")</f>
        <v>Documento Removido</v>
      </c>
      <c r="S203" s="40" t="str">
        <f t="shared" ca="1" si="33"/>
        <v>No prazo</v>
      </c>
      <c r="T203" s="40" t="str">
        <f>IFERROR(IF(I203&lt;&gt;"","Documento Emitido",_xlfn.XLOOKUP(D203,Cronograma!P:P,Cronograma!R:R)),"Documento Removido")</f>
        <v>Documento Removido</v>
      </c>
      <c r="U203" s="39" t="str">
        <f t="shared" si="34"/>
        <v>No prazo</v>
      </c>
      <c r="V203" s="39" t="str">
        <f t="shared" si="35"/>
        <v>Documento Removido</v>
      </c>
      <c r="W203" s="39" t="str">
        <f t="shared" ca="1" si="36"/>
        <v/>
      </c>
    </row>
    <row r="204" spans="1:23" ht="28.5" customHeight="1" x14ac:dyDescent="0.25">
      <c r="A204" s="39">
        <v>201</v>
      </c>
      <c r="B204" s="39" t="str">
        <f>_xlfn.XLOOKUP(D204,'LD-ELFA'!F:F,'LD-ELFA'!C:C)</f>
        <v>GE - Gestao De Engenharia</v>
      </c>
      <c r="C204" s="39" t="str">
        <f>_xlfn.XLOOKUP(D204,'LD-ELFA'!F:F,'LD-ELFA'!D:D)</f>
        <v>ATA - Ata E Notas De Reunião</v>
      </c>
      <c r="D204" s="39" t="s">
        <v>206</v>
      </c>
      <c r="E204" s="39" t="str">
        <f>_xlfn.LET(_xlpm.q,_xlfn.XLOOKUP(D204,'LD-ELFA'!F:F,'LD-ELFA'!Q:Q),
   _xlpm.r,_xlfn.XLOOKUP(D204,'LD-ELFA'!F:F,'LD-ELFA'!R:R),
   IF(_xlpm.r = "", _xlpm.q, _xlpm.q &amp; " - " &amp; _xlpm.r))</f>
        <v>ATA - APRESENTAÇÃO PROJETO - -</v>
      </c>
      <c r="F204" s="63" t="str">
        <f t="shared" si="30"/>
        <v>Básico</v>
      </c>
      <c r="G204" s="63">
        <f>_xlfn.XLOOKUP(D204,'LD-ELFA'!F:F,'LD-ELFA'!G:G)</f>
        <v>0</v>
      </c>
      <c r="H204" s="63">
        <f>_xlfn.XLOOKUP(D204,'LD-ELFA'!F:F,'LD-ELFA'!I:I)</f>
        <v>0</v>
      </c>
      <c r="I204" s="63" t="str">
        <f>IF(_xlfn.XLOOKUP(D204,'LD-ELFA'!F:F,'LD-ELFA'!T:T)="","",_xlfn.XLOOKUP(D204,'LD-ELFA'!F:F,'LD-ELFA'!T:T))</f>
        <v/>
      </c>
      <c r="J204" s="63" t="str">
        <f>IF(K204="Documento a emitir", "",_xlfn.XLOOKUP(D204,'LD-ELFA'!F:F,'LD-ELFA'!N:N))</f>
        <v/>
      </c>
      <c r="K204" s="43" t="str">
        <f>IF(_xlfn.XLOOKUP($D204,'LD-ELFA'!F:F,'LD-ELFA'!U:U)="","Documento a emitir",_xlfn.XLOOKUP($D204,'LD-ELFA'!F:F,'LD-ELFA'!U:U))</f>
        <v>Documento a emitir</v>
      </c>
      <c r="L204" s="43" t="str">
        <f>IF(K204="Documento a emitir","Documento a emitir",IF(K204&lt;&gt;"Documento a emitir",IF(_xlfn.XLOOKUP(D204,'LD-ELFA'!F:F,'LD-ELFA'!W:W)="","",_xlfn.XLOOKUP(D204,'LD-ELFA'!F:F,'LD-ELFA'!W:W)),""))</f>
        <v>Documento a emitir</v>
      </c>
      <c r="M204" s="43" t="str">
        <f>IF(K204="Documento a emitir","",IF(AND(Q204="APC-R  - APC-R - Aprovado com Comentários (Retornar para uma nova Aprovação)",Q204="APC-L  - APC-L  - Aprovado com Comentários (Retornar Aprovado)"),"",IF(OR(_xlfn.XLOOKUP(D204,'LD-ELFA'!F:F,'LD-ELFA'!N:N)="PARA CONHECIMENTO",_xlfn.XLOOKUP(D204,'LD-ELFA'!F:F,'LD-ELFA'!N:N)="PARA CONSTRUÇÃO",_xlfn.XLOOKUP(D204,'LD-ELFA'!F:F,'LD-ELFA'!N:N)="PARA COTAÇÃO",_xlfn.XLOOKUP(D204,'LD-ELFA'!F:F,'LD-ELFA'!N:N)="CANCELADO"),_xlfn.XLOOKUP(D204,'LD-ELFA'!F:F,'LD-ELFA'!U:U),IF(AND(L204="",J204&lt;&gt;"PARA APROVAÇÃO"),"",""))))</f>
        <v/>
      </c>
      <c r="N204" s="63" t="str">
        <f t="shared" ca="1" si="37"/>
        <v>Documento Removido</v>
      </c>
      <c r="O204" s="63" t="str">
        <f t="shared" si="31"/>
        <v>Documento Removido</v>
      </c>
      <c r="P204" s="63" t="str">
        <f t="shared" si="32"/>
        <v>Blossom</v>
      </c>
      <c r="Q204" s="63" t="str">
        <f>IF(_xlfn.XLOOKUP(D204,'LD-ELFA'!F:F,'LD-ELFA'!V:V)="","",_xlfn.XLOOKUP(D204,'LD-ELFA'!F:F,'LD-ELFA'!V:V))</f>
        <v/>
      </c>
      <c r="R204" s="40" t="str">
        <f>IFERROR(IF(I204&lt;&gt;"","Documento Emitido",_xlfn.XLOOKUP(D204,Cronograma!P:P,Cronograma!Q:Q)),"Documento Removido")</f>
        <v>Documento Removido</v>
      </c>
      <c r="S204" s="40" t="str">
        <f t="shared" ca="1" si="33"/>
        <v>No prazo</v>
      </c>
      <c r="T204" s="40" t="str">
        <f>IFERROR(IF(I204&lt;&gt;"","Documento Emitido",_xlfn.XLOOKUP(D204,Cronograma!P:P,Cronograma!R:R)),"Documento Removido")</f>
        <v>Documento Removido</v>
      </c>
      <c r="U204" s="39" t="str">
        <f t="shared" si="34"/>
        <v>No prazo</v>
      </c>
      <c r="V204" s="39" t="str">
        <f t="shared" si="35"/>
        <v>Documento Removido</v>
      </c>
      <c r="W204" s="39" t="str">
        <f t="shared" ca="1" si="36"/>
        <v/>
      </c>
    </row>
    <row r="205" spans="1:23" ht="28.5" customHeight="1" x14ac:dyDescent="0.25">
      <c r="A205" s="39">
        <v>202</v>
      </c>
      <c r="B205" s="39" t="str">
        <f>_xlfn.XLOOKUP(D205,'LD-ELFA'!F:F,'LD-ELFA'!C:C)</f>
        <v>GE - Gestao De Engenharia</v>
      </c>
      <c r="C205" s="39" t="str">
        <f>_xlfn.XLOOKUP(D205,'LD-ELFA'!F:F,'LD-ELFA'!D:D)</f>
        <v>ATA - Ata E Notas De Reunião</v>
      </c>
      <c r="D205" s="39" t="s">
        <v>207</v>
      </c>
      <c r="E205" s="39" t="str">
        <f>_xlfn.LET(_xlpm.q,_xlfn.XLOOKUP(D205,'LD-ELFA'!F:F,'LD-ELFA'!Q:Q),
   _xlpm.r,_xlfn.XLOOKUP(D205,'LD-ELFA'!F:F,'LD-ELFA'!R:R),
   IF(_xlpm.r = "", _xlpm.q, _xlpm.q &amp; " - " &amp; _xlpm.r))</f>
        <v>ATA - APRESENTAÇÃO PROJETO - -</v>
      </c>
      <c r="F205" s="63" t="str">
        <f t="shared" si="30"/>
        <v>Básico</v>
      </c>
      <c r="G205" s="63">
        <f>_xlfn.XLOOKUP(D205,'LD-ELFA'!F:F,'LD-ELFA'!G:G)</f>
        <v>0</v>
      </c>
      <c r="H205" s="63">
        <f>_xlfn.XLOOKUP(D205,'LD-ELFA'!F:F,'LD-ELFA'!I:I)</f>
        <v>0</v>
      </c>
      <c r="I205" s="63" t="str">
        <f>IF(_xlfn.XLOOKUP(D205,'LD-ELFA'!F:F,'LD-ELFA'!T:T)="","",_xlfn.XLOOKUP(D205,'LD-ELFA'!F:F,'LD-ELFA'!T:T))</f>
        <v/>
      </c>
      <c r="J205" s="63" t="str">
        <f>IF(K205="Documento a emitir", "",_xlfn.XLOOKUP(D205,'LD-ELFA'!F:F,'LD-ELFA'!N:N))</f>
        <v/>
      </c>
      <c r="K205" s="43" t="str">
        <f>IF(_xlfn.XLOOKUP($D205,'LD-ELFA'!F:F,'LD-ELFA'!U:U)="","Documento a emitir",_xlfn.XLOOKUP($D205,'LD-ELFA'!F:F,'LD-ELFA'!U:U))</f>
        <v>Documento a emitir</v>
      </c>
      <c r="L205" s="43" t="str">
        <f>IF(K205="Documento a emitir","Documento a emitir",IF(K205&lt;&gt;"Documento a emitir",IF(_xlfn.XLOOKUP(D205,'LD-ELFA'!F:F,'LD-ELFA'!W:W)="","",_xlfn.XLOOKUP(D205,'LD-ELFA'!F:F,'LD-ELFA'!W:W)),""))</f>
        <v>Documento a emitir</v>
      </c>
      <c r="M205" s="43" t="str">
        <f>IF(K205="Documento a emitir","",IF(AND(Q205="APC-R  - APC-R - Aprovado com Comentários (Retornar para uma nova Aprovação)",Q205="APC-L  - APC-L  - Aprovado com Comentários (Retornar Aprovado)"),"",IF(OR(_xlfn.XLOOKUP(D205,'LD-ELFA'!F:F,'LD-ELFA'!N:N)="PARA CONHECIMENTO",_xlfn.XLOOKUP(D205,'LD-ELFA'!F:F,'LD-ELFA'!N:N)="PARA CONSTRUÇÃO",_xlfn.XLOOKUP(D205,'LD-ELFA'!F:F,'LD-ELFA'!N:N)="PARA COTAÇÃO",_xlfn.XLOOKUP(D205,'LD-ELFA'!F:F,'LD-ELFA'!N:N)="CANCELADO"),_xlfn.XLOOKUP(D205,'LD-ELFA'!F:F,'LD-ELFA'!U:U),IF(AND(L205="",J205&lt;&gt;"PARA APROVAÇÃO"),"",""))))</f>
        <v/>
      </c>
      <c r="N205" s="63" t="str">
        <f t="shared" ca="1" si="37"/>
        <v>Documento Removido</v>
      </c>
      <c r="O205" s="63" t="str">
        <f t="shared" si="31"/>
        <v>Documento Removido</v>
      </c>
      <c r="P205" s="63" t="str">
        <f t="shared" si="32"/>
        <v>Blossom</v>
      </c>
      <c r="Q205" s="63" t="str">
        <f>IF(_xlfn.XLOOKUP(D205,'LD-ELFA'!F:F,'LD-ELFA'!V:V)="","",_xlfn.XLOOKUP(D205,'LD-ELFA'!F:F,'LD-ELFA'!V:V))</f>
        <v/>
      </c>
      <c r="R205" s="40" t="str">
        <f>IFERROR(IF(I205&lt;&gt;"","Documento Emitido",_xlfn.XLOOKUP(D205,Cronograma!P:P,Cronograma!Q:Q)),"Documento Removido")</f>
        <v>Documento Removido</v>
      </c>
      <c r="S205" s="40" t="str">
        <f t="shared" ca="1" si="33"/>
        <v>No prazo</v>
      </c>
      <c r="T205" s="40" t="str">
        <f>IFERROR(IF(I205&lt;&gt;"","Documento Emitido",_xlfn.XLOOKUP(D205,Cronograma!P:P,Cronograma!R:R)),"Documento Removido")</f>
        <v>Documento Removido</v>
      </c>
      <c r="U205" s="39" t="str">
        <f t="shared" si="34"/>
        <v>No prazo</v>
      </c>
      <c r="V205" s="39" t="str">
        <f t="shared" si="35"/>
        <v>Documento Removido</v>
      </c>
      <c r="W205" s="39" t="str">
        <f t="shared" ca="1" si="36"/>
        <v/>
      </c>
    </row>
    <row r="206" spans="1:23" ht="28.5" customHeight="1" x14ac:dyDescent="0.25">
      <c r="A206" s="39">
        <v>203</v>
      </c>
      <c r="B206" s="39" t="str">
        <f>_xlfn.XLOOKUP(D206,'LD-ELFA'!F:F,'LD-ELFA'!C:C)</f>
        <v>GE - Gestao De Engenharia</v>
      </c>
      <c r="C206" s="39" t="str">
        <f>_xlfn.XLOOKUP(D206,'LD-ELFA'!F:F,'LD-ELFA'!D:D)</f>
        <v>ATA - Ata E Notas De Reunião</v>
      </c>
      <c r="D206" s="39" t="s">
        <v>208</v>
      </c>
      <c r="E206" s="39" t="str">
        <f>_xlfn.LET(_xlpm.q,_xlfn.XLOOKUP(D206,'LD-ELFA'!F:F,'LD-ELFA'!Q:Q),
   _xlpm.r,_xlfn.XLOOKUP(D206,'LD-ELFA'!F:F,'LD-ELFA'!R:R),
   IF(_xlpm.r = "", _xlpm.q, _xlpm.q &amp; " - " &amp; _xlpm.r))</f>
        <v>ATA - APRESENTAÇÃO PROJETO - -</v>
      </c>
      <c r="F206" s="63" t="str">
        <f t="shared" si="30"/>
        <v>Básico</v>
      </c>
      <c r="G206" s="63">
        <f>_xlfn.XLOOKUP(D206,'LD-ELFA'!F:F,'LD-ELFA'!G:G)</f>
        <v>0</v>
      </c>
      <c r="H206" s="63">
        <f>_xlfn.XLOOKUP(D206,'LD-ELFA'!F:F,'LD-ELFA'!I:I)</f>
        <v>0</v>
      </c>
      <c r="I206" s="63" t="str">
        <f>IF(_xlfn.XLOOKUP(D206,'LD-ELFA'!F:F,'LD-ELFA'!T:T)="","",_xlfn.XLOOKUP(D206,'LD-ELFA'!F:F,'LD-ELFA'!T:T))</f>
        <v/>
      </c>
      <c r="J206" s="63" t="str">
        <f>IF(K206="Documento a emitir", "",_xlfn.XLOOKUP(D206,'LD-ELFA'!F:F,'LD-ELFA'!N:N))</f>
        <v/>
      </c>
      <c r="K206" s="43" t="str">
        <f>IF(_xlfn.XLOOKUP($D206,'LD-ELFA'!F:F,'LD-ELFA'!U:U)="","Documento a emitir",_xlfn.XLOOKUP($D206,'LD-ELFA'!F:F,'LD-ELFA'!U:U))</f>
        <v>Documento a emitir</v>
      </c>
      <c r="L206" s="43" t="str">
        <f>IF(K206="Documento a emitir","Documento a emitir",IF(K206&lt;&gt;"Documento a emitir",IF(_xlfn.XLOOKUP(D206,'LD-ELFA'!F:F,'LD-ELFA'!W:W)="","",_xlfn.XLOOKUP(D206,'LD-ELFA'!F:F,'LD-ELFA'!W:W)),""))</f>
        <v>Documento a emitir</v>
      </c>
      <c r="M206" s="43" t="str">
        <f>IF(K206="Documento a emitir","",IF(AND(Q206="APC-R  - APC-R - Aprovado com Comentários (Retornar para uma nova Aprovação)",Q206="APC-L  - APC-L  - Aprovado com Comentários (Retornar Aprovado)"),"",IF(OR(_xlfn.XLOOKUP(D206,'LD-ELFA'!F:F,'LD-ELFA'!N:N)="PARA CONHECIMENTO",_xlfn.XLOOKUP(D206,'LD-ELFA'!F:F,'LD-ELFA'!N:N)="PARA CONSTRUÇÃO",_xlfn.XLOOKUP(D206,'LD-ELFA'!F:F,'LD-ELFA'!N:N)="PARA COTAÇÃO",_xlfn.XLOOKUP(D206,'LD-ELFA'!F:F,'LD-ELFA'!N:N)="CANCELADO"),_xlfn.XLOOKUP(D206,'LD-ELFA'!F:F,'LD-ELFA'!U:U),IF(AND(L206="",J206&lt;&gt;"PARA APROVAÇÃO"),"",""))))</f>
        <v/>
      </c>
      <c r="N206" s="63" t="str">
        <f t="shared" ca="1" si="37"/>
        <v>Documento Removido</v>
      </c>
      <c r="O206" s="63" t="str">
        <f t="shared" si="31"/>
        <v>Documento Removido</v>
      </c>
      <c r="P206" s="63" t="str">
        <f t="shared" si="32"/>
        <v>Blossom</v>
      </c>
      <c r="Q206" s="63" t="str">
        <f>IF(_xlfn.XLOOKUP(D206,'LD-ELFA'!F:F,'LD-ELFA'!V:V)="","",_xlfn.XLOOKUP(D206,'LD-ELFA'!F:F,'LD-ELFA'!V:V))</f>
        <v/>
      </c>
      <c r="R206" s="40" t="str">
        <f>IFERROR(IF(I206&lt;&gt;"","Documento Emitido",_xlfn.XLOOKUP(D206,Cronograma!P:P,Cronograma!Q:Q)),"Documento Removido")</f>
        <v>Documento Removido</v>
      </c>
      <c r="S206" s="40" t="str">
        <f t="shared" ca="1" si="33"/>
        <v>No prazo</v>
      </c>
      <c r="T206" s="40" t="str">
        <f>IFERROR(IF(I206&lt;&gt;"","Documento Emitido",_xlfn.XLOOKUP(D206,Cronograma!P:P,Cronograma!R:R)),"Documento Removido")</f>
        <v>Documento Removido</v>
      </c>
      <c r="U206" s="39" t="str">
        <f t="shared" si="34"/>
        <v>No prazo</v>
      </c>
      <c r="V206" s="39" t="str">
        <f t="shared" si="35"/>
        <v>Documento Removido</v>
      </c>
      <c r="W206" s="39" t="str">
        <f t="shared" ca="1" si="36"/>
        <v/>
      </c>
    </row>
    <row r="207" spans="1:23" ht="28.5" customHeight="1" x14ac:dyDescent="0.25">
      <c r="A207" s="39">
        <v>204</v>
      </c>
      <c r="B207" s="39" t="str">
        <f>_xlfn.XLOOKUP(D207,'LD-ELFA'!F:F,'LD-ELFA'!C:C)</f>
        <v>GE - Gestao De Engenharia</v>
      </c>
      <c r="C207" s="39" t="str">
        <f>_xlfn.XLOOKUP(D207,'LD-ELFA'!F:F,'LD-ELFA'!D:D)</f>
        <v>ATA - Ata E Notas De Reunião</v>
      </c>
      <c r="D207" s="39" t="s">
        <v>209</v>
      </c>
      <c r="E207" s="39" t="str">
        <f>_xlfn.LET(_xlpm.q,_xlfn.XLOOKUP(D207,'LD-ELFA'!F:F,'LD-ELFA'!Q:Q),
   _xlpm.r,_xlfn.XLOOKUP(D207,'LD-ELFA'!F:F,'LD-ELFA'!R:R),
   IF(_xlpm.r = "", _xlpm.q, _xlpm.q &amp; " - " &amp; _xlpm.r))</f>
        <v>ATA - APRESENTAÇÃO PROJETO - -</v>
      </c>
      <c r="F207" s="63" t="str">
        <f t="shared" si="30"/>
        <v>Básico</v>
      </c>
      <c r="G207" s="63">
        <f>_xlfn.XLOOKUP(D207,'LD-ELFA'!F:F,'LD-ELFA'!G:G)</f>
        <v>0</v>
      </c>
      <c r="H207" s="63">
        <f>_xlfn.XLOOKUP(D207,'LD-ELFA'!F:F,'LD-ELFA'!I:I)</f>
        <v>0</v>
      </c>
      <c r="I207" s="63" t="str">
        <f>IF(_xlfn.XLOOKUP(D207,'LD-ELFA'!F:F,'LD-ELFA'!T:T)="","",_xlfn.XLOOKUP(D207,'LD-ELFA'!F:F,'LD-ELFA'!T:T))</f>
        <v/>
      </c>
      <c r="J207" s="63" t="str">
        <f>IF(K207="Documento a emitir", "",_xlfn.XLOOKUP(D207,'LD-ELFA'!F:F,'LD-ELFA'!N:N))</f>
        <v/>
      </c>
      <c r="K207" s="43" t="str">
        <f>IF(_xlfn.XLOOKUP($D207,'LD-ELFA'!F:F,'LD-ELFA'!U:U)="","Documento a emitir",_xlfn.XLOOKUP($D207,'LD-ELFA'!F:F,'LD-ELFA'!U:U))</f>
        <v>Documento a emitir</v>
      </c>
      <c r="L207" s="43" t="str">
        <f>IF(K207="Documento a emitir","Documento a emitir",IF(K207&lt;&gt;"Documento a emitir",IF(_xlfn.XLOOKUP(D207,'LD-ELFA'!F:F,'LD-ELFA'!W:W)="","",_xlfn.XLOOKUP(D207,'LD-ELFA'!F:F,'LD-ELFA'!W:W)),""))</f>
        <v>Documento a emitir</v>
      </c>
      <c r="M207" s="43" t="str">
        <f>IF(K207="Documento a emitir","",IF(AND(Q207="APC-R  - APC-R - Aprovado com Comentários (Retornar para uma nova Aprovação)",Q207="APC-L  - APC-L  - Aprovado com Comentários (Retornar Aprovado)"),"",IF(OR(_xlfn.XLOOKUP(D207,'LD-ELFA'!F:F,'LD-ELFA'!N:N)="PARA CONHECIMENTO",_xlfn.XLOOKUP(D207,'LD-ELFA'!F:F,'LD-ELFA'!N:N)="PARA CONSTRUÇÃO",_xlfn.XLOOKUP(D207,'LD-ELFA'!F:F,'LD-ELFA'!N:N)="PARA COTAÇÃO",_xlfn.XLOOKUP(D207,'LD-ELFA'!F:F,'LD-ELFA'!N:N)="CANCELADO"),_xlfn.XLOOKUP(D207,'LD-ELFA'!F:F,'LD-ELFA'!U:U),IF(AND(L207="",J207&lt;&gt;"PARA APROVAÇÃO"),"",""))))</f>
        <v/>
      </c>
      <c r="N207" s="63" t="str">
        <f t="shared" ca="1" si="37"/>
        <v>Documento Removido</v>
      </c>
      <c r="O207" s="63" t="str">
        <f t="shared" si="31"/>
        <v>Documento Removido</v>
      </c>
      <c r="P207" s="63" t="str">
        <f t="shared" si="32"/>
        <v>Blossom</v>
      </c>
      <c r="Q207" s="63" t="str">
        <f>IF(_xlfn.XLOOKUP(D207,'LD-ELFA'!F:F,'LD-ELFA'!V:V)="","",_xlfn.XLOOKUP(D207,'LD-ELFA'!F:F,'LD-ELFA'!V:V))</f>
        <v/>
      </c>
      <c r="R207" s="40" t="str">
        <f>IFERROR(IF(I207&lt;&gt;"","Documento Emitido",_xlfn.XLOOKUP(D207,Cronograma!P:P,Cronograma!Q:Q)),"Documento Removido")</f>
        <v>Documento Removido</v>
      </c>
      <c r="S207" s="40" t="str">
        <f t="shared" ca="1" si="33"/>
        <v>No prazo</v>
      </c>
      <c r="T207" s="40" t="str">
        <f>IFERROR(IF(I207&lt;&gt;"","Documento Emitido",_xlfn.XLOOKUP(D207,Cronograma!P:P,Cronograma!R:R)),"Documento Removido")</f>
        <v>Documento Removido</v>
      </c>
      <c r="U207" s="39" t="str">
        <f t="shared" si="34"/>
        <v>No prazo</v>
      </c>
      <c r="V207" s="39" t="str">
        <f t="shared" si="35"/>
        <v>Documento Removido</v>
      </c>
      <c r="W207" s="39" t="str">
        <f t="shared" ca="1" si="36"/>
        <v/>
      </c>
    </row>
    <row r="208" spans="1:23" ht="28.5" customHeight="1" x14ac:dyDescent="0.25">
      <c r="A208" s="39">
        <v>205</v>
      </c>
      <c r="B208" s="39" t="str">
        <f>_xlfn.XLOOKUP(D208,'LD-ELFA'!F:F,'LD-ELFA'!C:C)</f>
        <v>GE - Gestao De Engenharia</v>
      </c>
      <c r="C208" s="39" t="str">
        <f>_xlfn.XLOOKUP(D208,'LD-ELFA'!F:F,'LD-ELFA'!D:D)</f>
        <v>ATA - Ata E Notas De Reunião</v>
      </c>
      <c r="D208" s="39" t="s">
        <v>210</v>
      </c>
      <c r="E208" s="39" t="str">
        <f>_xlfn.LET(_xlpm.q,_xlfn.XLOOKUP(D208,'LD-ELFA'!F:F,'LD-ELFA'!Q:Q),
   _xlpm.r,_xlfn.XLOOKUP(D208,'LD-ELFA'!F:F,'LD-ELFA'!R:R),
   IF(_xlpm.r = "", _xlpm.q, _xlpm.q &amp; " - " &amp; _xlpm.r))</f>
        <v>ATA - APRESENTAÇÃO PROJETO - -</v>
      </c>
      <c r="F208" s="63" t="str">
        <f t="shared" si="30"/>
        <v>Básico</v>
      </c>
      <c r="G208" s="63">
        <f>_xlfn.XLOOKUP(D208,'LD-ELFA'!F:F,'LD-ELFA'!G:G)</f>
        <v>0</v>
      </c>
      <c r="H208" s="63">
        <f>_xlfn.XLOOKUP(D208,'LD-ELFA'!F:F,'LD-ELFA'!I:I)</f>
        <v>0</v>
      </c>
      <c r="I208" s="63" t="str">
        <f>IF(_xlfn.XLOOKUP(D208,'LD-ELFA'!F:F,'LD-ELFA'!T:T)="","",_xlfn.XLOOKUP(D208,'LD-ELFA'!F:F,'LD-ELFA'!T:T))</f>
        <v/>
      </c>
      <c r="J208" s="63" t="str">
        <f>IF(K208="Documento a emitir", "",_xlfn.XLOOKUP(D208,'LD-ELFA'!F:F,'LD-ELFA'!N:N))</f>
        <v/>
      </c>
      <c r="K208" s="43" t="str">
        <f>IF(_xlfn.XLOOKUP($D208,'LD-ELFA'!F:F,'LD-ELFA'!U:U)="","Documento a emitir",_xlfn.XLOOKUP($D208,'LD-ELFA'!F:F,'LD-ELFA'!U:U))</f>
        <v>Documento a emitir</v>
      </c>
      <c r="L208" s="43" t="str">
        <f>IF(K208="Documento a emitir","Documento a emitir",IF(K208&lt;&gt;"Documento a emitir",IF(_xlfn.XLOOKUP(D208,'LD-ELFA'!F:F,'LD-ELFA'!W:W)="","",_xlfn.XLOOKUP(D208,'LD-ELFA'!F:F,'LD-ELFA'!W:W)),""))</f>
        <v>Documento a emitir</v>
      </c>
      <c r="M208" s="43" t="str">
        <f>IF(K208="Documento a emitir","",IF(AND(Q208="APC-R  - APC-R - Aprovado com Comentários (Retornar para uma nova Aprovação)",Q208="APC-L  - APC-L  - Aprovado com Comentários (Retornar Aprovado)"),"",IF(OR(_xlfn.XLOOKUP(D208,'LD-ELFA'!F:F,'LD-ELFA'!N:N)="PARA CONHECIMENTO",_xlfn.XLOOKUP(D208,'LD-ELFA'!F:F,'LD-ELFA'!N:N)="PARA CONSTRUÇÃO",_xlfn.XLOOKUP(D208,'LD-ELFA'!F:F,'LD-ELFA'!N:N)="PARA COTAÇÃO",_xlfn.XLOOKUP(D208,'LD-ELFA'!F:F,'LD-ELFA'!N:N)="CANCELADO"),_xlfn.XLOOKUP(D208,'LD-ELFA'!F:F,'LD-ELFA'!U:U),IF(AND(L208="",J208&lt;&gt;"PARA APROVAÇÃO"),"",""))))</f>
        <v/>
      </c>
      <c r="N208" s="63" t="str">
        <f t="shared" ca="1" si="37"/>
        <v>Documento Removido</v>
      </c>
      <c r="O208" s="63" t="str">
        <f t="shared" si="31"/>
        <v>Documento Removido</v>
      </c>
      <c r="P208" s="63" t="str">
        <f t="shared" si="32"/>
        <v>Blossom</v>
      </c>
      <c r="Q208" s="63" t="str">
        <f>IF(_xlfn.XLOOKUP(D208,'LD-ELFA'!F:F,'LD-ELFA'!V:V)="","",_xlfn.XLOOKUP(D208,'LD-ELFA'!F:F,'LD-ELFA'!V:V))</f>
        <v/>
      </c>
      <c r="R208" s="40" t="str">
        <f>IFERROR(IF(I208&lt;&gt;"","Documento Emitido",_xlfn.XLOOKUP(D208,Cronograma!P:P,Cronograma!Q:Q)),"Documento Removido")</f>
        <v>Documento Removido</v>
      </c>
      <c r="S208" s="40" t="str">
        <f t="shared" ca="1" si="33"/>
        <v>No prazo</v>
      </c>
      <c r="T208" s="40" t="str">
        <f>IFERROR(IF(I208&lt;&gt;"","Documento Emitido",_xlfn.XLOOKUP(D208,Cronograma!P:P,Cronograma!R:R)),"Documento Removido")</f>
        <v>Documento Removido</v>
      </c>
      <c r="U208" s="39" t="str">
        <f t="shared" si="34"/>
        <v>No prazo</v>
      </c>
      <c r="V208" s="39" t="str">
        <f t="shared" si="35"/>
        <v>Documento Removido</v>
      </c>
      <c r="W208" s="39" t="str">
        <f t="shared" ca="1" si="36"/>
        <v/>
      </c>
    </row>
    <row r="209" spans="1:23" ht="28.5" customHeight="1" x14ac:dyDescent="0.25">
      <c r="A209" s="39">
        <v>206</v>
      </c>
      <c r="B209" s="39" t="str">
        <f>_xlfn.XLOOKUP(D209,'LD-ELFA'!F:F,'LD-ELFA'!C:C)</f>
        <v>GE - Gestao De Engenharia</v>
      </c>
      <c r="C209" s="39" t="str">
        <f>_xlfn.XLOOKUP(D209,'LD-ELFA'!F:F,'LD-ELFA'!D:D)</f>
        <v>ATA - Ata E Notas De Reunião</v>
      </c>
      <c r="D209" s="39" t="s">
        <v>211</v>
      </c>
      <c r="E209" s="39" t="str">
        <f>_xlfn.LET(_xlpm.q,_xlfn.XLOOKUP(D209,'LD-ELFA'!F:F,'LD-ELFA'!Q:Q),
   _xlpm.r,_xlfn.XLOOKUP(D209,'LD-ELFA'!F:F,'LD-ELFA'!R:R),
   IF(_xlpm.r = "", _xlpm.q, _xlpm.q &amp; " - " &amp; _xlpm.r))</f>
        <v>ATA - APRESENTAÇÃO PROJETO - -</v>
      </c>
      <c r="F209" s="63" t="str">
        <f t="shared" si="30"/>
        <v>Básico</v>
      </c>
      <c r="G209" s="63">
        <f>_xlfn.XLOOKUP(D209,'LD-ELFA'!F:F,'LD-ELFA'!G:G)</f>
        <v>0</v>
      </c>
      <c r="H209" s="63">
        <f>_xlfn.XLOOKUP(D209,'LD-ELFA'!F:F,'LD-ELFA'!I:I)</f>
        <v>0</v>
      </c>
      <c r="I209" s="63" t="str">
        <f>IF(_xlfn.XLOOKUP(D209,'LD-ELFA'!F:F,'LD-ELFA'!T:T)="","",_xlfn.XLOOKUP(D209,'LD-ELFA'!F:F,'LD-ELFA'!T:T))</f>
        <v/>
      </c>
      <c r="J209" s="63" t="str">
        <f>IF(K209="Documento a emitir", "",_xlfn.XLOOKUP(D209,'LD-ELFA'!F:F,'LD-ELFA'!N:N))</f>
        <v/>
      </c>
      <c r="K209" s="43" t="str">
        <f>IF(_xlfn.XLOOKUP($D209,'LD-ELFA'!F:F,'LD-ELFA'!U:U)="","Documento a emitir",_xlfn.XLOOKUP($D209,'LD-ELFA'!F:F,'LD-ELFA'!U:U))</f>
        <v>Documento a emitir</v>
      </c>
      <c r="L209" s="43" t="str">
        <f>IF(K209="Documento a emitir","Documento a emitir",IF(K209&lt;&gt;"Documento a emitir",IF(_xlfn.XLOOKUP(D209,'LD-ELFA'!F:F,'LD-ELFA'!W:W)="","",_xlfn.XLOOKUP(D209,'LD-ELFA'!F:F,'LD-ELFA'!W:W)),""))</f>
        <v>Documento a emitir</v>
      </c>
      <c r="M209" s="43" t="str">
        <f>IF(K209="Documento a emitir","",IF(AND(Q209="APC-R  - APC-R - Aprovado com Comentários (Retornar para uma nova Aprovação)",Q209="APC-L  - APC-L  - Aprovado com Comentários (Retornar Aprovado)"),"",IF(OR(_xlfn.XLOOKUP(D209,'LD-ELFA'!F:F,'LD-ELFA'!N:N)="PARA CONHECIMENTO",_xlfn.XLOOKUP(D209,'LD-ELFA'!F:F,'LD-ELFA'!N:N)="PARA CONSTRUÇÃO",_xlfn.XLOOKUP(D209,'LD-ELFA'!F:F,'LD-ELFA'!N:N)="PARA COTAÇÃO",_xlfn.XLOOKUP(D209,'LD-ELFA'!F:F,'LD-ELFA'!N:N)="CANCELADO"),_xlfn.XLOOKUP(D209,'LD-ELFA'!F:F,'LD-ELFA'!U:U),IF(AND(L209="",J209&lt;&gt;"PARA APROVAÇÃO"),"",""))))</f>
        <v/>
      </c>
      <c r="N209" s="63" t="str">
        <f t="shared" ca="1" si="37"/>
        <v>Documento Removido</v>
      </c>
      <c r="O209" s="63" t="str">
        <f t="shared" si="31"/>
        <v>Documento Removido</v>
      </c>
      <c r="P209" s="63" t="str">
        <f t="shared" si="32"/>
        <v>Blossom</v>
      </c>
      <c r="Q209" s="63" t="str">
        <f>IF(_xlfn.XLOOKUP(D209,'LD-ELFA'!F:F,'LD-ELFA'!V:V)="","",_xlfn.XLOOKUP(D209,'LD-ELFA'!F:F,'LD-ELFA'!V:V))</f>
        <v/>
      </c>
      <c r="R209" s="40" t="str">
        <f>IFERROR(IF(I209&lt;&gt;"","Documento Emitido",_xlfn.XLOOKUP(D209,Cronograma!P:P,Cronograma!Q:Q)),"Documento Removido")</f>
        <v>Documento Removido</v>
      </c>
      <c r="S209" s="40" t="str">
        <f t="shared" ca="1" si="33"/>
        <v>No prazo</v>
      </c>
      <c r="T209" s="40" t="str">
        <f>IFERROR(IF(I209&lt;&gt;"","Documento Emitido",_xlfn.XLOOKUP(D209,Cronograma!P:P,Cronograma!R:R)),"Documento Removido")</f>
        <v>Documento Removido</v>
      </c>
      <c r="U209" s="39" t="str">
        <f t="shared" si="34"/>
        <v>No prazo</v>
      </c>
      <c r="V209" s="39" t="str">
        <f t="shared" si="35"/>
        <v>Documento Removido</v>
      </c>
      <c r="W209" s="39" t="str">
        <f t="shared" ca="1" si="36"/>
        <v/>
      </c>
    </row>
    <row r="210" spans="1:23" ht="28.5" customHeight="1" x14ac:dyDescent="0.25">
      <c r="A210" s="39">
        <v>207</v>
      </c>
      <c r="B210" s="39" t="str">
        <f>_xlfn.XLOOKUP(D210,'LD-ELFA'!F:F,'LD-ELFA'!C:C)</f>
        <v>GE - Gestao De Engenharia</v>
      </c>
      <c r="C210" s="39" t="str">
        <f>_xlfn.XLOOKUP(D210,'LD-ELFA'!F:F,'LD-ELFA'!D:D)</f>
        <v>ATA - Ata E Notas De Reunião</v>
      </c>
      <c r="D210" s="39" t="s">
        <v>212</v>
      </c>
      <c r="E210" s="39" t="str">
        <f>_xlfn.LET(_xlpm.q,_xlfn.XLOOKUP(D210,'LD-ELFA'!F:F,'LD-ELFA'!Q:Q),
   _xlpm.r,_xlfn.XLOOKUP(D210,'LD-ELFA'!F:F,'LD-ELFA'!R:R),
   IF(_xlpm.r = "", _xlpm.q, _xlpm.q &amp; " - " &amp; _xlpm.r))</f>
        <v>ATA - APRESENTAÇÃO PROJETO - -</v>
      </c>
      <c r="F210" s="63" t="str">
        <f t="shared" si="30"/>
        <v>Básico</v>
      </c>
      <c r="G210" s="63">
        <f>_xlfn.XLOOKUP(D210,'LD-ELFA'!F:F,'LD-ELFA'!G:G)</f>
        <v>0</v>
      </c>
      <c r="H210" s="63">
        <f>_xlfn.XLOOKUP(D210,'LD-ELFA'!F:F,'LD-ELFA'!I:I)</f>
        <v>0</v>
      </c>
      <c r="I210" s="63" t="str">
        <f>IF(_xlfn.XLOOKUP(D210,'LD-ELFA'!F:F,'LD-ELFA'!T:T)="","",_xlfn.XLOOKUP(D210,'LD-ELFA'!F:F,'LD-ELFA'!T:T))</f>
        <v/>
      </c>
      <c r="J210" s="63" t="str">
        <f>IF(K210="Documento a emitir", "",_xlfn.XLOOKUP(D210,'LD-ELFA'!F:F,'LD-ELFA'!N:N))</f>
        <v/>
      </c>
      <c r="K210" s="43" t="str">
        <f>IF(_xlfn.XLOOKUP($D210,'LD-ELFA'!F:F,'LD-ELFA'!U:U)="","Documento a emitir",_xlfn.XLOOKUP($D210,'LD-ELFA'!F:F,'LD-ELFA'!U:U))</f>
        <v>Documento a emitir</v>
      </c>
      <c r="L210" s="43" t="str">
        <f>IF(K210="Documento a emitir","Documento a emitir",IF(K210&lt;&gt;"Documento a emitir",IF(_xlfn.XLOOKUP(D210,'LD-ELFA'!F:F,'LD-ELFA'!W:W)="","",_xlfn.XLOOKUP(D210,'LD-ELFA'!F:F,'LD-ELFA'!W:W)),""))</f>
        <v>Documento a emitir</v>
      </c>
      <c r="M210" s="43" t="str">
        <f>IF(K210="Documento a emitir","",IF(AND(Q210="APC-R  - APC-R - Aprovado com Comentários (Retornar para uma nova Aprovação)",Q210="APC-L  - APC-L  - Aprovado com Comentários (Retornar Aprovado)"),"",IF(OR(_xlfn.XLOOKUP(D210,'LD-ELFA'!F:F,'LD-ELFA'!N:N)="PARA CONHECIMENTO",_xlfn.XLOOKUP(D210,'LD-ELFA'!F:F,'LD-ELFA'!N:N)="PARA CONSTRUÇÃO",_xlfn.XLOOKUP(D210,'LD-ELFA'!F:F,'LD-ELFA'!N:N)="PARA COTAÇÃO",_xlfn.XLOOKUP(D210,'LD-ELFA'!F:F,'LD-ELFA'!N:N)="CANCELADO"),_xlfn.XLOOKUP(D210,'LD-ELFA'!F:F,'LD-ELFA'!U:U),IF(AND(L210="",J210&lt;&gt;"PARA APROVAÇÃO"),"",""))))</f>
        <v/>
      </c>
      <c r="N210" s="63" t="str">
        <f t="shared" ca="1" si="37"/>
        <v>Documento Removido</v>
      </c>
      <c r="O210" s="63" t="str">
        <f t="shared" si="31"/>
        <v>Documento Removido</v>
      </c>
      <c r="P210" s="63" t="str">
        <f t="shared" si="32"/>
        <v>Blossom</v>
      </c>
      <c r="Q210" s="63" t="str">
        <f>IF(_xlfn.XLOOKUP(D210,'LD-ELFA'!F:F,'LD-ELFA'!V:V)="","",_xlfn.XLOOKUP(D210,'LD-ELFA'!F:F,'LD-ELFA'!V:V))</f>
        <v/>
      </c>
      <c r="R210" s="40" t="str">
        <f>IFERROR(IF(I210&lt;&gt;"","Documento Emitido",_xlfn.XLOOKUP(D210,Cronograma!P:P,Cronograma!Q:Q)),"Documento Removido")</f>
        <v>Documento Removido</v>
      </c>
      <c r="S210" s="40" t="str">
        <f t="shared" ca="1" si="33"/>
        <v>No prazo</v>
      </c>
      <c r="T210" s="40" t="str">
        <f>IFERROR(IF(I210&lt;&gt;"","Documento Emitido",_xlfn.XLOOKUP(D210,Cronograma!P:P,Cronograma!R:R)),"Documento Removido")</f>
        <v>Documento Removido</v>
      </c>
      <c r="U210" s="39" t="str">
        <f t="shared" si="34"/>
        <v>No prazo</v>
      </c>
      <c r="V210" s="39" t="str">
        <f t="shared" si="35"/>
        <v>Documento Removido</v>
      </c>
      <c r="W210" s="39" t="str">
        <f t="shared" ca="1" si="36"/>
        <v/>
      </c>
    </row>
    <row r="211" spans="1:23" ht="28.5" customHeight="1" x14ac:dyDescent="0.25">
      <c r="A211" s="39">
        <v>208</v>
      </c>
      <c r="B211" s="39" t="str">
        <f>_xlfn.XLOOKUP(D211,'LD-ELFA'!F:F,'LD-ELFA'!C:C)</f>
        <v>GE - Gestao De Engenharia</v>
      </c>
      <c r="C211" s="39" t="str">
        <f>_xlfn.XLOOKUP(D211,'LD-ELFA'!F:F,'LD-ELFA'!D:D)</f>
        <v>ATA - Ata E Notas De Reunião</v>
      </c>
      <c r="D211" s="39" t="s">
        <v>213</v>
      </c>
      <c r="E211" s="39" t="str">
        <f>_xlfn.LET(_xlpm.q,_xlfn.XLOOKUP(D211,'LD-ELFA'!F:F,'LD-ELFA'!Q:Q),
   _xlpm.r,_xlfn.XLOOKUP(D211,'LD-ELFA'!F:F,'LD-ELFA'!R:R),
   IF(_xlpm.r = "", _xlpm.q, _xlpm.q &amp; " - " &amp; _xlpm.r))</f>
        <v>ATA - APRESENTAÇÃO PROJETO - -</v>
      </c>
      <c r="F211" s="63" t="str">
        <f t="shared" si="30"/>
        <v>Básico</v>
      </c>
      <c r="G211" s="63">
        <f>_xlfn.XLOOKUP(D211,'LD-ELFA'!F:F,'LD-ELFA'!G:G)</f>
        <v>0</v>
      </c>
      <c r="H211" s="63">
        <f>_xlfn.XLOOKUP(D211,'LD-ELFA'!F:F,'LD-ELFA'!I:I)</f>
        <v>0</v>
      </c>
      <c r="I211" s="63" t="str">
        <f>IF(_xlfn.XLOOKUP(D211,'LD-ELFA'!F:F,'LD-ELFA'!T:T)="","",_xlfn.XLOOKUP(D211,'LD-ELFA'!F:F,'LD-ELFA'!T:T))</f>
        <v/>
      </c>
      <c r="J211" s="63" t="str">
        <f>IF(K211="Documento a emitir", "",_xlfn.XLOOKUP(D211,'LD-ELFA'!F:F,'LD-ELFA'!N:N))</f>
        <v/>
      </c>
      <c r="K211" s="43" t="str">
        <f>IF(_xlfn.XLOOKUP($D211,'LD-ELFA'!F:F,'LD-ELFA'!U:U)="","Documento a emitir",_xlfn.XLOOKUP($D211,'LD-ELFA'!F:F,'LD-ELFA'!U:U))</f>
        <v>Documento a emitir</v>
      </c>
      <c r="L211" s="43" t="str">
        <f>IF(K211="Documento a emitir","Documento a emitir",IF(K211&lt;&gt;"Documento a emitir",IF(_xlfn.XLOOKUP(D211,'LD-ELFA'!F:F,'LD-ELFA'!W:W)="","",_xlfn.XLOOKUP(D211,'LD-ELFA'!F:F,'LD-ELFA'!W:W)),""))</f>
        <v>Documento a emitir</v>
      </c>
      <c r="M211" s="43" t="str">
        <f>IF(K211="Documento a emitir","",IF(AND(Q211="APC-R  - APC-R - Aprovado com Comentários (Retornar para uma nova Aprovação)",Q211="APC-L  - APC-L  - Aprovado com Comentários (Retornar Aprovado)"),"",IF(OR(_xlfn.XLOOKUP(D211,'LD-ELFA'!F:F,'LD-ELFA'!N:N)="PARA CONHECIMENTO",_xlfn.XLOOKUP(D211,'LD-ELFA'!F:F,'LD-ELFA'!N:N)="PARA CONSTRUÇÃO",_xlfn.XLOOKUP(D211,'LD-ELFA'!F:F,'LD-ELFA'!N:N)="PARA COTAÇÃO",_xlfn.XLOOKUP(D211,'LD-ELFA'!F:F,'LD-ELFA'!N:N)="CANCELADO"),_xlfn.XLOOKUP(D211,'LD-ELFA'!F:F,'LD-ELFA'!U:U),IF(AND(L211="",J211&lt;&gt;"PARA APROVAÇÃO"),"",""))))</f>
        <v/>
      </c>
      <c r="N211" s="63" t="str">
        <f t="shared" ca="1" si="37"/>
        <v>Documento Removido</v>
      </c>
      <c r="O211" s="63" t="str">
        <f t="shared" si="31"/>
        <v>Documento Removido</v>
      </c>
      <c r="P211" s="63" t="str">
        <f t="shared" si="32"/>
        <v>Blossom</v>
      </c>
      <c r="Q211" s="63" t="str">
        <f>IF(_xlfn.XLOOKUP(D211,'LD-ELFA'!F:F,'LD-ELFA'!V:V)="","",_xlfn.XLOOKUP(D211,'LD-ELFA'!F:F,'LD-ELFA'!V:V))</f>
        <v/>
      </c>
      <c r="R211" s="40" t="str">
        <f>IFERROR(IF(I211&lt;&gt;"","Documento Emitido",_xlfn.XLOOKUP(D211,Cronograma!P:P,Cronograma!Q:Q)),"Documento Removido")</f>
        <v>Documento Removido</v>
      </c>
      <c r="S211" s="40" t="str">
        <f t="shared" ca="1" si="33"/>
        <v>No prazo</v>
      </c>
      <c r="T211" s="40" t="str">
        <f>IFERROR(IF(I211&lt;&gt;"","Documento Emitido",_xlfn.XLOOKUP(D211,Cronograma!P:P,Cronograma!R:R)),"Documento Removido")</f>
        <v>Documento Removido</v>
      </c>
      <c r="U211" s="39" t="str">
        <f t="shared" si="34"/>
        <v>No prazo</v>
      </c>
      <c r="V211" s="39" t="str">
        <f t="shared" si="35"/>
        <v>Documento Removido</v>
      </c>
      <c r="W211" s="39" t="str">
        <f t="shared" ca="1" si="36"/>
        <v/>
      </c>
    </row>
    <row r="212" spans="1:23" ht="28.5" customHeight="1" x14ac:dyDescent="0.25">
      <c r="A212" s="39">
        <v>209</v>
      </c>
      <c r="B212" s="39" t="str">
        <f>_xlfn.XLOOKUP(D212,'LD-ELFA'!F:F,'LD-ELFA'!C:C)</f>
        <v>GE - Gestao De Engenharia</v>
      </c>
      <c r="C212" s="39" t="str">
        <f>_xlfn.XLOOKUP(D212,'LD-ELFA'!F:F,'LD-ELFA'!D:D)</f>
        <v>ATA - Ata E Notas De Reunião</v>
      </c>
      <c r="D212" s="39" t="s">
        <v>214</v>
      </c>
      <c r="E212" s="39" t="str">
        <f>_xlfn.LET(_xlpm.q,_xlfn.XLOOKUP(D212,'LD-ELFA'!F:F,'LD-ELFA'!Q:Q),
   _xlpm.r,_xlfn.XLOOKUP(D212,'LD-ELFA'!F:F,'LD-ELFA'!R:R),
   IF(_xlpm.r = "", _xlpm.q, _xlpm.q &amp; " - " &amp; _xlpm.r))</f>
        <v>ATA - APRESENTAÇÃO PROJETO - -</v>
      </c>
      <c r="F212" s="63" t="str">
        <f t="shared" si="30"/>
        <v>Básico</v>
      </c>
      <c r="G212" s="63">
        <f>_xlfn.XLOOKUP(D212,'LD-ELFA'!F:F,'LD-ELFA'!G:G)</f>
        <v>0</v>
      </c>
      <c r="H212" s="63">
        <f>_xlfn.XLOOKUP(D212,'LD-ELFA'!F:F,'LD-ELFA'!I:I)</f>
        <v>0</v>
      </c>
      <c r="I212" s="63" t="str">
        <f>IF(_xlfn.XLOOKUP(D212,'LD-ELFA'!F:F,'LD-ELFA'!T:T)="","",_xlfn.XLOOKUP(D212,'LD-ELFA'!F:F,'LD-ELFA'!T:T))</f>
        <v/>
      </c>
      <c r="J212" s="63" t="str">
        <f>IF(K212="Documento a emitir", "",_xlfn.XLOOKUP(D212,'LD-ELFA'!F:F,'LD-ELFA'!N:N))</f>
        <v/>
      </c>
      <c r="K212" s="43" t="str">
        <f>IF(_xlfn.XLOOKUP($D212,'LD-ELFA'!F:F,'LD-ELFA'!U:U)="","Documento a emitir",_xlfn.XLOOKUP($D212,'LD-ELFA'!F:F,'LD-ELFA'!U:U))</f>
        <v>Documento a emitir</v>
      </c>
      <c r="L212" s="43" t="str">
        <f>IF(K212="Documento a emitir","Documento a emitir",IF(K212&lt;&gt;"Documento a emitir",IF(_xlfn.XLOOKUP(D212,'LD-ELFA'!F:F,'LD-ELFA'!W:W)="","",_xlfn.XLOOKUP(D212,'LD-ELFA'!F:F,'LD-ELFA'!W:W)),""))</f>
        <v>Documento a emitir</v>
      </c>
      <c r="M212" s="43" t="str">
        <f>IF(K212="Documento a emitir","",IF(AND(Q212="APC-R  - APC-R - Aprovado com Comentários (Retornar para uma nova Aprovação)",Q212="APC-L  - APC-L  - Aprovado com Comentários (Retornar Aprovado)"),"",IF(OR(_xlfn.XLOOKUP(D212,'LD-ELFA'!F:F,'LD-ELFA'!N:N)="PARA CONHECIMENTO",_xlfn.XLOOKUP(D212,'LD-ELFA'!F:F,'LD-ELFA'!N:N)="PARA CONSTRUÇÃO",_xlfn.XLOOKUP(D212,'LD-ELFA'!F:F,'LD-ELFA'!N:N)="PARA COTAÇÃO",_xlfn.XLOOKUP(D212,'LD-ELFA'!F:F,'LD-ELFA'!N:N)="CANCELADO"),_xlfn.XLOOKUP(D212,'LD-ELFA'!F:F,'LD-ELFA'!U:U),IF(AND(L212="",J212&lt;&gt;"PARA APROVAÇÃO"),"",""))))</f>
        <v/>
      </c>
      <c r="N212" s="63" t="str">
        <f t="shared" ca="1" si="37"/>
        <v>Documento Removido</v>
      </c>
      <c r="O212" s="63" t="str">
        <f t="shared" si="31"/>
        <v>Documento Removido</v>
      </c>
      <c r="P212" s="63" t="str">
        <f t="shared" si="32"/>
        <v>Blossom</v>
      </c>
      <c r="Q212" s="63" t="str">
        <f>IF(_xlfn.XLOOKUP(D212,'LD-ELFA'!F:F,'LD-ELFA'!V:V)="","",_xlfn.XLOOKUP(D212,'LD-ELFA'!F:F,'LD-ELFA'!V:V))</f>
        <v/>
      </c>
      <c r="R212" s="40" t="str">
        <f>IFERROR(IF(I212&lt;&gt;"","Documento Emitido",_xlfn.XLOOKUP(D212,Cronograma!P:P,Cronograma!Q:Q)),"Documento Removido")</f>
        <v>Documento Removido</v>
      </c>
      <c r="S212" s="40" t="str">
        <f t="shared" ca="1" si="33"/>
        <v>No prazo</v>
      </c>
      <c r="T212" s="40" t="str">
        <f>IFERROR(IF(I212&lt;&gt;"","Documento Emitido",_xlfn.XLOOKUP(D212,Cronograma!P:P,Cronograma!R:R)),"Documento Removido")</f>
        <v>Documento Removido</v>
      </c>
      <c r="U212" s="39" t="str">
        <f t="shared" si="34"/>
        <v>No prazo</v>
      </c>
      <c r="V212" s="39" t="str">
        <f t="shared" si="35"/>
        <v>Documento Removido</v>
      </c>
      <c r="W212" s="39" t="str">
        <f t="shared" ca="1" si="36"/>
        <v/>
      </c>
    </row>
    <row r="213" spans="1:23" ht="28.5" customHeight="1" x14ac:dyDescent="0.25">
      <c r="A213" s="39">
        <v>210</v>
      </c>
      <c r="B213" s="39" t="str">
        <f>_xlfn.XLOOKUP(D213,'LD-ELFA'!F:F,'LD-ELFA'!C:C)</f>
        <v>GE - Gestao De Engenharia</v>
      </c>
      <c r="C213" s="39" t="str">
        <f>_xlfn.XLOOKUP(D213,'LD-ELFA'!F:F,'LD-ELFA'!D:D)</f>
        <v>ATA - Ata E Notas De Reunião</v>
      </c>
      <c r="D213" s="39" t="s">
        <v>215</v>
      </c>
      <c r="E213" s="39" t="str">
        <f>_xlfn.LET(_xlpm.q,_xlfn.XLOOKUP(D213,'LD-ELFA'!F:F,'LD-ELFA'!Q:Q),
   _xlpm.r,_xlfn.XLOOKUP(D213,'LD-ELFA'!F:F,'LD-ELFA'!R:R),
   IF(_xlpm.r = "", _xlpm.q, _xlpm.q &amp; " - " &amp; _xlpm.r))</f>
        <v>ATA - APRESENTAÇÃO PROJETO - -</v>
      </c>
      <c r="F213" s="63" t="str">
        <f t="shared" si="30"/>
        <v>Básico</v>
      </c>
      <c r="G213" s="63">
        <f>_xlfn.XLOOKUP(D213,'LD-ELFA'!F:F,'LD-ELFA'!G:G)</f>
        <v>0</v>
      </c>
      <c r="H213" s="63">
        <f>_xlfn.XLOOKUP(D213,'LD-ELFA'!F:F,'LD-ELFA'!I:I)</f>
        <v>0</v>
      </c>
      <c r="I213" s="63" t="str">
        <f>IF(_xlfn.XLOOKUP(D213,'LD-ELFA'!F:F,'LD-ELFA'!T:T)="","",_xlfn.XLOOKUP(D213,'LD-ELFA'!F:F,'LD-ELFA'!T:T))</f>
        <v/>
      </c>
      <c r="J213" s="63" t="str">
        <f>IF(K213="Documento a emitir", "",_xlfn.XLOOKUP(D213,'LD-ELFA'!F:F,'LD-ELFA'!N:N))</f>
        <v/>
      </c>
      <c r="K213" s="43" t="str">
        <f>IF(_xlfn.XLOOKUP($D213,'LD-ELFA'!F:F,'LD-ELFA'!U:U)="","Documento a emitir",_xlfn.XLOOKUP($D213,'LD-ELFA'!F:F,'LD-ELFA'!U:U))</f>
        <v>Documento a emitir</v>
      </c>
      <c r="L213" s="43" t="str">
        <f>IF(K213="Documento a emitir","Documento a emitir",IF(K213&lt;&gt;"Documento a emitir",IF(_xlfn.XLOOKUP(D213,'LD-ELFA'!F:F,'LD-ELFA'!W:W)="","",_xlfn.XLOOKUP(D213,'LD-ELFA'!F:F,'LD-ELFA'!W:W)),""))</f>
        <v>Documento a emitir</v>
      </c>
      <c r="M213" s="43" t="str">
        <f>IF(K213="Documento a emitir","",IF(AND(Q213="APC-R  - APC-R - Aprovado com Comentários (Retornar para uma nova Aprovação)",Q213="APC-L  - APC-L  - Aprovado com Comentários (Retornar Aprovado)"),"",IF(OR(_xlfn.XLOOKUP(D213,'LD-ELFA'!F:F,'LD-ELFA'!N:N)="PARA CONHECIMENTO",_xlfn.XLOOKUP(D213,'LD-ELFA'!F:F,'LD-ELFA'!N:N)="PARA CONSTRUÇÃO",_xlfn.XLOOKUP(D213,'LD-ELFA'!F:F,'LD-ELFA'!N:N)="PARA COTAÇÃO",_xlfn.XLOOKUP(D213,'LD-ELFA'!F:F,'LD-ELFA'!N:N)="CANCELADO"),_xlfn.XLOOKUP(D213,'LD-ELFA'!F:F,'LD-ELFA'!U:U),IF(AND(L213="",J213&lt;&gt;"PARA APROVAÇÃO"),"",""))))</f>
        <v/>
      </c>
      <c r="N213" s="63" t="str">
        <f t="shared" ca="1" si="37"/>
        <v>Documento Removido</v>
      </c>
      <c r="O213" s="63" t="str">
        <f t="shared" si="31"/>
        <v>Documento Removido</v>
      </c>
      <c r="P213" s="63" t="str">
        <f t="shared" si="32"/>
        <v>Blossom</v>
      </c>
      <c r="Q213" s="63" t="str">
        <f>IF(_xlfn.XLOOKUP(D213,'LD-ELFA'!F:F,'LD-ELFA'!V:V)="","",_xlfn.XLOOKUP(D213,'LD-ELFA'!F:F,'LD-ELFA'!V:V))</f>
        <v/>
      </c>
      <c r="R213" s="40" t="str">
        <f>IFERROR(IF(I213&lt;&gt;"","Documento Emitido",_xlfn.XLOOKUP(D213,Cronograma!P:P,Cronograma!Q:Q)),"Documento Removido")</f>
        <v>Documento Removido</v>
      </c>
      <c r="S213" s="40" t="str">
        <f t="shared" ca="1" si="33"/>
        <v>No prazo</v>
      </c>
      <c r="T213" s="40" t="str">
        <f>IFERROR(IF(I213&lt;&gt;"","Documento Emitido",_xlfn.XLOOKUP(D213,Cronograma!P:P,Cronograma!R:R)),"Documento Removido")</f>
        <v>Documento Removido</v>
      </c>
      <c r="U213" s="39" t="str">
        <f t="shared" si="34"/>
        <v>No prazo</v>
      </c>
      <c r="V213" s="39" t="str">
        <f t="shared" si="35"/>
        <v>Documento Removido</v>
      </c>
      <c r="W213" s="39" t="str">
        <f t="shared" ca="1" si="36"/>
        <v/>
      </c>
    </row>
    <row r="214" spans="1:23" ht="28.5" customHeight="1" x14ac:dyDescent="0.25">
      <c r="A214" s="39">
        <v>211</v>
      </c>
      <c r="B214" s="39" t="str">
        <f>_xlfn.XLOOKUP(D214,'LD-ELFA'!F:F,'LD-ELFA'!C:C)</f>
        <v>GE - Gestao De Engenharia</v>
      </c>
      <c r="C214" s="39" t="str">
        <f>_xlfn.XLOOKUP(D214,'LD-ELFA'!F:F,'LD-ELFA'!D:D)</f>
        <v>ATA - Ata E Notas De Reunião</v>
      </c>
      <c r="D214" s="39" t="s">
        <v>216</v>
      </c>
      <c r="E214" s="39" t="str">
        <f>_xlfn.LET(_xlpm.q,_xlfn.XLOOKUP(D214,'LD-ELFA'!F:F,'LD-ELFA'!Q:Q),
   _xlpm.r,_xlfn.XLOOKUP(D214,'LD-ELFA'!F:F,'LD-ELFA'!R:R),
   IF(_xlpm.r = "", _xlpm.q, _xlpm.q &amp; " - " &amp; _xlpm.r))</f>
        <v>ATA - APRESENTAÇÃO PROJETO - -</v>
      </c>
      <c r="F214" s="63" t="str">
        <f t="shared" si="30"/>
        <v>Básico</v>
      </c>
      <c r="G214" s="63">
        <f>_xlfn.XLOOKUP(D214,'LD-ELFA'!F:F,'LD-ELFA'!G:G)</f>
        <v>0</v>
      </c>
      <c r="H214" s="63">
        <f>_xlfn.XLOOKUP(D214,'LD-ELFA'!F:F,'LD-ELFA'!I:I)</f>
        <v>0</v>
      </c>
      <c r="I214" s="63" t="str">
        <f>IF(_xlfn.XLOOKUP(D214,'LD-ELFA'!F:F,'LD-ELFA'!T:T)="","",_xlfn.XLOOKUP(D214,'LD-ELFA'!F:F,'LD-ELFA'!T:T))</f>
        <v/>
      </c>
      <c r="J214" s="63" t="str">
        <f>IF(K214="Documento a emitir", "",_xlfn.XLOOKUP(D214,'LD-ELFA'!F:F,'LD-ELFA'!N:N))</f>
        <v/>
      </c>
      <c r="K214" s="43" t="str">
        <f>IF(_xlfn.XLOOKUP($D214,'LD-ELFA'!F:F,'LD-ELFA'!U:U)="","Documento a emitir",_xlfn.XLOOKUP($D214,'LD-ELFA'!F:F,'LD-ELFA'!U:U))</f>
        <v>Documento a emitir</v>
      </c>
      <c r="L214" s="43" t="str">
        <f>IF(K214="Documento a emitir","Documento a emitir",IF(K214&lt;&gt;"Documento a emitir",IF(_xlfn.XLOOKUP(D214,'LD-ELFA'!F:F,'LD-ELFA'!W:W)="","",_xlfn.XLOOKUP(D214,'LD-ELFA'!F:F,'LD-ELFA'!W:W)),""))</f>
        <v>Documento a emitir</v>
      </c>
      <c r="M214" s="43" t="str">
        <f>IF(K214="Documento a emitir","",IF(AND(Q214="APC-R  - APC-R - Aprovado com Comentários (Retornar para uma nova Aprovação)",Q214="APC-L  - APC-L  - Aprovado com Comentários (Retornar Aprovado)"),"",IF(OR(_xlfn.XLOOKUP(D214,'LD-ELFA'!F:F,'LD-ELFA'!N:N)="PARA CONHECIMENTO",_xlfn.XLOOKUP(D214,'LD-ELFA'!F:F,'LD-ELFA'!N:N)="PARA CONSTRUÇÃO",_xlfn.XLOOKUP(D214,'LD-ELFA'!F:F,'LD-ELFA'!N:N)="PARA COTAÇÃO",_xlfn.XLOOKUP(D214,'LD-ELFA'!F:F,'LD-ELFA'!N:N)="CANCELADO"),_xlfn.XLOOKUP(D214,'LD-ELFA'!F:F,'LD-ELFA'!U:U),IF(AND(L214="",J214&lt;&gt;"PARA APROVAÇÃO"),"",""))))</f>
        <v/>
      </c>
      <c r="N214" s="63" t="str">
        <f t="shared" ca="1" si="37"/>
        <v>Documento Removido</v>
      </c>
      <c r="O214" s="63" t="str">
        <f t="shared" si="31"/>
        <v>Documento Removido</v>
      </c>
      <c r="P214" s="63" t="str">
        <f t="shared" si="32"/>
        <v>Blossom</v>
      </c>
      <c r="Q214" s="63" t="str">
        <f>IF(_xlfn.XLOOKUP(D214,'LD-ELFA'!F:F,'LD-ELFA'!V:V)="","",_xlfn.XLOOKUP(D214,'LD-ELFA'!F:F,'LD-ELFA'!V:V))</f>
        <v/>
      </c>
      <c r="R214" s="40" t="str">
        <f>IFERROR(IF(I214&lt;&gt;"","Documento Emitido",_xlfn.XLOOKUP(D214,Cronograma!P:P,Cronograma!Q:Q)),"Documento Removido")</f>
        <v>Documento Removido</v>
      </c>
      <c r="S214" s="40" t="str">
        <f t="shared" ca="1" si="33"/>
        <v>No prazo</v>
      </c>
      <c r="T214" s="40" t="str">
        <f>IFERROR(IF(I214&lt;&gt;"","Documento Emitido",_xlfn.XLOOKUP(D214,Cronograma!P:P,Cronograma!R:R)),"Documento Removido")</f>
        <v>Documento Removido</v>
      </c>
      <c r="U214" s="39" t="str">
        <f t="shared" si="34"/>
        <v>No prazo</v>
      </c>
      <c r="V214" s="39" t="str">
        <f t="shared" si="35"/>
        <v>Documento Removido</v>
      </c>
      <c r="W214" s="39" t="str">
        <f t="shared" ca="1" si="36"/>
        <v/>
      </c>
    </row>
    <row r="215" spans="1:23" ht="28.5" customHeight="1" x14ac:dyDescent="0.25">
      <c r="A215" s="39">
        <v>212</v>
      </c>
      <c r="B215" s="39" t="str">
        <f>_xlfn.XLOOKUP(D215,'LD-ELFA'!F:F,'LD-ELFA'!C:C)</f>
        <v>GE - Gestao De Engenharia</v>
      </c>
      <c r="C215" s="39" t="str">
        <f>_xlfn.XLOOKUP(D215,'LD-ELFA'!F:F,'LD-ELFA'!D:D)</f>
        <v>ATA - Ata E Notas De Reunião</v>
      </c>
      <c r="D215" s="39" t="s">
        <v>217</v>
      </c>
      <c r="E215" s="39" t="str">
        <f>_xlfn.LET(_xlpm.q,_xlfn.XLOOKUP(D215,'LD-ELFA'!F:F,'LD-ELFA'!Q:Q),
   _xlpm.r,_xlfn.XLOOKUP(D215,'LD-ELFA'!F:F,'LD-ELFA'!R:R),
   IF(_xlpm.r = "", _xlpm.q, _xlpm.q &amp; " - " &amp; _xlpm.r))</f>
        <v>ATA - APRESENTAÇÃO PROJETO - -</v>
      </c>
      <c r="F215" s="63" t="str">
        <f t="shared" si="30"/>
        <v>Básico</v>
      </c>
      <c r="G215" s="63">
        <f>_xlfn.XLOOKUP(D215,'LD-ELFA'!F:F,'LD-ELFA'!G:G)</f>
        <v>0</v>
      </c>
      <c r="H215" s="63">
        <f>_xlfn.XLOOKUP(D215,'LD-ELFA'!F:F,'LD-ELFA'!I:I)</f>
        <v>0</v>
      </c>
      <c r="I215" s="63" t="str">
        <f>IF(_xlfn.XLOOKUP(D215,'LD-ELFA'!F:F,'LD-ELFA'!T:T)="","",_xlfn.XLOOKUP(D215,'LD-ELFA'!F:F,'LD-ELFA'!T:T))</f>
        <v/>
      </c>
      <c r="J215" s="63" t="str">
        <f>IF(K215="Documento a emitir", "",_xlfn.XLOOKUP(D215,'LD-ELFA'!F:F,'LD-ELFA'!N:N))</f>
        <v/>
      </c>
      <c r="K215" s="43" t="str">
        <f>IF(_xlfn.XLOOKUP($D215,'LD-ELFA'!F:F,'LD-ELFA'!U:U)="","Documento a emitir",_xlfn.XLOOKUP($D215,'LD-ELFA'!F:F,'LD-ELFA'!U:U))</f>
        <v>Documento a emitir</v>
      </c>
      <c r="L215" s="43" t="str">
        <f>IF(K215="Documento a emitir","Documento a emitir",IF(K215&lt;&gt;"Documento a emitir",IF(_xlfn.XLOOKUP(D215,'LD-ELFA'!F:F,'LD-ELFA'!W:W)="","",_xlfn.XLOOKUP(D215,'LD-ELFA'!F:F,'LD-ELFA'!W:W)),""))</f>
        <v>Documento a emitir</v>
      </c>
      <c r="M215" s="43" t="str">
        <f>IF(K215="Documento a emitir","",IF(AND(Q215="APC-R  - APC-R - Aprovado com Comentários (Retornar para uma nova Aprovação)",Q215="APC-L  - APC-L  - Aprovado com Comentários (Retornar Aprovado)"),"",IF(OR(_xlfn.XLOOKUP(D215,'LD-ELFA'!F:F,'LD-ELFA'!N:N)="PARA CONHECIMENTO",_xlfn.XLOOKUP(D215,'LD-ELFA'!F:F,'LD-ELFA'!N:N)="PARA CONSTRUÇÃO",_xlfn.XLOOKUP(D215,'LD-ELFA'!F:F,'LD-ELFA'!N:N)="PARA COTAÇÃO",_xlfn.XLOOKUP(D215,'LD-ELFA'!F:F,'LD-ELFA'!N:N)="CANCELADO"),_xlfn.XLOOKUP(D215,'LD-ELFA'!F:F,'LD-ELFA'!U:U),IF(AND(L215="",J215&lt;&gt;"PARA APROVAÇÃO"),"",""))))</f>
        <v/>
      </c>
      <c r="N215" s="63" t="str">
        <f t="shared" ca="1" si="37"/>
        <v>Documento Removido</v>
      </c>
      <c r="O215" s="63" t="str">
        <f t="shared" si="31"/>
        <v>Documento Removido</v>
      </c>
      <c r="P215" s="63" t="str">
        <f t="shared" si="32"/>
        <v>Blossom</v>
      </c>
      <c r="Q215" s="63" t="str">
        <f>IF(_xlfn.XLOOKUP(D215,'LD-ELFA'!F:F,'LD-ELFA'!V:V)="","",_xlfn.XLOOKUP(D215,'LD-ELFA'!F:F,'LD-ELFA'!V:V))</f>
        <v/>
      </c>
      <c r="R215" s="40" t="str">
        <f>IFERROR(IF(I215&lt;&gt;"","Documento Emitido",_xlfn.XLOOKUP(D215,Cronograma!P:P,Cronograma!Q:Q)),"Documento Removido")</f>
        <v>Documento Removido</v>
      </c>
      <c r="S215" s="40" t="str">
        <f t="shared" ca="1" si="33"/>
        <v>No prazo</v>
      </c>
      <c r="T215" s="40" t="str">
        <f>IFERROR(IF(I215&lt;&gt;"","Documento Emitido",_xlfn.XLOOKUP(D215,Cronograma!P:P,Cronograma!R:R)),"Documento Removido")</f>
        <v>Documento Removido</v>
      </c>
      <c r="U215" s="39" t="str">
        <f t="shared" si="34"/>
        <v>No prazo</v>
      </c>
      <c r="V215" s="39" t="str">
        <f t="shared" si="35"/>
        <v>Documento Removido</v>
      </c>
      <c r="W215" s="39" t="str">
        <f t="shared" ca="1" si="36"/>
        <v/>
      </c>
    </row>
    <row r="216" spans="1:23" ht="28.5" customHeight="1" x14ac:dyDescent="0.25">
      <c r="A216" s="39">
        <v>213</v>
      </c>
      <c r="B216" s="39" t="str">
        <f>_xlfn.XLOOKUP(D216,'LD-ELFA'!F:F,'LD-ELFA'!C:C)</f>
        <v>GE - Gestao De Engenharia</v>
      </c>
      <c r="C216" s="39" t="str">
        <f>_xlfn.XLOOKUP(D216,'LD-ELFA'!F:F,'LD-ELFA'!D:D)</f>
        <v>ATA - Ata E Notas De Reunião</v>
      </c>
      <c r="D216" s="39" t="s">
        <v>218</v>
      </c>
      <c r="E216" s="39" t="str">
        <f>_xlfn.LET(_xlpm.q,_xlfn.XLOOKUP(D216,'LD-ELFA'!F:F,'LD-ELFA'!Q:Q),
   _xlpm.r,_xlfn.XLOOKUP(D216,'LD-ELFA'!F:F,'LD-ELFA'!R:R),
   IF(_xlpm.r = "", _xlpm.q, _xlpm.q &amp; " - " &amp; _xlpm.r))</f>
        <v>ATA - APRESENTAÇÃO PROJETO - -</v>
      </c>
      <c r="F216" s="63" t="str">
        <f t="shared" si="30"/>
        <v>Básico</v>
      </c>
      <c r="G216" s="63">
        <f>_xlfn.XLOOKUP(D216,'LD-ELFA'!F:F,'LD-ELFA'!G:G)</f>
        <v>0</v>
      </c>
      <c r="H216" s="63">
        <f>_xlfn.XLOOKUP(D216,'LD-ELFA'!F:F,'LD-ELFA'!I:I)</f>
        <v>0</v>
      </c>
      <c r="I216" s="63" t="str">
        <f>IF(_xlfn.XLOOKUP(D216,'LD-ELFA'!F:F,'LD-ELFA'!T:T)="","",_xlfn.XLOOKUP(D216,'LD-ELFA'!F:F,'LD-ELFA'!T:T))</f>
        <v/>
      </c>
      <c r="J216" s="63" t="str">
        <f>IF(K216="Documento a emitir", "",_xlfn.XLOOKUP(D216,'LD-ELFA'!F:F,'LD-ELFA'!N:N))</f>
        <v/>
      </c>
      <c r="K216" s="43" t="str">
        <f>IF(_xlfn.XLOOKUP($D216,'LD-ELFA'!F:F,'LD-ELFA'!U:U)="","Documento a emitir",_xlfn.XLOOKUP($D216,'LD-ELFA'!F:F,'LD-ELFA'!U:U))</f>
        <v>Documento a emitir</v>
      </c>
      <c r="L216" s="43" t="str">
        <f>IF(K216="Documento a emitir","Documento a emitir",IF(K216&lt;&gt;"Documento a emitir",IF(_xlfn.XLOOKUP(D216,'LD-ELFA'!F:F,'LD-ELFA'!W:W)="","",_xlfn.XLOOKUP(D216,'LD-ELFA'!F:F,'LD-ELFA'!W:W)),""))</f>
        <v>Documento a emitir</v>
      </c>
      <c r="M216" s="43" t="str">
        <f>IF(K216="Documento a emitir","",IF(AND(Q216="APC-R  - APC-R - Aprovado com Comentários (Retornar para uma nova Aprovação)",Q216="APC-L  - APC-L  - Aprovado com Comentários (Retornar Aprovado)"),"",IF(OR(_xlfn.XLOOKUP(D216,'LD-ELFA'!F:F,'LD-ELFA'!N:N)="PARA CONHECIMENTO",_xlfn.XLOOKUP(D216,'LD-ELFA'!F:F,'LD-ELFA'!N:N)="PARA CONSTRUÇÃO",_xlfn.XLOOKUP(D216,'LD-ELFA'!F:F,'LD-ELFA'!N:N)="PARA COTAÇÃO",_xlfn.XLOOKUP(D216,'LD-ELFA'!F:F,'LD-ELFA'!N:N)="CANCELADO"),_xlfn.XLOOKUP(D216,'LD-ELFA'!F:F,'LD-ELFA'!U:U),IF(AND(L216="",J216&lt;&gt;"PARA APROVAÇÃO"),"",""))))</f>
        <v/>
      </c>
      <c r="N216" s="63" t="str">
        <f t="shared" ca="1" si="37"/>
        <v>Documento Removido</v>
      </c>
      <c r="O216" s="63" t="str">
        <f t="shared" si="31"/>
        <v>Documento Removido</v>
      </c>
      <c r="P216" s="63" t="str">
        <f t="shared" si="32"/>
        <v>Blossom</v>
      </c>
      <c r="Q216" s="63" t="str">
        <f>IF(_xlfn.XLOOKUP(D216,'LD-ELFA'!F:F,'LD-ELFA'!V:V)="","",_xlfn.XLOOKUP(D216,'LD-ELFA'!F:F,'LD-ELFA'!V:V))</f>
        <v/>
      </c>
      <c r="R216" s="40" t="str">
        <f>IFERROR(IF(I216&lt;&gt;"","Documento Emitido",_xlfn.XLOOKUP(D216,Cronograma!P:P,Cronograma!Q:Q)),"Documento Removido")</f>
        <v>Documento Removido</v>
      </c>
      <c r="S216" s="40" t="str">
        <f t="shared" ca="1" si="33"/>
        <v>No prazo</v>
      </c>
      <c r="T216" s="40" t="str">
        <f>IFERROR(IF(I216&lt;&gt;"","Documento Emitido",_xlfn.XLOOKUP(D216,Cronograma!P:P,Cronograma!R:R)),"Documento Removido")</f>
        <v>Documento Removido</v>
      </c>
      <c r="U216" s="39" t="str">
        <f t="shared" si="34"/>
        <v>No prazo</v>
      </c>
      <c r="V216" s="39" t="str">
        <f t="shared" si="35"/>
        <v>Documento Removido</v>
      </c>
      <c r="W216" s="39" t="str">
        <f t="shared" ca="1" si="36"/>
        <v/>
      </c>
    </row>
    <row r="217" spans="1:23" ht="28.5" customHeight="1" x14ac:dyDescent="0.25">
      <c r="A217" s="39">
        <v>214</v>
      </c>
      <c r="B217" s="39" t="str">
        <f>_xlfn.XLOOKUP(D217,'LD-ELFA'!F:F,'LD-ELFA'!C:C)</f>
        <v>GE - Gestao De Engenharia</v>
      </c>
      <c r="C217" s="39" t="str">
        <f>_xlfn.XLOOKUP(D217,'LD-ELFA'!F:F,'LD-ELFA'!D:D)</f>
        <v>ATA - Ata E Notas De Reunião</v>
      </c>
      <c r="D217" s="39" t="s">
        <v>219</v>
      </c>
      <c r="E217" s="39" t="str">
        <f>_xlfn.LET(_xlpm.q,_xlfn.XLOOKUP(D217,'LD-ELFA'!F:F,'LD-ELFA'!Q:Q),
   _xlpm.r,_xlfn.XLOOKUP(D217,'LD-ELFA'!F:F,'LD-ELFA'!R:R),
   IF(_xlpm.r = "", _xlpm.q, _xlpm.q &amp; " - " &amp; _xlpm.r))</f>
        <v>ATA - APRESENTAÇÃO PROJETO - -</v>
      </c>
      <c r="F217" s="63" t="str">
        <f t="shared" si="30"/>
        <v>Básico</v>
      </c>
      <c r="G217" s="63">
        <f>_xlfn.XLOOKUP(D217,'LD-ELFA'!F:F,'LD-ELFA'!G:G)</f>
        <v>0</v>
      </c>
      <c r="H217" s="63">
        <f>_xlfn.XLOOKUP(D217,'LD-ELFA'!F:F,'LD-ELFA'!I:I)</f>
        <v>0</v>
      </c>
      <c r="I217" s="63" t="str">
        <f>IF(_xlfn.XLOOKUP(D217,'LD-ELFA'!F:F,'LD-ELFA'!T:T)="","",_xlfn.XLOOKUP(D217,'LD-ELFA'!F:F,'LD-ELFA'!T:T))</f>
        <v/>
      </c>
      <c r="J217" s="63" t="str">
        <f>IF(K217="Documento a emitir", "",_xlfn.XLOOKUP(D217,'LD-ELFA'!F:F,'LD-ELFA'!N:N))</f>
        <v/>
      </c>
      <c r="K217" s="43" t="str">
        <f>IF(_xlfn.XLOOKUP($D217,'LD-ELFA'!F:F,'LD-ELFA'!U:U)="","Documento a emitir",_xlfn.XLOOKUP($D217,'LD-ELFA'!F:F,'LD-ELFA'!U:U))</f>
        <v>Documento a emitir</v>
      </c>
      <c r="L217" s="43" t="str">
        <f>IF(K217="Documento a emitir","Documento a emitir",IF(K217&lt;&gt;"Documento a emitir",IF(_xlfn.XLOOKUP(D217,'LD-ELFA'!F:F,'LD-ELFA'!W:W)="","",_xlfn.XLOOKUP(D217,'LD-ELFA'!F:F,'LD-ELFA'!W:W)),""))</f>
        <v>Documento a emitir</v>
      </c>
      <c r="M217" s="43" t="str">
        <f>IF(K217="Documento a emitir","",IF(AND(Q217="APC-R  - APC-R - Aprovado com Comentários (Retornar para uma nova Aprovação)",Q217="APC-L  - APC-L  - Aprovado com Comentários (Retornar Aprovado)"),"",IF(OR(_xlfn.XLOOKUP(D217,'LD-ELFA'!F:F,'LD-ELFA'!N:N)="PARA CONHECIMENTO",_xlfn.XLOOKUP(D217,'LD-ELFA'!F:F,'LD-ELFA'!N:N)="PARA CONSTRUÇÃO",_xlfn.XLOOKUP(D217,'LD-ELFA'!F:F,'LD-ELFA'!N:N)="PARA COTAÇÃO",_xlfn.XLOOKUP(D217,'LD-ELFA'!F:F,'LD-ELFA'!N:N)="CANCELADO"),_xlfn.XLOOKUP(D217,'LD-ELFA'!F:F,'LD-ELFA'!U:U),IF(AND(L217="",J217&lt;&gt;"PARA APROVAÇÃO"),"",""))))</f>
        <v/>
      </c>
      <c r="N217" s="63" t="str">
        <f t="shared" ca="1" si="37"/>
        <v>Documento Removido</v>
      </c>
      <c r="O217" s="63" t="str">
        <f t="shared" si="31"/>
        <v>Documento Removido</v>
      </c>
      <c r="P217" s="63" t="str">
        <f t="shared" si="32"/>
        <v>Blossom</v>
      </c>
      <c r="Q217" s="63" t="str">
        <f>IF(_xlfn.XLOOKUP(D217,'LD-ELFA'!F:F,'LD-ELFA'!V:V)="","",_xlfn.XLOOKUP(D217,'LD-ELFA'!F:F,'LD-ELFA'!V:V))</f>
        <v/>
      </c>
      <c r="R217" s="40" t="str">
        <f>IFERROR(IF(I217&lt;&gt;"","Documento Emitido",_xlfn.XLOOKUP(D217,Cronograma!P:P,Cronograma!Q:Q)),"Documento Removido")</f>
        <v>Documento Removido</v>
      </c>
      <c r="S217" s="40" t="str">
        <f t="shared" ca="1" si="33"/>
        <v>No prazo</v>
      </c>
      <c r="T217" s="40" t="str">
        <f>IFERROR(IF(I217&lt;&gt;"","Documento Emitido",_xlfn.XLOOKUP(D217,Cronograma!P:P,Cronograma!R:R)),"Documento Removido")</f>
        <v>Documento Removido</v>
      </c>
      <c r="U217" s="39" t="str">
        <f t="shared" si="34"/>
        <v>No prazo</v>
      </c>
      <c r="V217" s="39" t="str">
        <f t="shared" si="35"/>
        <v>Documento Removido</v>
      </c>
      <c r="W217" s="39" t="str">
        <f t="shared" ca="1" si="36"/>
        <v/>
      </c>
    </row>
    <row r="218" spans="1:23" ht="28.5" customHeight="1" x14ac:dyDescent="0.25">
      <c r="A218" s="39">
        <v>215</v>
      </c>
      <c r="B218" s="39" t="e">
        <f>_xlfn.XLOOKUP(D218,'LD-ELFA'!F:F,'LD-ELFA'!C:C)</f>
        <v>#N/A</v>
      </c>
      <c r="C218" s="39" t="e">
        <f>_xlfn.XLOOKUP(D218,'LD-ELFA'!F:F,'LD-ELFA'!D:D)</f>
        <v>#N/A</v>
      </c>
      <c r="D218" s="39" t="s">
        <v>220</v>
      </c>
      <c r="E218" s="39" t="e">
        <f>_xlfn.LET(_xlpm.q,_xlfn.XLOOKUP(D218,'LD-ELFA'!F:F,'LD-ELFA'!Q:Q),
   _xlpm.r,_xlfn.XLOOKUP(D218,'LD-ELFA'!F:F,'LD-ELFA'!R:R),
   IF(_xlpm.r = "", _xlpm.q, _xlpm.q &amp; " - " &amp; _xlpm.r))</f>
        <v>#N/A</v>
      </c>
      <c r="F218" s="63" t="str">
        <f t="shared" si="30"/>
        <v>Básico</v>
      </c>
      <c r="G218" s="63" t="e">
        <f>_xlfn.XLOOKUP(D218,'LD-ELFA'!F:F,'LD-ELFA'!G:G)</f>
        <v>#N/A</v>
      </c>
      <c r="H218" s="63" t="e">
        <f>_xlfn.XLOOKUP(D218,'LD-ELFA'!F:F,'LD-ELFA'!I:I)</f>
        <v>#N/A</v>
      </c>
      <c r="I218" s="63" t="e">
        <f>IF(_xlfn.XLOOKUP(D218,'LD-ELFA'!F:F,'LD-ELFA'!T:T)="","",_xlfn.XLOOKUP(D218,'LD-ELFA'!F:F,'LD-ELFA'!T:T))</f>
        <v>#N/A</v>
      </c>
      <c r="J218" s="63" t="e">
        <f>IF(K218="Documento a emitir", "",_xlfn.XLOOKUP(D218,'LD-ELFA'!F:F,'LD-ELFA'!N:N))</f>
        <v>#N/A</v>
      </c>
      <c r="K218" s="43" t="e">
        <f>IF(_xlfn.XLOOKUP($D218,'LD-ELFA'!F:F,'LD-ELFA'!U:U)="","Documento a emitir",_xlfn.XLOOKUP($D218,'LD-ELFA'!F:F,'LD-ELFA'!U:U))</f>
        <v>#N/A</v>
      </c>
      <c r="L218" s="43" t="e">
        <f>IF(K218="Documento a emitir","Documento a emitir",IF(K218&lt;&gt;"Documento a emitir",IF(_xlfn.XLOOKUP(D218,'LD-ELFA'!F:F,'LD-ELFA'!W:W)="","",_xlfn.XLOOKUP(D218,'LD-ELFA'!F:F,'LD-ELFA'!W:W)),""))</f>
        <v>#N/A</v>
      </c>
      <c r="M218" s="43" t="e">
        <f>IF(K218="Documento a emitir","",IF(AND(Q218="APC-R  - APC-R - Aprovado com Comentários (Retornar para uma nova Aprovação)",Q218="APC-L  - APC-L  - Aprovado com Comentários (Retornar Aprovado)"),"",IF(OR(_xlfn.XLOOKUP(D218,'LD-ELFA'!F:F,'LD-ELFA'!N:N)="PARA CONHECIMENTO",_xlfn.XLOOKUP(D218,'LD-ELFA'!F:F,'LD-ELFA'!N:N)="PARA CONSTRUÇÃO",_xlfn.XLOOKUP(D218,'LD-ELFA'!F:F,'LD-ELFA'!N:N)="PARA COTAÇÃO",_xlfn.XLOOKUP(D218,'LD-ELFA'!F:F,'LD-ELFA'!N:N)="CANCELADO"),_xlfn.XLOOKUP(D218,'LD-ELFA'!F:F,'LD-ELFA'!U:U),IF(AND(L218="",J218&lt;&gt;"PARA APROVAÇÃO"),"",""))))</f>
        <v>#N/A</v>
      </c>
      <c r="N218" s="63" t="str">
        <f t="shared" ca="1" si="37"/>
        <v>Documento Removido</v>
      </c>
      <c r="O218" s="63" t="str">
        <f t="shared" si="31"/>
        <v>Documento Removido</v>
      </c>
      <c r="P218" s="63" t="str">
        <f t="shared" si="32"/>
        <v>Blossom</v>
      </c>
      <c r="Q218" s="63" t="e">
        <f>IF(_xlfn.XLOOKUP(D218,'LD-ELFA'!F:F,'LD-ELFA'!V:V)="","",_xlfn.XLOOKUP(D218,'LD-ELFA'!F:F,'LD-ELFA'!V:V))</f>
        <v>#N/A</v>
      </c>
      <c r="R218" s="40" t="str">
        <f>IFERROR(IF(I218&lt;&gt;"","Documento Emitido",_xlfn.XLOOKUP(D218,Cronograma!P:P,Cronograma!Q:Q)),"Documento Removido")</f>
        <v>Documento Removido</v>
      </c>
      <c r="S218" s="40" t="str">
        <f t="shared" ca="1" si="33"/>
        <v>Documento Removido</v>
      </c>
      <c r="T218" s="40" t="str">
        <f>IFERROR(IF(I218&lt;&gt;"","Documento Emitido",_xlfn.XLOOKUP(D218,Cronograma!P:P,Cronograma!R:R)),"Documento Removido")</f>
        <v>Documento Removido</v>
      </c>
      <c r="U218" s="39" t="str">
        <f t="shared" si="34"/>
        <v>Documento Removido</v>
      </c>
      <c r="V218" s="39" t="str">
        <f t="shared" si="35"/>
        <v>Documento Removido</v>
      </c>
      <c r="W218" s="39" t="e">
        <f t="shared" ca="1" si="36"/>
        <v>#N/A</v>
      </c>
    </row>
    <row r="219" spans="1:23" ht="28.5" customHeight="1" x14ac:dyDescent="0.25">
      <c r="A219" s="39">
        <v>216</v>
      </c>
      <c r="B219" s="39" t="e">
        <f>_xlfn.XLOOKUP(D219,'LD-ELFA'!F:F,'LD-ELFA'!C:C)</f>
        <v>#N/A</v>
      </c>
      <c r="C219" s="39" t="e">
        <f>_xlfn.XLOOKUP(D219,'LD-ELFA'!F:F,'LD-ELFA'!D:D)</f>
        <v>#N/A</v>
      </c>
      <c r="D219" s="39" t="s">
        <v>221</v>
      </c>
      <c r="E219" s="39" t="e">
        <f>_xlfn.LET(_xlpm.q,_xlfn.XLOOKUP(D219,'LD-ELFA'!F:F,'LD-ELFA'!Q:Q),
   _xlpm.r,_xlfn.XLOOKUP(D219,'LD-ELFA'!F:F,'LD-ELFA'!R:R),
   IF(_xlpm.r = "", _xlpm.q, _xlpm.q &amp; " - " &amp; _xlpm.r))</f>
        <v>#N/A</v>
      </c>
      <c r="F219" s="63" t="str">
        <f t="shared" si="30"/>
        <v>Básico</v>
      </c>
      <c r="G219" s="63" t="e">
        <f>_xlfn.XLOOKUP(D219,'LD-ELFA'!F:F,'LD-ELFA'!G:G)</f>
        <v>#N/A</v>
      </c>
      <c r="H219" s="63" t="e">
        <f>_xlfn.XLOOKUP(D219,'LD-ELFA'!F:F,'LD-ELFA'!I:I)</f>
        <v>#N/A</v>
      </c>
      <c r="I219" s="63" t="e">
        <f>IF(_xlfn.XLOOKUP(D219,'LD-ELFA'!F:F,'LD-ELFA'!T:T)="","",_xlfn.XLOOKUP(D219,'LD-ELFA'!F:F,'LD-ELFA'!T:T))</f>
        <v>#N/A</v>
      </c>
      <c r="J219" s="63" t="e">
        <f>IF(K219="Documento a emitir", "",_xlfn.XLOOKUP(D219,'LD-ELFA'!F:F,'LD-ELFA'!N:N))</f>
        <v>#N/A</v>
      </c>
      <c r="K219" s="43" t="e">
        <f>IF(_xlfn.XLOOKUP($D219,'LD-ELFA'!F:F,'LD-ELFA'!U:U)="","Documento a emitir",_xlfn.XLOOKUP($D219,'LD-ELFA'!F:F,'LD-ELFA'!U:U))</f>
        <v>#N/A</v>
      </c>
      <c r="L219" s="43" t="e">
        <f>IF(K219="Documento a emitir","Documento a emitir",IF(K219&lt;&gt;"Documento a emitir",IF(_xlfn.XLOOKUP(D219,'LD-ELFA'!F:F,'LD-ELFA'!W:W)="","",_xlfn.XLOOKUP(D219,'LD-ELFA'!F:F,'LD-ELFA'!W:W)),""))</f>
        <v>#N/A</v>
      </c>
      <c r="M219" s="43" t="e">
        <f>IF(K219="Documento a emitir","",IF(AND(Q219="APC-R  - APC-R - Aprovado com Comentários (Retornar para uma nova Aprovação)",Q219="APC-L  - APC-L  - Aprovado com Comentários (Retornar Aprovado)"),"",IF(OR(_xlfn.XLOOKUP(D219,'LD-ELFA'!F:F,'LD-ELFA'!N:N)="PARA CONHECIMENTO",_xlfn.XLOOKUP(D219,'LD-ELFA'!F:F,'LD-ELFA'!N:N)="PARA CONSTRUÇÃO",_xlfn.XLOOKUP(D219,'LD-ELFA'!F:F,'LD-ELFA'!N:N)="PARA COTAÇÃO",_xlfn.XLOOKUP(D219,'LD-ELFA'!F:F,'LD-ELFA'!N:N)="CANCELADO"),_xlfn.XLOOKUP(D219,'LD-ELFA'!F:F,'LD-ELFA'!U:U),IF(AND(L219="",J219&lt;&gt;"PARA APROVAÇÃO"),"",""))))</f>
        <v>#N/A</v>
      </c>
      <c r="N219" s="63" t="str">
        <f t="shared" ref="N219:N234" ca="1" si="38">IF(O219="Documento Concluído","Documento Concluído",IF(O219="Cliente - Atendimento de Comentário",IF(TODAY()&lt;=(K219+3),"No prazo","Atrasado"),IF(O219="Cliente - Atendimento de Comentário",IF(TODAY()&lt;=(WORKDAY(K219,3,0)),"No prazo","Atrasado"),IF(O219="Blossom - Emissão Final",IF(TODAY()&lt;=(WORKDAY(L219,3,0)),"No prazo","Atrasado"),IF(O219="Blossom - Atendimento de Comentário",IF(TODAY()&lt;=(WORKDAY(L219,3,0)),"No prazo","Atrasado"),IF(O219="Blossom - Documento a emitir","Documento a Emitir","ERRO"))))))</f>
        <v>ERRO</v>
      </c>
      <c r="O219" s="63" t="str">
        <f t="shared" si="31"/>
        <v>Documento Removido</v>
      </c>
      <c r="P219" s="63" t="str">
        <f t="shared" si="32"/>
        <v>Blossom</v>
      </c>
      <c r="Q219" s="63" t="e">
        <f>IF(_xlfn.XLOOKUP(D219,'LD-ELFA'!F:F,'LD-ELFA'!V:V)="","",_xlfn.XLOOKUP(D219,'LD-ELFA'!F:F,'LD-ELFA'!V:V))</f>
        <v>#N/A</v>
      </c>
      <c r="R219" s="40" t="str">
        <f>IFERROR(IF(I219&lt;&gt;"","Documento Emitido",_xlfn.XLOOKUP(D219,Cronograma!P:P,Cronograma!Q:Q)),"Documento Removido")</f>
        <v>Documento Removido</v>
      </c>
      <c r="S219" s="40" t="str">
        <f t="shared" ca="1" si="33"/>
        <v>Documento Removido</v>
      </c>
      <c r="T219" s="40" t="str">
        <f>IFERROR(IF(I219&lt;&gt;"","Documento Emitido",_xlfn.XLOOKUP(D219,Cronograma!P:P,Cronograma!R:R)),"Documento Removido")</f>
        <v>Documento Removido</v>
      </c>
      <c r="U219" s="39" t="str">
        <f t="shared" si="34"/>
        <v>Documento Removido</v>
      </c>
      <c r="V219" s="39" t="str">
        <f t="shared" si="35"/>
        <v>Documento Removido</v>
      </c>
      <c r="W219" s="39" t="e">
        <f t="shared" ca="1" si="36"/>
        <v>#N/A</v>
      </c>
    </row>
    <row r="220" spans="1:23" ht="28.5" customHeight="1" x14ac:dyDescent="0.25">
      <c r="A220" s="39">
        <v>217</v>
      </c>
      <c r="B220" s="39" t="e">
        <f>_xlfn.XLOOKUP(D220,'LD-ELFA'!F:F,'LD-ELFA'!C:C)</f>
        <v>#N/A</v>
      </c>
      <c r="C220" s="39" t="e">
        <f>_xlfn.XLOOKUP(D220,'LD-ELFA'!F:F,'LD-ELFA'!D:D)</f>
        <v>#N/A</v>
      </c>
      <c r="D220" s="39" t="s">
        <v>222</v>
      </c>
      <c r="E220" s="39" t="e">
        <f>_xlfn.LET(_xlpm.q,_xlfn.XLOOKUP(D220,'LD-ELFA'!F:F,'LD-ELFA'!Q:Q),
   _xlpm.r,_xlfn.XLOOKUP(D220,'LD-ELFA'!F:F,'LD-ELFA'!R:R),
   IF(_xlpm.r = "", _xlpm.q, _xlpm.q &amp; " - " &amp; _xlpm.r))</f>
        <v>#N/A</v>
      </c>
      <c r="F220" s="63" t="str">
        <f t="shared" si="30"/>
        <v>Básico</v>
      </c>
      <c r="G220" s="63" t="e">
        <f>_xlfn.XLOOKUP(D220,'LD-ELFA'!F:F,'LD-ELFA'!G:G)</f>
        <v>#N/A</v>
      </c>
      <c r="H220" s="63" t="e">
        <f>_xlfn.XLOOKUP(D220,'LD-ELFA'!F:F,'LD-ELFA'!I:I)</f>
        <v>#N/A</v>
      </c>
      <c r="I220" s="63" t="e">
        <f>IF(_xlfn.XLOOKUP(D220,'LD-ELFA'!F:F,'LD-ELFA'!T:T)="","",_xlfn.XLOOKUP(D220,'LD-ELFA'!F:F,'LD-ELFA'!T:T))</f>
        <v>#N/A</v>
      </c>
      <c r="J220" s="63" t="e">
        <f>IF(K220="Documento a emitir", "",_xlfn.XLOOKUP(D220,'LD-ELFA'!F:F,'LD-ELFA'!N:N))</f>
        <v>#N/A</v>
      </c>
      <c r="K220" s="43" t="e">
        <f>IF(_xlfn.XLOOKUP($D220,'LD-ELFA'!F:F,'LD-ELFA'!U:U)="","Documento a emitir",_xlfn.XLOOKUP($D220,'LD-ELFA'!F:F,'LD-ELFA'!U:U))</f>
        <v>#N/A</v>
      </c>
      <c r="L220" s="43" t="e">
        <f>IF(K220="Documento a emitir","Documento a emitir",IF(K220&lt;&gt;"Documento a emitir",IF(_xlfn.XLOOKUP(D220,'LD-ELFA'!F:F,'LD-ELFA'!W:W)="","",_xlfn.XLOOKUP(D220,'LD-ELFA'!F:F,'LD-ELFA'!W:W)),""))</f>
        <v>#N/A</v>
      </c>
      <c r="M220" s="43" t="e">
        <f>IF(K220="Documento a emitir","",IF(AND(Q220="APC-R  - APC-R - Aprovado com Comentários (Retornar para uma nova Aprovação)",Q220="APC-L  - APC-L  - Aprovado com Comentários (Retornar Aprovado)"),"",IF(OR(_xlfn.XLOOKUP(D220,'LD-ELFA'!F:F,'LD-ELFA'!N:N)="PARA CONHECIMENTO",_xlfn.XLOOKUP(D220,'LD-ELFA'!F:F,'LD-ELFA'!N:N)="PARA CONSTRUÇÃO",_xlfn.XLOOKUP(D220,'LD-ELFA'!F:F,'LD-ELFA'!N:N)="PARA COTAÇÃO",_xlfn.XLOOKUP(D220,'LD-ELFA'!F:F,'LD-ELFA'!N:N)="CANCELADO"),_xlfn.XLOOKUP(D220,'LD-ELFA'!F:F,'LD-ELFA'!U:U),IF(AND(L220="",J220&lt;&gt;"PARA APROVAÇÃO"),"",""))))</f>
        <v>#N/A</v>
      </c>
      <c r="N220" s="63" t="str">
        <f t="shared" ca="1" si="38"/>
        <v>ERRO</v>
      </c>
      <c r="O220" s="63" t="str">
        <f t="shared" si="31"/>
        <v>Documento Removido</v>
      </c>
      <c r="P220" s="63" t="str">
        <f t="shared" si="32"/>
        <v>Blossom</v>
      </c>
      <c r="Q220" s="63" t="e">
        <f>IF(_xlfn.XLOOKUP(D220,'LD-ELFA'!F:F,'LD-ELFA'!V:V)="","",_xlfn.XLOOKUP(D220,'LD-ELFA'!F:F,'LD-ELFA'!V:V))</f>
        <v>#N/A</v>
      </c>
      <c r="R220" s="40" t="str">
        <f>IFERROR(IF(I220&lt;&gt;"","Documento Emitido",_xlfn.XLOOKUP(D220,Cronograma!P:P,Cronograma!Q:Q)),"Documento Removido")</f>
        <v>Documento Removido</v>
      </c>
      <c r="S220" s="40" t="str">
        <f t="shared" ca="1" si="33"/>
        <v>Documento Removido</v>
      </c>
      <c r="T220" s="40" t="str">
        <f>IFERROR(IF(I220&lt;&gt;"","Documento Emitido",_xlfn.XLOOKUP(D220,Cronograma!P:P,Cronograma!R:R)),"Documento Removido")</f>
        <v>Documento Removido</v>
      </c>
      <c r="U220" s="39" t="str">
        <f t="shared" si="34"/>
        <v>Documento Removido</v>
      </c>
      <c r="V220" s="39" t="str">
        <f t="shared" si="35"/>
        <v>Documento Removido</v>
      </c>
      <c r="W220" s="39" t="e">
        <f t="shared" ca="1" si="36"/>
        <v>#N/A</v>
      </c>
    </row>
    <row r="221" spans="1:23" ht="28.5" customHeight="1" x14ac:dyDescent="0.25">
      <c r="A221" s="39">
        <v>218</v>
      </c>
      <c r="B221" s="39" t="str">
        <f>_xlfn.XLOOKUP(D221,'LD-ELFA'!F:F,'LD-ELFA'!C:C)</f>
        <v>GP - Gestao De Projetos</v>
      </c>
      <c r="C221" s="39" t="str">
        <f>_xlfn.XLOOKUP(D221,'LD-ELFA'!F:F,'LD-ELFA'!D:D)</f>
        <v>NCO - Norma De Coordenação</v>
      </c>
      <c r="D221" s="39" t="s">
        <v>223</v>
      </c>
      <c r="E221" s="39" t="str">
        <f>_xlfn.LET(_xlpm.q,_xlfn.XLOOKUP(D221,'LD-ELFA'!F:F,'LD-ELFA'!Q:Q),
   _xlpm.r,_xlfn.XLOOKUP(D221,'LD-ELFA'!F:F,'LD-ELFA'!R:R),
   IF(_xlpm.r = "", _xlpm.q, _xlpm.q &amp; " - " &amp; _xlpm.r))</f>
        <v>NORMA DE COORDENAÇÃO</v>
      </c>
      <c r="F221" s="63" t="str">
        <f t="shared" si="30"/>
        <v>Básico</v>
      </c>
      <c r="G221" s="63">
        <f>_xlfn.XLOOKUP(D221,'LD-ELFA'!F:F,'LD-ELFA'!G:G)</f>
        <v>1</v>
      </c>
      <c r="H221" s="63" t="str">
        <f>_xlfn.XLOOKUP(D221,'LD-ELFA'!F:F,'LD-ELFA'!I:I)</f>
        <v>0</v>
      </c>
      <c r="I221" s="63" t="str">
        <f>IF(_xlfn.XLOOKUP(D221,'LD-ELFA'!F:F,'LD-ELFA'!T:T)="","",_xlfn.XLOOKUP(D221,'LD-ELFA'!F:F,'LD-ELFA'!T:T))</f>
        <v>0035</v>
      </c>
      <c r="J221" s="63" t="str">
        <f>IF(K221="Documento a emitir", "",_xlfn.XLOOKUP(D221,'LD-ELFA'!F:F,'LD-ELFA'!N:N))</f>
        <v>PARA CONHECIMENTO</v>
      </c>
      <c r="K221" s="43">
        <f>IF(_xlfn.XLOOKUP($D221,'LD-ELFA'!F:F,'LD-ELFA'!U:U)="","Documento a emitir",_xlfn.XLOOKUP($D221,'LD-ELFA'!F:F,'LD-ELFA'!U:U))</f>
        <v>46213.700205208334</v>
      </c>
      <c r="L221" s="43" t="str">
        <f>IF(K221="Documento a emitir","Documento a emitir",IF(K221&lt;&gt;"Documento a emitir",IF(_xlfn.XLOOKUP(D221,'LD-ELFA'!F:F,'LD-ELFA'!W:W)="","",_xlfn.XLOOKUP(D221,'LD-ELFA'!F:F,'LD-ELFA'!W:W)),""))</f>
        <v/>
      </c>
      <c r="M221" s="43">
        <f>IF(K221="Documento a emitir","",IF(AND(Q221="APC-R  - APC-R - Aprovado com Comentários (Retornar para uma nova Aprovação)",Q221="APC-L  - APC-L  - Aprovado com Comentários (Retornar Aprovado)"),"",IF(OR(_xlfn.XLOOKUP(D221,'LD-ELFA'!F:F,'LD-ELFA'!N:N)="PARA CONHECIMENTO",_xlfn.XLOOKUP(D221,'LD-ELFA'!F:F,'LD-ELFA'!N:N)="PARA CONSTRUÇÃO",_xlfn.XLOOKUP(D221,'LD-ELFA'!F:F,'LD-ELFA'!N:N)="PARA COTAÇÃO",_xlfn.XLOOKUP(D221,'LD-ELFA'!F:F,'LD-ELFA'!N:N)="CANCELADO"),_xlfn.XLOOKUP(D221,'LD-ELFA'!F:F,'LD-ELFA'!U:U),IF(AND(L221="",J221&lt;&gt;"PARA APROVAÇÃO"),"",""))))</f>
        <v>46213.700205208334</v>
      </c>
      <c r="N221" s="63" t="str">
        <f t="shared" ca="1" si="38"/>
        <v>Documento Concluído</v>
      </c>
      <c r="O221" s="63" t="str">
        <f t="shared" si="31"/>
        <v>Documento Concluído</v>
      </c>
      <c r="P221" s="63" t="str">
        <f t="shared" si="32"/>
        <v>Blossom</v>
      </c>
      <c r="Q221" s="63" t="str">
        <f>IF(_xlfn.XLOOKUP(D221,'LD-ELFA'!F:F,'LD-ELFA'!V:V)="","",_xlfn.XLOOKUP(D221,'LD-ELFA'!F:F,'LD-ELFA'!V:V))</f>
        <v/>
      </c>
      <c r="R221" s="40" t="str">
        <f>IFERROR(IF(I221&lt;&gt;"","Documento Emitido",_xlfn.XLOOKUP(D221,Cronograma!P:P,Cronograma!Q:Q)),"Documento Removido")</f>
        <v>Documento Emitido</v>
      </c>
      <c r="S221" s="40" t="str">
        <f t="shared" ca="1" si="33"/>
        <v>Documento Emitido</v>
      </c>
      <c r="T221" s="40" t="str">
        <f>IFERROR(IF(I221&lt;&gt;"","Documento Emitido",_xlfn.XLOOKUP(D221,Cronograma!P:P,Cronograma!R:R)),"Documento Removido")</f>
        <v>Documento Emitido</v>
      </c>
      <c r="U221" s="39" t="str">
        <f t="shared" si="34"/>
        <v>Documento Emitido</v>
      </c>
      <c r="V221" s="39" t="str">
        <f t="shared" si="35"/>
        <v>Documento Emitido</v>
      </c>
      <c r="W221" s="39" t="str">
        <f t="shared" ca="1" si="36"/>
        <v>Atendimento de Comentário</v>
      </c>
    </row>
    <row r="222" spans="1:23" ht="28.5" customHeight="1" x14ac:dyDescent="0.25">
      <c r="A222" s="39">
        <v>219</v>
      </c>
      <c r="B222" s="39" t="str">
        <f>_xlfn.XLOOKUP(D222,'LD-ELFA'!F:F,'LD-ELFA'!C:C)</f>
        <v>GP - Gestao De Projetos</v>
      </c>
      <c r="C222" s="39" t="str">
        <f>_xlfn.XLOOKUP(D222,'LD-ELFA'!F:F,'LD-ELFA'!D:D)</f>
        <v>RTE - Relatório Técnico</v>
      </c>
      <c r="D222" s="39" t="s">
        <v>224</v>
      </c>
      <c r="E222" s="39" t="str">
        <f>_xlfn.LET(_xlpm.q,_xlfn.XLOOKUP(D222,'LD-ELFA'!F:F,'LD-ELFA'!Q:Q),
   _xlpm.r,_xlfn.XLOOKUP(D222,'LD-ELFA'!F:F,'LD-ELFA'!R:R),
   IF(_xlpm.r = "", _xlpm.q, _xlpm.q &amp; " - " &amp; _xlpm.r))</f>
        <v>RELATÓRIO DE ACOMPANHAMENTO PARA PRÓXIMAS FASES</v>
      </c>
      <c r="F222" s="63" t="str">
        <f t="shared" si="30"/>
        <v>Básico</v>
      </c>
      <c r="G222" s="63">
        <f>_xlfn.XLOOKUP(D222,'LD-ELFA'!F:F,'LD-ELFA'!G:G)</f>
        <v>0</v>
      </c>
      <c r="H222" s="63">
        <f>_xlfn.XLOOKUP(D222,'LD-ELFA'!F:F,'LD-ELFA'!I:I)</f>
        <v>0</v>
      </c>
      <c r="I222" s="63" t="str">
        <f>IF(_xlfn.XLOOKUP(D222,'LD-ELFA'!F:F,'LD-ELFA'!T:T)="","",_xlfn.XLOOKUP(D222,'LD-ELFA'!F:F,'LD-ELFA'!T:T))</f>
        <v/>
      </c>
      <c r="J222" s="63" t="str">
        <f>IF(K222="Documento a emitir", "",_xlfn.XLOOKUP(D222,'LD-ELFA'!F:F,'LD-ELFA'!N:N))</f>
        <v/>
      </c>
      <c r="K222" s="43" t="str">
        <f>IF(_xlfn.XLOOKUP($D222,'LD-ELFA'!F:F,'LD-ELFA'!U:U)="","Documento a emitir",_xlfn.XLOOKUP($D222,'LD-ELFA'!F:F,'LD-ELFA'!U:U))</f>
        <v>Documento a emitir</v>
      </c>
      <c r="L222" s="43" t="str">
        <f>IF(K222="Documento a emitir","Documento a emitir",IF(K222&lt;&gt;"Documento a emitir",IF(_xlfn.XLOOKUP(D222,'LD-ELFA'!F:F,'LD-ELFA'!W:W)="","",_xlfn.XLOOKUP(D222,'LD-ELFA'!F:F,'LD-ELFA'!W:W)),""))</f>
        <v>Documento a emitir</v>
      </c>
      <c r="M222" s="43" t="str">
        <f>IF(K222="Documento a emitir","",IF(AND(Q222="APC-R  - APC-R - Aprovado com Comentários (Retornar para uma nova Aprovação)",Q222="APC-L  - APC-L  - Aprovado com Comentários (Retornar Aprovado)"),"",IF(OR(_xlfn.XLOOKUP(D222,'LD-ELFA'!F:F,'LD-ELFA'!N:N)="PARA CONHECIMENTO",_xlfn.XLOOKUP(D222,'LD-ELFA'!F:F,'LD-ELFA'!N:N)="PARA CONSTRUÇÃO",_xlfn.XLOOKUP(D222,'LD-ELFA'!F:F,'LD-ELFA'!N:N)="PARA COTAÇÃO",_xlfn.XLOOKUP(D222,'LD-ELFA'!F:F,'LD-ELFA'!N:N)="CANCELADO"),_xlfn.XLOOKUP(D222,'LD-ELFA'!F:F,'LD-ELFA'!U:U),IF(AND(L222="",J222&lt;&gt;"PARA APROVAÇÃO"),"",""))))</f>
        <v/>
      </c>
      <c r="N222" s="63" t="str">
        <f t="shared" ca="1" si="38"/>
        <v>Documento a Emitir</v>
      </c>
      <c r="O222" s="63" t="str">
        <f t="shared" si="31"/>
        <v>Blossom - Documento a emitir</v>
      </c>
      <c r="P222" s="63" t="str">
        <f t="shared" si="32"/>
        <v>Blossom</v>
      </c>
      <c r="Q222" s="63" t="str">
        <f>IF(_xlfn.XLOOKUP(D222,'LD-ELFA'!F:F,'LD-ELFA'!V:V)="","",_xlfn.XLOOKUP(D222,'LD-ELFA'!F:F,'LD-ELFA'!V:V))</f>
        <v/>
      </c>
      <c r="R222" s="40">
        <f>IFERROR(IF(I222&lt;&gt;"","Documento Emitido",_xlfn.XLOOKUP(D222,Cronograma!P:P,Cronograma!Q:Q)),"Documento Removido")</f>
        <v>46275</v>
      </c>
      <c r="S222" s="40" t="str">
        <f t="shared" ca="1" si="33"/>
        <v>No prazo</v>
      </c>
      <c r="T222" s="40">
        <f>IFERROR(IF(I222&lt;&gt;"","Documento Emitido",_xlfn.XLOOKUP(D222,Cronograma!P:P,Cronograma!R:R)),"Documento Removido")</f>
        <v>46275</v>
      </c>
      <c r="U222" s="39" t="str">
        <f t="shared" si="34"/>
        <v>No prazo</v>
      </c>
      <c r="V222" s="39" t="str">
        <f t="shared" si="35"/>
        <v/>
      </c>
      <c r="W222" s="39" t="str">
        <f t="shared" ca="1" si="36"/>
        <v/>
      </c>
    </row>
    <row r="223" spans="1:23" ht="28.5" customHeight="1" x14ac:dyDescent="0.25">
      <c r="A223" s="39">
        <v>220</v>
      </c>
      <c r="B223" s="39" t="str">
        <f>_xlfn.XLOOKUP(D223,'LD-ELFA'!F:F,'LD-ELFA'!C:C)</f>
        <v>ME - Mecanica</v>
      </c>
      <c r="C223" s="39" t="str">
        <f>_xlfn.XLOOKUP(D223,'LD-ELFA'!F:F,'LD-ELFA'!D:D)</f>
        <v>ARJ - Arranjo, Layout, Plano Diretor</v>
      </c>
      <c r="D223" s="39" t="s">
        <v>225</v>
      </c>
      <c r="E223" s="39" t="str">
        <f>_xlfn.LET(_xlpm.q,_xlfn.XLOOKUP(D223,'LD-ELFA'!F:F,'LD-ELFA'!Q:Q),
   _xlpm.r,_xlfn.XLOOKUP(D223,'LD-ELFA'!F:F,'LD-ELFA'!R:R),
   IF(_xlpm.r = "", _xlpm.q, _xlpm.q &amp; " - " &amp; _xlpm.r))</f>
        <v>PLANTA DE LOCAÇÃO - POÇOS TUBULARES PROFUNDOS</v>
      </c>
      <c r="F223" s="63" t="str">
        <f t="shared" si="30"/>
        <v>Básico</v>
      </c>
      <c r="G223" s="63">
        <f>_xlfn.XLOOKUP(D223,'LD-ELFA'!F:F,'LD-ELFA'!G:G)</f>
        <v>0</v>
      </c>
      <c r="H223" s="63" t="str">
        <f>_xlfn.XLOOKUP(D223,'LD-ELFA'!F:F,'LD-ELFA'!I:I)</f>
        <v>1</v>
      </c>
      <c r="I223" s="63" t="str">
        <f>IF(_xlfn.XLOOKUP(D223,'LD-ELFA'!F:F,'LD-ELFA'!T:T)="","",_xlfn.XLOOKUP(D223,'LD-ELFA'!F:F,'LD-ELFA'!T:T))</f>
        <v>0028</v>
      </c>
      <c r="J223" s="63" t="str">
        <f>IF(K223="Documento a emitir", "",_xlfn.XLOOKUP(D223,'LD-ELFA'!F:F,'LD-ELFA'!N:N))</f>
        <v>PARA APROVAÇÃO</v>
      </c>
      <c r="K223" s="43">
        <f>IF(_xlfn.XLOOKUP($D223,'LD-ELFA'!F:F,'LD-ELFA'!U:U)="","Documento a emitir",_xlfn.XLOOKUP($D223,'LD-ELFA'!F:F,'LD-ELFA'!U:U))</f>
        <v>46211.678149803243</v>
      </c>
      <c r="L223" s="43">
        <f>IF(K223="Documento a emitir","Documento a emitir",IF(K223&lt;&gt;"Documento a emitir",IF(_xlfn.XLOOKUP(D223,'LD-ELFA'!F:F,'LD-ELFA'!W:W)="","",_xlfn.XLOOKUP(D223,'LD-ELFA'!F:F,'LD-ELFA'!W:W)),""))</f>
        <v>46213.593920798608</v>
      </c>
      <c r="M223" s="43" t="str">
        <f>IF(K223="Documento a emitir","",IF(AND(Q223="APC-R  - APC-R - Aprovado com Comentários (Retornar para uma nova Aprovação)",Q223="APC-L  - APC-L  - Aprovado com Comentários (Retornar Aprovado)"),"",IF(OR(_xlfn.XLOOKUP(D223,'LD-ELFA'!F:F,'LD-ELFA'!N:N)="PARA CONHECIMENTO",_xlfn.XLOOKUP(D223,'LD-ELFA'!F:F,'LD-ELFA'!N:N)="PARA CONSTRUÇÃO",_xlfn.XLOOKUP(D223,'LD-ELFA'!F:F,'LD-ELFA'!N:N)="PARA COTAÇÃO",_xlfn.XLOOKUP(D223,'LD-ELFA'!F:F,'LD-ELFA'!N:N)="CANCELADO"),_xlfn.XLOOKUP(D223,'LD-ELFA'!F:F,'LD-ELFA'!U:U),IF(AND(L223="",J223&lt;&gt;"PARA APROVAÇÃO"),"",""))))</f>
        <v/>
      </c>
      <c r="N223" s="63" t="str">
        <f t="shared" ca="1" si="38"/>
        <v>No prazo</v>
      </c>
      <c r="O223" s="63" t="str">
        <f t="shared" si="31"/>
        <v>Blossom - Atendimento de Comentário</v>
      </c>
      <c r="P223" s="63" t="str">
        <f t="shared" si="32"/>
        <v>Blossom</v>
      </c>
      <c r="Q223" s="63" t="str">
        <f>IF(_xlfn.XLOOKUP(D223,'LD-ELFA'!F:F,'LD-ELFA'!V:V)="","",_xlfn.XLOOKUP(D223,'LD-ELFA'!F:F,'LD-ELFA'!V:V))</f>
        <v>APR - APROVADO</v>
      </c>
      <c r="R223" s="40" t="str">
        <f>IFERROR(IF(I223&lt;&gt;"","Documento Emitido",_xlfn.XLOOKUP(D223,Cronograma!P:P,Cronograma!Q:Q)),"Documento Removido")</f>
        <v>Documento Emitido</v>
      </c>
      <c r="S223" s="40" t="str">
        <f t="shared" ca="1" si="33"/>
        <v>Documento Emitido</v>
      </c>
      <c r="T223" s="40" t="str">
        <f>IFERROR(IF(I223&lt;&gt;"","Documento Emitido",_xlfn.XLOOKUP(D223,Cronograma!P:P,Cronograma!R:R)),"Documento Removido")</f>
        <v>Documento Emitido</v>
      </c>
      <c r="U223" s="39" t="str">
        <f t="shared" si="34"/>
        <v>Documento Emitido</v>
      </c>
      <c r="V223" s="39" t="str">
        <f t="shared" si="35"/>
        <v>Documento Emitido</v>
      </c>
      <c r="W223" s="39" t="str">
        <f t="shared" ca="1" si="36"/>
        <v>Emissão Semana</v>
      </c>
    </row>
    <row r="224" spans="1:23" ht="28.5" customHeight="1" x14ac:dyDescent="0.25">
      <c r="A224" s="39">
        <v>221</v>
      </c>
      <c r="B224" s="39" t="str">
        <f>_xlfn.XLOOKUP(D224,'LD-ELFA'!F:F,'LD-ELFA'!C:C)</f>
        <v>ME - Mecanica</v>
      </c>
      <c r="C224" s="39" t="str">
        <f>_xlfn.XLOOKUP(D224,'LD-ELFA'!F:F,'LD-ELFA'!D:D)</f>
        <v>ARJ - Arranjo, Layout, Plano Diretor</v>
      </c>
      <c r="D224" s="39" t="s">
        <v>226</v>
      </c>
      <c r="E224" s="39" t="str">
        <f>_xlfn.LET(_xlpm.q,_xlfn.XLOOKUP(D224,'LD-ELFA'!F:F,'LD-ELFA'!Q:Q),
   _xlpm.r,_xlfn.XLOOKUP(D224,'LD-ELFA'!F:F,'LD-ELFA'!R:R),
   IF(_xlpm.r = "", _xlpm.q, _xlpm.q &amp; " - " &amp; _xlpm.r))</f>
        <v>PLANO DIRETOR</v>
      </c>
      <c r="F224" s="63" t="str">
        <f t="shared" si="30"/>
        <v>Básico</v>
      </c>
      <c r="G224" s="63">
        <f>_xlfn.XLOOKUP(D224,'LD-ELFA'!F:F,'LD-ELFA'!G:G)</f>
        <v>0</v>
      </c>
      <c r="H224" s="63">
        <f>_xlfn.XLOOKUP(D224,'LD-ELFA'!F:F,'LD-ELFA'!I:I)</f>
        <v>0</v>
      </c>
      <c r="I224" s="63" t="str">
        <f>IF(_xlfn.XLOOKUP(D224,'LD-ELFA'!F:F,'LD-ELFA'!T:T)="","",_xlfn.XLOOKUP(D224,'LD-ELFA'!F:F,'LD-ELFA'!T:T))</f>
        <v/>
      </c>
      <c r="J224" s="63" t="str">
        <f>IF(K224="Documento a emitir", "",_xlfn.XLOOKUP(D224,'LD-ELFA'!F:F,'LD-ELFA'!N:N))</f>
        <v/>
      </c>
      <c r="K224" s="43" t="str">
        <f>IF(_xlfn.XLOOKUP($D224,'LD-ELFA'!F:F,'LD-ELFA'!U:U)="","Documento a emitir",_xlfn.XLOOKUP($D224,'LD-ELFA'!F:F,'LD-ELFA'!U:U))</f>
        <v>Documento a emitir</v>
      </c>
      <c r="L224" s="43" t="str">
        <f>IF(K224="Documento a emitir","Documento a emitir",IF(K224&lt;&gt;"Documento a emitir",IF(_xlfn.XLOOKUP(D224,'LD-ELFA'!F:F,'LD-ELFA'!W:W)="","",_xlfn.XLOOKUP(D224,'LD-ELFA'!F:F,'LD-ELFA'!W:W)),""))</f>
        <v>Documento a emitir</v>
      </c>
      <c r="M224" s="43" t="str">
        <f>IF(K224="Documento a emitir","",IF(AND(Q224="APC-R  - APC-R - Aprovado com Comentários (Retornar para uma nova Aprovação)",Q224="APC-L  - APC-L  - Aprovado com Comentários (Retornar Aprovado)"),"",IF(OR(_xlfn.XLOOKUP(D224,'LD-ELFA'!F:F,'LD-ELFA'!N:N)="PARA CONHECIMENTO",_xlfn.XLOOKUP(D224,'LD-ELFA'!F:F,'LD-ELFA'!N:N)="PARA CONSTRUÇÃO",_xlfn.XLOOKUP(D224,'LD-ELFA'!F:F,'LD-ELFA'!N:N)="PARA COTAÇÃO",_xlfn.XLOOKUP(D224,'LD-ELFA'!F:F,'LD-ELFA'!N:N)="CANCELADO"),_xlfn.XLOOKUP(D224,'LD-ELFA'!F:F,'LD-ELFA'!U:U),IF(AND(L224="",J224&lt;&gt;"PARA APROVAÇÃO"),"",""))))</f>
        <v/>
      </c>
      <c r="N224" s="63" t="str">
        <f t="shared" ca="1" si="38"/>
        <v>Documento a Emitir</v>
      </c>
      <c r="O224" s="63" t="str">
        <f t="shared" si="31"/>
        <v>Blossom - Documento a emitir</v>
      </c>
      <c r="P224" s="63" t="str">
        <f t="shared" si="32"/>
        <v>Blossom</v>
      </c>
      <c r="Q224" s="63" t="str">
        <f>IF(_xlfn.XLOOKUP(D224,'LD-ELFA'!F:F,'LD-ELFA'!V:V)="","",_xlfn.XLOOKUP(D224,'LD-ELFA'!F:F,'LD-ELFA'!V:V))</f>
        <v/>
      </c>
      <c r="R224" s="40">
        <f>IFERROR(IF(I224&lt;&gt;"","Documento Emitido",_xlfn.XLOOKUP(D224,Cronograma!P:P,Cronograma!Q:Q)),"Documento Removido")</f>
        <v>46275</v>
      </c>
      <c r="S224" s="40" t="str">
        <f t="shared" ca="1" si="33"/>
        <v>No prazo</v>
      </c>
      <c r="T224" s="40">
        <f>IFERROR(IF(I224&lt;&gt;"","Documento Emitido",_xlfn.XLOOKUP(D224,Cronograma!P:P,Cronograma!R:R)),"Documento Removido")</f>
        <v>46275</v>
      </c>
      <c r="U224" s="39" t="str">
        <f t="shared" si="34"/>
        <v>No prazo</v>
      </c>
      <c r="V224" s="39" t="str">
        <f t="shared" si="35"/>
        <v/>
      </c>
      <c r="W224" s="39" t="str">
        <f t="shared" ca="1" si="36"/>
        <v/>
      </c>
    </row>
    <row r="225" spans="1:23" ht="28.5" customHeight="1" x14ac:dyDescent="0.25">
      <c r="A225" s="39">
        <v>222</v>
      </c>
      <c r="B225" s="39" t="str">
        <f>_xlfn.XLOOKUP(D225,'LD-ELFA'!F:F,'LD-ELFA'!C:C)</f>
        <v>ME - Mecanica</v>
      </c>
      <c r="C225" s="39" t="str">
        <f>_xlfn.XLOOKUP(D225,'LD-ELFA'!F:F,'LD-ELFA'!D:D)</f>
        <v>ETE - Especificação Técnica</v>
      </c>
      <c r="D225" s="39" t="s">
        <v>227</v>
      </c>
      <c r="E225" s="39" t="str">
        <f>_xlfn.LET(_xlpm.q,_xlfn.XLOOKUP(D225,'LD-ELFA'!F:F,'LD-ELFA'!Q:Q),
   _xlpm.r,_xlfn.XLOOKUP(D225,'LD-ELFA'!F:F,'LD-ELFA'!R:R),
   IF(_xlpm.r = "", _xlpm.q, _xlpm.q &amp; " - " &amp; _xlpm.r))</f>
        <v>ESPECIFICAÇÃO TÉCNICA - BRITADOR 500t/h</v>
      </c>
      <c r="F225" s="63" t="str">
        <f t="shared" si="30"/>
        <v>Básico</v>
      </c>
      <c r="G225" s="63">
        <f>_xlfn.XLOOKUP(D225,'LD-ELFA'!F:F,'LD-ELFA'!G:G)</f>
        <v>0</v>
      </c>
      <c r="H225" s="63">
        <f>_xlfn.XLOOKUP(D225,'LD-ELFA'!F:F,'LD-ELFA'!I:I)</f>
        <v>0</v>
      </c>
      <c r="I225" s="63" t="str">
        <f>IF(_xlfn.XLOOKUP(D225,'LD-ELFA'!F:F,'LD-ELFA'!T:T)="","",_xlfn.XLOOKUP(D225,'LD-ELFA'!F:F,'LD-ELFA'!T:T))</f>
        <v/>
      </c>
      <c r="J225" s="63" t="str">
        <f>IF(K225="Documento a emitir", "",_xlfn.XLOOKUP(D225,'LD-ELFA'!F:F,'LD-ELFA'!N:N))</f>
        <v/>
      </c>
      <c r="K225" s="43" t="str">
        <f>IF(_xlfn.XLOOKUP($D225,'LD-ELFA'!F:F,'LD-ELFA'!U:U)="","Documento a emitir",_xlfn.XLOOKUP($D225,'LD-ELFA'!F:F,'LD-ELFA'!U:U))</f>
        <v>Documento a emitir</v>
      </c>
      <c r="L225" s="43" t="str">
        <f>IF(K225="Documento a emitir","Documento a emitir",IF(K225&lt;&gt;"Documento a emitir",IF(_xlfn.XLOOKUP(D225,'LD-ELFA'!F:F,'LD-ELFA'!W:W)="","",_xlfn.XLOOKUP(D225,'LD-ELFA'!F:F,'LD-ELFA'!W:W)),""))</f>
        <v>Documento a emitir</v>
      </c>
      <c r="M225" s="43" t="str">
        <f>IF(K225="Documento a emitir","",IF(AND(Q225="APC-R  - APC-R - Aprovado com Comentários (Retornar para uma nova Aprovação)",Q225="APC-L  - APC-L  - Aprovado com Comentários (Retornar Aprovado)"),"",IF(OR(_xlfn.XLOOKUP(D225,'LD-ELFA'!F:F,'LD-ELFA'!N:N)="PARA CONHECIMENTO",_xlfn.XLOOKUP(D225,'LD-ELFA'!F:F,'LD-ELFA'!N:N)="PARA CONSTRUÇÃO",_xlfn.XLOOKUP(D225,'LD-ELFA'!F:F,'LD-ELFA'!N:N)="PARA COTAÇÃO",_xlfn.XLOOKUP(D225,'LD-ELFA'!F:F,'LD-ELFA'!N:N)="CANCELADO"),_xlfn.XLOOKUP(D225,'LD-ELFA'!F:F,'LD-ELFA'!U:U),IF(AND(L225="",J225&lt;&gt;"PARA APROVAÇÃO"),"",""))))</f>
        <v/>
      </c>
      <c r="N225" s="63" t="str">
        <f t="shared" ca="1" si="38"/>
        <v>Documento a Emitir</v>
      </c>
      <c r="O225" s="63" t="str">
        <f t="shared" si="31"/>
        <v>Blossom - Documento a emitir</v>
      </c>
      <c r="P225" s="63" t="str">
        <f t="shared" si="32"/>
        <v>Blossom</v>
      </c>
      <c r="Q225" s="63" t="str">
        <f>IF(_xlfn.XLOOKUP(D225,'LD-ELFA'!F:F,'LD-ELFA'!V:V)="","",_xlfn.XLOOKUP(D225,'LD-ELFA'!F:F,'LD-ELFA'!V:V))</f>
        <v/>
      </c>
      <c r="R225" s="40">
        <f>IFERROR(IF(I225&lt;&gt;"","Documento Emitido",_xlfn.XLOOKUP(D225,Cronograma!P:P,Cronograma!Q:Q)),"Documento Removido")</f>
        <v>46219</v>
      </c>
      <c r="S225" s="40" t="str">
        <f t="shared" ca="1" si="33"/>
        <v>No prazo</v>
      </c>
      <c r="T225" s="40">
        <f>IFERROR(IF(I225&lt;&gt;"","Documento Emitido",_xlfn.XLOOKUP(D225,Cronograma!P:P,Cronograma!R:R)),"Documento Removido")</f>
        <v>46212</v>
      </c>
      <c r="U225" s="39" t="str">
        <f t="shared" si="34"/>
        <v>Emissão Atrasada</v>
      </c>
      <c r="V225" s="39" t="str">
        <f t="shared" si="35"/>
        <v>Semana 1</v>
      </c>
      <c r="W225" s="39" t="str">
        <f t="shared" ca="1" si="36"/>
        <v/>
      </c>
    </row>
    <row r="226" spans="1:23" ht="28.5" customHeight="1" x14ac:dyDescent="0.25">
      <c r="A226" s="39">
        <v>223</v>
      </c>
      <c r="B226" s="39" t="str">
        <f>_xlfn.XLOOKUP(D226,'LD-ELFA'!F:F,'LD-ELFA'!C:C)</f>
        <v>ME - Mecanica</v>
      </c>
      <c r="C226" s="39" t="str">
        <f>_xlfn.XLOOKUP(D226,'LD-ELFA'!F:F,'LD-ELFA'!D:D)</f>
        <v>ETE - Especificação Técnica</v>
      </c>
      <c r="D226" s="39" t="s">
        <v>228</v>
      </c>
      <c r="E226" s="39" t="str">
        <f>_xlfn.LET(_xlpm.q,_xlfn.XLOOKUP(D226,'LD-ELFA'!F:F,'LD-ELFA'!Q:Q),
   _xlpm.r,_xlfn.XLOOKUP(D226,'LD-ELFA'!F:F,'LD-ELFA'!R:R),
   IF(_xlpm.r = "", _xlpm.q, _xlpm.q &amp; " - " &amp; _xlpm.r))</f>
        <v>ESPECIFICAÇÃO TÉCNICA - 1602-ST-01 - EMPILHADOR MÓVEL</v>
      </c>
      <c r="F226" s="63" t="str">
        <f t="shared" si="30"/>
        <v>Básico</v>
      </c>
      <c r="G226" s="63">
        <f>_xlfn.XLOOKUP(D226,'LD-ELFA'!F:F,'LD-ELFA'!G:G)</f>
        <v>0</v>
      </c>
      <c r="H226" s="63">
        <f>_xlfn.XLOOKUP(D226,'LD-ELFA'!F:F,'LD-ELFA'!I:I)</f>
        <v>0</v>
      </c>
      <c r="I226" s="63" t="str">
        <f>IF(_xlfn.XLOOKUP(D226,'LD-ELFA'!F:F,'LD-ELFA'!T:T)="","",_xlfn.XLOOKUP(D226,'LD-ELFA'!F:F,'LD-ELFA'!T:T))</f>
        <v/>
      </c>
      <c r="J226" s="63" t="str">
        <f>IF(K226="Documento a emitir", "",_xlfn.XLOOKUP(D226,'LD-ELFA'!F:F,'LD-ELFA'!N:N))</f>
        <v/>
      </c>
      <c r="K226" s="43" t="str">
        <f>IF(_xlfn.XLOOKUP($D226,'LD-ELFA'!F:F,'LD-ELFA'!U:U)="","Documento a emitir",_xlfn.XLOOKUP($D226,'LD-ELFA'!F:F,'LD-ELFA'!U:U))</f>
        <v>Documento a emitir</v>
      </c>
      <c r="L226" s="43" t="str">
        <f>IF(K226="Documento a emitir","Documento a emitir",IF(K226&lt;&gt;"Documento a emitir",IF(_xlfn.XLOOKUP(D226,'LD-ELFA'!F:F,'LD-ELFA'!W:W)="","",_xlfn.XLOOKUP(D226,'LD-ELFA'!F:F,'LD-ELFA'!W:W)),""))</f>
        <v>Documento a emitir</v>
      </c>
      <c r="M226" s="43" t="str">
        <f>IF(K226="Documento a emitir","",IF(AND(Q226="APC-R  - APC-R - Aprovado com Comentários (Retornar para uma nova Aprovação)",Q226="APC-L  - APC-L  - Aprovado com Comentários (Retornar Aprovado)"),"",IF(OR(_xlfn.XLOOKUP(D226,'LD-ELFA'!F:F,'LD-ELFA'!N:N)="PARA CONHECIMENTO",_xlfn.XLOOKUP(D226,'LD-ELFA'!F:F,'LD-ELFA'!N:N)="PARA CONSTRUÇÃO",_xlfn.XLOOKUP(D226,'LD-ELFA'!F:F,'LD-ELFA'!N:N)="PARA COTAÇÃO",_xlfn.XLOOKUP(D226,'LD-ELFA'!F:F,'LD-ELFA'!N:N)="CANCELADO"),_xlfn.XLOOKUP(D226,'LD-ELFA'!F:F,'LD-ELFA'!U:U),IF(AND(L226="",J226&lt;&gt;"PARA APROVAÇÃO"),"",""))))</f>
        <v/>
      </c>
      <c r="N226" s="63" t="str">
        <f t="shared" ca="1" si="38"/>
        <v>Documento a Emitir</v>
      </c>
      <c r="O226" s="63" t="str">
        <f t="shared" si="31"/>
        <v>Blossom - Documento a emitir</v>
      </c>
      <c r="P226" s="63" t="str">
        <f t="shared" si="32"/>
        <v>Blossom</v>
      </c>
      <c r="Q226" s="63" t="str">
        <f>IF(_xlfn.XLOOKUP(D226,'LD-ELFA'!F:F,'LD-ELFA'!V:V)="","",_xlfn.XLOOKUP(D226,'LD-ELFA'!F:F,'LD-ELFA'!V:V))</f>
        <v/>
      </c>
      <c r="R226" s="40">
        <f>IFERROR(IF(I226&lt;&gt;"","Documento Emitido",_xlfn.XLOOKUP(D226,Cronograma!P:P,Cronograma!Q:Q)),"Documento Removido")</f>
        <v>46224</v>
      </c>
      <c r="S226" s="40" t="str">
        <f t="shared" ca="1" si="33"/>
        <v>No prazo</v>
      </c>
      <c r="T226" s="40">
        <f>IFERROR(IF(I226&lt;&gt;"","Documento Emitido",_xlfn.XLOOKUP(D226,Cronograma!P:P,Cronograma!R:R)),"Documento Removido")</f>
        <v>46223</v>
      </c>
      <c r="U226" s="39" t="str">
        <f t="shared" si="34"/>
        <v>Emissão Atrasada</v>
      </c>
      <c r="V226" s="39" t="str">
        <f t="shared" si="35"/>
        <v>Semana 2</v>
      </c>
      <c r="W226" s="39" t="str">
        <f t="shared" ca="1" si="36"/>
        <v/>
      </c>
    </row>
    <row r="227" spans="1:23" ht="28.5" customHeight="1" x14ac:dyDescent="0.25">
      <c r="A227" s="39">
        <v>224</v>
      </c>
      <c r="B227" s="39" t="str">
        <f>_xlfn.XLOOKUP(D227,'LD-ELFA'!F:F,'LD-ELFA'!C:C)</f>
        <v>ME - Mecanica</v>
      </c>
      <c r="C227" s="39" t="str">
        <f>_xlfn.XLOOKUP(D227,'LD-ELFA'!F:F,'LD-ELFA'!D:D)</f>
        <v>ETE - Especificação Técnica</v>
      </c>
      <c r="D227" s="39" t="s">
        <v>229</v>
      </c>
      <c r="E227" s="39" t="str">
        <f>_xlfn.LET(_xlpm.q,_xlfn.XLOOKUP(D227,'LD-ELFA'!F:F,'LD-ELFA'!Q:Q),
   _xlpm.r,_xlfn.XLOOKUP(D227,'LD-ELFA'!F:F,'LD-ELFA'!R:R),
   IF(_xlpm.r = "", _xlpm.q, _xlpm.q &amp; " - " &amp; _xlpm.r))</f>
        <v>ESPECIFICAÇÃO DE SERVIÇO - CONTRATAÇÃO DA MONTAGEM ELETROMECÂNICA</v>
      </c>
      <c r="F227" s="63" t="str">
        <f t="shared" si="30"/>
        <v>Básico</v>
      </c>
      <c r="G227" s="63">
        <f>_xlfn.XLOOKUP(D227,'LD-ELFA'!F:F,'LD-ELFA'!G:G)</f>
        <v>0</v>
      </c>
      <c r="H227" s="63" t="str">
        <f>_xlfn.XLOOKUP(D227,'LD-ELFA'!F:F,'LD-ELFA'!I:I)</f>
        <v>1</v>
      </c>
      <c r="I227" s="63" t="str">
        <f>IF(_xlfn.XLOOKUP(D227,'LD-ELFA'!F:F,'LD-ELFA'!T:T)="","",_xlfn.XLOOKUP(D227,'LD-ELFA'!F:F,'LD-ELFA'!T:T))</f>
        <v>0035</v>
      </c>
      <c r="J227" s="63" t="str">
        <f>IF(K227="Documento a emitir", "",_xlfn.XLOOKUP(D227,'LD-ELFA'!F:F,'LD-ELFA'!N:N))</f>
        <v>PARA APROVAÇÃO</v>
      </c>
      <c r="K227" s="43">
        <f>IF(_xlfn.XLOOKUP($D227,'LD-ELFA'!F:F,'LD-ELFA'!U:U)="","Documento a emitir",_xlfn.XLOOKUP($D227,'LD-ELFA'!F:F,'LD-ELFA'!U:U))</f>
        <v>46213.700205983798</v>
      </c>
      <c r="L227" s="43" t="str">
        <f>IF(K227="Documento a emitir","Documento a emitir",IF(K227&lt;&gt;"Documento a emitir",IF(_xlfn.XLOOKUP(D227,'LD-ELFA'!F:F,'LD-ELFA'!W:W)="","",_xlfn.XLOOKUP(D227,'LD-ELFA'!F:F,'LD-ELFA'!W:W)),""))</f>
        <v/>
      </c>
      <c r="M227" s="43" t="str">
        <f>IF(K227="Documento a emitir","",IF(AND(Q227="APC-R  - APC-R - Aprovado com Comentários (Retornar para uma nova Aprovação)",Q227="APC-L  - APC-L  - Aprovado com Comentários (Retornar Aprovado)"),"",IF(OR(_xlfn.XLOOKUP(D227,'LD-ELFA'!F:F,'LD-ELFA'!N:N)="PARA CONHECIMENTO",_xlfn.XLOOKUP(D227,'LD-ELFA'!F:F,'LD-ELFA'!N:N)="PARA CONSTRUÇÃO",_xlfn.XLOOKUP(D227,'LD-ELFA'!F:F,'LD-ELFA'!N:N)="PARA COTAÇÃO",_xlfn.XLOOKUP(D227,'LD-ELFA'!F:F,'LD-ELFA'!N:N)="CANCELADO"),_xlfn.XLOOKUP(D227,'LD-ELFA'!F:F,'LD-ELFA'!U:U),IF(AND(L227="",J227&lt;&gt;"PARA APROVAÇÃO"),"",""))))</f>
        <v/>
      </c>
      <c r="N227" s="63" t="str">
        <f t="shared" ca="1" si="38"/>
        <v>Atrasado</v>
      </c>
      <c r="O227" s="63" t="str">
        <f t="shared" si="31"/>
        <v>Cliente - Atendimento de Comentário</v>
      </c>
      <c r="P227" s="63" t="str">
        <f t="shared" si="32"/>
        <v>Circlua</v>
      </c>
      <c r="Q227" s="63" t="str">
        <f>IF(_xlfn.XLOOKUP(D227,'LD-ELFA'!F:F,'LD-ELFA'!V:V)="","",_xlfn.XLOOKUP(D227,'LD-ELFA'!F:F,'LD-ELFA'!V:V))</f>
        <v/>
      </c>
      <c r="R227" s="40" t="str">
        <f>IFERROR(IF(I227&lt;&gt;"","Documento Emitido",_xlfn.XLOOKUP(D227,Cronograma!P:P,Cronograma!Q:Q)),"Documento Removido")</f>
        <v>Documento Emitido</v>
      </c>
      <c r="S227" s="40" t="str">
        <f t="shared" ca="1" si="33"/>
        <v>Documento Emitido</v>
      </c>
      <c r="T227" s="40" t="str">
        <f>IFERROR(IF(I227&lt;&gt;"","Documento Emitido",_xlfn.XLOOKUP(D227,Cronograma!P:P,Cronograma!R:R)),"Documento Removido")</f>
        <v>Documento Emitido</v>
      </c>
      <c r="U227" s="39" t="str">
        <f t="shared" si="34"/>
        <v>Documento Emitido</v>
      </c>
      <c r="V227" s="39" t="str">
        <f t="shared" si="35"/>
        <v>Documento Emitido</v>
      </c>
      <c r="W227" s="39" t="str">
        <f t="shared" ca="1" si="36"/>
        <v>Emissão Semana</v>
      </c>
    </row>
    <row r="228" spans="1:23" ht="28.5" customHeight="1" x14ac:dyDescent="0.25">
      <c r="A228" s="39">
        <v>225</v>
      </c>
      <c r="B228" s="39" t="str">
        <f>_xlfn.XLOOKUP(D228,'LD-ELFA'!F:F,'LD-ELFA'!C:C)</f>
        <v>ME - Mecanica</v>
      </c>
      <c r="C228" s="39" t="str">
        <f>_xlfn.XLOOKUP(D228,'LD-ELFA'!F:F,'LD-ELFA'!D:D)</f>
        <v>ETE - Especificação Técnica</v>
      </c>
      <c r="D228" s="39" t="s">
        <v>230</v>
      </c>
      <c r="E228" s="39" t="str">
        <f>_xlfn.LET(_xlpm.q,_xlfn.XLOOKUP(D228,'LD-ELFA'!F:F,'LD-ELFA'!Q:Q),
   _xlpm.r,_xlfn.XLOOKUP(D228,'LD-ELFA'!F:F,'LD-ELFA'!R:R),
   IF(_xlpm.r = "", _xlpm.q, _xlpm.q &amp; " - " &amp; _xlpm.r))</f>
        <v>ESPECIFICAÇÃO TÉCNICA - RENWA META - UNIDADES DE ENSACAMENTO E SISTEMA DE PESAGEM</v>
      </c>
      <c r="F228" s="63" t="str">
        <f t="shared" si="30"/>
        <v>Básico</v>
      </c>
      <c r="G228" s="63">
        <f>_xlfn.XLOOKUP(D228,'LD-ELFA'!F:F,'LD-ELFA'!G:G)</f>
        <v>0</v>
      </c>
      <c r="H228" s="63" t="str">
        <f>_xlfn.XLOOKUP(D228,'LD-ELFA'!F:F,'LD-ELFA'!I:I)</f>
        <v>A</v>
      </c>
      <c r="I228" s="63" t="str">
        <f>IF(_xlfn.XLOOKUP(D228,'LD-ELFA'!F:F,'LD-ELFA'!T:T)="","",_xlfn.XLOOKUP(D228,'LD-ELFA'!F:F,'LD-ELFA'!T:T))</f>
        <v/>
      </c>
      <c r="J228" s="63" t="str">
        <f>IF(K228="Documento a emitir", "",_xlfn.XLOOKUP(D228,'LD-ELFA'!F:F,'LD-ELFA'!N:N))</f>
        <v/>
      </c>
      <c r="K228" s="43" t="str">
        <f>IF(_xlfn.XLOOKUP($D228,'LD-ELFA'!F:F,'LD-ELFA'!U:U)="","Documento a emitir",_xlfn.XLOOKUP($D228,'LD-ELFA'!F:F,'LD-ELFA'!U:U))</f>
        <v>Documento a emitir</v>
      </c>
      <c r="L228" s="43" t="str">
        <f>IF(K228="Documento a emitir","Documento a emitir",IF(K228&lt;&gt;"Documento a emitir",IF(_xlfn.XLOOKUP(D228,'LD-ELFA'!F:F,'LD-ELFA'!W:W)="","",_xlfn.XLOOKUP(D228,'LD-ELFA'!F:F,'LD-ELFA'!W:W)),""))</f>
        <v>Documento a emitir</v>
      </c>
      <c r="M228" s="43" t="str">
        <f>IF(K228="Documento a emitir","",IF(AND(Q228="APC-R  - APC-R - Aprovado com Comentários (Retornar para uma nova Aprovação)",Q228="APC-L  - APC-L  - Aprovado com Comentários (Retornar Aprovado)"),"",IF(OR(_xlfn.XLOOKUP(D228,'LD-ELFA'!F:F,'LD-ELFA'!N:N)="PARA CONHECIMENTO",_xlfn.XLOOKUP(D228,'LD-ELFA'!F:F,'LD-ELFA'!N:N)="PARA CONSTRUÇÃO",_xlfn.XLOOKUP(D228,'LD-ELFA'!F:F,'LD-ELFA'!N:N)="PARA COTAÇÃO",_xlfn.XLOOKUP(D228,'LD-ELFA'!F:F,'LD-ELFA'!N:N)="CANCELADO"),_xlfn.XLOOKUP(D228,'LD-ELFA'!F:F,'LD-ELFA'!U:U),IF(AND(L228="",J228&lt;&gt;"PARA APROVAÇÃO"),"",""))))</f>
        <v/>
      </c>
      <c r="N228" s="63" t="str">
        <f t="shared" ca="1" si="38"/>
        <v>Documento a Emitir</v>
      </c>
      <c r="O228" s="63" t="str">
        <f t="shared" si="31"/>
        <v>Blossom - Documento a emitir</v>
      </c>
      <c r="P228" s="63" t="str">
        <f t="shared" si="32"/>
        <v>Blossom</v>
      </c>
      <c r="Q228" s="63" t="str">
        <f>IF(_xlfn.XLOOKUP(D228,'LD-ELFA'!F:F,'LD-ELFA'!V:V)="","",_xlfn.XLOOKUP(D228,'LD-ELFA'!F:F,'LD-ELFA'!V:V))</f>
        <v/>
      </c>
      <c r="R228" s="40">
        <f>IFERROR(IF(I228&lt;&gt;"","Documento Emitido",_xlfn.XLOOKUP(D228,Cronograma!P:P,Cronograma!Q:Q)),"Documento Removido")</f>
        <v>46223</v>
      </c>
      <c r="S228" s="40" t="str">
        <f t="shared" ca="1" si="33"/>
        <v>No prazo</v>
      </c>
      <c r="T228" s="40">
        <f>IFERROR(IF(I228&lt;&gt;"","Documento Emitido",_xlfn.XLOOKUP(D228,Cronograma!P:P,Cronograma!R:R)),"Documento Removido")</f>
        <v>46211</v>
      </c>
      <c r="U228" s="39" t="str">
        <f t="shared" si="34"/>
        <v>Emissão Atrasada</v>
      </c>
      <c r="V228" s="39" t="str">
        <f t="shared" si="35"/>
        <v>Semana 2</v>
      </c>
      <c r="W228" s="39" t="str">
        <f t="shared" ca="1" si="36"/>
        <v/>
      </c>
    </row>
    <row r="229" spans="1:23" ht="28.5" customHeight="1" x14ac:dyDescent="0.25">
      <c r="A229" s="39">
        <v>226</v>
      </c>
      <c r="B229" s="39" t="e">
        <f>_xlfn.XLOOKUP(D229,'LD-ELFA'!F:F,'LD-ELFA'!C:C)</f>
        <v>#N/A</v>
      </c>
      <c r="C229" s="39" t="e">
        <f>_xlfn.XLOOKUP(D229,'LD-ELFA'!F:F,'LD-ELFA'!D:D)</f>
        <v>#N/A</v>
      </c>
      <c r="D229" s="39" t="s">
        <v>231</v>
      </c>
      <c r="E229" s="39" t="e">
        <f>_xlfn.LET(_xlpm.q,_xlfn.XLOOKUP(D229,'LD-ELFA'!F:F,'LD-ELFA'!Q:Q),
   _xlpm.r,_xlfn.XLOOKUP(D229,'LD-ELFA'!F:F,'LD-ELFA'!R:R),
   IF(_xlpm.r = "", _xlpm.q, _xlpm.q &amp; " - " &amp; _xlpm.r))</f>
        <v>#N/A</v>
      </c>
      <c r="F229" s="63" t="str">
        <f t="shared" si="30"/>
        <v>Básico</v>
      </c>
      <c r="G229" s="63" t="e">
        <f>_xlfn.XLOOKUP(D229,'LD-ELFA'!F:F,'LD-ELFA'!G:G)</f>
        <v>#N/A</v>
      </c>
      <c r="H229" s="63" t="e">
        <f>_xlfn.XLOOKUP(D229,'LD-ELFA'!F:F,'LD-ELFA'!I:I)</f>
        <v>#N/A</v>
      </c>
      <c r="I229" s="63" t="e">
        <f>IF(_xlfn.XLOOKUP(D229,'LD-ELFA'!F:F,'LD-ELFA'!T:T)="","",_xlfn.XLOOKUP(D229,'LD-ELFA'!F:F,'LD-ELFA'!T:T))</f>
        <v>#N/A</v>
      </c>
      <c r="J229" s="63" t="e">
        <f>IF(K229="Documento a emitir", "",_xlfn.XLOOKUP(D229,'LD-ELFA'!F:F,'LD-ELFA'!N:N))</f>
        <v>#N/A</v>
      </c>
      <c r="K229" s="43" t="e">
        <f>IF(_xlfn.XLOOKUP($D229,'LD-ELFA'!F:F,'LD-ELFA'!U:U)="","Documento a emitir",_xlfn.XLOOKUP($D229,'LD-ELFA'!F:F,'LD-ELFA'!U:U))</f>
        <v>#N/A</v>
      </c>
      <c r="L229" s="43" t="e">
        <f>IF(K229="Documento a emitir","Documento a emitir",IF(K229&lt;&gt;"Documento a emitir",IF(_xlfn.XLOOKUP(D229,'LD-ELFA'!F:F,'LD-ELFA'!W:W)="","",_xlfn.XLOOKUP(D229,'LD-ELFA'!F:F,'LD-ELFA'!W:W)),""))</f>
        <v>#N/A</v>
      </c>
      <c r="M229" s="43" t="e">
        <f>IF(K229="Documento a emitir","",IF(AND(Q229="APC-R  - APC-R - Aprovado com Comentários (Retornar para uma nova Aprovação)",Q229="APC-L  - APC-L  - Aprovado com Comentários (Retornar Aprovado)"),"",IF(OR(_xlfn.XLOOKUP(D229,'LD-ELFA'!F:F,'LD-ELFA'!N:N)="PARA CONHECIMENTO",_xlfn.XLOOKUP(D229,'LD-ELFA'!F:F,'LD-ELFA'!N:N)="PARA CONSTRUÇÃO",_xlfn.XLOOKUP(D229,'LD-ELFA'!F:F,'LD-ELFA'!N:N)="PARA COTAÇÃO",_xlfn.XLOOKUP(D229,'LD-ELFA'!F:F,'LD-ELFA'!N:N)="CANCELADO"),_xlfn.XLOOKUP(D229,'LD-ELFA'!F:F,'LD-ELFA'!U:U),IF(AND(L229="",J229&lt;&gt;"PARA APROVAÇÃO"),"",""))))</f>
        <v>#N/A</v>
      </c>
      <c r="N229" s="63" t="str">
        <f t="shared" ca="1" si="38"/>
        <v>ERRO</v>
      </c>
      <c r="O229" s="63" t="str">
        <f t="shared" si="31"/>
        <v>Documento Removido</v>
      </c>
      <c r="P229" s="63" t="str">
        <f t="shared" si="32"/>
        <v>Blossom</v>
      </c>
      <c r="Q229" s="63" t="e">
        <f>IF(_xlfn.XLOOKUP(D229,'LD-ELFA'!F:F,'LD-ELFA'!V:V)="","",_xlfn.XLOOKUP(D229,'LD-ELFA'!F:F,'LD-ELFA'!V:V))</f>
        <v>#N/A</v>
      </c>
      <c r="R229" s="40" t="str">
        <f>IFERROR(IF(I229&lt;&gt;"","Documento Emitido",_xlfn.XLOOKUP(D229,Cronograma!P:P,Cronograma!Q:Q)),"Documento Removido")</f>
        <v>Documento Removido</v>
      </c>
      <c r="S229" s="40" t="str">
        <f t="shared" ca="1" si="33"/>
        <v>Documento Removido</v>
      </c>
      <c r="T229" s="40" t="str">
        <f>IFERROR(IF(I229&lt;&gt;"","Documento Emitido",_xlfn.XLOOKUP(D229,Cronograma!P:P,Cronograma!R:R)),"Documento Removido")</f>
        <v>Documento Removido</v>
      </c>
      <c r="U229" s="39" t="str">
        <f t="shared" si="34"/>
        <v>Documento Removido</v>
      </c>
      <c r="V229" s="39" t="str">
        <f t="shared" si="35"/>
        <v>Documento Removido</v>
      </c>
      <c r="W229" s="39" t="e">
        <f t="shared" ca="1" si="36"/>
        <v>#N/A</v>
      </c>
    </row>
    <row r="230" spans="1:23" ht="28.5" customHeight="1" x14ac:dyDescent="0.25">
      <c r="A230" s="39">
        <v>227</v>
      </c>
      <c r="B230" s="39" t="str">
        <f>_xlfn.XLOOKUP(D230,'LD-ELFA'!F:F,'LD-ELFA'!C:C)</f>
        <v>ME - Mecanica</v>
      </c>
      <c r="C230" s="39" t="str">
        <f>_xlfn.XLOOKUP(D230,'LD-ELFA'!F:F,'LD-ELFA'!D:D)</f>
        <v>FDA - Folha De Dados</v>
      </c>
      <c r="D230" s="39" t="s">
        <v>232</v>
      </c>
      <c r="E230" s="39" t="str">
        <f>_xlfn.LET(_xlpm.q,_xlfn.XLOOKUP(D230,'LD-ELFA'!F:F,'LD-ELFA'!Q:Q),
   _xlpm.r,_xlfn.XLOOKUP(D230,'LD-ELFA'!F:F,'LD-ELFA'!R:R),
   IF(_xlpm.r = "", _xlpm.q, _xlpm.q &amp; " - " &amp; _xlpm.r))</f>
        <v>FOLHA DE DADOS - TRANSPORTADORES DE CORREIAS (EQ-MEC-06)</v>
      </c>
      <c r="F230" s="63" t="str">
        <f t="shared" si="30"/>
        <v>Básico</v>
      </c>
      <c r="G230" s="63">
        <f>_xlfn.XLOOKUP(D230,'LD-ELFA'!F:F,'LD-ELFA'!G:G)</f>
        <v>0</v>
      </c>
      <c r="H230" s="63" t="str">
        <f>_xlfn.XLOOKUP(D230,'LD-ELFA'!F:F,'LD-ELFA'!I:I)</f>
        <v>2</v>
      </c>
      <c r="I230" s="63" t="str">
        <f>IF(_xlfn.XLOOKUP(D230,'LD-ELFA'!F:F,'LD-ELFA'!T:T)="","",_xlfn.XLOOKUP(D230,'LD-ELFA'!F:F,'LD-ELFA'!T:T))</f>
        <v>0036</v>
      </c>
      <c r="J230" s="63" t="str">
        <f>IF(K230="Documento a emitir", "",_xlfn.XLOOKUP(D230,'LD-ELFA'!F:F,'LD-ELFA'!N:N))</f>
        <v>PARA APROVAÇÃO</v>
      </c>
      <c r="K230" s="43">
        <f>IF(_xlfn.XLOOKUP($D230,'LD-ELFA'!F:F,'LD-ELFA'!U:U)="","Documento a emitir",_xlfn.XLOOKUP($D230,'LD-ELFA'!F:F,'LD-ELFA'!U:U))</f>
        <v>46213.700416747677</v>
      </c>
      <c r="L230" s="43" t="str">
        <f>IF(K230="Documento a emitir","Documento a emitir",IF(K230&lt;&gt;"Documento a emitir",IF(_xlfn.XLOOKUP(D230,'LD-ELFA'!F:F,'LD-ELFA'!W:W)="","",_xlfn.XLOOKUP(D230,'LD-ELFA'!F:F,'LD-ELFA'!W:W)),""))</f>
        <v/>
      </c>
      <c r="M230" s="43" t="str">
        <f>IF(K230="Documento a emitir","",IF(AND(Q230="APC-R  - APC-R - Aprovado com Comentários (Retornar para uma nova Aprovação)",Q230="APC-L  - APC-L  - Aprovado com Comentários (Retornar Aprovado)"),"",IF(OR(_xlfn.XLOOKUP(D230,'LD-ELFA'!F:F,'LD-ELFA'!N:N)="PARA CONHECIMENTO",_xlfn.XLOOKUP(D230,'LD-ELFA'!F:F,'LD-ELFA'!N:N)="PARA CONSTRUÇÃO",_xlfn.XLOOKUP(D230,'LD-ELFA'!F:F,'LD-ELFA'!N:N)="PARA COTAÇÃO",_xlfn.XLOOKUP(D230,'LD-ELFA'!F:F,'LD-ELFA'!N:N)="CANCELADO"),_xlfn.XLOOKUP(D230,'LD-ELFA'!F:F,'LD-ELFA'!U:U),IF(AND(L230="",J230&lt;&gt;"PARA APROVAÇÃO"),"",""))))</f>
        <v/>
      </c>
      <c r="N230" s="63" t="str">
        <f t="shared" ca="1" si="38"/>
        <v>Atrasado</v>
      </c>
      <c r="O230" s="63" t="str">
        <f t="shared" si="31"/>
        <v>Cliente - Atendimento de Comentário</v>
      </c>
      <c r="P230" s="63" t="str">
        <f t="shared" si="32"/>
        <v>Circlua</v>
      </c>
      <c r="Q230" s="63" t="str">
        <f>IF(_xlfn.XLOOKUP(D230,'LD-ELFA'!F:F,'LD-ELFA'!V:V)="","",_xlfn.XLOOKUP(D230,'LD-ELFA'!F:F,'LD-ELFA'!V:V))</f>
        <v/>
      </c>
      <c r="R230" s="40" t="str">
        <f>IFERROR(IF(I230&lt;&gt;"","Documento Emitido",_xlfn.XLOOKUP(D230,Cronograma!P:P,Cronograma!Q:Q)),"Documento Removido")</f>
        <v>Documento Emitido</v>
      </c>
      <c r="S230" s="40" t="str">
        <f t="shared" ca="1" si="33"/>
        <v>Documento Emitido</v>
      </c>
      <c r="T230" s="40" t="str">
        <f>IFERROR(IF(I230&lt;&gt;"","Documento Emitido",_xlfn.XLOOKUP(D230,Cronograma!P:P,Cronograma!R:R)),"Documento Removido")</f>
        <v>Documento Emitido</v>
      </c>
      <c r="U230" s="39" t="str">
        <f t="shared" si="34"/>
        <v>Documento Emitido</v>
      </c>
      <c r="V230" s="39" t="str">
        <f t="shared" si="35"/>
        <v>Documento Emitido</v>
      </c>
      <c r="W230" s="39" t="str">
        <f t="shared" ca="1" si="36"/>
        <v>Emissão Semana</v>
      </c>
    </row>
    <row r="231" spans="1:23" ht="28.5" customHeight="1" x14ac:dyDescent="0.25">
      <c r="A231" s="39">
        <v>228</v>
      </c>
      <c r="B231" s="39" t="str">
        <f>_xlfn.XLOOKUP(D231,'LD-ELFA'!F:F,'LD-ELFA'!C:C)</f>
        <v>ME - Mecanica</v>
      </c>
      <c r="C231" s="39" t="str">
        <f>_xlfn.XLOOKUP(D231,'LD-ELFA'!F:F,'LD-ELFA'!D:D)</f>
        <v>FDA - Folha De Dados</v>
      </c>
      <c r="D231" s="39" t="s">
        <v>233</v>
      </c>
      <c r="E231" s="39" t="str">
        <f>_xlfn.LET(_xlpm.q,_xlfn.XLOOKUP(D231,'LD-ELFA'!F:F,'LD-ELFA'!Q:Q),
   _xlpm.r,_xlfn.XLOOKUP(D231,'LD-ELFA'!F:F,'LD-ELFA'!R:R),
   IF(_xlpm.r = "", _xlpm.q, _xlpm.q &amp; " - " &amp; _xlpm.r))</f>
        <v>FOLHA DE DADOS - RENWA META - UNIDADES DE ENSACAMENTO E SISTEMA DE PESAGEM</v>
      </c>
      <c r="F231" s="63" t="str">
        <f t="shared" si="30"/>
        <v>Básico</v>
      </c>
      <c r="G231" s="63">
        <f>_xlfn.XLOOKUP(D231,'LD-ELFA'!F:F,'LD-ELFA'!G:G)</f>
        <v>0</v>
      </c>
      <c r="H231" s="63">
        <f>_xlfn.XLOOKUP(D231,'LD-ELFA'!F:F,'LD-ELFA'!I:I)</f>
        <v>0</v>
      </c>
      <c r="I231" s="63" t="str">
        <f>IF(_xlfn.XLOOKUP(D231,'LD-ELFA'!F:F,'LD-ELFA'!T:T)="","",_xlfn.XLOOKUP(D231,'LD-ELFA'!F:F,'LD-ELFA'!T:T))</f>
        <v/>
      </c>
      <c r="J231" s="63" t="str">
        <f>IF(K231="Documento a emitir", "",_xlfn.XLOOKUP(D231,'LD-ELFA'!F:F,'LD-ELFA'!N:N))</f>
        <v/>
      </c>
      <c r="K231" s="43" t="str">
        <f>IF(_xlfn.XLOOKUP($D231,'LD-ELFA'!F:F,'LD-ELFA'!U:U)="","Documento a emitir",_xlfn.XLOOKUP($D231,'LD-ELFA'!F:F,'LD-ELFA'!U:U))</f>
        <v>Documento a emitir</v>
      </c>
      <c r="L231" s="43" t="str">
        <f>IF(K231="Documento a emitir","Documento a emitir",IF(K231&lt;&gt;"Documento a emitir",IF(_xlfn.XLOOKUP(D231,'LD-ELFA'!F:F,'LD-ELFA'!W:W)="","",_xlfn.XLOOKUP(D231,'LD-ELFA'!F:F,'LD-ELFA'!W:W)),""))</f>
        <v>Documento a emitir</v>
      </c>
      <c r="M231" s="43" t="str">
        <f>IF(K231="Documento a emitir","",IF(AND(Q231="APC-R  - APC-R - Aprovado com Comentários (Retornar para uma nova Aprovação)",Q231="APC-L  - APC-L  - Aprovado com Comentários (Retornar Aprovado)"),"",IF(OR(_xlfn.XLOOKUP(D231,'LD-ELFA'!F:F,'LD-ELFA'!N:N)="PARA CONHECIMENTO",_xlfn.XLOOKUP(D231,'LD-ELFA'!F:F,'LD-ELFA'!N:N)="PARA CONSTRUÇÃO",_xlfn.XLOOKUP(D231,'LD-ELFA'!F:F,'LD-ELFA'!N:N)="PARA COTAÇÃO",_xlfn.XLOOKUP(D231,'LD-ELFA'!F:F,'LD-ELFA'!N:N)="CANCELADO"),_xlfn.XLOOKUP(D231,'LD-ELFA'!F:F,'LD-ELFA'!U:U),IF(AND(L231="",J231&lt;&gt;"PARA APROVAÇÃO"),"",""))))</f>
        <v/>
      </c>
      <c r="N231" s="63" t="str">
        <f t="shared" ca="1" si="38"/>
        <v>Documento a Emitir</v>
      </c>
      <c r="O231" s="63" t="str">
        <f t="shared" si="31"/>
        <v>Blossom - Documento a emitir</v>
      </c>
      <c r="P231" s="63" t="str">
        <f t="shared" si="32"/>
        <v>Blossom</v>
      </c>
      <c r="Q231" s="63" t="str">
        <f>IF(_xlfn.XLOOKUP(D231,'LD-ELFA'!F:F,'LD-ELFA'!V:V)="","",_xlfn.XLOOKUP(D231,'LD-ELFA'!F:F,'LD-ELFA'!V:V))</f>
        <v/>
      </c>
      <c r="R231" s="40">
        <f>IFERROR(IF(I231&lt;&gt;"","Documento Emitido",_xlfn.XLOOKUP(D231,Cronograma!P:P,Cronograma!Q:Q)),"Documento Removido")</f>
        <v>46226</v>
      </c>
      <c r="S231" s="40" t="str">
        <f t="shared" ca="1" si="33"/>
        <v>No prazo</v>
      </c>
      <c r="T231" s="40">
        <f>IFERROR(IF(I231&lt;&gt;"","Documento Emitido",_xlfn.XLOOKUP(D231,Cronograma!P:P,Cronograma!R:R)),"Documento Removido")</f>
        <v>46216</v>
      </c>
      <c r="U231" s="39" t="str">
        <f t="shared" si="34"/>
        <v>Emissão Atrasada</v>
      </c>
      <c r="V231" s="39" t="str">
        <f t="shared" si="35"/>
        <v>Semana 2</v>
      </c>
      <c r="W231" s="39" t="str">
        <f t="shared" ca="1" si="36"/>
        <v/>
      </c>
    </row>
    <row r="232" spans="1:23" ht="28.5" customHeight="1" x14ac:dyDescent="0.25">
      <c r="A232" s="39">
        <v>229</v>
      </c>
      <c r="B232" s="39" t="e">
        <f>_xlfn.XLOOKUP(D232,'LD-ELFA'!F:F,'LD-ELFA'!C:C)</f>
        <v>#N/A</v>
      </c>
      <c r="C232" s="39" t="e">
        <f>_xlfn.XLOOKUP(D232,'LD-ELFA'!F:F,'LD-ELFA'!D:D)</f>
        <v>#N/A</v>
      </c>
      <c r="D232" s="39" t="s">
        <v>234</v>
      </c>
      <c r="E232" s="39" t="e">
        <f>_xlfn.LET(_xlpm.q,_xlfn.XLOOKUP(D232,'LD-ELFA'!F:F,'LD-ELFA'!Q:Q),
   _xlpm.r,_xlfn.XLOOKUP(D232,'LD-ELFA'!F:F,'LD-ELFA'!R:R),
   IF(_xlpm.r = "", _xlpm.q, _xlpm.q &amp; " - " &amp; _xlpm.r))</f>
        <v>#N/A</v>
      </c>
      <c r="F232" s="63" t="str">
        <f t="shared" si="30"/>
        <v>Básico</v>
      </c>
      <c r="G232" s="63" t="e">
        <f>_xlfn.XLOOKUP(D232,'LD-ELFA'!F:F,'LD-ELFA'!G:G)</f>
        <v>#N/A</v>
      </c>
      <c r="H232" s="63" t="e">
        <f>_xlfn.XLOOKUP(D232,'LD-ELFA'!F:F,'LD-ELFA'!I:I)</f>
        <v>#N/A</v>
      </c>
      <c r="I232" s="63" t="e">
        <f>IF(_xlfn.XLOOKUP(D232,'LD-ELFA'!F:F,'LD-ELFA'!T:T)="","",_xlfn.XLOOKUP(D232,'LD-ELFA'!F:F,'LD-ELFA'!T:T))</f>
        <v>#N/A</v>
      </c>
      <c r="J232" s="63" t="e">
        <f>IF(K232="Documento a emitir", "",_xlfn.XLOOKUP(D232,'LD-ELFA'!F:F,'LD-ELFA'!N:N))</f>
        <v>#N/A</v>
      </c>
      <c r="K232" s="43" t="e">
        <f>IF(_xlfn.XLOOKUP($D232,'LD-ELFA'!F:F,'LD-ELFA'!U:U)="","Documento a emitir",_xlfn.XLOOKUP($D232,'LD-ELFA'!F:F,'LD-ELFA'!U:U))</f>
        <v>#N/A</v>
      </c>
      <c r="L232" s="43" t="e">
        <f>IF(K232="Documento a emitir","Documento a emitir",IF(K232&lt;&gt;"Documento a emitir",IF(_xlfn.XLOOKUP(D232,'LD-ELFA'!F:F,'LD-ELFA'!W:W)="","",_xlfn.XLOOKUP(D232,'LD-ELFA'!F:F,'LD-ELFA'!W:W)),""))</f>
        <v>#N/A</v>
      </c>
      <c r="M232" s="43" t="e">
        <f>IF(K232="Documento a emitir","",IF(AND(Q232="APC-R  - APC-R - Aprovado com Comentários (Retornar para uma nova Aprovação)",Q232="APC-L  - APC-L  - Aprovado com Comentários (Retornar Aprovado)"),"",IF(OR(_xlfn.XLOOKUP(D232,'LD-ELFA'!F:F,'LD-ELFA'!N:N)="PARA CONHECIMENTO",_xlfn.XLOOKUP(D232,'LD-ELFA'!F:F,'LD-ELFA'!N:N)="PARA CONSTRUÇÃO",_xlfn.XLOOKUP(D232,'LD-ELFA'!F:F,'LD-ELFA'!N:N)="PARA COTAÇÃO",_xlfn.XLOOKUP(D232,'LD-ELFA'!F:F,'LD-ELFA'!N:N)="CANCELADO"),_xlfn.XLOOKUP(D232,'LD-ELFA'!F:F,'LD-ELFA'!U:U),IF(AND(L232="",J232&lt;&gt;"PARA APROVAÇÃO"),"",""))))</f>
        <v>#N/A</v>
      </c>
      <c r="N232" s="63" t="str">
        <f t="shared" ca="1" si="38"/>
        <v>ERRO</v>
      </c>
      <c r="O232" s="63" t="str">
        <f t="shared" si="31"/>
        <v>Documento Removido</v>
      </c>
      <c r="P232" s="63" t="str">
        <f t="shared" si="32"/>
        <v>Blossom</v>
      </c>
      <c r="Q232" s="63" t="e">
        <f>IF(_xlfn.XLOOKUP(D232,'LD-ELFA'!F:F,'LD-ELFA'!V:V)="","",_xlfn.XLOOKUP(D232,'LD-ELFA'!F:F,'LD-ELFA'!V:V))</f>
        <v>#N/A</v>
      </c>
      <c r="R232" s="40" t="str">
        <f>IFERROR(IF(I232&lt;&gt;"","Documento Emitido",_xlfn.XLOOKUP(D232,Cronograma!P:P,Cronograma!Q:Q)),"Documento Removido")</f>
        <v>Documento Removido</v>
      </c>
      <c r="S232" s="40" t="str">
        <f t="shared" ca="1" si="33"/>
        <v>Documento Removido</v>
      </c>
      <c r="T232" s="40" t="str">
        <f>IFERROR(IF(I232&lt;&gt;"","Documento Emitido",_xlfn.XLOOKUP(D232,Cronograma!P:P,Cronograma!R:R)),"Documento Removido")</f>
        <v>Documento Removido</v>
      </c>
      <c r="U232" s="39" t="str">
        <f t="shared" si="34"/>
        <v>Documento Removido</v>
      </c>
      <c r="V232" s="39" t="str">
        <f t="shared" si="35"/>
        <v>Documento Removido</v>
      </c>
      <c r="W232" s="39" t="e">
        <f t="shared" ca="1" si="36"/>
        <v>#N/A</v>
      </c>
    </row>
    <row r="233" spans="1:23" ht="28.5" customHeight="1" x14ac:dyDescent="0.25">
      <c r="A233" s="39">
        <v>230</v>
      </c>
      <c r="B233" s="39" t="str">
        <f>_xlfn.XLOOKUP(D233,'LD-ELFA'!F:F,'LD-ELFA'!C:C)</f>
        <v>ME - Mecanica</v>
      </c>
      <c r="C233" s="39" t="str">
        <f>_xlfn.XLOOKUP(D233,'LD-ELFA'!F:F,'LD-ELFA'!D:D)</f>
        <v>FDA - Folha De Dados</v>
      </c>
      <c r="D233" s="39" t="s">
        <v>235</v>
      </c>
      <c r="E233" s="39" t="str">
        <f>_xlfn.LET(_xlpm.q,_xlfn.XLOOKUP(D233,'LD-ELFA'!F:F,'LD-ELFA'!Q:Q),
   _xlpm.r,_xlfn.XLOOKUP(D233,'LD-ELFA'!F:F,'LD-ELFA'!R:R),
   IF(_xlpm.r = "", _xlpm.q, _xlpm.q &amp; " - " &amp; _xlpm.r))</f>
        <v>FOLHA DE DADOS - RENWA META - SILO DE ESTOCAGEM 2000t</v>
      </c>
      <c r="F233" s="63" t="str">
        <f t="shared" si="30"/>
        <v>Básico</v>
      </c>
      <c r="G233" s="63">
        <f>_xlfn.XLOOKUP(D233,'LD-ELFA'!F:F,'LD-ELFA'!G:G)</f>
        <v>0</v>
      </c>
      <c r="H233" s="63">
        <f>_xlfn.XLOOKUP(D233,'LD-ELFA'!F:F,'LD-ELFA'!I:I)</f>
        <v>0</v>
      </c>
      <c r="I233" s="63" t="str">
        <f>IF(_xlfn.XLOOKUP(D233,'LD-ELFA'!F:F,'LD-ELFA'!T:T)="","",_xlfn.XLOOKUP(D233,'LD-ELFA'!F:F,'LD-ELFA'!T:T))</f>
        <v/>
      </c>
      <c r="J233" s="63" t="str">
        <f>IF(K233="Documento a emitir", "",_xlfn.XLOOKUP(D233,'LD-ELFA'!F:F,'LD-ELFA'!N:N))</f>
        <v/>
      </c>
      <c r="K233" s="43" t="str">
        <f>IF(_xlfn.XLOOKUP($D233,'LD-ELFA'!F:F,'LD-ELFA'!U:U)="","Documento a emitir",_xlfn.XLOOKUP($D233,'LD-ELFA'!F:F,'LD-ELFA'!U:U))</f>
        <v>Documento a emitir</v>
      </c>
      <c r="L233" s="43" t="str">
        <f>IF(K233="Documento a emitir","Documento a emitir",IF(K233&lt;&gt;"Documento a emitir",IF(_xlfn.XLOOKUP(D233,'LD-ELFA'!F:F,'LD-ELFA'!W:W)="","",_xlfn.XLOOKUP(D233,'LD-ELFA'!F:F,'LD-ELFA'!W:W)),""))</f>
        <v>Documento a emitir</v>
      </c>
      <c r="M233" s="43" t="str">
        <f>IF(K233="Documento a emitir","",IF(AND(Q233="APC-R  - APC-R - Aprovado com Comentários (Retornar para uma nova Aprovação)",Q233="APC-L  - APC-L  - Aprovado com Comentários (Retornar Aprovado)"),"",IF(OR(_xlfn.XLOOKUP(D233,'LD-ELFA'!F:F,'LD-ELFA'!N:N)="PARA CONHECIMENTO",_xlfn.XLOOKUP(D233,'LD-ELFA'!F:F,'LD-ELFA'!N:N)="PARA CONSTRUÇÃO",_xlfn.XLOOKUP(D233,'LD-ELFA'!F:F,'LD-ELFA'!N:N)="PARA COTAÇÃO",_xlfn.XLOOKUP(D233,'LD-ELFA'!F:F,'LD-ELFA'!N:N)="CANCELADO"),_xlfn.XLOOKUP(D233,'LD-ELFA'!F:F,'LD-ELFA'!U:U),IF(AND(L233="",J233&lt;&gt;"PARA APROVAÇÃO"),"",""))))</f>
        <v/>
      </c>
      <c r="N233" s="63" t="str">
        <f t="shared" ca="1" si="38"/>
        <v>Documento a Emitir</v>
      </c>
      <c r="O233" s="63" t="str">
        <f t="shared" si="31"/>
        <v>Blossom - Documento a emitir</v>
      </c>
      <c r="P233" s="63" t="str">
        <f t="shared" si="32"/>
        <v>Blossom</v>
      </c>
      <c r="Q233" s="63" t="str">
        <f>IF(_xlfn.XLOOKUP(D233,'LD-ELFA'!F:F,'LD-ELFA'!V:V)="","",_xlfn.XLOOKUP(D233,'LD-ELFA'!F:F,'LD-ELFA'!V:V))</f>
        <v/>
      </c>
      <c r="R233" s="40">
        <f>IFERROR(IF(I233&lt;&gt;"","Documento Emitido",_xlfn.XLOOKUP(D233,Cronograma!P:P,Cronograma!Q:Q)),"Documento Removido")</f>
        <v>46223</v>
      </c>
      <c r="S233" s="40" t="str">
        <f t="shared" ca="1" si="33"/>
        <v>No prazo</v>
      </c>
      <c r="T233" s="40">
        <f>IFERROR(IF(I233&lt;&gt;"","Documento Emitido",_xlfn.XLOOKUP(D233,Cronograma!P:P,Cronograma!R:R)),"Documento Removido")</f>
        <v>46203</v>
      </c>
      <c r="U233" s="39" t="str">
        <f t="shared" si="34"/>
        <v>Emissão Atrasada</v>
      </c>
      <c r="V233" s="39" t="str">
        <f t="shared" si="35"/>
        <v>Semana 2</v>
      </c>
      <c r="W233" s="39" t="str">
        <f t="shared" ca="1" si="36"/>
        <v/>
      </c>
    </row>
    <row r="234" spans="1:23" ht="28.5" customHeight="1" x14ac:dyDescent="0.25">
      <c r="A234" s="39">
        <v>231</v>
      </c>
      <c r="B234" s="39" t="str">
        <f>_xlfn.XLOOKUP(D234,'LD-ELFA'!F:F,'LD-ELFA'!C:C)</f>
        <v>ME - Mecanica</v>
      </c>
      <c r="C234" s="39" t="str">
        <f>_xlfn.XLOOKUP(D234,'LD-ELFA'!F:F,'LD-ELFA'!D:D)</f>
        <v>FDA - Folha De Dados</v>
      </c>
      <c r="D234" s="39" t="s">
        <v>236</v>
      </c>
      <c r="E234" s="39" t="str">
        <f>_xlfn.LET(_xlpm.q,_xlfn.XLOOKUP(D234,'LD-ELFA'!F:F,'LD-ELFA'!Q:Q),
   _xlpm.r,_xlfn.XLOOKUP(D234,'LD-ELFA'!F:F,'LD-ELFA'!R:R),
   IF(_xlpm.r = "", _xlpm.q, _xlpm.q &amp; " - " &amp; _xlpm.r))</f>
        <v>ESPECIFICAÇÃO TÉCNICA - BRITADOR 500t/h</v>
      </c>
      <c r="F234" s="63" t="str">
        <f t="shared" si="30"/>
        <v>Básico</v>
      </c>
      <c r="G234" s="63">
        <f>_xlfn.XLOOKUP(D234,'LD-ELFA'!F:F,'LD-ELFA'!G:G)</f>
        <v>0</v>
      </c>
      <c r="H234" s="63">
        <f>_xlfn.XLOOKUP(D234,'LD-ELFA'!F:F,'LD-ELFA'!I:I)</f>
        <v>0</v>
      </c>
      <c r="I234" s="63" t="str">
        <f>IF(_xlfn.XLOOKUP(D234,'LD-ELFA'!F:F,'LD-ELFA'!T:T)="","",_xlfn.XLOOKUP(D234,'LD-ELFA'!F:F,'LD-ELFA'!T:T))</f>
        <v/>
      </c>
      <c r="J234" s="63" t="str">
        <f>IF(K234="Documento a emitir", "",_xlfn.XLOOKUP(D234,'LD-ELFA'!F:F,'LD-ELFA'!N:N))</f>
        <v/>
      </c>
      <c r="K234" s="43" t="str">
        <f>IF(_xlfn.XLOOKUP($D234,'LD-ELFA'!F:F,'LD-ELFA'!U:U)="","Documento a emitir",_xlfn.XLOOKUP($D234,'LD-ELFA'!F:F,'LD-ELFA'!U:U))</f>
        <v>Documento a emitir</v>
      </c>
      <c r="L234" s="43" t="str">
        <f>IF(K234="Documento a emitir","Documento a emitir",IF(K234&lt;&gt;"Documento a emitir",IF(_xlfn.XLOOKUP(D234,'LD-ELFA'!F:F,'LD-ELFA'!W:W)="","",_xlfn.XLOOKUP(D234,'LD-ELFA'!F:F,'LD-ELFA'!W:W)),""))</f>
        <v>Documento a emitir</v>
      </c>
      <c r="M234" s="43" t="str">
        <f>IF(K234="Documento a emitir","",IF(AND(Q234="APC-R  - APC-R - Aprovado com Comentários (Retornar para uma nova Aprovação)",Q234="APC-L  - APC-L  - Aprovado com Comentários (Retornar Aprovado)"),"",IF(OR(_xlfn.XLOOKUP(D234,'LD-ELFA'!F:F,'LD-ELFA'!N:N)="PARA CONHECIMENTO",_xlfn.XLOOKUP(D234,'LD-ELFA'!F:F,'LD-ELFA'!N:N)="PARA CONSTRUÇÃO",_xlfn.XLOOKUP(D234,'LD-ELFA'!F:F,'LD-ELFA'!N:N)="PARA COTAÇÃO",_xlfn.XLOOKUP(D234,'LD-ELFA'!F:F,'LD-ELFA'!N:N)="CANCELADO"),_xlfn.XLOOKUP(D234,'LD-ELFA'!F:F,'LD-ELFA'!U:U),IF(AND(L234="",J234&lt;&gt;"PARA APROVAÇÃO"),"",""))))</f>
        <v/>
      </c>
      <c r="N234" s="63" t="str">
        <f t="shared" ca="1" si="38"/>
        <v>Documento a Emitir</v>
      </c>
      <c r="O234" s="63" t="str">
        <f t="shared" si="31"/>
        <v>Blossom - Documento a emitir</v>
      </c>
      <c r="P234" s="63" t="str">
        <f t="shared" si="32"/>
        <v>Blossom</v>
      </c>
      <c r="Q234" s="63" t="str">
        <f>IF(_xlfn.XLOOKUP(D234,'LD-ELFA'!F:F,'LD-ELFA'!V:V)="","",_xlfn.XLOOKUP(D234,'LD-ELFA'!F:F,'LD-ELFA'!V:V))</f>
        <v/>
      </c>
      <c r="R234" s="40">
        <f>IFERROR(IF(I234&lt;&gt;"","Documento Emitido",_xlfn.XLOOKUP(D234,Cronograma!P:P,Cronograma!Q:Q)),"Documento Removido")</f>
        <v>46219</v>
      </c>
      <c r="S234" s="40" t="str">
        <f t="shared" ca="1" si="33"/>
        <v>No prazo</v>
      </c>
      <c r="T234" s="40">
        <f>IFERROR(IF(I234&lt;&gt;"","Documento Emitido",_xlfn.XLOOKUP(D234,Cronograma!P:P,Cronograma!R:R)),"Documento Removido")</f>
        <v>46212</v>
      </c>
      <c r="U234" s="39" t="str">
        <f t="shared" si="34"/>
        <v>Emissão Atrasada</v>
      </c>
      <c r="V234" s="39" t="str">
        <f t="shared" si="35"/>
        <v>Semana 1</v>
      </c>
      <c r="W234" s="39" t="str">
        <f t="shared" ca="1" si="36"/>
        <v/>
      </c>
    </row>
    <row r="235" spans="1:23" ht="28.5" customHeight="1" x14ac:dyDescent="0.25">
      <c r="A235" s="39">
        <v>232</v>
      </c>
      <c r="B235" s="39" t="str">
        <f>_xlfn.XLOOKUP(D235,'LD-ELFA'!F:F,'LD-ELFA'!C:C)</f>
        <v>ME - Mecanica</v>
      </c>
      <c r="C235" s="39" t="str">
        <f>_xlfn.XLOOKUP(D235,'LD-ELFA'!F:F,'LD-ELFA'!D:D)</f>
        <v>FDA - Folha De Dados</v>
      </c>
      <c r="D235" s="39" t="s">
        <v>237</v>
      </c>
      <c r="E235" s="39" t="str">
        <f>_xlfn.LET(_xlpm.q,_xlfn.XLOOKUP(D235,'LD-ELFA'!F:F,'LD-ELFA'!Q:Q),
   _xlpm.r,_xlfn.XLOOKUP(D235,'LD-ELFA'!F:F,'LD-ELFA'!R:R),
   IF(_xlpm.r = "", _xlpm.q, _xlpm.q &amp; " - " &amp; _xlpm.r))</f>
        <v>FOLHA DE DADOS - 1602-ST-01 - EMPILHADOR MÓVEL</v>
      </c>
      <c r="F235" s="63" t="str">
        <f t="shared" si="30"/>
        <v>Básico</v>
      </c>
      <c r="G235" s="63">
        <f>_xlfn.XLOOKUP(D235,'LD-ELFA'!F:F,'LD-ELFA'!G:G)</f>
        <v>0</v>
      </c>
      <c r="H235" s="63">
        <f>_xlfn.XLOOKUP(D235,'LD-ELFA'!F:F,'LD-ELFA'!I:I)</f>
        <v>0</v>
      </c>
      <c r="I235" s="63" t="str">
        <f>IF(_xlfn.XLOOKUP(D235,'LD-ELFA'!F:F,'LD-ELFA'!T:T)="","",_xlfn.XLOOKUP(D235,'LD-ELFA'!F:F,'LD-ELFA'!T:T))</f>
        <v/>
      </c>
      <c r="J235" s="63" t="str">
        <f>IF(K235="Documento a emitir", "",_xlfn.XLOOKUP(D235,'LD-ELFA'!F:F,'LD-ELFA'!N:N))</f>
        <v/>
      </c>
      <c r="K235" s="43" t="str">
        <f>IF(_xlfn.XLOOKUP($D235,'LD-ELFA'!F:F,'LD-ELFA'!U:U)="","Documento a emitir",_xlfn.XLOOKUP($D235,'LD-ELFA'!F:F,'LD-ELFA'!U:U))</f>
        <v>Documento a emitir</v>
      </c>
      <c r="L235" s="43" t="str">
        <f>IF(K235="Documento a emitir","Documento a emitir",IF(K235&lt;&gt;"Documento a emitir",IF(_xlfn.XLOOKUP(D235,'LD-ELFA'!F:F,'LD-ELFA'!W:W)="","",_xlfn.XLOOKUP(D235,'LD-ELFA'!F:F,'LD-ELFA'!W:W)),""))</f>
        <v>Documento a emitir</v>
      </c>
      <c r="M235" s="43" t="str">
        <f>IF(K235="Documento a emitir","",IF(AND(Q235="APC-R  - APC-R - Aprovado com Comentários (Retornar para uma nova Aprovação)",Q235="APC-L  - APC-L  - Aprovado com Comentários (Retornar Aprovado)"),"",IF(OR(_xlfn.XLOOKUP(D235,'LD-ELFA'!F:F,'LD-ELFA'!N:N)="PARA CONHECIMENTO",_xlfn.XLOOKUP(D235,'LD-ELFA'!F:F,'LD-ELFA'!N:N)="PARA CONSTRUÇÃO",_xlfn.XLOOKUP(D235,'LD-ELFA'!F:F,'LD-ELFA'!N:N)="PARA COTAÇÃO",_xlfn.XLOOKUP(D235,'LD-ELFA'!F:F,'LD-ELFA'!N:N)="CANCELADO"),_xlfn.XLOOKUP(D235,'LD-ELFA'!F:F,'LD-ELFA'!U:U),IF(AND(L235="",J235&lt;&gt;"PARA APROVAÇÃO"),"",""))))</f>
        <v/>
      </c>
      <c r="N235" s="63" t="str">
        <f ca="1">IF(O235="Documento Concluído","Documento Concluído",IF(O235="Cliente - Atendimento de Comentário",IF(TODAY()&lt;=(K235+3),"No prazo","Atrasado"),IF(O235="Cliente - Atendimento de Comentário",IF(TODAY()&lt;=(WORKDAY(K235,3,0)),"No prazo","Atrasado"),IF(O235="Blossom - Emissão Final",IF(TODAY()&lt;=(WORKDAY(L235,3,0)),"No prazo","Atrasado"),IF(O235="Blossom - Atendimento de Comentário",IF(TODAY()&lt;=(WORKDAY(L235,3,0)),"No prazo","Atrasado"),IF(O235="Blossom - Documento a emitir","Documento a Emitir",IF(O235="Documento Removido","Documento Removido","ERRO")))))))</f>
        <v>Documento a Emitir</v>
      </c>
      <c r="O235" s="63" t="str">
        <f t="shared" si="31"/>
        <v>Blossom - Documento a emitir</v>
      </c>
      <c r="P235" s="63" t="str">
        <f t="shared" si="32"/>
        <v>Blossom</v>
      </c>
      <c r="Q235" s="63" t="str">
        <f>IF(_xlfn.XLOOKUP(D235,'LD-ELFA'!F:F,'LD-ELFA'!V:V)="","",_xlfn.XLOOKUP(D235,'LD-ELFA'!F:F,'LD-ELFA'!V:V))</f>
        <v/>
      </c>
      <c r="R235" s="40">
        <f>IFERROR(IF(I235&lt;&gt;"","Documento Emitido",_xlfn.XLOOKUP(D235,Cronograma!P:P,Cronograma!Q:Q)),"Documento Removido")</f>
        <v>46224</v>
      </c>
      <c r="S235" s="40" t="str">
        <f t="shared" ca="1" si="33"/>
        <v>No prazo</v>
      </c>
      <c r="T235" s="40">
        <f>IFERROR(IF(I235&lt;&gt;"","Documento Emitido",_xlfn.XLOOKUP(D235,Cronograma!P:P,Cronograma!R:R)),"Documento Removido")</f>
        <v>46223</v>
      </c>
      <c r="U235" s="39" t="str">
        <f t="shared" si="34"/>
        <v>Emissão Atrasada</v>
      </c>
      <c r="V235" s="39" t="str">
        <f t="shared" si="35"/>
        <v>Semana 2</v>
      </c>
      <c r="W235" s="39" t="str">
        <f t="shared" ca="1" si="36"/>
        <v/>
      </c>
    </row>
    <row r="236" spans="1:23" ht="28.5" customHeight="1" x14ac:dyDescent="0.25">
      <c r="A236" s="39">
        <v>233</v>
      </c>
      <c r="B236" s="39" t="str">
        <f>_xlfn.XLOOKUP(D236,'LD-ELFA'!F:F,'LD-ELFA'!C:C)</f>
        <v>ME - Mecanica</v>
      </c>
      <c r="C236" s="39" t="str">
        <f>_xlfn.XLOOKUP(D236,'LD-ELFA'!F:F,'LD-ELFA'!D:D)</f>
        <v>FDA - Folha De Dados</v>
      </c>
      <c r="D236" s="39" t="s">
        <v>1222</v>
      </c>
      <c r="E236" s="39" t="str">
        <f>_xlfn.LET(_xlpm.q,_xlfn.XLOOKUP(D236,'LD-ELFA'!F:F,'LD-ELFA'!Q:Q),
   _xlpm.r,_xlfn.XLOOKUP(D236,'LD-ELFA'!F:F,'LD-ELFA'!R:R),
   IF(_xlpm.r = "", _xlpm.q, _xlpm.q &amp; " - " &amp; _xlpm.r))</f>
        <v>FOLHA DE DADOS - PONTE ROLANTE</v>
      </c>
      <c r="F236" s="63" t="str">
        <f t="shared" si="30"/>
        <v>Básico</v>
      </c>
      <c r="G236" s="63">
        <f>_xlfn.XLOOKUP(D236,'LD-ELFA'!F:F,'LD-ELFA'!G:G)</f>
        <v>0</v>
      </c>
      <c r="H236" s="63" t="str">
        <f>_xlfn.XLOOKUP(D236,'LD-ELFA'!F:F,'LD-ELFA'!I:I)</f>
        <v>1</v>
      </c>
      <c r="I236" s="63" t="str">
        <f>IF(_xlfn.XLOOKUP(D236,'LD-ELFA'!F:F,'LD-ELFA'!T:T)="","",_xlfn.XLOOKUP(D236,'LD-ELFA'!F:F,'LD-ELFA'!T:T))</f>
        <v>0031</v>
      </c>
      <c r="J236" s="63" t="str">
        <f>IF(K236="Documento a emitir", "",_xlfn.XLOOKUP(D236,'LD-ELFA'!F:F,'LD-ELFA'!N:N))</f>
        <v>PARA APROVAÇÃO</v>
      </c>
      <c r="K236" s="43">
        <f>IF(_xlfn.XLOOKUP($D236,'LD-ELFA'!F:F,'LD-ELFA'!U:U)="","Documento a emitir",_xlfn.XLOOKUP($D236,'LD-ELFA'!F:F,'LD-ELFA'!U:U))</f>
        <v>46212.67654537037</v>
      </c>
      <c r="L236" s="43" t="str">
        <f>IF(K236="Documento a emitir","Documento a emitir",IF(K236&lt;&gt;"Documento a emitir",IF(_xlfn.XLOOKUP(D236,'LD-ELFA'!F:F,'LD-ELFA'!W:W)="","",_xlfn.XLOOKUP(D236,'LD-ELFA'!F:F,'LD-ELFA'!W:W)),""))</f>
        <v/>
      </c>
      <c r="M236" s="43" t="str">
        <f>IF(K236="Documento a emitir","",IF(AND(Q236="APC-R  - APC-R - Aprovado com Comentários (Retornar para uma nova Aprovação)",Q236="APC-L  - APC-L  - Aprovado com Comentários (Retornar Aprovado)"),"",IF(OR(_xlfn.XLOOKUP(D236,'LD-ELFA'!F:F,'LD-ELFA'!N:N)="PARA CONHECIMENTO",_xlfn.XLOOKUP(D236,'LD-ELFA'!F:F,'LD-ELFA'!N:N)="PARA CONSTRUÇÃO",_xlfn.XLOOKUP(D236,'LD-ELFA'!F:F,'LD-ELFA'!N:N)="PARA COTAÇÃO",_xlfn.XLOOKUP(D236,'LD-ELFA'!F:F,'LD-ELFA'!N:N)="CANCELADO"),_xlfn.XLOOKUP(D236,'LD-ELFA'!F:F,'LD-ELFA'!U:U),IF(AND(L236="",J236&lt;&gt;"PARA APROVAÇÃO"),"",""))))</f>
        <v/>
      </c>
      <c r="N236" s="63" t="str">
        <f ca="1">IF(O236="Documento Concluído","Documento Concluído",IF(O236="Cliente - Atendimento de Comentário",IF(TODAY()&lt;=(K236+3),"No prazo","Atrasado"),IF(O236="Cliente - Atendimento de Comentário",IF(TODAY()&lt;=(WORKDAY(K236,3,0)),"No prazo","Atrasado"),IF(O236="Blossom - Emissão Final",IF(TODAY()&lt;=(WORKDAY(L236,3,0)),"No prazo","Atrasado"),IF(O236="Blossom - Atendimento de Comentário",IF(TODAY()&lt;=(WORKDAY(L236,3,0)),"No prazo","Atrasado"),IF(O236="Blossom - Documento a emitir","Documento a Emitir","ERRO"))))))</f>
        <v>Atrasado</v>
      </c>
      <c r="O236" s="63" t="str">
        <f t="shared" si="31"/>
        <v>Cliente - Atendimento de Comentário</v>
      </c>
      <c r="P236" s="63" t="str">
        <f t="shared" si="32"/>
        <v>Circlua</v>
      </c>
      <c r="Q236" s="63" t="str">
        <f>IF(_xlfn.XLOOKUP(D236,'LD-ELFA'!F:F,'LD-ELFA'!V:V)="","",_xlfn.XLOOKUP(D236,'LD-ELFA'!F:F,'LD-ELFA'!V:V))</f>
        <v/>
      </c>
      <c r="R236" s="40" t="str">
        <f>IFERROR(IF(I236&lt;&gt;"","Documento Emitido",_xlfn.XLOOKUP(D236,Cronograma!P:P,Cronograma!Q:Q)),"Documento Removido")</f>
        <v>Documento Emitido</v>
      </c>
      <c r="S236" s="40" t="str">
        <f t="shared" ca="1" si="33"/>
        <v>Documento Emitido</v>
      </c>
      <c r="T236" s="40" t="str">
        <f>IFERROR(IF(I236&lt;&gt;"","Documento Emitido",_xlfn.XLOOKUP(D236,Cronograma!P:P,Cronograma!R:R)),"Documento Removido")</f>
        <v>Documento Emitido</v>
      </c>
      <c r="U236" s="39" t="str">
        <f t="shared" si="34"/>
        <v>Documento Emitido</v>
      </c>
      <c r="V236" s="39" t="str">
        <f t="shared" si="35"/>
        <v>Documento Emitido</v>
      </c>
      <c r="W236" s="39" t="str">
        <f t="shared" ca="1" si="36"/>
        <v>Emissão Semana</v>
      </c>
    </row>
    <row r="237" spans="1:23" ht="28.5" customHeight="1" x14ac:dyDescent="0.25">
      <c r="A237" s="39">
        <v>234</v>
      </c>
      <c r="B237" s="39" t="e">
        <f>_xlfn.XLOOKUP(D237,'LD-ELFA'!F:F,'LD-ELFA'!C:C)</f>
        <v>#N/A</v>
      </c>
      <c r="C237" s="39" t="e">
        <f>_xlfn.XLOOKUP(D237,'LD-ELFA'!F:F,'LD-ELFA'!D:D)</f>
        <v>#N/A</v>
      </c>
      <c r="D237" s="39" t="s">
        <v>1441</v>
      </c>
      <c r="E237" s="39" t="e">
        <f>_xlfn.LET(_xlpm.q,_xlfn.XLOOKUP(D237,'LD-ELFA'!F:F,'LD-ELFA'!Q:Q),
   _xlpm.r,_xlfn.XLOOKUP(D237,'LD-ELFA'!F:F,'LD-ELFA'!R:R),
   IF(_xlpm.r = "", _xlpm.q, _xlpm.q &amp; " - " &amp; _xlpm.r))</f>
        <v>#N/A</v>
      </c>
      <c r="F237" s="63" t="str">
        <f t="shared" si="30"/>
        <v>Básico</v>
      </c>
      <c r="G237" s="63" t="e">
        <f>_xlfn.XLOOKUP(D237,'LD-ELFA'!F:F,'LD-ELFA'!G:G)</f>
        <v>#N/A</v>
      </c>
      <c r="H237" s="63" t="e">
        <f>_xlfn.XLOOKUP(D237,'LD-ELFA'!F:F,'LD-ELFA'!I:I)</f>
        <v>#N/A</v>
      </c>
      <c r="I237" s="63" t="e">
        <f>IF(_xlfn.XLOOKUP(D237,'LD-ELFA'!F:F,'LD-ELFA'!T:T)="","",_xlfn.XLOOKUP(D237,'LD-ELFA'!F:F,'LD-ELFA'!T:T))</f>
        <v>#N/A</v>
      </c>
      <c r="J237" s="63" t="e">
        <f>IF(K237="Documento a emitir", "",_xlfn.XLOOKUP(D237,'LD-ELFA'!F:F,'LD-ELFA'!N:N))</f>
        <v>#N/A</v>
      </c>
      <c r="K237" s="43" t="e">
        <f>IF(_xlfn.XLOOKUP($D237,'LD-ELFA'!F:F,'LD-ELFA'!U:U)="","Documento a emitir",_xlfn.XLOOKUP($D237,'LD-ELFA'!F:F,'LD-ELFA'!U:U))</f>
        <v>#N/A</v>
      </c>
      <c r="L237" s="43" t="e">
        <f>IF(K237="Documento a emitir","Documento a emitir",IF(K237&lt;&gt;"Documento a emitir",IF(_xlfn.XLOOKUP(D237,'LD-ELFA'!F:F,'LD-ELFA'!W:W)="","",_xlfn.XLOOKUP(D237,'LD-ELFA'!F:F,'LD-ELFA'!W:W)),""))</f>
        <v>#N/A</v>
      </c>
      <c r="M237" s="43" t="e">
        <f>IF(K237="Documento a emitir","",IF(AND(Q237="APC-R  - APC-R - Aprovado com Comentários (Retornar para uma nova Aprovação)",Q237="APC-L  - APC-L  - Aprovado com Comentários (Retornar Aprovado)"),"",IF(OR(_xlfn.XLOOKUP(D237,'LD-ELFA'!F:F,'LD-ELFA'!N:N)="PARA CONHECIMENTO",_xlfn.XLOOKUP(D237,'LD-ELFA'!F:F,'LD-ELFA'!N:N)="PARA CONSTRUÇÃO",_xlfn.XLOOKUP(D237,'LD-ELFA'!F:F,'LD-ELFA'!N:N)="PARA COTAÇÃO",_xlfn.XLOOKUP(D237,'LD-ELFA'!F:F,'LD-ELFA'!N:N)="CANCELADO"),_xlfn.XLOOKUP(D237,'LD-ELFA'!F:F,'LD-ELFA'!U:U),IF(AND(L237="",J237&lt;&gt;"PARA APROVAÇÃO"),"",""))))</f>
        <v>#N/A</v>
      </c>
      <c r="N237" s="63" t="str">
        <f ca="1">IF(O237="Documento Concluído","Documento Concluído",IF(O237="Cliente - Atendimento de Comentário",IF(TODAY()&lt;=(K237+3),"No prazo","Atrasado"),IF(O237="Cliente - Atendimento de Comentário",IF(TODAY()&lt;=(WORKDAY(K237,3,0)),"No prazo","Atrasado"),IF(O237="Blossom - Emissão Final",IF(TODAY()&lt;=(WORKDAY(L237,3,0)),"No prazo","Atrasado"),IF(O237="Blossom - Atendimento de Comentário",IF(TODAY()&lt;=(WORKDAY(L237,3,0)),"No prazo","Atrasado"),IF(O237="Blossom - Documento a emitir","Documento a Emitir","ERRO"))))))</f>
        <v>ERRO</v>
      </c>
      <c r="O237" s="63" t="str">
        <f t="shared" si="31"/>
        <v>Documento Removido</v>
      </c>
      <c r="P237" s="63" t="str">
        <f t="shared" si="32"/>
        <v>Blossom</v>
      </c>
      <c r="Q237" s="63" t="e">
        <f>IF(_xlfn.XLOOKUP(D237,'LD-ELFA'!F:F,'LD-ELFA'!V:V)="","",_xlfn.XLOOKUP(D237,'LD-ELFA'!F:F,'LD-ELFA'!V:V))</f>
        <v>#N/A</v>
      </c>
      <c r="R237" s="40" t="str">
        <f>IFERROR(IF(I237&lt;&gt;"","Documento Emitido",_xlfn.XLOOKUP(D237,Cronograma!P:P,Cronograma!Q:Q)),"Documento Removido")</f>
        <v>Documento Removido</v>
      </c>
      <c r="S237" s="40" t="str">
        <f t="shared" ca="1" si="33"/>
        <v>Documento Removido</v>
      </c>
      <c r="T237" s="40" t="str">
        <f>IFERROR(IF(I237&lt;&gt;"","Documento Emitido",_xlfn.XLOOKUP(D237,Cronograma!P:P,Cronograma!R:R)),"Documento Removido")</f>
        <v>Documento Removido</v>
      </c>
      <c r="U237" s="39" t="str">
        <f t="shared" si="34"/>
        <v>Documento Removido</v>
      </c>
      <c r="V237" s="39" t="str">
        <f t="shared" si="35"/>
        <v>Documento Removido</v>
      </c>
      <c r="W237" s="39" t="e">
        <f t="shared" ca="1" si="36"/>
        <v>#N/A</v>
      </c>
    </row>
    <row r="238" spans="1:23" ht="28.5" customHeight="1" x14ac:dyDescent="0.25">
      <c r="A238" s="39">
        <v>235</v>
      </c>
      <c r="B238" s="39" t="str">
        <f>_xlfn.XLOOKUP(D238,'LD-ELFA'!F:F,'LD-ELFA'!C:C)</f>
        <v>ME - Mecanica</v>
      </c>
      <c r="C238" s="39" t="str">
        <f>_xlfn.XLOOKUP(D238,'LD-ELFA'!F:F,'LD-ELFA'!D:D)</f>
        <v>LEI - Lista De Equipamentos E Instrumentos</v>
      </c>
      <c r="D238" s="39" t="s">
        <v>238</v>
      </c>
      <c r="E238" s="39" t="str">
        <f>_xlfn.LET(_xlpm.q,_xlfn.XLOOKUP(D238,'LD-ELFA'!F:F,'LD-ELFA'!Q:Q),
   _xlpm.r,_xlfn.XLOOKUP(D238,'LD-ELFA'!F:F,'LD-ELFA'!R:R),
   IF(_xlpm.r = "", _xlpm.q, _xlpm.q &amp; " - " &amp; _xlpm.r))</f>
        <v>LISTA DE EQUIPAMENTOS MECÂNICOS</v>
      </c>
      <c r="F238" s="63" t="str">
        <f t="shared" si="30"/>
        <v>Básico</v>
      </c>
      <c r="G238" s="63">
        <f>_xlfn.XLOOKUP(D238,'LD-ELFA'!F:F,'LD-ELFA'!G:G)</f>
        <v>1</v>
      </c>
      <c r="H238" s="63" t="str">
        <f>_xlfn.XLOOKUP(D238,'LD-ELFA'!F:F,'LD-ELFA'!I:I)</f>
        <v>2</v>
      </c>
      <c r="I238" s="63" t="str">
        <f>IF(_xlfn.XLOOKUP(D238,'LD-ELFA'!F:F,'LD-ELFA'!T:T)="","",_xlfn.XLOOKUP(D238,'LD-ELFA'!F:F,'LD-ELFA'!T:T))</f>
        <v>0036</v>
      </c>
      <c r="J238" s="63" t="str">
        <f>IF(K238="Documento a emitir", "",_xlfn.XLOOKUP(D238,'LD-ELFA'!F:F,'LD-ELFA'!N:N))</f>
        <v>PARA APROVAÇÃO</v>
      </c>
      <c r="K238" s="43">
        <f>IF(_xlfn.XLOOKUP($D238,'LD-ELFA'!F:F,'LD-ELFA'!U:U)="","Documento a emitir",_xlfn.XLOOKUP($D238,'LD-ELFA'!F:F,'LD-ELFA'!U:U))</f>
        <v>46213.700418368047</v>
      </c>
      <c r="L238" s="43" t="str">
        <f>IF(K238="Documento a emitir","Documento a emitir",IF(K238&lt;&gt;"Documento a emitir",IF(_xlfn.XLOOKUP(D238,'LD-ELFA'!F:F,'LD-ELFA'!W:W)="","",_xlfn.XLOOKUP(D238,'LD-ELFA'!F:F,'LD-ELFA'!W:W)),""))</f>
        <v/>
      </c>
      <c r="M238" s="43" t="str">
        <f>IF(K238="Documento a emitir","",IF(AND(Q238="APC-R  - APC-R - Aprovado com Comentários (Retornar para uma nova Aprovação)",Q238="APC-L  - APC-L  - Aprovado com Comentários (Retornar Aprovado)"),"",IF(OR(_xlfn.XLOOKUP(D238,'LD-ELFA'!F:F,'LD-ELFA'!N:N)="PARA CONHECIMENTO",_xlfn.XLOOKUP(D238,'LD-ELFA'!F:F,'LD-ELFA'!N:N)="PARA CONSTRUÇÃO",_xlfn.XLOOKUP(D238,'LD-ELFA'!F:F,'LD-ELFA'!N:N)="PARA COTAÇÃO",_xlfn.XLOOKUP(D238,'LD-ELFA'!F:F,'LD-ELFA'!N:N)="CANCELADO"),_xlfn.XLOOKUP(D238,'LD-ELFA'!F:F,'LD-ELFA'!U:U),IF(AND(L238="",J238&lt;&gt;"PARA APROVAÇÃO"),"",""))))</f>
        <v/>
      </c>
      <c r="N238" s="63" t="str">
        <f ca="1">IF(O238="Documento Concluído","Documento Concluído",IF(O238="Cliente - Atendimento de Comentário",IF(TODAY()&lt;=(K238+3),"No prazo","Atrasado"),IF(O238="Cliente - Atendimento de Comentário",IF(TODAY()&lt;=(WORKDAY(K238,3,0)),"No prazo","Atrasado"),IF(O238="Blossom - Emissão Final",IF(TODAY()&lt;=(WORKDAY(L238,3,0)),"No prazo","Atrasado"),IF(O238="Blossom - Atendimento de Comentário",IF(TODAY()&lt;=(WORKDAY(L238,3,0)),"No prazo","Atrasado"),IF(O238="Blossom - Documento a emitir","Documento a Emitir",IF(O238="Documento Removido","Documento Removido","ERRO")))))))</f>
        <v>Atrasado</v>
      </c>
      <c r="O238" s="63" t="str">
        <f t="shared" si="31"/>
        <v>Cliente - Atendimento de Comentário</v>
      </c>
      <c r="P238" s="63" t="str">
        <f t="shared" si="32"/>
        <v>Circlua</v>
      </c>
      <c r="Q238" s="63" t="str">
        <f>IF(_xlfn.XLOOKUP(D238,'LD-ELFA'!F:F,'LD-ELFA'!V:V)="","",_xlfn.XLOOKUP(D238,'LD-ELFA'!F:F,'LD-ELFA'!V:V))</f>
        <v/>
      </c>
      <c r="R238" s="40" t="str">
        <f>IFERROR(IF(I238&lt;&gt;"","Documento Emitido",_xlfn.XLOOKUP(D238,Cronograma!P:P,Cronograma!Q:Q)),"Documento Removido")</f>
        <v>Documento Emitido</v>
      </c>
      <c r="S238" s="40" t="str">
        <f t="shared" ca="1" si="33"/>
        <v>Documento Emitido</v>
      </c>
      <c r="T238" s="40" t="str">
        <f>IFERROR(IF(I238&lt;&gt;"","Documento Emitido",_xlfn.XLOOKUP(D238,Cronograma!P:P,Cronograma!R:R)),"Documento Removido")</f>
        <v>Documento Emitido</v>
      </c>
      <c r="U238" s="39" t="str">
        <f t="shared" si="34"/>
        <v>Documento Emitido</v>
      </c>
      <c r="V238" s="39" t="str">
        <f t="shared" si="35"/>
        <v>Documento Emitido</v>
      </c>
      <c r="W238" s="39" t="str">
        <f t="shared" ca="1" si="36"/>
        <v>Atendimento de Comentário</v>
      </c>
    </row>
    <row r="239" spans="1:23" ht="28.5" customHeight="1" x14ac:dyDescent="0.25">
      <c r="A239" s="39">
        <v>236</v>
      </c>
      <c r="B239" s="39" t="e">
        <f>_xlfn.XLOOKUP(D239,'LD-ELFA'!F:F,'LD-ELFA'!C:C)</f>
        <v>#N/A</v>
      </c>
      <c r="C239" s="39" t="e">
        <f>_xlfn.XLOOKUP(D239,'LD-ELFA'!F:F,'LD-ELFA'!D:D)</f>
        <v>#N/A</v>
      </c>
      <c r="D239" s="39" t="s">
        <v>239</v>
      </c>
      <c r="E239" s="39" t="e">
        <f>_xlfn.LET(_xlpm.q,_xlfn.XLOOKUP(D239,'LD-ELFA'!F:F,'LD-ELFA'!Q:Q),
   _xlpm.r,_xlfn.XLOOKUP(D239,'LD-ELFA'!F:F,'LD-ELFA'!R:R),
   IF(_xlpm.r = "", _xlpm.q, _xlpm.q &amp; " - " &amp; _xlpm.r))</f>
        <v>#N/A</v>
      </c>
      <c r="F239" s="63" t="str">
        <f t="shared" si="30"/>
        <v>Básico</v>
      </c>
      <c r="G239" s="63" t="e">
        <f>_xlfn.XLOOKUP(D239,'LD-ELFA'!F:F,'LD-ELFA'!G:G)</f>
        <v>#N/A</v>
      </c>
      <c r="H239" s="63" t="e">
        <f>_xlfn.XLOOKUP(D239,'LD-ELFA'!F:F,'LD-ELFA'!I:I)</f>
        <v>#N/A</v>
      </c>
      <c r="I239" s="63" t="e">
        <f>IF(_xlfn.XLOOKUP(D239,'LD-ELFA'!F:F,'LD-ELFA'!T:T)="","",_xlfn.XLOOKUP(D239,'LD-ELFA'!F:F,'LD-ELFA'!T:T))</f>
        <v>#N/A</v>
      </c>
      <c r="J239" s="63" t="e">
        <f>IF(K239="Documento a emitir", "",_xlfn.XLOOKUP(D239,'LD-ELFA'!F:F,'LD-ELFA'!N:N))</f>
        <v>#N/A</v>
      </c>
      <c r="K239" s="43" t="e">
        <f>IF(_xlfn.XLOOKUP($D239,'LD-ELFA'!F:F,'LD-ELFA'!U:U)="","Documento a emitir",_xlfn.XLOOKUP($D239,'LD-ELFA'!F:F,'LD-ELFA'!U:U))</f>
        <v>#N/A</v>
      </c>
      <c r="L239" s="43" t="e">
        <f>IF(K239="Documento a emitir","Documento a emitir",IF(K239&lt;&gt;"Documento a emitir",IF(_xlfn.XLOOKUP(D239,'LD-ELFA'!F:F,'LD-ELFA'!W:W)="","",_xlfn.XLOOKUP(D239,'LD-ELFA'!F:F,'LD-ELFA'!W:W)),""))</f>
        <v>#N/A</v>
      </c>
      <c r="M239" s="43" t="e">
        <f>IF(K239="Documento a emitir","",IF(AND(Q239="APC-R  - APC-R - Aprovado com Comentários (Retornar para uma nova Aprovação)",Q239="APC-L  - APC-L  - Aprovado com Comentários (Retornar Aprovado)"),"",IF(OR(_xlfn.XLOOKUP(D239,'LD-ELFA'!F:F,'LD-ELFA'!N:N)="PARA CONHECIMENTO",_xlfn.XLOOKUP(D239,'LD-ELFA'!F:F,'LD-ELFA'!N:N)="PARA CONSTRUÇÃO",_xlfn.XLOOKUP(D239,'LD-ELFA'!F:F,'LD-ELFA'!N:N)="PARA COTAÇÃO",_xlfn.XLOOKUP(D239,'LD-ELFA'!F:F,'LD-ELFA'!N:N)="CANCELADO"),_xlfn.XLOOKUP(D239,'LD-ELFA'!F:F,'LD-ELFA'!U:U),IF(AND(L239="",J239&lt;&gt;"PARA APROVAÇÃO"),"",""))))</f>
        <v>#N/A</v>
      </c>
      <c r="N239" s="63" t="str">
        <f ca="1">IF(O239="Documento Concluído","Documento Concluído",IF(O239="Cliente - Atendimento de Comentário",IF(TODAY()&lt;=(K239+3),"No prazo","Atrasado"),IF(O239="Cliente - Atendimento de Comentário",IF(TODAY()&lt;=(WORKDAY(K239,3,0)),"No prazo","Atrasado"),IF(O239="Blossom - Emissão Final",IF(TODAY()&lt;=(WORKDAY(L239,3,0)),"No prazo","Atrasado"),IF(O239="Blossom - Atendimento de Comentário",IF(TODAY()&lt;=(WORKDAY(L239,3,0)),"No prazo","Atrasado"),IF(O239="Blossom - Documento a emitir","Documento a Emitir","ERRO"))))))</f>
        <v>ERRO</v>
      </c>
      <c r="O239" s="63" t="str">
        <f t="shared" si="31"/>
        <v>Documento Removido</v>
      </c>
      <c r="P239" s="63" t="str">
        <f t="shared" si="32"/>
        <v>Blossom</v>
      </c>
      <c r="Q239" s="63" t="e">
        <f>IF(_xlfn.XLOOKUP(D239,'LD-ELFA'!F:F,'LD-ELFA'!V:V)="","",_xlfn.XLOOKUP(D239,'LD-ELFA'!F:F,'LD-ELFA'!V:V))</f>
        <v>#N/A</v>
      </c>
      <c r="R239" s="40" t="str">
        <f>IFERROR(IF(I239&lt;&gt;"","Documento Emitido",_xlfn.XLOOKUP(D239,Cronograma!P:P,Cronograma!Q:Q)),"Documento Removido")</f>
        <v>Documento Removido</v>
      </c>
      <c r="S239" s="40" t="str">
        <f t="shared" ca="1" si="33"/>
        <v>Documento Removido</v>
      </c>
      <c r="T239" s="40" t="str">
        <f>IFERROR(IF(I239&lt;&gt;"","Documento Emitido",_xlfn.XLOOKUP(D239,Cronograma!P:P,Cronograma!R:R)),"Documento Removido")</f>
        <v>Documento Removido</v>
      </c>
      <c r="U239" s="39" t="str">
        <f t="shared" si="34"/>
        <v>Documento Removido</v>
      </c>
      <c r="V239" s="39" t="str">
        <f t="shared" si="35"/>
        <v>Documento Removido</v>
      </c>
      <c r="W239" s="39" t="e">
        <f t="shared" ca="1" si="36"/>
        <v>#N/A</v>
      </c>
    </row>
    <row r="240" spans="1:23" ht="28.5" customHeight="1" x14ac:dyDescent="0.25">
      <c r="A240" s="39">
        <v>237</v>
      </c>
      <c r="B240" s="39" t="str">
        <f>_xlfn.XLOOKUP(D240,'LD-ELFA'!F:F,'LD-ELFA'!C:C)</f>
        <v>ME - Mecanica</v>
      </c>
      <c r="C240" s="39" t="str">
        <f>_xlfn.XLOOKUP(D240,'LD-ELFA'!F:F,'LD-ELFA'!D:D)</f>
        <v>MCA - Memória De Cálculo</v>
      </c>
      <c r="D240" s="39" t="s">
        <v>240</v>
      </c>
      <c r="E240" s="39" t="str">
        <f>_xlfn.LET(_xlpm.q,_xlfn.XLOOKUP(D240,'LD-ELFA'!F:F,'LD-ELFA'!Q:Q),
   _xlpm.r,_xlfn.XLOOKUP(D240,'LD-ELFA'!F:F,'LD-ELFA'!R:R),
   IF(_xlpm.r = "", _xlpm.q, _xlpm.q &amp; " - " &amp; _xlpm.r))</f>
        <v>MEMÓRIA DE CÁLCULO - CALDEIRARIA E PEQUENAS ESTRUTURAS</v>
      </c>
      <c r="F240" s="63" t="str">
        <f t="shared" si="30"/>
        <v>Básico</v>
      </c>
      <c r="G240" s="63">
        <f>_xlfn.XLOOKUP(D240,'LD-ELFA'!F:F,'LD-ELFA'!G:G)</f>
        <v>0</v>
      </c>
      <c r="H240" s="63">
        <f>_xlfn.XLOOKUP(D240,'LD-ELFA'!F:F,'LD-ELFA'!I:I)</f>
        <v>0</v>
      </c>
      <c r="I240" s="63" t="str">
        <f>IF(_xlfn.XLOOKUP(D240,'LD-ELFA'!F:F,'LD-ELFA'!T:T)="","",_xlfn.XLOOKUP(D240,'LD-ELFA'!F:F,'LD-ELFA'!T:T))</f>
        <v/>
      </c>
      <c r="J240" s="63" t="str">
        <f>IF(K240="Documento a emitir", "",_xlfn.XLOOKUP(D240,'LD-ELFA'!F:F,'LD-ELFA'!N:N))</f>
        <v/>
      </c>
      <c r="K240" s="43" t="str">
        <f>IF(_xlfn.XLOOKUP($D240,'LD-ELFA'!F:F,'LD-ELFA'!U:U)="","Documento a emitir",_xlfn.XLOOKUP($D240,'LD-ELFA'!F:F,'LD-ELFA'!U:U))</f>
        <v>Documento a emitir</v>
      </c>
      <c r="L240" s="43" t="str">
        <f>IF(K240="Documento a emitir","Documento a emitir",IF(K240&lt;&gt;"Documento a emitir",IF(_xlfn.XLOOKUP(D240,'LD-ELFA'!F:F,'LD-ELFA'!W:W)="","",_xlfn.XLOOKUP(D240,'LD-ELFA'!F:F,'LD-ELFA'!W:W)),""))</f>
        <v>Documento a emitir</v>
      </c>
      <c r="M240" s="43" t="str">
        <f>IF(K240="Documento a emitir","",IF(AND(Q240="APC-R  - APC-R - Aprovado com Comentários (Retornar para uma nova Aprovação)",Q240="APC-L  - APC-L  - Aprovado com Comentários (Retornar Aprovado)"),"",IF(OR(_xlfn.XLOOKUP(D240,'LD-ELFA'!F:F,'LD-ELFA'!N:N)="PARA CONHECIMENTO",_xlfn.XLOOKUP(D240,'LD-ELFA'!F:F,'LD-ELFA'!N:N)="PARA CONSTRUÇÃO",_xlfn.XLOOKUP(D240,'LD-ELFA'!F:F,'LD-ELFA'!N:N)="PARA COTAÇÃO",_xlfn.XLOOKUP(D240,'LD-ELFA'!F:F,'LD-ELFA'!N:N)="CANCELADO"),_xlfn.XLOOKUP(D240,'LD-ELFA'!F:F,'LD-ELFA'!U:U),IF(AND(L240="",J240&lt;&gt;"PARA APROVAÇÃO"),"",""))))</f>
        <v/>
      </c>
      <c r="N240" s="63" t="str">
        <f ca="1">IF(O240="Documento Concluído","Documento Concluído",IF(O240="Cliente - Atendimento de Comentário",IF(TODAY()&lt;=(K240+3),"No prazo","Atrasado"),IF(O240="Cliente - Atendimento de Comentário",IF(TODAY()&lt;=(WORKDAY(K240,3,0)),"No prazo","Atrasado"),IF(O240="Blossom - Emissão Final",IF(TODAY()&lt;=(WORKDAY(L240,3,0)),"No prazo","Atrasado"),IF(O240="Blossom - Atendimento de Comentário",IF(TODAY()&lt;=(WORKDAY(L240,3,0)),"No prazo","Atrasado"),IF(O240="Blossom - Documento a emitir","Documento a Emitir","ERRO"))))))</f>
        <v>Documento a Emitir</v>
      </c>
      <c r="O240" s="63" t="str">
        <f t="shared" si="31"/>
        <v>Blossom - Documento a emitir</v>
      </c>
      <c r="P240" s="63" t="str">
        <f t="shared" si="32"/>
        <v>Blossom</v>
      </c>
      <c r="Q240" s="63" t="str">
        <f>IF(_xlfn.XLOOKUP(D240,'LD-ELFA'!F:F,'LD-ELFA'!V:V)="","",_xlfn.XLOOKUP(D240,'LD-ELFA'!F:F,'LD-ELFA'!V:V))</f>
        <v/>
      </c>
      <c r="R240" s="40">
        <f>IFERROR(IF(I240&lt;&gt;"","Documento Emitido",_xlfn.XLOOKUP(D240,Cronograma!P:P,Cronograma!Q:Q)),"Documento Removido")</f>
        <v>46255</v>
      </c>
      <c r="S240" s="40" t="str">
        <f t="shared" ca="1" si="33"/>
        <v>No prazo</v>
      </c>
      <c r="T240" s="40">
        <f>IFERROR(IF(I240&lt;&gt;"","Documento Emitido",_xlfn.XLOOKUP(D240,Cronograma!P:P,Cronograma!R:R)),"Documento Removido")</f>
        <v>46239</v>
      </c>
      <c r="U240" s="39" t="str">
        <f t="shared" si="34"/>
        <v>Emissão Atrasada</v>
      </c>
      <c r="V240" s="39" t="str">
        <f t="shared" si="35"/>
        <v/>
      </c>
      <c r="W240" s="39" t="str">
        <f t="shared" ca="1" si="36"/>
        <v/>
      </c>
    </row>
    <row r="241" spans="1:23" ht="28.5" customHeight="1" x14ac:dyDescent="0.25">
      <c r="A241" s="39">
        <v>238</v>
      </c>
      <c r="B241" s="39" t="str">
        <f>_xlfn.XLOOKUP(D241,'LD-ELFA'!F:F,'LD-ELFA'!C:C)</f>
        <v>ME - Mecanica</v>
      </c>
      <c r="C241" s="39" t="str">
        <f>_xlfn.XLOOKUP(D241,'LD-ELFA'!F:F,'LD-ELFA'!D:D)</f>
        <v>MCA - Memória De Cálculo</v>
      </c>
      <c r="D241" s="39" t="s">
        <v>241</v>
      </c>
      <c r="E241" s="39" t="str">
        <f>_xlfn.LET(_xlpm.q,_xlfn.XLOOKUP(D241,'LD-ELFA'!F:F,'LD-ELFA'!Q:Q),
   _xlpm.r,_xlfn.XLOOKUP(D241,'LD-ELFA'!F:F,'LD-ELFA'!R:R),
   IF(_xlpm.r = "", _xlpm.q, _xlpm.q &amp; " - " &amp; _xlpm.r))</f>
        <v>MEMÓRIAL DE CÁLCULO - EQUIPAMENTOS DE MANUSEIO</v>
      </c>
      <c r="F241" s="63" t="str">
        <f t="shared" si="30"/>
        <v>Básico</v>
      </c>
      <c r="G241" s="63">
        <f>_xlfn.XLOOKUP(D241,'LD-ELFA'!F:F,'LD-ELFA'!G:G)</f>
        <v>0</v>
      </c>
      <c r="H241" s="63" t="str">
        <f>_xlfn.XLOOKUP(D241,'LD-ELFA'!F:F,'LD-ELFA'!I:I)</f>
        <v>2</v>
      </c>
      <c r="I241" s="63" t="str">
        <f>IF(_xlfn.XLOOKUP(D241,'LD-ELFA'!F:F,'LD-ELFA'!T:T)="","",_xlfn.XLOOKUP(D241,'LD-ELFA'!F:F,'LD-ELFA'!T:T))</f>
        <v>0031</v>
      </c>
      <c r="J241" s="63" t="str">
        <f>IF(K241="Documento a emitir", "",_xlfn.XLOOKUP(D241,'LD-ELFA'!F:F,'LD-ELFA'!N:N))</f>
        <v>PARA APROVAÇÃO</v>
      </c>
      <c r="K241" s="43">
        <f>IF(_xlfn.XLOOKUP($D241,'LD-ELFA'!F:F,'LD-ELFA'!U:U)="","Documento a emitir",_xlfn.XLOOKUP($D241,'LD-ELFA'!F:F,'LD-ELFA'!U:U))</f>
        <v>46212.676546527779</v>
      </c>
      <c r="L241" s="43">
        <f>IF(K241="Documento a emitir","Documento a emitir",IF(K241&lt;&gt;"Documento a emitir",IF(_xlfn.XLOOKUP(D241,'LD-ELFA'!F:F,'LD-ELFA'!W:W)="","",_xlfn.XLOOKUP(D241,'LD-ELFA'!F:F,'LD-ELFA'!W:W)),""))</f>
        <v>46216.557405983804</v>
      </c>
      <c r="M241" s="43" t="str">
        <f>IF(K241="Documento a emitir","",IF(AND(Q241="APC-R  - APC-R - Aprovado com Comentários (Retornar para uma nova Aprovação)",Q241="APC-L  - APC-L  - Aprovado com Comentários (Retornar Aprovado)"),"",IF(OR(_xlfn.XLOOKUP(D241,'LD-ELFA'!F:F,'LD-ELFA'!N:N)="PARA CONHECIMENTO",_xlfn.XLOOKUP(D241,'LD-ELFA'!F:F,'LD-ELFA'!N:N)="PARA CONSTRUÇÃO",_xlfn.XLOOKUP(D241,'LD-ELFA'!F:F,'LD-ELFA'!N:N)="PARA COTAÇÃO",_xlfn.XLOOKUP(D241,'LD-ELFA'!F:F,'LD-ELFA'!N:N)="CANCELADO"),_xlfn.XLOOKUP(D241,'LD-ELFA'!F:F,'LD-ELFA'!U:U),IF(AND(L241="",J241&lt;&gt;"PARA APROVAÇÃO"),"",""))))</f>
        <v/>
      </c>
      <c r="N241" s="63" t="str">
        <f ca="1">IF(O241="Documento Concluído","Documento Concluído",IF(O241="Cliente - Atendimento de Comentário",IF(TODAY()&lt;=(K241+3),"No prazo","Atrasado"),IF(O241="Cliente - Atendimento de Comentário",IF(TODAY()&lt;=(WORKDAY(K241,3,0)),"No prazo","Atrasado"),IF(O241="Blossom - Emissão Final",IF(TODAY()&lt;=(WORKDAY(L241,3,0)),"No prazo","Atrasado"),IF(O241="Blossom - Atendimento de Comentário",IF(TODAY()&lt;=(WORKDAY(L241,3,0)),"No prazo","Atrasado"),IF(O241="Blossom - Documento a emitir","Documento a Emitir","ERRO"))))))</f>
        <v>No prazo</v>
      </c>
      <c r="O241" s="63" t="str">
        <f t="shared" si="31"/>
        <v>Blossom - Atendimento de Comentário</v>
      </c>
      <c r="P241" s="63" t="str">
        <f t="shared" si="32"/>
        <v>Blossom</v>
      </c>
      <c r="Q241" s="63" t="str">
        <f>IF(_xlfn.XLOOKUP(D241,'LD-ELFA'!F:F,'LD-ELFA'!V:V)="","",_xlfn.XLOOKUP(D241,'LD-ELFA'!F:F,'LD-ELFA'!V:V))</f>
        <v>APC-R  - APC-R - Aprovado com Comentários (Retornar para uma nova Aprovação)</v>
      </c>
      <c r="R241" s="40" t="str">
        <f>IFERROR(IF(I241&lt;&gt;"","Documento Emitido",_xlfn.XLOOKUP(D241,Cronograma!P:P,Cronograma!Q:Q)),"Documento Removido")</f>
        <v>Documento Emitido</v>
      </c>
      <c r="S241" s="40" t="str">
        <f t="shared" ca="1" si="33"/>
        <v>Documento Emitido</v>
      </c>
      <c r="T241" s="40" t="str">
        <f>IFERROR(IF(I241&lt;&gt;"","Documento Emitido",_xlfn.XLOOKUP(D241,Cronograma!P:P,Cronograma!R:R)),"Documento Removido")</f>
        <v>Documento Emitido</v>
      </c>
      <c r="U241" s="39" t="str">
        <f t="shared" si="34"/>
        <v>Documento Emitido</v>
      </c>
      <c r="V241" s="39" t="str">
        <f t="shared" si="35"/>
        <v>Documento Emitido</v>
      </c>
      <c r="W241" s="39" t="str">
        <f t="shared" ca="1" si="36"/>
        <v>Emissão Semana</v>
      </c>
    </row>
    <row r="242" spans="1:23" ht="28.5" customHeight="1" x14ac:dyDescent="0.25">
      <c r="A242" s="39">
        <v>239</v>
      </c>
      <c r="B242" s="39" t="e">
        <f>_xlfn.XLOOKUP(D242,'LD-ELFA'!F:F,'LD-ELFA'!C:C)</f>
        <v>#N/A</v>
      </c>
      <c r="C242" s="39" t="e">
        <f>_xlfn.XLOOKUP(D242,'LD-ELFA'!F:F,'LD-ELFA'!D:D)</f>
        <v>#N/A</v>
      </c>
      <c r="D242" s="39" t="s">
        <v>242</v>
      </c>
      <c r="E242" s="39" t="e">
        <f>_xlfn.LET(_xlpm.q,_xlfn.XLOOKUP(D242,'LD-ELFA'!F:F,'LD-ELFA'!Q:Q),
   _xlpm.r,_xlfn.XLOOKUP(D242,'LD-ELFA'!F:F,'LD-ELFA'!R:R),
   IF(_xlpm.r = "", _xlpm.q, _xlpm.q &amp; " - " &amp; _xlpm.r))</f>
        <v>#N/A</v>
      </c>
      <c r="F242" s="63" t="str">
        <f t="shared" si="30"/>
        <v>Básico</v>
      </c>
      <c r="G242" s="63" t="e">
        <f>_xlfn.XLOOKUP(D242,'LD-ELFA'!F:F,'LD-ELFA'!G:G)</f>
        <v>#N/A</v>
      </c>
      <c r="H242" s="63" t="e">
        <f>_xlfn.XLOOKUP(D242,'LD-ELFA'!F:F,'LD-ELFA'!I:I)</f>
        <v>#N/A</v>
      </c>
      <c r="I242" s="63" t="e">
        <f>IF(_xlfn.XLOOKUP(D242,'LD-ELFA'!F:F,'LD-ELFA'!T:T)="","",_xlfn.XLOOKUP(D242,'LD-ELFA'!F:F,'LD-ELFA'!T:T))</f>
        <v>#N/A</v>
      </c>
      <c r="J242" s="63" t="e">
        <f>IF(K242="Documento a emitir", "",_xlfn.XLOOKUP(D242,'LD-ELFA'!F:F,'LD-ELFA'!N:N))</f>
        <v>#N/A</v>
      </c>
      <c r="K242" s="43" t="e">
        <f>IF(_xlfn.XLOOKUP($D242,'LD-ELFA'!F:F,'LD-ELFA'!U:U)="","Documento a emitir",_xlfn.XLOOKUP($D242,'LD-ELFA'!F:F,'LD-ELFA'!U:U))</f>
        <v>#N/A</v>
      </c>
      <c r="L242" s="43" t="e">
        <f>IF(K242="Documento a emitir","Documento a emitir",IF(K242&lt;&gt;"Documento a emitir",IF(_xlfn.XLOOKUP(D242,'LD-ELFA'!F:F,'LD-ELFA'!W:W)="","",_xlfn.XLOOKUP(D242,'LD-ELFA'!F:F,'LD-ELFA'!W:W)),""))</f>
        <v>#N/A</v>
      </c>
      <c r="M242" s="43" t="e">
        <f>IF(K242="Documento a emitir","",IF(AND(Q242="APC-R  - APC-R - Aprovado com Comentários (Retornar para uma nova Aprovação)",Q242="APC-L  - APC-L  - Aprovado com Comentários (Retornar Aprovado)"),"",IF(OR(_xlfn.XLOOKUP(D242,'LD-ELFA'!F:F,'LD-ELFA'!N:N)="PARA CONHECIMENTO",_xlfn.XLOOKUP(D242,'LD-ELFA'!F:F,'LD-ELFA'!N:N)="PARA CONSTRUÇÃO",_xlfn.XLOOKUP(D242,'LD-ELFA'!F:F,'LD-ELFA'!N:N)="PARA COTAÇÃO",_xlfn.XLOOKUP(D242,'LD-ELFA'!F:F,'LD-ELFA'!N:N)="CANCELADO"),_xlfn.XLOOKUP(D242,'LD-ELFA'!F:F,'LD-ELFA'!U:U),IF(AND(L242="",J242&lt;&gt;"PARA APROVAÇÃO"),"",""))))</f>
        <v>#N/A</v>
      </c>
      <c r="N242" s="63" t="str">
        <f ca="1">IF(O242="Documento Concluído","Documento Concluído",IF(O242="Cliente - Atendimento de Comentário",IF(TODAY()&lt;=(K242+3),"No prazo","Atrasado"),IF(O242="Cliente - Atendimento de Comentário",IF(TODAY()&lt;=(WORKDAY(K242,3,0)),"No prazo","Atrasado"),IF(O242="Blossom - Emissão Final",IF(TODAY()&lt;=(WORKDAY(L242,3,0)),"No prazo","Atrasado"),IF(O242="Blossom - Atendimento de Comentário",IF(TODAY()&lt;=(WORKDAY(L242,3,0)),"No prazo","Atrasado"),IF(O242="Blossom - Documento a emitir","Documento a Emitir",IF(O242="Documento Removido","Documento Removido","ERRO")))))))</f>
        <v>Documento Removido</v>
      </c>
      <c r="O242" s="63" t="str">
        <f t="shared" si="31"/>
        <v>Documento Removido</v>
      </c>
      <c r="P242" s="63" t="str">
        <f t="shared" si="32"/>
        <v>Blossom</v>
      </c>
      <c r="Q242" s="63" t="e">
        <f>IF(_xlfn.XLOOKUP(D242,'LD-ELFA'!F:F,'LD-ELFA'!V:V)="","",_xlfn.XLOOKUP(D242,'LD-ELFA'!F:F,'LD-ELFA'!V:V))</f>
        <v>#N/A</v>
      </c>
      <c r="R242" s="40" t="str">
        <f>IFERROR(IF(I242&lt;&gt;"","Documento Emitido",_xlfn.XLOOKUP(D242,Cronograma!P:P,Cronograma!Q:Q)),"Documento Removido")</f>
        <v>Documento Removido</v>
      </c>
      <c r="S242" s="40" t="str">
        <f t="shared" ca="1" si="33"/>
        <v>Documento Removido</v>
      </c>
      <c r="T242" s="40" t="str">
        <f>IFERROR(IF(I242&lt;&gt;"","Documento Emitido",_xlfn.XLOOKUP(D242,Cronograma!P:P,Cronograma!R:R)),"Documento Removido")</f>
        <v>Documento Removido</v>
      </c>
      <c r="U242" s="39" t="str">
        <f t="shared" si="34"/>
        <v>Documento Removido</v>
      </c>
      <c r="V242" s="39" t="str">
        <f t="shared" si="35"/>
        <v>Documento Removido</v>
      </c>
      <c r="W242" s="39" t="e">
        <f t="shared" ca="1" si="36"/>
        <v>#N/A</v>
      </c>
    </row>
    <row r="243" spans="1:23" ht="28.5" customHeight="1" x14ac:dyDescent="0.25">
      <c r="A243" s="39">
        <v>240</v>
      </c>
      <c r="B243" s="39" t="str">
        <f>_xlfn.XLOOKUP(D243,'LD-ELFA'!F:F,'LD-ELFA'!C:C)</f>
        <v>ME - Mecanica</v>
      </c>
      <c r="C243" s="39" t="str">
        <f>_xlfn.XLOOKUP(D243,'LD-ELFA'!F:F,'LD-ELFA'!D:D)</f>
        <v>MCA - Memória De Cálculo</v>
      </c>
      <c r="D243" s="39" t="s">
        <v>243</v>
      </c>
      <c r="E243" s="39" t="str">
        <f>_xlfn.LET(_xlpm.q,_xlfn.XLOOKUP(D243,'LD-ELFA'!F:F,'LD-ELFA'!Q:Q),
   _xlpm.r,_xlfn.XLOOKUP(D243,'LD-ELFA'!F:F,'LD-ELFA'!R:R),
   IF(_xlpm.r = "", _xlpm.q, _xlpm.q &amp; " - " &amp; _xlpm.r))</f>
        <v>MEMÓRIA DE CÁLCULO - 1411-ST-001 - SILO DE ALIMENTAÇÃO - GALPÃO DE ESTOCAGEM BIG-BAGS</v>
      </c>
      <c r="F243" s="63" t="str">
        <f t="shared" si="30"/>
        <v>Básico</v>
      </c>
      <c r="G243" s="63">
        <f>_xlfn.XLOOKUP(D243,'LD-ELFA'!F:F,'LD-ELFA'!G:G)</f>
        <v>0</v>
      </c>
      <c r="H243" s="63">
        <f>_xlfn.XLOOKUP(D243,'LD-ELFA'!F:F,'LD-ELFA'!I:I)</f>
        <v>0</v>
      </c>
      <c r="I243" s="63" t="str">
        <f>IF(_xlfn.XLOOKUP(D243,'LD-ELFA'!F:F,'LD-ELFA'!T:T)="","",_xlfn.XLOOKUP(D243,'LD-ELFA'!F:F,'LD-ELFA'!T:T))</f>
        <v/>
      </c>
      <c r="J243" s="63" t="str">
        <f>IF(K243="Documento a emitir", "",_xlfn.XLOOKUP(D243,'LD-ELFA'!F:F,'LD-ELFA'!N:N))</f>
        <v/>
      </c>
      <c r="K243" s="43" t="str">
        <f>IF(_xlfn.XLOOKUP($D243,'LD-ELFA'!F:F,'LD-ELFA'!U:U)="","Documento a emitir",_xlfn.XLOOKUP($D243,'LD-ELFA'!F:F,'LD-ELFA'!U:U))</f>
        <v>Documento a emitir</v>
      </c>
      <c r="L243" s="43" t="str">
        <f>IF(K243="Documento a emitir","Documento a emitir",IF(K243&lt;&gt;"Documento a emitir",IF(_xlfn.XLOOKUP(D243,'LD-ELFA'!F:F,'LD-ELFA'!W:W)="","",_xlfn.XLOOKUP(D243,'LD-ELFA'!F:F,'LD-ELFA'!W:W)),""))</f>
        <v>Documento a emitir</v>
      </c>
      <c r="M243" s="43" t="str">
        <f>IF(K243="Documento a emitir","",IF(AND(Q243="APC-R  - APC-R - Aprovado com Comentários (Retornar para uma nova Aprovação)",Q243="APC-L  - APC-L  - Aprovado com Comentários (Retornar Aprovado)"),"",IF(OR(_xlfn.XLOOKUP(D243,'LD-ELFA'!F:F,'LD-ELFA'!N:N)="PARA CONHECIMENTO",_xlfn.XLOOKUP(D243,'LD-ELFA'!F:F,'LD-ELFA'!N:N)="PARA CONSTRUÇÃO",_xlfn.XLOOKUP(D243,'LD-ELFA'!F:F,'LD-ELFA'!N:N)="PARA COTAÇÃO",_xlfn.XLOOKUP(D243,'LD-ELFA'!F:F,'LD-ELFA'!N:N)="CANCELADO"),_xlfn.XLOOKUP(D243,'LD-ELFA'!F:F,'LD-ELFA'!U:U),IF(AND(L243="",J243&lt;&gt;"PARA APROVAÇÃO"),"",""))))</f>
        <v/>
      </c>
      <c r="N243" s="63" t="str">
        <f ca="1">IF(O243="Documento Concluído","Documento Concluído",IF(O243="Cliente - Atendimento de Comentário",IF(TODAY()&lt;=(K243+3),"No prazo","Atrasado"),IF(O243="Cliente - Atendimento de Comentário",IF(TODAY()&lt;=(WORKDAY(K243,3,0)),"No prazo","Atrasado"),IF(O243="Blossom - Emissão Final",IF(TODAY()&lt;=(WORKDAY(L243,3,0)),"No prazo","Atrasado"),IF(O243="Blossom - Atendimento de Comentário",IF(TODAY()&lt;=(WORKDAY(L243,3,0)),"No prazo","Atrasado"),IF(O243="Blossom - Documento a emitir","Documento a Emitir",IF(O243="Documento Removido","Documento Removido","ERRO")))))))</f>
        <v>Documento a Emitir</v>
      </c>
      <c r="O243" s="63" t="str">
        <f t="shared" si="31"/>
        <v>Blossom - Documento a emitir</v>
      </c>
      <c r="P243" s="63" t="str">
        <f t="shared" si="32"/>
        <v>Blossom</v>
      </c>
      <c r="Q243" s="63" t="str">
        <f>IF(_xlfn.XLOOKUP(D243,'LD-ELFA'!F:F,'LD-ELFA'!V:V)="","",_xlfn.XLOOKUP(D243,'LD-ELFA'!F:F,'LD-ELFA'!V:V))</f>
        <v/>
      </c>
      <c r="R243" s="40">
        <f>IFERROR(IF(I243&lt;&gt;"","Documento Emitido",_xlfn.XLOOKUP(D243,Cronograma!P:P,Cronograma!Q:Q)),"Documento Removido")</f>
        <v>46232</v>
      </c>
      <c r="S243" s="40" t="str">
        <f t="shared" ca="1" si="33"/>
        <v>No prazo</v>
      </c>
      <c r="T243" s="40">
        <f>IFERROR(IF(I243&lt;&gt;"","Documento Emitido",_xlfn.XLOOKUP(D243,Cronograma!P:P,Cronograma!R:R)),"Documento Removido")</f>
        <v>46206</v>
      </c>
      <c r="U243" s="39" t="str">
        <f t="shared" si="34"/>
        <v>Emissão Atrasada</v>
      </c>
      <c r="V243" s="39" t="str">
        <f t="shared" si="35"/>
        <v>Semana 3</v>
      </c>
      <c r="W243" s="39" t="str">
        <f t="shared" ca="1" si="36"/>
        <v/>
      </c>
    </row>
    <row r="244" spans="1:23" ht="28.5" customHeight="1" x14ac:dyDescent="0.25">
      <c r="A244" s="39">
        <v>241</v>
      </c>
      <c r="B244" s="39" t="str">
        <f>_xlfn.XLOOKUP(D244,'LD-ELFA'!F:F,'LD-ELFA'!C:C)</f>
        <v>ME - Mecanica</v>
      </c>
      <c r="C244" s="39" t="str">
        <f>_xlfn.XLOOKUP(D244,'LD-ELFA'!F:F,'LD-ELFA'!D:D)</f>
        <v>PBC - Plano De Bases E Cargas</v>
      </c>
      <c r="D244" s="39" t="s">
        <v>244</v>
      </c>
      <c r="E244" s="39" t="str">
        <f>_xlfn.LET(_xlpm.q,_xlfn.XLOOKUP(D244,'LD-ELFA'!F:F,'LD-ELFA'!Q:Q),
   _xlpm.r,_xlfn.XLOOKUP(D244,'LD-ELFA'!F:F,'LD-ELFA'!R:R),
   IF(_xlpm.r = "", _xlpm.q, _xlpm.q &amp; " - " &amp; _xlpm.r))</f>
        <v>MEMÓRIA DE CÁLCULO - PLANO DE CARGAS - RENWA META - SILO DE ALIMENTAÇÃO E GALPÃO DE ESTOCAGEM BIG-BAGS</v>
      </c>
      <c r="F244" s="63" t="str">
        <f t="shared" si="30"/>
        <v>Básico</v>
      </c>
      <c r="G244" s="63">
        <f>_xlfn.XLOOKUP(D244,'LD-ELFA'!F:F,'LD-ELFA'!G:G)</f>
        <v>0</v>
      </c>
      <c r="H244" s="63" t="str">
        <f>_xlfn.XLOOKUP(D244,'LD-ELFA'!F:F,'LD-ELFA'!I:I)</f>
        <v>A</v>
      </c>
      <c r="I244" s="63" t="str">
        <f>IF(_xlfn.XLOOKUP(D244,'LD-ELFA'!F:F,'LD-ELFA'!T:T)="","",_xlfn.XLOOKUP(D244,'LD-ELFA'!F:F,'LD-ELFA'!T:T))</f>
        <v>0019</v>
      </c>
      <c r="J244" s="63" t="str">
        <f>IF(K244="Documento a emitir", "",_xlfn.XLOOKUP(D244,'LD-ELFA'!F:F,'LD-ELFA'!N:N))</f>
        <v>PARA APROVAÇÃO</v>
      </c>
      <c r="K244" s="43">
        <f>IF(_xlfn.XLOOKUP($D244,'LD-ELFA'!F:F,'LD-ELFA'!U:U)="","Documento a emitir",_xlfn.XLOOKUP($D244,'LD-ELFA'!F:F,'LD-ELFA'!U:U))</f>
        <v>46209.706695520843</v>
      </c>
      <c r="L244" s="43">
        <f>IF(K244="Documento a emitir","Documento a emitir",IF(K244&lt;&gt;"Documento a emitir",IF(_xlfn.XLOOKUP(D244,'LD-ELFA'!F:F,'LD-ELFA'!W:W)="","",_xlfn.XLOOKUP(D244,'LD-ELFA'!F:F,'LD-ELFA'!W:W)),""))</f>
        <v>46212.489805092591</v>
      </c>
      <c r="M244" s="43" t="str">
        <f>IF(K244="Documento a emitir","",IF(AND(Q244="APC-R  - APC-R - Aprovado com Comentários (Retornar para uma nova Aprovação)",Q244="APC-L  - APC-L  - Aprovado com Comentários (Retornar Aprovado)"),"",IF(OR(_xlfn.XLOOKUP(D244,'LD-ELFA'!F:F,'LD-ELFA'!N:N)="PARA CONHECIMENTO",_xlfn.XLOOKUP(D244,'LD-ELFA'!F:F,'LD-ELFA'!N:N)="PARA CONSTRUÇÃO",_xlfn.XLOOKUP(D244,'LD-ELFA'!F:F,'LD-ELFA'!N:N)="PARA COTAÇÃO",_xlfn.XLOOKUP(D244,'LD-ELFA'!F:F,'LD-ELFA'!N:N)="CANCELADO"),_xlfn.XLOOKUP(D244,'LD-ELFA'!F:F,'LD-ELFA'!U:U),IF(AND(L244="",J244&lt;&gt;"PARA APROVAÇÃO"),"",""))))</f>
        <v/>
      </c>
      <c r="N244" s="63" t="str">
        <f ca="1">IF(O244="Documento Concluído","Documento Concluído",IF(O244="Cliente - Atendimento de Comentário",IF(TODAY()&lt;=(K244+3),"No prazo","Atrasado"),IF(O244="Cliente - Atendimento de Comentário",IF(TODAY()&lt;=(WORKDAY(K244,3,0)),"No prazo","Atrasado"),IF(O244="Blossom - Emissão Final",IF(TODAY()&lt;=(WORKDAY(L244,3,0)),"No prazo","Atrasado"),IF(O244="Blossom - Atendimento de Comentário",IF(TODAY()&lt;=(WORKDAY(L244,3,0)),"No prazo","Atrasado"),IF(O244="Blossom - Documento a emitir","Documento a Emitir",IF(O244="Documento Removido","Documento Removido","ERRO")))))))</f>
        <v>No prazo</v>
      </c>
      <c r="O244" s="63" t="str">
        <f t="shared" si="31"/>
        <v>Blossom - Atendimento de Comentário</v>
      </c>
      <c r="P244" s="63" t="str">
        <f t="shared" si="32"/>
        <v>Blossom</v>
      </c>
      <c r="Q244" s="63" t="str">
        <f>IF(_xlfn.XLOOKUP(D244,'LD-ELFA'!F:F,'LD-ELFA'!V:V)="","",_xlfn.XLOOKUP(D244,'LD-ELFA'!F:F,'LD-ELFA'!V:V))</f>
        <v>APC-R  - APC-R - Aprovado com Comentários (Retornar para uma nova Aprovação)</v>
      </c>
      <c r="R244" s="40" t="str">
        <f>IFERROR(IF(I244&lt;&gt;"","Documento Emitido",_xlfn.XLOOKUP(D244,Cronograma!P:P,Cronograma!Q:Q)),"Documento Removido")</f>
        <v>Documento Emitido</v>
      </c>
      <c r="S244" s="40" t="str">
        <f t="shared" ca="1" si="33"/>
        <v>Documento Emitido</v>
      </c>
      <c r="T244" s="40" t="str">
        <f>IFERROR(IF(I244&lt;&gt;"","Documento Emitido",_xlfn.XLOOKUP(D244,Cronograma!P:P,Cronograma!R:R)),"Documento Removido")</f>
        <v>Documento Emitido</v>
      </c>
      <c r="U244" s="39" t="str">
        <f t="shared" si="34"/>
        <v>Documento Emitido</v>
      </c>
      <c r="V244" s="39" t="str">
        <f t="shared" si="35"/>
        <v>Documento Emitido</v>
      </c>
      <c r="W244" s="39" t="str">
        <f t="shared" ca="1" si="36"/>
        <v>Emissão Semana</v>
      </c>
    </row>
    <row r="245" spans="1:23" ht="28.5" customHeight="1" x14ac:dyDescent="0.25">
      <c r="A245" s="39">
        <v>242</v>
      </c>
      <c r="B245" s="39" t="str">
        <f>_xlfn.XLOOKUP(D245,'LD-ELFA'!F:F,'LD-ELFA'!C:C)</f>
        <v>ME - Mecanica</v>
      </c>
      <c r="C245" s="39" t="str">
        <f>_xlfn.XLOOKUP(D245,'LD-ELFA'!F:F,'LD-ELFA'!D:D)</f>
        <v>PBC - Plano De Bases E Cargas</v>
      </c>
      <c r="D245" s="39" t="s">
        <v>245</v>
      </c>
      <c r="E245" s="39" t="str">
        <f>_xlfn.LET(_xlpm.q,_xlfn.XLOOKUP(D245,'LD-ELFA'!F:F,'LD-ELFA'!Q:Q),
   _xlpm.r,_xlfn.XLOOKUP(D245,'LD-ELFA'!F:F,'LD-ELFA'!R:R),
   IF(_xlpm.r = "", _xlpm.q, _xlpm.q &amp; " - " &amp; _xlpm.r))</f>
        <v>MEMÓRIA DE CÁLCULO - PLANO DE CARGAS - RENWA META – COMPLEMENTO FLASH CALCINER</v>
      </c>
      <c r="F245" s="63" t="str">
        <f t="shared" si="30"/>
        <v>Básico</v>
      </c>
      <c r="G245" s="63">
        <f>_xlfn.XLOOKUP(D245,'LD-ELFA'!F:F,'LD-ELFA'!G:G)</f>
        <v>0</v>
      </c>
      <c r="H245" s="63" t="str">
        <f>_xlfn.XLOOKUP(D245,'LD-ELFA'!F:F,'LD-ELFA'!I:I)</f>
        <v>A</v>
      </c>
      <c r="I245" s="63" t="str">
        <f>IF(_xlfn.XLOOKUP(D245,'LD-ELFA'!F:F,'LD-ELFA'!T:T)="","",_xlfn.XLOOKUP(D245,'LD-ELFA'!F:F,'LD-ELFA'!T:T))</f>
        <v>0031</v>
      </c>
      <c r="J245" s="63" t="str">
        <f>IF(K245="Documento a emitir", "",_xlfn.XLOOKUP(D245,'LD-ELFA'!F:F,'LD-ELFA'!N:N))</f>
        <v>PARA APROVAÇÃO</v>
      </c>
      <c r="K245" s="43">
        <f>IF(_xlfn.XLOOKUP($D245,'LD-ELFA'!F:F,'LD-ELFA'!U:U)="","Documento a emitir",_xlfn.XLOOKUP($D245,'LD-ELFA'!F:F,'LD-ELFA'!U:U))</f>
        <v>46212.676547337956</v>
      </c>
      <c r="L245" s="43" t="str">
        <f>IF(K245="Documento a emitir","Documento a emitir",IF(K245&lt;&gt;"Documento a emitir",IF(_xlfn.XLOOKUP(D245,'LD-ELFA'!F:F,'LD-ELFA'!W:W)="","",_xlfn.XLOOKUP(D245,'LD-ELFA'!F:F,'LD-ELFA'!W:W)),""))</f>
        <v/>
      </c>
      <c r="M245" s="43" t="str">
        <f>IF(K245="Documento a emitir","",IF(AND(Q245="APC-R  - APC-R - Aprovado com Comentários (Retornar para uma nova Aprovação)",Q245="APC-L  - APC-L  - Aprovado com Comentários (Retornar Aprovado)"),"",IF(OR(_xlfn.XLOOKUP(D245,'LD-ELFA'!F:F,'LD-ELFA'!N:N)="PARA CONHECIMENTO",_xlfn.XLOOKUP(D245,'LD-ELFA'!F:F,'LD-ELFA'!N:N)="PARA CONSTRUÇÃO",_xlfn.XLOOKUP(D245,'LD-ELFA'!F:F,'LD-ELFA'!N:N)="PARA COTAÇÃO",_xlfn.XLOOKUP(D245,'LD-ELFA'!F:F,'LD-ELFA'!N:N)="CANCELADO"),_xlfn.XLOOKUP(D245,'LD-ELFA'!F:F,'LD-ELFA'!U:U),IF(AND(L245="",J245&lt;&gt;"PARA APROVAÇÃO"),"",""))))</f>
        <v/>
      </c>
      <c r="N245" s="63" t="str">
        <f t="shared" ref="N245:N253" ca="1" si="39">IF(O245="Documento Concluído","Documento Concluído",IF(O245="Cliente - Atendimento de Comentário",IF(TODAY()&lt;=(K245+3),"No prazo","Atrasado"),IF(O245="Cliente - Atendimento de Comentário",IF(TODAY()&lt;=(WORKDAY(K245,3,0)),"No prazo","Atrasado"),IF(O245="Blossom - Emissão Final",IF(TODAY()&lt;=(WORKDAY(L245,3,0)),"No prazo","Atrasado"),IF(O245="Blossom - Atendimento de Comentário",IF(TODAY()&lt;=(WORKDAY(L245,3,0)),"No prazo","Atrasado"),IF(O245="Blossom - Documento a emitir","Documento a Emitir","ERRO"))))))</f>
        <v>Atrasado</v>
      </c>
      <c r="O245" s="63" t="str">
        <f t="shared" si="31"/>
        <v>Cliente - Atendimento de Comentário</v>
      </c>
      <c r="P245" s="63" t="str">
        <f t="shared" si="32"/>
        <v>Circlua</v>
      </c>
      <c r="Q245" s="63" t="str">
        <f>IF(_xlfn.XLOOKUP(D245,'LD-ELFA'!F:F,'LD-ELFA'!V:V)="","",_xlfn.XLOOKUP(D245,'LD-ELFA'!F:F,'LD-ELFA'!V:V))</f>
        <v/>
      </c>
      <c r="R245" s="40" t="str">
        <f>IFERROR(IF(I245&lt;&gt;"","Documento Emitido",_xlfn.XLOOKUP(D245,Cronograma!P:P,Cronograma!Q:Q)),"Documento Removido")</f>
        <v>Documento Emitido</v>
      </c>
      <c r="S245" s="40" t="str">
        <f t="shared" ca="1" si="33"/>
        <v>Documento Emitido</v>
      </c>
      <c r="T245" s="40" t="str">
        <f>IFERROR(IF(I245&lt;&gt;"","Documento Emitido",_xlfn.XLOOKUP(D245,Cronograma!P:P,Cronograma!R:R)),"Documento Removido")</f>
        <v>Documento Emitido</v>
      </c>
      <c r="U245" s="39" t="str">
        <f t="shared" si="34"/>
        <v>Documento Emitido</v>
      </c>
      <c r="V245" s="39" t="str">
        <f t="shared" si="35"/>
        <v>Documento Emitido</v>
      </c>
      <c r="W245" s="39" t="str">
        <f t="shared" ca="1" si="36"/>
        <v>Emissão Semana</v>
      </c>
    </row>
    <row r="246" spans="1:23" ht="28.5" customHeight="1" x14ac:dyDescent="0.25">
      <c r="A246" s="39">
        <v>243</v>
      </c>
      <c r="B246" s="39" t="e">
        <f>_xlfn.XLOOKUP(D246,'LD-ELFA'!F:F,'LD-ELFA'!C:C)</f>
        <v>#N/A</v>
      </c>
      <c r="C246" s="39" t="e">
        <f>_xlfn.XLOOKUP(D246,'LD-ELFA'!F:F,'LD-ELFA'!D:D)</f>
        <v>#N/A</v>
      </c>
      <c r="D246" s="39" t="s">
        <v>246</v>
      </c>
      <c r="E246" s="39" t="e">
        <f>_xlfn.LET(_xlpm.q,_xlfn.XLOOKUP(D246,'LD-ELFA'!F:F,'LD-ELFA'!Q:Q),
   _xlpm.r,_xlfn.XLOOKUP(D246,'LD-ELFA'!F:F,'LD-ELFA'!R:R),
   IF(_xlpm.r = "", _xlpm.q, _xlpm.q &amp; " - " &amp; _xlpm.r))</f>
        <v>#N/A</v>
      </c>
      <c r="F246" s="63" t="str">
        <f t="shared" si="30"/>
        <v>Básico</v>
      </c>
      <c r="G246" s="63" t="e">
        <f>_xlfn.XLOOKUP(D246,'LD-ELFA'!F:F,'LD-ELFA'!G:G)</f>
        <v>#N/A</v>
      </c>
      <c r="H246" s="63" t="e">
        <f>_xlfn.XLOOKUP(D246,'LD-ELFA'!F:F,'LD-ELFA'!I:I)</f>
        <v>#N/A</v>
      </c>
      <c r="I246" s="63" t="e">
        <f>IF(_xlfn.XLOOKUP(D246,'LD-ELFA'!F:F,'LD-ELFA'!T:T)="","",_xlfn.XLOOKUP(D246,'LD-ELFA'!F:F,'LD-ELFA'!T:T))</f>
        <v>#N/A</v>
      </c>
      <c r="J246" s="63" t="e">
        <f>IF(K246="Documento a emitir", "",_xlfn.XLOOKUP(D246,'LD-ELFA'!F:F,'LD-ELFA'!N:N))</f>
        <v>#N/A</v>
      </c>
      <c r="K246" s="43" t="e">
        <f>IF(_xlfn.XLOOKUP($D246,'LD-ELFA'!F:F,'LD-ELFA'!U:U)="","Documento a emitir",_xlfn.XLOOKUP($D246,'LD-ELFA'!F:F,'LD-ELFA'!U:U))</f>
        <v>#N/A</v>
      </c>
      <c r="L246" s="43" t="e">
        <f>IF(K246="Documento a emitir","Documento a emitir",IF(K246&lt;&gt;"Documento a emitir",IF(_xlfn.XLOOKUP(D246,'LD-ELFA'!F:F,'LD-ELFA'!W:W)="","",_xlfn.XLOOKUP(D246,'LD-ELFA'!F:F,'LD-ELFA'!W:W)),""))</f>
        <v>#N/A</v>
      </c>
      <c r="M246" s="43" t="e">
        <f>IF(K246="Documento a emitir","",IF(AND(Q246="APC-R  - APC-R - Aprovado com Comentários (Retornar para uma nova Aprovação)",Q246="APC-L  - APC-L  - Aprovado com Comentários (Retornar Aprovado)"),"",IF(OR(_xlfn.XLOOKUP(D246,'LD-ELFA'!F:F,'LD-ELFA'!N:N)="PARA CONHECIMENTO",_xlfn.XLOOKUP(D246,'LD-ELFA'!F:F,'LD-ELFA'!N:N)="PARA CONSTRUÇÃO",_xlfn.XLOOKUP(D246,'LD-ELFA'!F:F,'LD-ELFA'!N:N)="PARA COTAÇÃO",_xlfn.XLOOKUP(D246,'LD-ELFA'!F:F,'LD-ELFA'!N:N)="CANCELADO"),_xlfn.XLOOKUP(D246,'LD-ELFA'!F:F,'LD-ELFA'!U:U),IF(AND(L246="",J246&lt;&gt;"PARA APROVAÇÃO"),"",""))))</f>
        <v>#N/A</v>
      </c>
      <c r="N246" s="63" t="str">
        <f t="shared" ca="1" si="39"/>
        <v>ERRO</v>
      </c>
      <c r="O246" s="63" t="str">
        <f t="shared" si="31"/>
        <v>Documento Removido</v>
      </c>
      <c r="P246" s="63" t="str">
        <f t="shared" si="32"/>
        <v>Blossom</v>
      </c>
      <c r="Q246" s="63" t="e">
        <f>IF(_xlfn.XLOOKUP(D246,'LD-ELFA'!F:F,'LD-ELFA'!V:V)="","",_xlfn.XLOOKUP(D246,'LD-ELFA'!F:F,'LD-ELFA'!V:V))</f>
        <v>#N/A</v>
      </c>
      <c r="R246" s="40" t="str">
        <f>IFERROR(IF(I246&lt;&gt;"","Documento Emitido",_xlfn.XLOOKUP(D246,Cronograma!P:P,Cronograma!Q:Q)),"Documento Removido")</f>
        <v>Documento Removido</v>
      </c>
      <c r="S246" s="40" t="str">
        <f t="shared" ca="1" si="33"/>
        <v>Documento Removido</v>
      </c>
      <c r="T246" s="40" t="str">
        <f>IFERROR(IF(I246&lt;&gt;"","Documento Emitido",_xlfn.XLOOKUP(D246,Cronograma!P:P,Cronograma!R:R)),"Documento Removido")</f>
        <v>Documento Removido</v>
      </c>
      <c r="U246" s="39" t="str">
        <f t="shared" si="34"/>
        <v>Documento Removido</v>
      </c>
      <c r="V246" s="39" t="str">
        <f t="shared" si="35"/>
        <v>Documento Removido</v>
      </c>
      <c r="W246" s="39" t="e">
        <f t="shared" ca="1" si="36"/>
        <v>#N/A</v>
      </c>
    </row>
    <row r="247" spans="1:23" ht="28.5" customHeight="1" x14ac:dyDescent="0.25">
      <c r="A247" s="39">
        <v>244</v>
      </c>
      <c r="B247" s="39" t="e">
        <f>_xlfn.XLOOKUP(D247,'LD-ELFA'!F:F,'LD-ELFA'!C:C)</f>
        <v>#N/A</v>
      </c>
      <c r="C247" s="39" t="e">
        <f>_xlfn.XLOOKUP(D247,'LD-ELFA'!F:F,'LD-ELFA'!D:D)</f>
        <v>#N/A</v>
      </c>
      <c r="D247" s="39" t="s">
        <v>247</v>
      </c>
      <c r="E247" s="39" t="e">
        <f>_xlfn.LET(_xlpm.q,_xlfn.XLOOKUP(D247,'LD-ELFA'!F:F,'LD-ELFA'!Q:Q),
   _xlpm.r,_xlfn.XLOOKUP(D247,'LD-ELFA'!F:F,'LD-ELFA'!R:R),
   IF(_xlpm.r = "", _xlpm.q, _xlpm.q &amp; " - " &amp; _xlpm.r))</f>
        <v>#N/A</v>
      </c>
      <c r="F247" s="63" t="str">
        <f t="shared" si="30"/>
        <v>Básico</v>
      </c>
      <c r="G247" s="63" t="e">
        <f>_xlfn.XLOOKUP(D247,'LD-ELFA'!F:F,'LD-ELFA'!G:G)</f>
        <v>#N/A</v>
      </c>
      <c r="H247" s="63" t="e">
        <f>_xlfn.XLOOKUP(D247,'LD-ELFA'!F:F,'LD-ELFA'!I:I)</f>
        <v>#N/A</v>
      </c>
      <c r="I247" s="63" t="e">
        <f>IF(_xlfn.XLOOKUP(D247,'LD-ELFA'!F:F,'LD-ELFA'!T:T)="","",_xlfn.XLOOKUP(D247,'LD-ELFA'!F:F,'LD-ELFA'!T:T))</f>
        <v>#N/A</v>
      </c>
      <c r="J247" s="63" t="e">
        <f>IF(K247="Documento a emitir", "",_xlfn.XLOOKUP(D247,'LD-ELFA'!F:F,'LD-ELFA'!N:N))</f>
        <v>#N/A</v>
      </c>
      <c r="K247" s="43" t="e">
        <f>IF(_xlfn.XLOOKUP($D247,'LD-ELFA'!F:F,'LD-ELFA'!U:U)="","Documento a emitir",_xlfn.XLOOKUP($D247,'LD-ELFA'!F:F,'LD-ELFA'!U:U))</f>
        <v>#N/A</v>
      </c>
      <c r="L247" s="43" t="e">
        <f>IF(K247="Documento a emitir","Documento a emitir",IF(K247&lt;&gt;"Documento a emitir",IF(_xlfn.XLOOKUP(D247,'LD-ELFA'!F:F,'LD-ELFA'!W:W)="","",_xlfn.XLOOKUP(D247,'LD-ELFA'!F:F,'LD-ELFA'!W:W)),""))</f>
        <v>#N/A</v>
      </c>
      <c r="M247" s="43" t="e">
        <f>IF(K247="Documento a emitir","",IF(AND(Q247="APC-R  - APC-R - Aprovado com Comentários (Retornar para uma nova Aprovação)",Q247="APC-L  - APC-L  - Aprovado com Comentários (Retornar Aprovado)"),"",IF(OR(_xlfn.XLOOKUP(D247,'LD-ELFA'!F:F,'LD-ELFA'!N:N)="PARA CONHECIMENTO",_xlfn.XLOOKUP(D247,'LD-ELFA'!F:F,'LD-ELFA'!N:N)="PARA CONSTRUÇÃO",_xlfn.XLOOKUP(D247,'LD-ELFA'!F:F,'LD-ELFA'!N:N)="PARA COTAÇÃO",_xlfn.XLOOKUP(D247,'LD-ELFA'!F:F,'LD-ELFA'!N:N)="CANCELADO"),_xlfn.XLOOKUP(D247,'LD-ELFA'!F:F,'LD-ELFA'!U:U),IF(AND(L247="",J247&lt;&gt;"PARA APROVAÇÃO"),"",""))))</f>
        <v>#N/A</v>
      </c>
      <c r="N247" s="63" t="str">
        <f t="shared" ca="1" si="39"/>
        <v>ERRO</v>
      </c>
      <c r="O247" s="63" t="str">
        <f t="shared" si="31"/>
        <v>Documento Removido</v>
      </c>
      <c r="P247" s="63" t="str">
        <f t="shared" si="32"/>
        <v>Blossom</v>
      </c>
      <c r="Q247" s="63" t="e">
        <f>IF(_xlfn.XLOOKUP(D247,'LD-ELFA'!F:F,'LD-ELFA'!V:V)="","",_xlfn.XLOOKUP(D247,'LD-ELFA'!F:F,'LD-ELFA'!V:V))</f>
        <v>#N/A</v>
      </c>
      <c r="R247" s="40" t="str">
        <f>IFERROR(IF(I247&lt;&gt;"","Documento Emitido",_xlfn.XLOOKUP(D247,Cronograma!P:P,Cronograma!Q:Q)),"Documento Removido")</f>
        <v>Documento Removido</v>
      </c>
      <c r="S247" s="40" t="str">
        <f t="shared" ca="1" si="33"/>
        <v>Documento Removido</v>
      </c>
      <c r="T247" s="40" t="str">
        <f>IFERROR(IF(I247&lt;&gt;"","Documento Emitido",_xlfn.XLOOKUP(D247,Cronograma!P:P,Cronograma!R:R)),"Documento Removido")</f>
        <v>Documento Removido</v>
      </c>
      <c r="U247" s="39" t="str">
        <f t="shared" si="34"/>
        <v>Documento Removido</v>
      </c>
      <c r="V247" s="39" t="str">
        <f t="shared" si="35"/>
        <v>Documento Removido</v>
      </c>
      <c r="W247" s="39" t="e">
        <f t="shared" ca="1" si="36"/>
        <v>#N/A</v>
      </c>
    </row>
    <row r="248" spans="1:23" ht="28.5" customHeight="1" x14ac:dyDescent="0.25">
      <c r="A248" s="39">
        <v>245</v>
      </c>
      <c r="B248" s="39" t="e">
        <f>_xlfn.XLOOKUP(D248,'LD-ELFA'!F:F,'LD-ELFA'!C:C)</f>
        <v>#N/A</v>
      </c>
      <c r="C248" s="39" t="e">
        <f>_xlfn.XLOOKUP(D248,'LD-ELFA'!F:F,'LD-ELFA'!D:D)</f>
        <v>#N/A</v>
      </c>
      <c r="D248" s="39" t="s">
        <v>248</v>
      </c>
      <c r="E248" s="39" t="e">
        <f>_xlfn.LET(_xlpm.q,_xlfn.XLOOKUP(D248,'LD-ELFA'!F:F,'LD-ELFA'!Q:Q),
   _xlpm.r,_xlfn.XLOOKUP(D248,'LD-ELFA'!F:F,'LD-ELFA'!R:R),
   IF(_xlpm.r = "", _xlpm.q, _xlpm.q &amp; " - " &amp; _xlpm.r))</f>
        <v>#N/A</v>
      </c>
      <c r="F248" s="63" t="str">
        <f t="shared" si="30"/>
        <v>Básico</v>
      </c>
      <c r="G248" s="63" t="e">
        <f>_xlfn.XLOOKUP(D248,'LD-ELFA'!F:F,'LD-ELFA'!G:G)</f>
        <v>#N/A</v>
      </c>
      <c r="H248" s="63" t="e">
        <f>_xlfn.XLOOKUP(D248,'LD-ELFA'!F:F,'LD-ELFA'!I:I)</f>
        <v>#N/A</v>
      </c>
      <c r="I248" s="63" t="e">
        <f>IF(_xlfn.XLOOKUP(D248,'LD-ELFA'!F:F,'LD-ELFA'!T:T)="","",_xlfn.XLOOKUP(D248,'LD-ELFA'!F:F,'LD-ELFA'!T:T))</f>
        <v>#N/A</v>
      </c>
      <c r="J248" s="63" t="e">
        <f>IF(K248="Documento a emitir", "",_xlfn.XLOOKUP(D248,'LD-ELFA'!F:F,'LD-ELFA'!N:N))</f>
        <v>#N/A</v>
      </c>
      <c r="K248" s="43" t="e">
        <f>IF(_xlfn.XLOOKUP($D248,'LD-ELFA'!F:F,'LD-ELFA'!U:U)="","Documento a emitir",_xlfn.XLOOKUP($D248,'LD-ELFA'!F:F,'LD-ELFA'!U:U))</f>
        <v>#N/A</v>
      </c>
      <c r="L248" s="43" t="e">
        <f>IF(K248="Documento a emitir","Documento a emitir",IF(K248&lt;&gt;"Documento a emitir",IF(_xlfn.XLOOKUP(D248,'LD-ELFA'!F:F,'LD-ELFA'!W:W)="","",_xlfn.XLOOKUP(D248,'LD-ELFA'!F:F,'LD-ELFA'!W:W)),""))</f>
        <v>#N/A</v>
      </c>
      <c r="M248" s="43" t="e">
        <f>IF(K248="Documento a emitir","",IF(AND(Q248="APC-R  - APC-R - Aprovado com Comentários (Retornar para uma nova Aprovação)",Q248="APC-L  - APC-L  - Aprovado com Comentários (Retornar Aprovado)"),"",IF(OR(_xlfn.XLOOKUP(D248,'LD-ELFA'!F:F,'LD-ELFA'!N:N)="PARA CONHECIMENTO",_xlfn.XLOOKUP(D248,'LD-ELFA'!F:F,'LD-ELFA'!N:N)="PARA CONSTRUÇÃO",_xlfn.XLOOKUP(D248,'LD-ELFA'!F:F,'LD-ELFA'!N:N)="PARA COTAÇÃO",_xlfn.XLOOKUP(D248,'LD-ELFA'!F:F,'LD-ELFA'!N:N)="CANCELADO"),_xlfn.XLOOKUP(D248,'LD-ELFA'!F:F,'LD-ELFA'!U:U),IF(AND(L248="",J248&lt;&gt;"PARA APROVAÇÃO"),"",""))))</f>
        <v>#N/A</v>
      </c>
      <c r="N248" s="63" t="str">
        <f t="shared" ca="1" si="39"/>
        <v>ERRO</v>
      </c>
      <c r="O248" s="63" t="str">
        <f t="shared" si="31"/>
        <v>Documento Removido</v>
      </c>
      <c r="P248" s="63" t="str">
        <f t="shared" si="32"/>
        <v>Blossom</v>
      </c>
      <c r="Q248" s="63" t="e">
        <f>IF(_xlfn.XLOOKUP(D248,'LD-ELFA'!F:F,'LD-ELFA'!V:V)="","",_xlfn.XLOOKUP(D248,'LD-ELFA'!F:F,'LD-ELFA'!V:V))</f>
        <v>#N/A</v>
      </c>
      <c r="R248" s="40" t="str">
        <f>IFERROR(IF(I248&lt;&gt;"","Documento Emitido",_xlfn.XLOOKUP(D248,Cronograma!P:P,Cronograma!Q:Q)),"Documento Removido")</f>
        <v>Documento Removido</v>
      </c>
      <c r="S248" s="40" t="str">
        <f t="shared" ca="1" si="33"/>
        <v>Documento Removido</v>
      </c>
      <c r="T248" s="40" t="str">
        <f>IFERROR(IF(I248&lt;&gt;"","Documento Emitido",_xlfn.XLOOKUP(D248,Cronograma!P:P,Cronograma!R:R)),"Documento Removido")</f>
        <v>Documento Removido</v>
      </c>
      <c r="U248" s="39" t="str">
        <f t="shared" si="34"/>
        <v>Documento Removido</v>
      </c>
      <c r="V248" s="39" t="str">
        <f t="shared" si="35"/>
        <v>Documento Removido</v>
      </c>
      <c r="W248" s="39" t="e">
        <f t="shared" ca="1" si="36"/>
        <v>#N/A</v>
      </c>
    </row>
    <row r="249" spans="1:23" ht="28.5" customHeight="1" x14ac:dyDescent="0.25">
      <c r="A249" s="39">
        <v>246</v>
      </c>
      <c r="B249" s="39" t="str">
        <f>_xlfn.XLOOKUP(D249,'LD-ELFA'!F:F,'LD-ELFA'!C:C)</f>
        <v>ME - Mecanica</v>
      </c>
      <c r="C249" s="39" t="str">
        <f>_xlfn.XLOOKUP(D249,'LD-ELFA'!F:F,'LD-ELFA'!D:D)</f>
        <v>PBC - Plano De Bases E Cargas</v>
      </c>
      <c r="D249" s="39" t="s">
        <v>249</v>
      </c>
      <c r="E249" s="39" t="str">
        <f>_xlfn.LET(_xlpm.q,_xlfn.XLOOKUP(D249,'LD-ELFA'!F:F,'LD-ELFA'!Q:Q),
   _xlpm.r,_xlfn.XLOOKUP(D249,'LD-ELFA'!F:F,'LD-ELFA'!R:R),
   IF(_xlpm.r = "", _xlpm.q, _xlpm.q &amp; " - " &amp; _xlpm.r))</f>
        <v>MEMÓRIA DE CÁLCULO - PLANO DE CARGAS - BALANÇA - PÁTIO PROVISÓRIO</v>
      </c>
      <c r="F249" s="63" t="str">
        <f t="shared" si="30"/>
        <v>Básico</v>
      </c>
      <c r="G249" s="63">
        <f>_xlfn.XLOOKUP(D249,'LD-ELFA'!F:F,'LD-ELFA'!G:G)</f>
        <v>0</v>
      </c>
      <c r="H249" s="63" t="str">
        <f>_xlfn.XLOOKUP(D249,'LD-ELFA'!F:F,'LD-ELFA'!I:I)</f>
        <v>0</v>
      </c>
      <c r="I249" s="63" t="str">
        <f>IF(_xlfn.XLOOKUP(D249,'LD-ELFA'!F:F,'LD-ELFA'!T:T)="","",_xlfn.XLOOKUP(D249,'LD-ELFA'!F:F,'LD-ELFA'!T:T))</f>
        <v/>
      </c>
      <c r="J249" s="63" t="str">
        <f>IF(K249="Documento a emitir", "",_xlfn.XLOOKUP(D249,'LD-ELFA'!F:F,'LD-ELFA'!N:N))</f>
        <v/>
      </c>
      <c r="K249" s="43" t="str">
        <f>IF(_xlfn.XLOOKUP($D249,'LD-ELFA'!F:F,'LD-ELFA'!U:U)="","Documento a emitir",_xlfn.XLOOKUP($D249,'LD-ELFA'!F:F,'LD-ELFA'!U:U))</f>
        <v>Documento a emitir</v>
      </c>
      <c r="L249" s="43" t="str">
        <f>IF(K249="Documento a emitir","Documento a emitir",IF(K249&lt;&gt;"Documento a emitir",IF(_xlfn.XLOOKUP(D249,'LD-ELFA'!F:F,'LD-ELFA'!W:W)="","",_xlfn.XLOOKUP(D249,'LD-ELFA'!F:F,'LD-ELFA'!W:W)),""))</f>
        <v>Documento a emitir</v>
      </c>
      <c r="M249" s="43" t="str">
        <f>IF(K249="Documento a emitir","",IF(AND(Q249="APC-R  - APC-R - Aprovado com Comentários (Retornar para uma nova Aprovação)",Q249="APC-L  - APC-L  - Aprovado com Comentários (Retornar Aprovado)"),"",IF(OR(_xlfn.XLOOKUP(D249,'LD-ELFA'!F:F,'LD-ELFA'!N:N)="PARA CONHECIMENTO",_xlfn.XLOOKUP(D249,'LD-ELFA'!F:F,'LD-ELFA'!N:N)="PARA CONSTRUÇÃO",_xlfn.XLOOKUP(D249,'LD-ELFA'!F:F,'LD-ELFA'!N:N)="PARA COTAÇÃO",_xlfn.XLOOKUP(D249,'LD-ELFA'!F:F,'LD-ELFA'!N:N)="CANCELADO"),_xlfn.XLOOKUP(D249,'LD-ELFA'!F:F,'LD-ELFA'!U:U),IF(AND(L249="",J249&lt;&gt;"PARA APROVAÇÃO"),"",""))))</f>
        <v/>
      </c>
      <c r="N249" s="63" t="str">
        <f t="shared" ca="1" si="39"/>
        <v>Documento a Emitir</v>
      </c>
      <c r="O249" s="63" t="str">
        <f t="shared" si="31"/>
        <v>Blossom - Documento a emitir</v>
      </c>
      <c r="P249" s="63" t="str">
        <f t="shared" si="32"/>
        <v>Blossom</v>
      </c>
      <c r="Q249" s="63" t="str">
        <f>IF(_xlfn.XLOOKUP(D249,'LD-ELFA'!F:F,'LD-ELFA'!V:V)="","",_xlfn.XLOOKUP(D249,'LD-ELFA'!F:F,'LD-ELFA'!V:V))</f>
        <v/>
      </c>
      <c r="R249" s="40">
        <f>IFERROR(IF(I249&lt;&gt;"","Documento Emitido",_xlfn.XLOOKUP(D249,Cronograma!P:P,Cronograma!Q:Q)),"Documento Removido")</f>
        <v>46227</v>
      </c>
      <c r="S249" s="40" t="str">
        <f t="shared" ca="1" si="33"/>
        <v>No prazo</v>
      </c>
      <c r="T249" s="40">
        <f>IFERROR(IF(I249&lt;&gt;"","Documento Emitido",_xlfn.XLOOKUP(D249,Cronograma!P:P,Cronograma!R:R)),"Documento Removido")</f>
        <v>46224</v>
      </c>
      <c r="U249" s="39" t="str">
        <f t="shared" si="34"/>
        <v>Emissão Atrasada</v>
      </c>
      <c r="V249" s="39" t="str">
        <f t="shared" si="35"/>
        <v>Semana 2</v>
      </c>
      <c r="W249" s="39" t="str">
        <f t="shared" ca="1" si="36"/>
        <v/>
      </c>
    </row>
    <row r="250" spans="1:23" ht="28.5" customHeight="1" x14ac:dyDescent="0.25">
      <c r="A250" s="39">
        <v>247</v>
      </c>
      <c r="B250" s="39" t="str">
        <f>_xlfn.XLOOKUP(D250,'LD-ELFA'!F:F,'LD-ELFA'!C:C)</f>
        <v>ME - Mecanica</v>
      </c>
      <c r="C250" s="39" t="str">
        <f>_xlfn.XLOOKUP(D250,'LD-ELFA'!F:F,'LD-ELFA'!D:D)</f>
        <v>PBC - Plano De Bases E Cargas</v>
      </c>
      <c r="D250" s="39" t="s">
        <v>250</v>
      </c>
      <c r="E250" s="39" t="str">
        <f>_xlfn.LET(_xlpm.q,_xlfn.XLOOKUP(D250,'LD-ELFA'!F:F,'LD-ELFA'!Q:Q),
   _xlpm.r,_xlfn.XLOOKUP(D250,'LD-ELFA'!F:F,'LD-ELFA'!R:R),
   IF(_xlpm.r = "", _xlpm.q, _xlpm.q &amp; " - " &amp; _xlpm.r))</f>
        <v>MEMÓRIA DE CÁLCULO - PLANO DE CARGAS - TANQUE DE SPCI</v>
      </c>
      <c r="F250" s="63" t="str">
        <f t="shared" si="30"/>
        <v>Básico</v>
      </c>
      <c r="G250" s="63">
        <f>_xlfn.XLOOKUP(D250,'LD-ELFA'!F:F,'LD-ELFA'!G:G)</f>
        <v>0</v>
      </c>
      <c r="H250" s="63">
        <f>_xlfn.XLOOKUP(D250,'LD-ELFA'!F:F,'LD-ELFA'!I:I)</f>
        <v>0</v>
      </c>
      <c r="I250" s="63" t="str">
        <f>IF(_xlfn.XLOOKUP(D250,'LD-ELFA'!F:F,'LD-ELFA'!T:T)="","",_xlfn.XLOOKUP(D250,'LD-ELFA'!F:F,'LD-ELFA'!T:T))</f>
        <v/>
      </c>
      <c r="J250" s="63" t="str">
        <f>IF(K250="Documento a emitir", "",_xlfn.XLOOKUP(D250,'LD-ELFA'!F:F,'LD-ELFA'!N:N))</f>
        <v/>
      </c>
      <c r="K250" s="43" t="str">
        <f>IF(_xlfn.XLOOKUP($D250,'LD-ELFA'!F:F,'LD-ELFA'!U:U)="","Documento a emitir",_xlfn.XLOOKUP($D250,'LD-ELFA'!F:F,'LD-ELFA'!U:U))</f>
        <v>Documento a emitir</v>
      </c>
      <c r="L250" s="43" t="str">
        <f>IF(K250="Documento a emitir","Documento a emitir",IF(K250&lt;&gt;"Documento a emitir",IF(_xlfn.XLOOKUP(D250,'LD-ELFA'!F:F,'LD-ELFA'!W:W)="","",_xlfn.XLOOKUP(D250,'LD-ELFA'!F:F,'LD-ELFA'!W:W)),""))</f>
        <v>Documento a emitir</v>
      </c>
      <c r="M250" s="43" t="str">
        <f>IF(K250="Documento a emitir","",IF(AND(Q250="APC-R  - APC-R - Aprovado com Comentários (Retornar para uma nova Aprovação)",Q250="APC-L  - APC-L  - Aprovado com Comentários (Retornar Aprovado)"),"",IF(OR(_xlfn.XLOOKUP(D250,'LD-ELFA'!F:F,'LD-ELFA'!N:N)="PARA CONHECIMENTO",_xlfn.XLOOKUP(D250,'LD-ELFA'!F:F,'LD-ELFA'!N:N)="PARA CONSTRUÇÃO",_xlfn.XLOOKUP(D250,'LD-ELFA'!F:F,'LD-ELFA'!N:N)="PARA COTAÇÃO",_xlfn.XLOOKUP(D250,'LD-ELFA'!F:F,'LD-ELFA'!N:N)="CANCELADO"),_xlfn.XLOOKUP(D250,'LD-ELFA'!F:F,'LD-ELFA'!U:U),IF(AND(L250="",J250&lt;&gt;"PARA APROVAÇÃO"),"",""))))</f>
        <v/>
      </c>
      <c r="N250" s="63" t="str">
        <f t="shared" ca="1" si="39"/>
        <v>Documento a Emitir</v>
      </c>
      <c r="O250" s="63" t="str">
        <f t="shared" si="31"/>
        <v>Blossom - Documento a emitir</v>
      </c>
      <c r="P250" s="63" t="str">
        <f t="shared" si="32"/>
        <v>Blossom</v>
      </c>
      <c r="Q250" s="63" t="str">
        <f>IF(_xlfn.XLOOKUP(D250,'LD-ELFA'!F:F,'LD-ELFA'!V:V)="","",_xlfn.XLOOKUP(D250,'LD-ELFA'!F:F,'LD-ELFA'!V:V))</f>
        <v/>
      </c>
      <c r="R250" s="40">
        <f>IFERROR(IF(I250&lt;&gt;"","Documento Emitido",_xlfn.XLOOKUP(D250,Cronograma!P:P,Cronograma!Q:Q)),"Documento Removido")</f>
        <v>46248</v>
      </c>
      <c r="S250" s="40" t="str">
        <f t="shared" ca="1" si="33"/>
        <v>No prazo</v>
      </c>
      <c r="T250" s="40">
        <f>IFERROR(IF(I250&lt;&gt;"","Documento Emitido",_xlfn.XLOOKUP(D250,Cronograma!P:P,Cronograma!R:R)),"Documento Removido")</f>
        <v>46232</v>
      </c>
      <c r="U250" s="39" t="str">
        <f t="shared" si="34"/>
        <v>Emissão Atrasada</v>
      </c>
      <c r="V250" s="39" t="str">
        <f t="shared" si="35"/>
        <v/>
      </c>
      <c r="W250" s="39" t="str">
        <f t="shared" ca="1" si="36"/>
        <v/>
      </c>
    </row>
    <row r="251" spans="1:23" ht="28.5" customHeight="1" x14ac:dyDescent="0.25">
      <c r="A251" s="39">
        <v>248</v>
      </c>
      <c r="B251" s="39" t="str">
        <f>_xlfn.XLOOKUP(D251,'LD-ELFA'!F:F,'LD-ELFA'!C:C)</f>
        <v>ME - Mecanica</v>
      </c>
      <c r="C251" s="39" t="str">
        <f>_xlfn.XLOOKUP(D251,'LD-ELFA'!F:F,'LD-ELFA'!D:D)</f>
        <v>PBC - Plano De Bases E Cargas</v>
      </c>
      <c r="D251" s="39" t="s">
        <v>251</v>
      </c>
      <c r="E251" s="39" t="str">
        <f>_xlfn.LET(_xlpm.q,_xlfn.XLOOKUP(D251,'LD-ELFA'!F:F,'LD-ELFA'!Q:Q),
   _xlpm.r,_xlfn.XLOOKUP(D251,'LD-ELFA'!F:F,'LD-ELFA'!R:R),
   IF(_xlpm.r = "", _xlpm.q, _xlpm.q &amp; " - " &amp; _xlpm.r))</f>
        <v>MEMÓRIA DE CÁLCULO  - PLANO DE CARGAS – SISTEMA DE MANUSEIO</v>
      </c>
      <c r="F251" s="63" t="str">
        <f t="shared" si="30"/>
        <v>Básico</v>
      </c>
      <c r="G251" s="63">
        <f>_xlfn.XLOOKUP(D251,'LD-ELFA'!F:F,'LD-ELFA'!G:G)</f>
        <v>0</v>
      </c>
      <c r="H251" s="63" t="str">
        <f>_xlfn.XLOOKUP(D251,'LD-ELFA'!F:F,'LD-ELFA'!I:I)</f>
        <v>1</v>
      </c>
      <c r="I251" s="63" t="str">
        <f>IF(_xlfn.XLOOKUP(D251,'LD-ELFA'!F:F,'LD-ELFA'!T:T)="","",_xlfn.XLOOKUP(D251,'LD-ELFA'!F:F,'LD-ELFA'!T:T))</f>
        <v>0028</v>
      </c>
      <c r="J251" s="63" t="str">
        <f>IF(K251="Documento a emitir", "",_xlfn.XLOOKUP(D251,'LD-ELFA'!F:F,'LD-ELFA'!N:N))</f>
        <v>PARA APROVAÇÃO</v>
      </c>
      <c r="K251" s="43">
        <f>IF(_xlfn.XLOOKUP($D251,'LD-ELFA'!F:F,'LD-ELFA'!U:U)="","Documento a emitir",_xlfn.XLOOKUP($D251,'LD-ELFA'!F:F,'LD-ELFA'!U:U))</f>
        <v>46211.678152777778</v>
      </c>
      <c r="L251" s="43">
        <f>IF(K251="Documento a emitir","Documento a emitir",IF(K251&lt;&gt;"Documento a emitir",IF(_xlfn.XLOOKUP(D251,'LD-ELFA'!F:F,'LD-ELFA'!W:W)="","",_xlfn.XLOOKUP(D251,'LD-ELFA'!F:F,'LD-ELFA'!W:W)),""))</f>
        <v>46212.681711574071</v>
      </c>
      <c r="M251" s="43" t="str">
        <f>IF(K251="Documento a emitir","",IF(AND(Q251="APC-R  - APC-R - Aprovado com Comentários (Retornar para uma nova Aprovação)",Q251="APC-L  - APC-L  - Aprovado com Comentários (Retornar Aprovado)"),"",IF(OR(_xlfn.XLOOKUP(D251,'LD-ELFA'!F:F,'LD-ELFA'!N:N)="PARA CONHECIMENTO",_xlfn.XLOOKUP(D251,'LD-ELFA'!F:F,'LD-ELFA'!N:N)="PARA CONSTRUÇÃO",_xlfn.XLOOKUP(D251,'LD-ELFA'!F:F,'LD-ELFA'!N:N)="PARA COTAÇÃO",_xlfn.XLOOKUP(D251,'LD-ELFA'!F:F,'LD-ELFA'!N:N)="CANCELADO"),_xlfn.XLOOKUP(D251,'LD-ELFA'!F:F,'LD-ELFA'!U:U),IF(AND(L251="",J251&lt;&gt;"PARA APROVAÇÃO"),"",""))))</f>
        <v/>
      </c>
      <c r="N251" s="63" t="str">
        <f t="shared" ca="1" si="39"/>
        <v>No prazo</v>
      </c>
      <c r="O251" s="63" t="str">
        <f t="shared" si="31"/>
        <v>Blossom - Atendimento de Comentário</v>
      </c>
      <c r="P251" s="63" t="str">
        <f t="shared" si="32"/>
        <v>Blossom</v>
      </c>
      <c r="Q251" s="63" t="str">
        <f>IF(_xlfn.XLOOKUP(D251,'LD-ELFA'!F:F,'LD-ELFA'!V:V)="","",_xlfn.XLOOKUP(D251,'LD-ELFA'!F:F,'LD-ELFA'!V:V))</f>
        <v>APC-R  - APC-R - Aprovado com Comentários (Retornar para uma nova Aprovação)</v>
      </c>
      <c r="R251" s="40" t="str">
        <f>IFERROR(IF(I251&lt;&gt;"","Documento Emitido",_xlfn.XLOOKUP(D251,Cronograma!P:P,Cronograma!Q:Q)),"Documento Removido")</f>
        <v>Documento Emitido</v>
      </c>
      <c r="S251" s="40" t="str">
        <f t="shared" ca="1" si="33"/>
        <v>Documento Emitido</v>
      </c>
      <c r="T251" s="40" t="str">
        <f>IFERROR(IF(I251&lt;&gt;"","Documento Emitido",_xlfn.XLOOKUP(D251,Cronograma!P:P,Cronograma!R:R)),"Documento Removido")</f>
        <v>Documento Emitido</v>
      </c>
      <c r="U251" s="39" t="str">
        <f t="shared" si="34"/>
        <v>Documento Emitido</v>
      </c>
      <c r="V251" s="39" t="str">
        <f t="shared" si="35"/>
        <v>Documento Emitido</v>
      </c>
      <c r="W251" s="39" t="str">
        <f t="shared" ca="1" si="36"/>
        <v>Emissão Semana</v>
      </c>
    </row>
    <row r="252" spans="1:23" ht="28.5" customHeight="1" x14ac:dyDescent="0.25">
      <c r="A252" s="39">
        <v>249</v>
      </c>
      <c r="B252" s="39" t="str">
        <f>_xlfn.XLOOKUP(D252,'LD-ELFA'!F:F,'LD-ELFA'!C:C)</f>
        <v>ME - Mecanica</v>
      </c>
      <c r="C252" s="39" t="str">
        <f>_xlfn.XLOOKUP(D252,'LD-ELFA'!F:F,'LD-ELFA'!D:D)</f>
        <v>PBC - Plano De Bases E Cargas</v>
      </c>
      <c r="D252" s="39" t="s">
        <v>252</v>
      </c>
      <c r="E252" s="39" t="str">
        <f>_xlfn.LET(_xlpm.q,_xlfn.XLOOKUP(D252,'LD-ELFA'!F:F,'LD-ELFA'!Q:Q),
   _xlpm.r,_xlfn.XLOOKUP(D252,'LD-ELFA'!F:F,'LD-ELFA'!R:R),
   IF(_xlpm.r = "", _xlpm.q, _xlpm.q &amp; " - " &amp; _xlpm.r))</f>
        <v>MEMÓRIA DE CÁLCULO - PLANO DE CARGAS - SISTEMA DE CARREGAMENTO DE VAGÕES - EXTRAÇÃO DO SILO 1316-SI-001</v>
      </c>
      <c r="F252" s="63" t="str">
        <f t="shared" si="30"/>
        <v>Básico</v>
      </c>
      <c r="G252" s="63">
        <f>_xlfn.XLOOKUP(D252,'LD-ELFA'!F:F,'LD-ELFA'!G:G)</f>
        <v>0</v>
      </c>
      <c r="H252" s="63" t="str">
        <f>_xlfn.XLOOKUP(D252,'LD-ELFA'!F:F,'LD-ELFA'!I:I)</f>
        <v>A</v>
      </c>
      <c r="I252" s="63" t="str">
        <f>IF(_xlfn.XLOOKUP(D252,'LD-ELFA'!F:F,'LD-ELFA'!T:T)="","",_xlfn.XLOOKUP(D252,'LD-ELFA'!F:F,'LD-ELFA'!T:T))</f>
        <v>0036</v>
      </c>
      <c r="J252" s="63" t="str">
        <f>IF(K252="Documento a emitir", "",_xlfn.XLOOKUP(D252,'LD-ELFA'!F:F,'LD-ELFA'!N:N))</f>
        <v>PARA APROVAÇÃO</v>
      </c>
      <c r="K252" s="43">
        <f>IF(_xlfn.XLOOKUP($D252,'LD-ELFA'!F:F,'LD-ELFA'!U:U)="","Documento a emitir",_xlfn.XLOOKUP($D252,'LD-ELFA'!F:F,'LD-ELFA'!U:U))</f>
        <v>46213.700419641202</v>
      </c>
      <c r="L252" s="43" t="str">
        <f>IF(K252="Documento a emitir","Documento a emitir",IF(K252&lt;&gt;"Documento a emitir",IF(_xlfn.XLOOKUP(D252,'LD-ELFA'!F:F,'LD-ELFA'!W:W)="","",_xlfn.XLOOKUP(D252,'LD-ELFA'!F:F,'LD-ELFA'!W:W)),""))</f>
        <v/>
      </c>
      <c r="M252" s="43" t="str">
        <f>IF(K252="Documento a emitir","",IF(AND(Q252="APC-R  - APC-R - Aprovado com Comentários (Retornar para uma nova Aprovação)",Q252="APC-L  - APC-L  - Aprovado com Comentários (Retornar Aprovado)"),"",IF(OR(_xlfn.XLOOKUP(D252,'LD-ELFA'!F:F,'LD-ELFA'!N:N)="PARA CONHECIMENTO",_xlfn.XLOOKUP(D252,'LD-ELFA'!F:F,'LD-ELFA'!N:N)="PARA CONSTRUÇÃO",_xlfn.XLOOKUP(D252,'LD-ELFA'!F:F,'LD-ELFA'!N:N)="PARA COTAÇÃO",_xlfn.XLOOKUP(D252,'LD-ELFA'!F:F,'LD-ELFA'!N:N)="CANCELADO"),_xlfn.XLOOKUP(D252,'LD-ELFA'!F:F,'LD-ELFA'!U:U),IF(AND(L252="",J252&lt;&gt;"PARA APROVAÇÃO"),"",""))))</f>
        <v/>
      </c>
      <c r="N252" s="63" t="str">
        <f t="shared" ca="1" si="39"/>
        <v>Atrasado</v>
      </c>
      <c r="O252" s="63" t="str">
        <f t="shared" si="31"/>
        <v>Cliente - Atendimento de Comentário</v>
      </c>
      <c r="P252" s="63" t="str">
        <f t="shared" si="32"/>
        <v>Circlua</v>
      </c>
      <c r="Q252" s="63" t="str">
        <f>IF(_xlfn.XLOOKUP(D252,'LD-ELFA'!F:F,'LD-ELFA'!V:V)="","",_xlfn.XLOOKUP(D252,'LD-ELFA'!F:F,'LD-ELFA'!V:V))</f>
        <v/>
      </c>
      <c r="R252" s="40" t="str">
        <f>IFERROR(IF(I252&lt;&gt;"","Documento Emitido",_xlfn.XLOOKUP(D252,Cronograma!P:P,Cronograma!Q:Q)),"Documento Removido")</f>
        <v>Documento Emitido</v>
      </c>
      <c r="S252" s="40" t="str">
        <f t="shared" ca="1" si="33"/>
        <v>Documento Emitido</v>
      </c>
      <c r="T252" s="40" t="str">
        <f>IFERROR(IF(I252&lt;&gt;"","Documento Emitido",_xlfn.XLOOKUP(D252,Cronograma!P:P,Cronograma!R:R)),"Documento Removido")</f>
        <v>Documento Emitido</v>
      </c>
      <c r="U252" s="39" t="str">
        <f t="shared" si="34"/>
        <v>Documento Emitido</v>
      </c>
      <c r="V252" s="39" t="str">
        <f t="shared" si="35"/>
        <v>Documento Emitido</v>
      </c>
      <c r="W252" s="39" t="str">
        <f t="shared" ca="1" si="36"/>
        <v>Emissão Semana</v>
      </c>
    </row>
    <row r="253" spans="1:23" ht="28.5" customHeight="1" x14ac:dyDescent="0.25">
      <c r="A253" s="39">
        <v>250</v>
      </c>
      <c r="B253" s="39" t="str">
        <f>_xlfn.XLOOKUP(D253,'LD-ELFA'!F:F,'LD-ELFA'!C:C)</f>
        <v>ME - Mecanica</v>
      </c>
      <c r="C253" s="39" t="str">
        <f>_xlfn.XLOOKUP(D253,'LD-ELFA'!F:F,'LD-ELFA'!D:D)</f>
        <v>PBC - Plano De Bases E Cargas</v>
      </c>
      <c r="D253" s="39" t="s">
        <v>253</v>
      </c>
      <c r="E253" s="39" t="str">
        <f>_xlfn.LET(_xlpm.q,_xlfn.XLOOKUP(D253,'LD-ELFA'!F:F,'LD-ELFA'!Q:Q),
   _xlpm.r,_xlfn.XLOOKUP(D253,'LD-ELFA'!F:F,'LD-ELFA'!R:R),
   IF(_xlpm.r = "", _xlpm.q, _xlpm.q &amp; " - " &amp; _xlpm.r))</f>
        <v>MEMÓRIA DE CÁLCULO  - PLANO DE CARGAS – PRÉDIO DA BRITAGEM</v>
      </c>
      <c r="F253" s="63" t="str">
        <f t="shared" si="30"/>
        <v>Básico</v>
      </c>
      <c r="G253" s="63">
        <f>_xlfn.XLOOKUP(D253,'LD-ELFA'!F:F,'LD-ELFA'!G:G)</f>
        <v>0</v>
      </c>
      <c r="H253" s="63" t="str">
        <f>_xlfn.XLOOKUP(D253,'LD-ELFA'!F:F,'LD-ELFA'!I:I)</f>
        <v>2</v>
      </c>
      <c r="I253" s="63" t="str">
        <f>IF(_xlfn.XLOOKUP(D253,'LD-ELFA'!F:F,'LD-ELFA'!T:T)="","",_xlfn.XLOOKUP(D253,'LD-ELFA'!F:F,'LD-ELFA'!T:T))</f>
        <v>0024</v>
      </c>
      <c r="J253" s="63" t="str">
        <f>IF(K253="Documento a emitir", "",_xlfn.XLOOKUP(D253,'LD-ELFA'!F:F,'LD-ELFA'!N:N))</f>
        <v>PARA APROVAÇÃO</v>
      </c>
      <c r="K253" s="43">
        <f>IF(_xlfn.XLOOKUP($D253,'LD-ELFA'!F:F,'LD-ELFA'!U:U)="","Documento a emitir",_xlfn.XLOOKUP($D253,'LD-ELFA'!F:F,'LD-ELFA'!U:U))</f>
        <v>46210.679214814823</v>
      </c>
      <c r="L253" s="43">
        <f>IF(K253="Documento a emitir","Documento a emitir",IF(K253&lt;&gt;"Documento a emitir",IF(_xlfn.XLOOKUP(D253,'LD-ELFA'!F:F,'LD-ELFA'!W:W)="","",_xlfn.XLOOKUP(D253,'LD-ELFA'!F:F,'LD-ELFA'!W:W)),""))</f>
        <v>46212.721164733797</v>
      </c>
      <c r="M253" s="43" t="str">
        <f>IF(K253="Documento a emitir","",IF(AND(Q253="APC-R  - APC-R - Aprovado com Comentários (Retornar para uma nova Aprovação)",Q253="APC-L  - APC-L  - Aprovado com Comentários (Retornar Aprovado)"),"",IF(OR(_xlfn.XLOOKUP(D253,'LD-ELFA'!F:F,'LD-ELFA'!N:N)="PARA CONHECIMENTO",_xlfn.XLOOKUP(D253,'LD-ELFA'!F:F,'LD-ELFA'!N:N)="PARA CONSTRUÇÃO",_xlfn.XLOOKUP(D253,'LD-ELFA'!F:F,'LD-ELFA'!N:N)="PARA COTAÇÃO",_xlfn.XLOOKUP(D253,'LD-ELFA'!F:F,'LD-ELFA'!N:N)="CANCELADO"),_xlfn.XLOOKUP(D253,'LD-ELFA'!F:F,'LD-ELFA'!U:U),IF(AND(L253="",J253&lt;&gt;"PARA APROVAÇÃO"),"",""))))</f>
        <v/>
      </c>
      <c r="N253" s="63" t="str">
        <f t="shared" ca="1" si="39"/>
        <v>No prazo</v>
      </c>
      <c r="O253" s="63" t="str">
        <f t="shared" si="31"/>
        <v>Blossom - Atendimento de Comentário</v>
      </c>
      <c r="P253" s="63" t="str">
        <f t="shared" si="32"/>
        <v>Blossom</v>
      </c>
      <c r="Q253" s="63" t="str">
        <f>IF(_xlfn.XLOOKUP(D253,'LD-ELFA'!F:F,'LD-ELFA'!V:V)="","",_xlfn.XLOOKUP(D253,'LD-ELFA'!F:F,'LD-ELFA'!V:V))</f>
        <v>APC-R  - APC-R - Aprovado com Comentários (Retornar para uma nova Aprovação)</v>
      </c>
      <c r="R253" s="40" t="str">
        <f>IFERROR(IF(I253&lt;&gt;"","Documento Emitido",_xlfn.XLOOKUP(D253,Cronograma!P:P,Cronograma!Q:Q)),"Documento Removido")</f>
        <v>Documento Emitido</v>
      </c>
      <c r="S253" s="40" t="str">
        <f t="shared" ca="1" si="33"/>
        <v>Documento Emitido</v>
      </c>
      <c r="T253" s="40" t="str">
        <f>IFERROR(IF(I253&lt;&gt;"","Documento Emitido",_xlfn.XLOOKUP(D253,Cronograma!P:P,Cronograma!R:R)),"Documento Removido")</f>
        <v>Documento Emitido</v>
      </c>
      <c r="U253" s="39" t="str">
        <f t="shared" si="34"/>
        <v>Documento Emitido</v>
      </c>
      <c r="V253" s="39" t="str">
        <f t="shared" si="35"/>
        <v>Documento Emitido</v>
      </c>
      <c r="W253" s="39" t="str">
        <f t="shared" ca="1" si="36"/>
        <v>Emissão Semana</v>
      </c>
    </row>
    <row r="254" spans="1:23" ht="28.5" customHeight="1" x14ac:dyDescent="0.25">
      <c r="A254" s="39">
        <v>251</v>
      </c>
      <c r="B254" s="39" t="str">
        <f>_xlfn.XLOOKUP(D254,'LD-ELFA'!F:F,'LD-ELFA'!C:C)</f>
        <v>ME - Mecanica</v>
      </c>
      <c r="C254" s="39" t="str">
        <f>_xlfn.XLOOKUP(D254,'LD-ELFA'!F:F,'LD-ELFA'!D:D)</f>
        <v>PQU - Planilha De Quantitativos</v>
      </c>
      <c r="D254" s="39" t="s">
        <v>254</v>
      </c>
      <c r="E254" s="39" t="str">
        <f>_xlfn.LET(_xlpm.q,_xlfn.XLOOKUP(D254,'LD-ELFA'!F:F,'LD-ELFA'!Q:Q),
   _xlpm.r,_xlfn.XLOOKUP(D254,'LD-ELFA'!F:F,'LD-ELFA'!R:R),
   IF(_xlpm.r = "", _xlpm.q, _xlpm.q &amp; " - " &amp; _xlpm.r))</f>
        <v>PLANILHA DE QUANTIDADES - FORNECIMENTO DE CALDEIRARIA</v>
      </c>
      <c r="F254" s="63" t="str">
        <f t="shared" si="30"/>
        <v>Básico</v>
      </c>
      <c r="G254" s="63">
        <f>_xlfn.XLOOKUP(D254,'LD-ELFA'!F:F,'LD-ELFA'!G:G)</f>
        <v>0</v>
      </c>
      <c r="H254" s="63">
        <f>_xlfn.XLOOKUP(D254,'LD-ELFA'!F:F,'LD-ELFA'!I:I)</f>
        <v>0</v>
      </c>
      <c r="I254" s="63" t="str">
        <f>IF(_xlfn.XLOOKUP(D254,'LD-ELFA'!F:F,'LD-ELFA'!T:T)="","",_xlfn.XLOOKUP(D254,'LD-ELFA'!F:F,'LD-ELFA'!T:T))</f>
        <v/>
      </c>
      <c r="J254" s="63" t="str">
        <f>IF(K254="Documento a emitir", "",_xlfn.XLOOKUP(D254,'LD-ELFA'!F:F,'LD-ELFA'!N:N))</f>
        <v/>
      </c>
      <c r="K254" s="43" t="str">
        <f>IF(_xlfn.XLOOKUP($D254,'LD-ELFA'!F:F,'LD-ELFA'!U:U)="","Documento a emitir",_xlfn.XLOOKUP($D254,'LD-ELFA'!F:F,'LD-ELFA'!U:U))</f>
        <v>Documento a emitir</v>
      </c>
      <c r="L254" s="43" t="str">
        <f>IF(K254="Documento a emitir","Documento a emitir",IF(K254&lt;&gt;"Documento a emitir",IF(_xlfn.XLOOKUP(D254,'LD-ELFA'!F:F,'LD-ELFA'!W:W)="","",_xlfn.XLOOKUP(D254,'LD-ELFA'!F:F,'LD-ELFA'!W:W)),""))</f>
        <v>Documento a emitir</v>
      </c>
      <c r="M254" s="43" t="str">
        <f>IF(K254="Documento a emitir","",IF(AND(Q254="APC-R  - APC-R - Aprovado com Comentários (Retornar para uma nova Aprovação)",Q254="APC-L  - APC-L  - Aprovado com Comentários (Retornar Aprovado)"),"",IF(OR(_xlfn.XLOOKUP(D254,'LD-ELFA'!F:F,'LD-ELFA'!N:N)="PARA CONHECIMENTO",_xlfn.XLOOKUP(D254,'LD-ELFA'!F:F,'LD-ELFA'!N:N)="PARA CONSTRUÇÃO",_xlfn.XLOOKUP(D254,'LD-ELFA'!F:F,'LD-ELFA'!N:N)="PARA COTAÇÃO",_xlfn.XLOOKUP(D254,'LD-ELFA'!F:F,'LD-ELFA'!N:N)="CANCELADO"),_xlfn.XLOOKUP(D254,'LD-ELFA'!F:F,'LD-ELFA'!U:U),IF(AND(L254="",J254&lt;&gt;"PARA APROVAÇÃO"),"",""))))</f>
        <v/>
      </c>
      <c r="N254" s="63" t="str">
        <f ca="1">IF(O254="Documento Concluído","Documento Concluído",IF(O254="Cliente - Atendimento de Comentário",IF(TODAY()&lt;=(K254+3),"No prazo","Atrasado"),IF(O254="Cliente - Atendimento de Comentário",IF(TODAY()&lt;=(WORKDAY(K254,3,0)),"No prazo","Atrasado"),IF(O254="Blossom - Emissão Final",IF(TODAY()&lt;=(WORKDAY(L254,3,0)),"No prazo","Atrasado"),IF(O254="Blossom - Atendimento de Comentário",IF(TODAY()&lt;=(WORKDAY(L254,3,0)),"No prazo","Atrasado"),IF(O254="Blossom - Documento a emitir","Documento a Emitir",IF(O254="Documento Removido","Documento Removido","ERRO")))))))</f>
        <v>Documento a Emitir</v>
      </c>
      <c r="O254" s="63" t="str">
        <f t="shared" si="31"/>
        <v>Blossom - Documento a emitir</v>
      </c>
      <c r="P254" s="63" t="str">
        <f t="shared" si="32"/>
        <v>Blossom</v>
      </c>
      <c r="Q254" s="63" t="str">
        <f>IF(_xlfn.XLOOKUP(D254,'LD-ELFA'!F:F,'LD-ELFA'!V:V)="","",_xlfn.XLOOKUP(D254,'LD-ELFA'!F:F,'LD-ELFA'!V:V))</f>
        <v/>
      </c>
      <c r="R254" s="40">
        <f>IFERROR(IF(I254&lt;&gt;"","Documento Emitido",_xlfn.XLOOKUP(D254,Cronograma!P:P,Cronograma!Q:Q)),"Documento Removido")</f>
        <v>46260</v>
      </c>
      <c r="S254" s="40" t="str">
        <f t="shared" ca="1" si="33"/>
        <v>No prazo</v>
      </c>
      <c r="T254" s="40">
        <f>IFERROR(IF(I254&lt;&gt;"","Documento Emitido",_xlfn.XLOOKUP(D254,Cronograma!P:P,Cronograma!R:R)),"Documento Removido")</f>
        <v>46265</v>
      </c>
      <c r="U254" s="39" t="str">
        <f t="shared" si="34"/>
        <v>No prazo</v>
      </c>
      <c r="V254" s="39" t="str">
        <f t="shared" si="35"/>
        <v/>
      </c>
      <c r="W254" s="39" t="str">
        <f t="shared" ca="1" si="36"/>
        <v/>
      </c>
    </row>
    <row r="255" spans="1:23" ht="28.5" customHeight="1" x14ac:dyDescent="0.25">
      <c r="A255" s="39">
        <v>252</v>
      </c>
      <c r="B255" s="39" t="str">
        <f>_xlfn.XLOOKUP(D255,'LD-ELFA'!F:F,'LD-ELFA'!C:C)</f>
        <v>ME - Mecanica</v>
      </c>
      <c r="C255" s="39" t="str">
        <f>_xlfn.XLOOKUP(D255,'LD-ELFA'!F:F,'LD-ELFA'!D:D)</f>
        <v>PQU - Planilha De Quantitativos</v>
      </c>
      <c r="D255" s="39" t="s">
        <v>255</v>
      </c>
      <c r="E255" s="39" t="str">
        <f>_xlfn.LET(_xlpm.q,_xlfn.XLOOKUP(D255,'LD-ELFA'!F:F,'LD-ELFA'!Q:Q),
   _xlpm.r,_xlfn.XLOOKUP(D255,'LD-ELFA'!F:F,'LD-ELFA'!R:R),
   IF(_xlpm.r = "", _xlpm.q, _xlpm.q &amp; " - " &amp; _xlpm.r))</f>
        <v>PLANILHA DE QUANTIDADES - FORNECIMENTO DE EQUIPAMENTOS MECÂNICOS</v>
      </c>
      <c r="F255" s="63" t="str">
        <f t="shared" si="30"/>
        <v>Básico</v>
      </c>
      <c r="G255" s="63">
        <f>_xlfn.XLOOKUP(D255,'LD-ELFA'!F:F,'LD-ELFA'!G:G)</f>
        <v>0</v>
      </c>
      <c r="H255" s="63">
        <f>_xlfn.XLOOKUP(D255,'LD-ELFA'!F:F,'LD-ELFA'!I:I)</f>
        <v>0</v>
      </c>
      <c r="I255" s="63" t="str">
        <f>IF(_xlfn.XLOOKUP(D255,'LD-ELFA'!F:F,'LD-ELFA'!T:T)="","",_xlfn.XLOOKUP(D255,'LD-ELFA'!F:F,'LD-ELFA'!T:T))</f>
        <v/>
      </c>
      <c r="J255" s="63" t="str">
        <f>IF(K255="Documento a emitir", "",_xlfn.XLOOKUP(D255,'LD-ELFA'!F:F,'LD-ELFA'!N:N))</f>
        <v/>
      </c>
      <c r="K255" s="43" t="str">
        <f>IF(_xlfn.XLOOKUP($D255,'LD-ELFA'!F:F,'LD-ELFA'!U:U)="","Documento a emitir",_xlfn.XLOOKUP($D255,'LD-ELFA'!F:F,'LD-ELFA'!U:U))</f>
        <v>Documento a emitir</v>
      </c>
      <c r="L255" s="43" t="str">
        <f>IF(K255="Documento a emitir","Documento a emitir",IF(K255&lt;&gt;"Documento a emitir",IF(_xlfn.XLOOKUP(D255,'LD-ELFA'!F:F,'LD-ELFA'!W:W)="","",_xlfn.XLOOKUP(D255,'LD-ELFA'!F:F,'LD-ELFA'!W:W)),""))</f>
        <v>Documento a emitir</v>
      </c>
      <c r="M255" s="43" t="str">
        <f>IF(K255="Documento a emitir","",IF(AND(Q255="APC-R  - APC-R - Aprovado com Comentários (Retornar para uma nova Aprovação)",Q255="APC-L  - APC-L  - Aprovado com Comentários (Retornar Aprovado)"),"",IF(OR(_xlfn.XLOOKUP(D255,'LD-ELFA'!F:F,'LD-ELFA'!N:N)="PARA CONHECIMENTO",_xlfn.XLOOKUP(D255,'LD-ELFA'!F:F,'LD-ELFA'!N:N)="PARA CONSTRUÇÃO",_xlfn.XLOOKUP(D255,'LD-ELFA'!F:F,'LD-ELFA'!N:N)="PARA COTAÇÃO",_xlfn.XLOOKUP(D255,'LD-ELFA'!F:F,'LD-ELFA'!N:N)="CANCELADO"),_xlfn.XLOOKUP(D255,'LD-ELFA'!F:F,'LD-ELFA'!U:U),IF(AND(L255="",J255&lt;&gt;"PARA APROVAÇÃO"),"",""))))</f>
        <v/>
      </c>
      <c r="N255" s="63" t="str">
        <f t="shared" ref="N255:N272" ca="1" si="40">IF(O255="Documento Concluído","Documento Concluído",IF(O255="Cliente - Atendimento de Comentário",IF(TODAY()&lt;=(K255+3),"No prazo","Atrasado"),IF(O255="Cliente - Atendimento de Comentário",IF(TODAY()&lt;=(WORKDAY(K255,3,0)),"No prazo","Atrasado"),IF(O255="Blossom - Emissão Final",IF(TODAY()&lt;=(WORKDAY(L255,3,0)),"No prazo","Atrasado"),IF(O255="Blossom - Atendimento de Comentário",IF(TODAY()&lt;=(WORKDAY(L255,3,0)),"No prazo","Atrasado"),IF(O255="Blossom - Documento a emitir","Documento a Emitir","ERRO"))))))</f>
        <v>Documento a Emitir</v>
      </c>
      <c r="O255" s="63" t="str">
        <f t="shared" si="31"/>
        <v>Blossom - Documento a emitir</v>
      </c>
      <c r="P255" s="63" t="str">
        <f t="shared" si="32"/>
        <v>Blossom</v>
      </c>
      <c r="Q255" s="63" t="str">
        <f>IF(_xlfn.XLOOKUP(D255,'LD-ELFA'!F:F,'LD-ELFA'!V:V)="","",_xlfn.XLOOKUP(D255,'LD-ELFA'!F:F,'LD-ELFA'!V:V))</f>
        <v/>
      </c>
      <c r="R255" s="40">
        <f>IFERROR(IF(I255&lt;&gt;"","Documento Emitido",_xlfn.XLOOKUP(D255,Cronograma!P:P,Cronograma!Q:Q)),"Documento Removido")</f>
        <v>46260</v>
      </c>
      <c r="S255" s="40" t="str">
        <f t="shared" ca="1" si="33"/>
        <v>No prazo</v>
      </c>
      <c r="T255" s="40">
        <f>IFERROR(IF(I255&lt;&gt;"","Documento Emitido",_xlfn.XLOOKUP(D255,Cronograma!P:P,Cronograma!R:R)),"Documento Removido")</f>
        <v>46265</v>
      </c>
      <c r="U255" s="39" t="str">
        <f t="shared" si="34"/>
        <v>No prazo</v>
      </c>
      <c r="V255" s="39" t="str">
        <f t="shared" si="35"/>
        <v/>
      </c>
      <c r="W255" s="39" t="str">
        <f t="shared" ca="1" si="36"/>
        <v/>
      </c>
    </row>
    <row r="256" spans="1:23" ht="28.5" customHeight="1" x14ac:dyDescent="0.25">
      <c r="A256" s="39">
        <v>253</v>
      </c>
      <c r="B256" s="39" t="str">
        <f>_xlfn.XLOOKUP(D256,'LD-ELFA'!F:F,'LD-ELFA'!C:C)</f>
        <v>ME - Mecanica</v>
      </c>
      <c r="C256" s="39" t="str">
        <f>_xlfn.XLOOKUP(D256,'LD-ELFA'!F:F,'LD-ELFA'!D:D)</f>
        <v>PQU - Planilha De Quantitativos</v>
      </c>
      <c r="D256" s="39" t="s">
        <v>256</v>
      </c>
      <c r="E256" s="39" t="str">
        <f>_xlfn.LET(_xlpm.q,_xlfn.XLOOKUP(D256,'LD-ELFA'!F:F,'LD-ELFA'!Q:Q),
   _xlpm.r,_xlfn.XLOOKUP(D256,'LD-ELFA'!F:F,'LD-ELFA'!R:R),
   IF(_xlpm.r = "", _xlpm.q, _xlpm.q &amp; " - " &amp; _xlpm.r))</f>
        <v>PLANILHA QUANTIDADES - MONTAGEM ELETROMECÂNICA</v>
      </c>
      <c r="F256" s="63" t="str">
        <f t="shared" si="30"/>
        <v>Básico</v>
      </c>
      <c r="G256" s="63">
        <f>_xlfn.XLOOKUP(D256,'LD-ELFA'!F:F,'LD-ELFA'!G:G)</f>
        <v>0</v>
      </c>
      <c r="H256" s="63">
        <f>_xlfn.XLOOKUP(D256,'LD-ELFA'!F:F,'LD-ELFA'!I:I)</f>
        <v>0</v>
      </c>
      <c r="I256" s="63" t="str">
        <f>IF(_xlfn.XLOOKUP(D256,'LD-ELFA'!F:F,'LD-ELFA'!T:T)="","",_xlfn.XLOOKUP(D256,'LD-ELFA'!F:F,'LD-ELFA'!T:T))</f>
        <v/>
      </c>
      <c r="J256" s="63" t="str">
        <f>IF(K256="Documento a emitir", "",_xlfn.XLOOKUP(D256,'LD-ELFA'!F:F,'LD-ELFA'!N:N))</f>
        <v/>
      </c>
      <c r="K256" s="43" t="str">
        <f>IF(_xlfn.XLOOKUP($D256,'LD-ELFA'!F:F,'LD-ELFA'!U:U)="","Documento a emitir",_xlfn.XLOOKUP($D256,'LD-ELFA'!F:F,'LD-ELFA'!U:U))</f>
        <v>Documento a emitir</v>
      </c>
      <c r="L256" s="43" t="str">
        <f>IF(K256="Documento a emitir","Documento a emitir",IF(K256&lt;&gt;"Documento a emitir",IF(_xlfn.XLOOKUP(D256,'LD-ELFA'!F:F,'LD-ELFA'!W:W)="","",_xlfn.XLOOKUP(D256,'LD-ELFA'!F:F,'LD-ELFA'!W:W)),""))</f>
        <v>Documento a emitir</v>
      </c>
      <c r="M256" s="43" t="str">
        <f>IF(K256="Documento a emitir","",IF(AND(Q256="APC-R  - APC-R - Aprovado com Comentários (Retornar para uma nova Aprovação)",Q256="APC-L  - APC-L  - Aprovado com Comentários (Retornar Aprovado)"),"",IF(OR(_xlfn.XLOOKUP(D256,'LD-ELFA'!F:F,'LD-ELFA'!N:N)="PARA CONHECIMENTO",_xlfn.XLOOKUP(D256,'LD-ELFA'!F:F,'LD-ELFA'!N:N)="PARA CONSTRUÇÃO",_xlfn.XLOOKUP(D256,'LD-ELFA'!F:F,'LD-ELFA'!N:N)="PARA COTAÇÃO",_xlfn.XLOOKUP(D256,'LD-ELFA'!F:F,'LD-ELFA'!N:N)="CANCELADO"),_xlfn.XLOOKUP(D256,'LD-ELFA'!F:F,'LD-ELFA'!U:U),IF(AND(L256="",J256&lt;&gt;"PARA APROVAÇÃO"),"",""))))</f>
        <v/>
      </c>
      <c r="N256" s="63" t="str">
        <f t="shared" ca="1" si="40"/>
        <v>Documento a Emitir</v>
      </c>
      <c r="O256" s="63" t="str">
        <f t="shared" si="31"/>
        <v>Blossom - Documento a emitir</v>
      </c>
      <c r="P256" s="63" t="str">
        <f t="shared" si="32"/>
        <v>Blossom</v>
      </c>
      <c r="Q256" s="63" t="str">
        <f>IF(_xlfn.XLOOKUP(D256,'LD-ELFA'!F:F,'LD-ELFA'!V:V)="","",_xlfn.XLOOKUP(D256,'LD-ELFA'!F:F,'LD-ELFA'!V:V))</f>
        <v/>
      </c>
      <c r="R256" s="40">
        <f>IFERROR(IF(I256&lt;&gt;"","Documento Emitido",_xlfn.XLOOKUP(D256,Cronograma!P:P,Cronograma!Q:Q)),"Documento Removido")</f>
        <v>46260</v>
      </c>
      <c r="S256" s="40" t="str">
        <f t="shared" ca="1" si="33"/>
        <v>No prazo</v>
      </c>
      <c r="T256" s="40">
        <f>IFERROR(IF(I256&lt;&gt;"","Documento Emitido",_xlfn.XLOOKUP(D256,Cronograma!P:P,Cronograma!R:R)),"Documento Removido")</f>
        <v>46265</v>
      </c>
      <c r="U256" s="39" t="str">
        <f t="shared" si="34"/>
        <v>No prazo</v>
      </c>
      <c r="V256" s="39" t="str">
        <f t="shared" si="35"/>
        <v/>
      </c>
      <c r="W256" s="39" t="str">
        <f t="shared" ca="1" si="36"/>
        <v/>
      </c>
    </row>
    <row r="257" spans="1:23" ht="28.5" customHeight="1" x14ac:dyDescent="0.25">
      <c r="A257" s="39">
        <v>254</v>
      </c>
      <c r="B257" s="39" t="str">
        <f>_xlfn.XLOOKUP(D257,'LD-ELFA'!F:F,'LD-ELFA'!C:C)</f>
        <v>PC - Planejamento E Controle</v>
      </c>
      <c r="C257" s="39" t="str">
        <f>_xlfn.XLOOKUP(D257,'LD-ELFA'!F:F,'LD-ELFA'!D:D)</f>
        <v>CRO - Cronograma</v>
      </c>
      <c r="D257" s="39" t="s">
        <v>257</v>
      </c>
      <c r="E257" s="39" t="str">
        <f>_xlfn.LET(_xlpm.q,_xlfn.XLOOKUP(D257,'LD-ELFA'!F:F,'LD-ELFA'!Q:Q),
   _xlpm.r,_xlfn.XLOOKUP(D257,'LD-ELFA'!F:F,'LD-ELFA'!R:R),
   IF(_xlpm.r = "", _xlpm.q, _xlpm.q &amp; " - " &amp; _xlpm.r))</f>
        <v>CRONOGRAMA DETALHADO</v>
      </c>
      <c r="F257" s="63" t="str">
        <f t="shared" si="30"/>
        <v>Básico</v>
      </c>
      <c r="G257" s="63">
        <f>_xlfn.XLOOKUP(D257,'LD-ELFA'!F:F,'LD-ELFA'!G:G)</f>
        <v>1</v>
      </c>
      <c r="H257" s="63" t="str">
        <f>_xlfn.XLOOKUP(D257,'LD-ELFA'!F:F,'LD-ELFA'!I:I)</f>
        <v>0</v>
      </c>
      <c r="I257" s="63" t="str">
        <f>IF(_xlfn.XLOOKUP(D257,'LD-ELFA'!F:F,'LD-ELFA'!T:T)="","",_xlfn.XLOOKUP(D257,'LD-ELFA'!F:F,'LD-ELFA'!T:T))</f>
        <v>0037</v>
      </c>
      <c r="J257" s="63" t="str">
        <f>IF(K257="Documento a emitir", "",_xlfn.XLOOKUP(D257,'LD-ELFA'!F:F,'LD-ELFA'!N:N))</f>
        <v>PARA CONHECIMENTO</v>
      </c>
      <c r="K257" s="43">
        <f>IF(_xlfn.XLOOKUP($D257,'LD-ELFA'!F:F,'LD-ELFA'!U:U)="","Documento a emitir",_xlfn.XLOOKUP($D257,'LD-ELFA'!F:F,'LD-ELFA'!U:U))</f>
        <v>46213.700537002318</v>
      </c>
      <c r="L257" s="43">
        <f>IF(K257="Documento a emitir","Documento a emitir",IF(K257&lt;&gt;"Documento a emitir",IF(_xlfn.XLOOKUP(D257,'LD-ELFA'!F:F,'LD-ELFA'!W:W)="","",_xlfn.XLOOKUP(D257,'LD-ELFA'!F:F,'LD-ELFA'!W:W)),""))</f>
        <v>46216.483582442132</v>
      </c>
      <c r="M257" s="43">
        <f>IF(K257="Documento a emitir","",IF(AND(Q257="APC-R  - APC-R - Aprovado com Comentários (Retornar para uma nova Aprovação)",Q257="APC-L  - APC-L  - Aprovado com Comentários (Retornar Aprovado)"),"",IF(OR(_xlfn.XLOOKUP(D257,'LD-ELFA'!F:F,'LD-ELFA'!N:N)="PARA CONHECIMENTO",_xlfn.XLOOKUP(D257,'LD-ELFA'!F:F,'LD-ELFA'!N:N)="PARA CONSTRUÇÃO",_xlfn.XLOOKUP(D257,'LD-ELFA'!F:F,'LD-ELFA'!N:N)="PARA COTAÇÃO",_xlfn.XLOOKUP(D257,'LD-ELFA'!F:F,'LD-ELFA'!N:N)="CANCELADO"),_xlfn.XLOOKUP(D257,'LD-ELFA'!F:F,'LD-ELFA'!U:U),IF(AND(L257="",J257&lt;&gt;"PARA APROVAÇÃO"),"",""))))</f>
        <v>46213.700537002318</v>
      </c>
      <c r="N257" s="63" t="str">
        <f t="shared" ca="1" si="40"/>
        <v>Documento Concluído</v>
      </c>
      <c r="O257" s="63" t="str">
        <f t="shared" si="31"/>
        <v>Documento Concluído</v>
      </c>
      <c r="P257" s="63" t="str">
        <f t="shared" si="32"/>
        <v>Blossom</v>
      </c>
      <c r="Q257" s="63" t="str">
        <f>IF(_xlfn.XLOOKUP(D257,'LD-ELFA'!F:F,'LD-ELFA'!V:V)="","",_xlfn.XLOOKUP(D257,'LD-ELFA'!F:F,'LD-ELFA'!V:V))</f>
        <v>APR - APROVADO</v>
      </c>
      <c r="R257" s="40" t="str">
        <f>IFERROR(IF(I257&lt;&gt;"","Documento Emitido",_xlfn.XLOOKUP(D257,Cronograma!P:P,Cronograma!Q:Q)),"Documento Removido")</f>
        <v>Documento Emitido</v>
      </c>
      <c r="S257" s="40" t="str">
        <f t="shared" ca="1" si="33"/>
        <v>Documento Emitido</v>
      </c>
      <c r="T257" s="40" t="str">
        <f>IFERROR(IF(I257&lt;&gt;"","Documento Emitido",_xlfn.XLOOKUP(D257,Cronograma!P:P,Cronograma!R:R)),"Documento Removido")</f>
        <v>Documento Emitido</v>
      </c>
      <c r="U257" s="39" t="str">
        <f t="shared" si="34"/>
        <v>Documento Emitido</v>
      </c>
      <c r="V257" s="39" t="str">
        <f t="shared" si="35"/>
        <v>Documento Emitido</v>
      </c>
      <c r="W257" s="39" t="str">
        <f t="shared" ca="1" si="36"/>
        <v>Atendimento de Comentário</v>
      </c>
    </row>
    <row r="258" spans="1:23" ht="28.5" customHeight="1" x14ac:dyDescent="0.25">
      <c r="A258" s="39">
        <v>255</v>
      </c>
      <c r="B258" s="39" t="str">
        <f>_xlfn.XLOOKUP(D258,'LD-ELFA'!F:F,'LD-ELFA'!C:C)</f>
        <v>TU - Tubulacao</v>
      </c>
      <c r="C258" s="39" t="str">
        <f>_xlfn.XLOOKUP(D258,'LD-ELFA'!F:F,'LD-ELFA'!D:D)</f>
        <v>ETE - Especificação Técnica</v>
      </c>
      <c r="D258" s="39" t="s">
        <v>258</v>
      </c>
      <c r="E258" s="39" t="str">
        <f>_xlfn.LET(_xlpm.q,_xlfn.XLOOKUP(D258,'LD-ELFA'!F:F,'LD-ELFA'!Q:Q),
   _xlpm.r,_xlfn.XLOOKUP(D258,'LD-ELFA'!F:F,'LD-ELFA'!R:R),
   IF(_xlpm.r = "", _xlpm.q, _xlpm.q &amp; " - " &amp; _xlpm.r))</f>
        <v>ESPECIFICAÇÃO GERAL - MATERIAIS DE TUBULAÇÃO</v>
      </c>
      <c r="F258" s="63" t="str">
        <f t="shared" si="30"/>
        <v>Básico</v>
      </c>
      <c r="G258" s="63">
        <f>_xlfn.XLOOKUP(D258,'LD-ELFA'!F:F,'LD-ELFA'!G:G)</f>
        <v>0</v>
      </c>
      <c r="H258" s="63">
        <f>_xlfn.XLOOKUP(D258,'LD-ELFA'!F:F,'LD-ELFA'!I:I)</f>
        <v>0</v>
      </c>
      <c r="I258" s="63" t="str">
        <f>IF(_xlfn.XLOOKUP(D258,'LD-ELFA'!F:F,'LD-ELFA'!T:T)="","",_xlfn.XLOOKUP(D258,'LD-ELFA'!F:F,'LD-ELFA'!T:T))</f>
        <v/>
      </c>
      <c r="J258" s="63" t="str">
        <f>IF(K258="Documento a emitir", "",_xlfn.XLOOKUP(D258,'LD-ELFA'!F:F,'LD-ELFA'!N:N))</f>
        <v/>
      </c>
      <c r="K258" s="43" t="str">
        <f>IF(_xlfn.XLOOKUP($D258,'LD-ELFA'!F:F,'LD-ELFA'!U:U)="","Documento a emitir",_xlfn.XLOOKUP($D258,'LD-ELFA'!F:F,'LD-ELFA'!U:U))</f>
        <v>Documento a emitir</v>
      </c>
      <c r="L258" s="43" t="str">
        <f>IF(K258="Documento a emitir","Documento a emitir",IF(K258&lt;&gt;"Documento a emitir",IF(_xlfn.XLOOKUP(D258,'LD-ELFA'!F:F,'LD-ELFA'!W:W)="","",_xlfn.XLOOKUP(D258,'LD-ELFA'!F:F,'LD-ELFA'!W:W)),""))</f>
        <v>Documento a emitir</v>
      </c>
      <c r="M258" s="43" t="str">
        <f>IF(K258="Documento a emitir","",IF(AND(Q258="APC-R  - APC-R - Aprovado com Comentários (Retornar para uma nova Aprovação)",Q258="APC-L  - APC-L  - Aprovado com Comentários (Retornar Aprovado)"),"",IF(OR(_xlfn.XLOOKUP(D258,'LD-ELFA'!F:F,'LD-ELFA'!N:N)="PARA CONHECIMENTO",_xlfn.XLOOKUP(D258,'LD-ELFA'!F:F,'LD-ELFA'!N:N)="PARA CONSTRUÇÃO",_xlfn.XLOOKUP(D258,'LD-ELFA'!F:F,'LD-ELFA'!N:N)="PARA COTAÇÃO",_xlfn.XLOOKUP(D258,'LD-ELFA'!F:F,'LD-ELFA'!N:N)="CANCELADO"),_xlfn.XLOOKUP(D258,'LD-ELFA'!F:F,'LD-ELFA'!U:U),IF(AND(L258="",J258&lt;&gt;"PARA APROVAÇÃO"),"",""))))</f>
        <v/>
      </c>
      <c r="N258" s="63" t="str">
        <f t="shared" ca="1" si="40"/>
        <v>Documento a Emitir</v>
      </c>
      <c r="O258" s="63" t="str">
        <f t="shared" si="31"/>
        <v>Blossom - Documento a emitir</v>
      </c>
      <c r="P258" s="63" t="str">
        <f t="shared" si="32"/>
        <v>Blossom</v>
      </c>
      <c r="Q258" s="63" t="str">
        <f>IF(_xlfn.XLOOKUP(D258,'LD-ELFA'!F:F,'LD-ELFA'!V:V)="","",_xlfn.XLOOKUP(D258,'LD-ELFA'!F:F,'LD-ELFA'!V:V))</f>
        <v/>
      </c>
      <c r="R258" s="40">
        <f>IFERROR(IF(I258&lt;&gt;"","Documento Emitido",_xlfn.XLOOKUP(D258,Cronograma!P:P,Cronograma!Q:Q)),"Documento Removido")</f>
        <v>46259</v>
      </c>
      <c r="S258" s="40" t="str">
        <f t="shared" ca="1" si="33"/>
        <v>No prazo</v>
      </c>
      <c r="T258" s="40">
        <f>IFERROR(IF(I258&lt;&gt;"","Documento Emitido",_xlfn.XLOOKUP(D258,Cronograma!P:P,Cronograma!R:R)),"Documento Removido")</f>
        <v>46255</v>
      </c>
      <c r="U258" s="39" t="str">
        <f t="shared" si="34"/>
        <v>Emissão Atrasada</v>
      </c>
      <c r="V258" s="39" t="str">
        <f t="shared" si="35"/>
        <v/>
      </c>
      <c r="W258" s="39" t="str">
        <f t="shared" ca="1" si="36"/>
        <v/>
      </c>
    </row>
    <row r="259" spans="1:23" ht="28.5" customHeight="1" x14ac:dyDescent="0.25">
      <c r="A259" s="39">
        <v>256</v>
      </c>
      <c r="B259" s="39" t="e">
        <f>_xlfn.XLOOKUP(D259,'LD-ELFA'!F:F,'LD-ELFA'!C:C)</f>
        <v>#N/A</v>
      </c>
      <c r="C259" s="39" t="e">
        <f>_xlfn.XLOOKUP(D259,'LD-ELFA'!F:F,'LD-ELFA'!D:D)</f>
        <v>#N/A</v>
      </c>
      <c r="D259" s="39" t="s">
        <v>259</v>
      </c>
      <c r="E259" s="39" t="e">
        <f>_xlfn.LET(_xlpm.q,_xlfn.XLOOKUP(D259,'LD-ELFA'!F:F,'LD-ELFA'!Q:Q),
   _xlpm.r,_xlfn.XLOOKUP(D259,'LD-ELFA'!F:F,'LD-ELFA'!R:R),
   IF(_xlpm.r = "", _xlpm.q, _xlpm.q &amp; " - " &amp; _xlpm.r))</f>
        <v>#N/A</v>
      </c>
      <c r="F259" s="63" t="str">
        <f t="shared" si="30"/>
        <v>Básico</v>
      </c>
      <c r="G259" s="63" t="e">
        <f>_xlfn.XLOOKUP(D259,'LD-ELFA'!F:F,'LD-ELFA'!G:G)</f>
        <v>#N/A</v>
      </c>
      <c r="H259" s="63" t="e">
        <f>_xlfn.XLOOKUP(D259,'LD-ELFA'!F:F,'LD-ELFA'!I:I)</f>
        <v>#N/A</v>
      </c>
      <c r="I259" s="63" t="e">
        <f>IF(_xlfn.XLOOKUP(D259,'LD-ELFA'!F:F,'LD-ELFA'!T:T)="","",_xlfn.XLOOKUP(D259,'LD-ELFA'!F:F,'LD-ELFA'!T:T))</f>
        <v>#N/A</v>
      </c>
      <c r="J259" s="63" t="e">
        <f>IF(K259="Documento a emitir", "",_xlfn.XLOOKUP(D259,'LD-ELFA'!F:F,'LD-ELFA'!N:N))</f>
        <v>#N/A</v>
      </c>
      <c r="K259" s="43" t="e">
        <f>IF(_xlfn.XLOOKUP($D259,'LD-ELFA'!F:F,'LD-ELFA'!U:U)="","Documento a emitir",_xlfn.XLOOKUP($D259,'LD-ELFA'!F:F,'LD-ELFA'!U:U))</f>
        <v>#N/A</v>
      </c>
      <c r="L259" s="43" t="e">
        <f>IF(K259="Documento a emitir","Documento a emitir",IF(K259&lt;&gt;"Documento a emitir",IF(_xlfn.XLOOKUP(D259,'LD-ELFA'!F:F,'LD-ELFA'!W:W)="","",_xlfn.XLOOKUP(D259,'LD-ELFA'!F:F,'LD-ELFA'!W:W)),""))</f>
        <v>#N/A</v>
      </c>
      <c r="M259" s="43" t="e">
        <f>IF(K259="Documento a emitir","",IF(AND(Q259="APC-R  - APC-R - Aprovado com Comentários (Retornar para uma nova Aprovação)",Q259="APC-L  - APC-L  - Aprovado com Comentários (Retornar Aprovado)"),"",IF(OR(_xlfn.XLOOKUP(D259,'LD-ELFA'!F:F,'LD-ELFA'!N:N)="PARA CONHECIMENTO",_xlfn.XLOOKUP(D259,'LD-ELFA'!F:F,'LD-ELFA'!N:N)="PARA CONSTRUÇÃO",_xlfn.XLOOKUP(D259,'LD-ELFA'!F:F,'LD-ELFA'!N:N)="PARA COTAÇÃO",_xlfn.XLOOKUP(D259,'LD-ELFA'!F:F,'LD-ELFA'!N:N)="CANCELADO"),_xlfn.XLOOKUP(D259,'LD-ELFA'!F:F,'LD-ELFA'!U:U),IF(AND(L259="",J259&lt;&gt;"PARA APROVAÇÃO"),"",""))))</f>
        <v>#N/A</v>
      </c>
      <c r="N259" s="63" t="str">
        <f t="shared" ca="1" si="40"/>
        <v>ERRO</v>
      </c>
      <c r="O259" s="63" t="str">
        <f t="shared" si="31"/>
        <v>Documento Removido</v>
      </c>
      <c r="P259" s="63" t="str">
        <f t="shared" si="32"/>
        <v>Blossom</v>
      </c>
      <c r="Q259" s="63" t="e">
        <f>IF(_xlfn.XLOOKUP(D259,'LD-ELFA'!F:F,'LD-ELFA'!V:V)="","",_xlfn.XLOOKUP(D259,'LD-ELFA'!F:F,'LD-ELFA'!V:V))</f>
        <v>#N/A</v>
      </c>
      <c r="R259" s="40" t="str">
        <f>IFERROR(IF(I259&lt;&gt;"","Documento Emitido",_xlfn.XLOOKUP(D259,Cronograma!P:P,Cronograma!Q:Q)),"Documento Removido")</f>
        <v>Documento Removido</v>
      </c>
      <c r="S259" s="40" t="str">
        <f t="shared" ca="1" si="33"/>
        <v>Documento Removido</v>
      </c>
      <c r="T259" s="40" t="str">
        <f>IFERROR(IF(I259&lt;&gt;"","Documento Emitido",_xlfn.XLOOKUP(D259,Cronograma!P:P,Cronograma!R:R)),"Documento Removido")</f>
        <v>Documento Removido</v>
      </c>
      <c r="U259" s="39" t="str">
        <f t="shared" si="34"/>
        <v>Documento Removido</v>
      </c>
      <c r="V259" s="39" t="str">
        <f t="shared" si="35"/>
        <v>Documento Removido</v>
      </c>
      <c r="W259" s="39" t="e">
        <f t="shared" ca="1" si="36"/>
        <v>#N/A</v>
      </c>
    </row>
    <row r="260" spans="1:23" ht="28.5" customHeight="1" x14ac:dyDescent="0.25">
      <c r="A260" s="39">
        <v>257</v>
      </c>
      <c r="B260" s="39" t="str">
        <f>_xlfn.XLOOKUP(D260,'LD-ELFA'!F:F,'LD-ELFA'!C:C)</f>
        <v>TU - Tubulacao</v>
      </c>
      <c r="C260" s="39" t="str">
        <f>_xlfn.XLOOKUP(D260,'LD-ELFA'!F:F,'LD-ELFA'!D:D)</f>
        <v>MCA - Memória De Cálculo</v>
      </c>
      <c r="D260" s="39" t="s">
        <v>260</v>
      </c>
      <c r="E260" s="39" t="str">
        <f>_xlfn.LET(_xlpm.q,_xlfn.XLOOKUP(D260,'LD-ELFA'!F:F,'LD-ELFA'!Q:Q),
   _xlpm.r,_xlfn.XLOOKUP(D260,'LD-ELFA'!F:F,'LD-ELFA'!R:R),
   IF(_xlpm.r = "", _xlpm.q, _xlpm.q &amp; " - " &amp; _xlpm.r))</f>
        <v>MEMÓRIA DE CÁLCULO - ESTIMATIVA DE MATERIAIS DE TUBULAÇÃO</v>
      </c>
      <c r="F260" s="63" t="str">
        <f t="shared" ref="F260:F286" si="41">IF(ISNUMBER(VALUE(RIGHT(D260,4))),
IF(AND(VALUE(RIGHT(D260,4))&gt;=1000, VALUE(RIGHT(D260,4))&lt;2000), "Conceitual",
IF(AND(VALUE(RIGHT(D260,4))&gt;=2000, VALUE(RIGHT(D260,4))&lt;3000), "Básico",
IF(AND(VALUE(RIGHT(D260,4))&gt;=3000, VALUE(RIGHT(D260,4))&lt;4000), "Detalhado", ""))),
"")</f>
        <v>Básico</v>
      </c>
      <c r="G260" s="63">
        <f>_xlfn.XLOOKUP(D260,'LD-ELFA'!F:F,'LD-ELFA'!G:G)</f>
        <v>0</v>
      </c>
      <c r="H260" s="63">
        <f>_xlfn.XLOOKUP(D260,'LD-ELFA'!F:F,'LD-ELFA'!I:I)</f>
        <v>0</v>
      </c>
      <c r="I260" s="63" t="str">
        <f>IF(_xlfn.XLOOKUP(D260,'LD-ELFA'!F:F,'LD-ELFA'!T:T)="","",_xlfn.XLOOKUP(D260,'LD-ELFA'!F:F,'LD-ELFA'!T:T))</f>
        <v/>
      </c>
      <c r="J260" s="63" t="str">
        <f>IF(K260="Documento a emitir", "",_xlfn.XLOOKUP(D260,'LD-ELFA'!F:F,'LD-ELFA'!N:N))</f>
        <v/>
      </c>
      <c r="K260" s="43" t="str">
        <f>IF(_xlfn.XLOOKUP($D260,'LD-ELFA'!F:F,'LD-ELFA'!U:U)="","Documento a emitir",_xlfn.XLOOKUP($D260,'LD-ELFA'!F:F,'LD-ELFA'!U:U))</f>
        <v>Documento a emitir</v>
      </c>
      <c r="L260" s="43" t="str">
        <f>IF(K260="Documento a emitir","Documento a emitir",IF(K260&lt;&gt;"Documento a emitir",IF(_xlfn.XLOOKUP(D260,'LD-ELFA'!F:F,'LD-ELFA'!W:W)="","",_xlfn.XLOOKUP(D260,'LD-ELFA'!F:F,'LD-ELFA'!W:W)),""))</f>
        <v>Documento a emitir</v>
      </c>
      <c r="M260" s="43" t="str">
        <f>IF(K260="Documento a emitir","",IF(AND(Q260="APC-R  - APC-R - Aprovado com Comentários (Retornar para uma nova Aprovação)",Q260="APC-L  - APC-L  - Aprovado com Comentários (Retornar Aprovado)"),"",IF(OR(_xlfn.XLOOKUP(D260,'LD-ELFA'!F:F,'LD-ELFA'!N:N)="PARA CONHECIMENTO",_xlfn.XLOOKUP(D260,'LD-ELFA'!F:F,'LD-ELFA'!N:N)="PARA CONSTRUÇÃO",_xlfn.XLOOKUP(D260,'LD-ELFA'!F:F,'LD-ELFA'!N:N)="PARA COTAÇÃO",_xlfn.XLOOKUP(D260,'LD-ELFA'!F:F,'LD-ELFA'!N:N)="CANCELADO"),_xlfn.XLOOKUP(D260,'LD-ELFA'!F:F,'LD-ELFA'!U:U),IF(AND(L260="",J260&lt;&gt;"PARA APROVAÇÃO"),"",""))))</f>
        <v/>
      </c>
      <c r="N260" s="63" t="str">
        <f t="shared" ca="1" si="40"/>
        <v>Documento a Emitir</v>
      </c>
      <c r="O260" s="63" t="str">
        <f t="shared" ref="O260:O286" si="42">IF(R260="Documento Removido","Documento Removido",IF(M260&lt;&gt;"","Documento Concluído",IF(AND(M260="",Q260="PARA APROVAÇÃO"),"Blossom - Emissão Final",IF(AND(M260="",Q260="APC-L  - APC-L  - Aprovado com Comentários (Retornar Aprovado)",Q260="APC-R  - APC-R - Aprovado com Comentários (Retornar para uma nova Aprovação)"),"Blossom - Atendimento de Comentário",IF(AND(L260&lt;&gt;"",J260="PARA APROVAÇÃO"),"Blossom - Atendimento de Comentário",IF(AND(L260&lt;&gt;"",J260="PRELIMINAR"),"Blossom - Atendimento de Comentário",IF(AND(L260="",J260&lt;&gt;"PARA APROVAÇÃO"),"Cliente - Atendimento de Comentário",IF(AND(L260="",J260&lt;&gt;"PRELIMINAR"),"Cliente - Atendimento de Comentário",IF(AND(K260&lt;&gt;"Documento a emitir",J260="PARA APROVAÇÃO"),"Cliente - Atendimento de Comentário",IF(K260="Documento a emitir","Blossom - Documento a emitir","ERRO"))))))))))</f>
        <v>Blossom - Documento a emitir</v>
      </c>
      <c r="P260" s="63" t="str">
        <f t="shared" ref="P260:P323" si="43">IF(O260="Documento finalizado","Documento finalizado",IF(ISNUMBER(FIND("Cliente",O260)),"Circlua","Blossom"))</f>
        <v>Blossom</v>
      </c>
      <c r="Q260" s="63" t="str">
        <f>IF(_xlfn.XLOOKUP(D260,'LD-ELFA'!F:F,'LD-ELFA'!V:V)="","",_xlfn.XLOOKUP(D260,'LD-ELFA'!F:F,'LD-ELFA'!V:V))</f>
        <v/>
      </c>
      <c r="R260" s="40">
        <f>IFERROR(IF(I260&lt;&gt;"","Documento Emitido",_xlfn.XLOOKUP(D260,Cronograma!P:P,Cronograma!Q:Q)),"Documento Removido")</f>
        <v>46252</v>
      </c>
      <c r="S260" s="40" t="str">
        <f t="shared" ref="S260:S323" ca="1" si="44">IFERROR(IF(K260&lt;&gt;"Documento a emitir","Documento Emitido",IF(R260&lt;TODAY(),"Emissão Atrasada","No prazo")),"Documento Removido")</f>
        <v>No prazo</v>
      </c>
      <c r="T260" s="40">
        <f>IFERROR(IF(I260&lt;&gt;"","Documento Emitido",_xlfn.XLOOKUP(D260,Cronograma!P:P,Cronograma!R:R)),"Documento Removido")</f>
        <v>46248</v>
      </c>
      <c r="U260" s="39" t="str">
        <f t="shared" ref="U260:U323" si="45">IFERROR(IF(K260&lt;&gt;"Documento a emitir","Documento Emitido",IF(T260&lt;R260,"Emissão Atrasada","No prazo")),"Documento Removido")</f>
        <v>Emissão Atrasada</v>
      </c>
      <c r="V260" s="39" t="str">
        <f t="shared" ref="V260:V286" si="46">IF(R260="Documento Emitido","Documento Emitido",
IF(R260="Documento Removido","Documento Removido",
IF(AND(R260-$D$1&gt;=0,R260-$D$1&lt;=7),"Semana 1",
IF(AND(R260-$D$1&gt;7,R260-$D$1&lt;=14),"Semana 2",IF(AND(R260-$D$1&gt;14,R260-$D$1&lt;=21),"Semana 3","")))))</f>
        <v/>
      </c>
      <c r="W260" s="39" t="str">
        <f t="shared" ref="W260:W286" ca="1" si="47">IF(OR(K260="Documento a emitir", K260="Documento Emitido"), "",
IF(AND(ISNUMBER(K260),
K260&gt;=TODAY()-WEEKDAY(TODAY(),2)-6,
K260&lt;=TODAY()-WEEKDAY(TODAY(),2)+5),
IF(G260=0, "Emissão Semana", "Atendimento de Comentário"),
""))</f>
        <v/>
      </c>
    </row>
    <row r="261" spans="1:23" ht="28.5" customHeight="1" x14ac:dyDescent="0.25">
      <c r="A261" s="39">
        <v>258</v>
      </c>
      <c r="B261" s="39" t="str">
        <f>_xlfn.XLOOKUP(D261,'LD-ELFA'!F:F,'LD-ELFA'!C:C)</f>
        <v>TU - Tubulacao</v>
      </c>
      <c r="C261" s="39" t="str">
        <f>_xlfn.XLOOKUP(D261,'LD-ELFA'!F:F,'LD-ELFA'!D:D)</f>
        <v>PQU - Planilha De Quantitativos</v>
      </c>
      <c r="D261" s="39" t="s">
        <v>261</v>
      </c>
      <c r="E261" s="39" t="str">
        <f>_xlfn.LET(_xlpm.q,_xlfn.XLOOKUP(D261,'LD-ELFA'!F:F,'LD-ELFA'!Q:Q),
   _xlpm.r,_xlfn.XLOOKUP(D261,'LD-ELFA'!F:F,'LD-ELFA'!R:R),
   IF(_xlpm.r = "", _xlpm.q, _xlpm.q &amp; " - " &amp; _xlpm.r))</f>
        <v>PLANILHA DE QUANTIDADES - FORNECIMENTO DE TUBULAÇÕES</v>
      </c>
      <c r="F261" s="63" t="str">
        <f t="shared" si="41"/>
        <v>Básico</v>
      </c>
      <c r="G261" s="63">
        <f>_xlfn.XLOOKUP(D261,'LD-ELFA'!F:F,'LD-ELFA'!G:G)</f>
        <v>0</v>
      </c>
      <c r="H261" s="63">
        <f>_xlfn.XLOOKUP(D261,'LD-ELFA'!F:F,'LD-ELFA'!I:I)</f>
        <v>0</v>
      </c>
      <c r="I261" s="63" t="str">
        <f>IF(_xlfn.XLOOKUP(D261,'LD-ELFA'!F:F,'LD-ELFA'!T:T)="","",_xlfn.XLOOKUP(D261,'LD-ELFA'!F:F,'LD-ELFA'!T:T))</f>
        <v/>
      </c>
      <c r="J261" s="63" t="str">
        <f>IF(K261="Documento a emitir", "",_xlfn.XLOOKUP(D261,'LD-ELFA'!F:F,'LD-ELFA'!N:N))</f>
        <v/>
      </c>
      <c r="K261" s="43" t="str">
        <f>IF(_xlfn.XLOOKUP($D261,'LD-ELFA'!F:F,'LD-ELFA'!U:U)="","Documento a emitir",_xlfn.XLOOKUP($D261,'LD-ELFA'!F:F,'LD-ELFA'!U:U))</f>
        <v>Documento a emitir</v>
      </c>
      <c r="L261" s="43" t="str">
        <f>IF(K261="Documento a emitir","Documento a emitir",IF(K261&lt;&gt;"Documento a emitir",IF(_xlfn.XLOOKUP(D261,'LD-ELFA'!F:F,'LD-ELFA'!W:W)="","",_xlfn.XLOOKUP(D261,'LD-ELFA'!F:F,'LD-ELFA'!W:W)),""))</f>
        <v>Documento a emitir</v>
      </c>
      <c r="M261" s="43" t="str">
        <f>IF(K261="Documento a emitir","",IF(AND(Q261="APC-R  - APC-R - Aprovado com Comentários (Retornar para uma nova Aprovação)",Q261="APC-L  - APC-L  - Aprovado com Comentários (Retornar Aprovado)"),"",IF(OR(_xlfn.XLOOKUP(D261,'LD-ELFA'!F:F,'LD-ELFA'!N:N)="PARA CONHECIMENTO",_xlfn.XLOOKUP(D261,'LD-ELFA'!F:F,'LD-ELFA'!N:N)="PARA CONSTRUÇÃO",_xlfn.XLOOKUP(D261,'LD-ELFA'!F:F,'LD-ELFA'!N:N)="PARA COTAÇÃO",_xlfn.XLOOKUP(D261,'LD-ELFA'!F:F,'LD-ELFA'!N:N)="CANCELADO"),_xlfn.XLOOKUP(D261,'LD-ELFA'!F:F,'LD-ELFA'!U:U),IF(AND(L261="",J261&lt;&gt;"PARA APROVAÇÃO"),"",""))))</f>
        <v/>
      </c>
      <c r="N261" s="63" t="str">
        <f t="shared" ca="1" si="40"/>
        <v>Documento a Emitir</v>
      </c>
      <c r="O261" s="63" t="str">
        <f t="shared" si="42"/>
        <v>Blossom - Documento a emitir</v>
      </c>
      <c r="P261" s="63" t="str">
        <f t="shared" si="43"/>
        <v>Blossom</v>
      </c>
      <c r="Q261" s="63" t="str">
        <f>IF(_xlfn.XLOOKUP(D261,'LD-ELFA'!F:F,'LD-ELFA'!V:V)="","",_xlfn.XLOOKUP(D261,'LD-ELFA'!F:F,'LD-ELFA'!V:V))</f>
        <v/>
      </c>
      <c r="R261" s="40">
        <f>IFERROR(IF(I261&lt;&gt;"","Documento Emitido",_xlfn.XLOOKUP(D261,Cronograma!P:P,Cronograma!Q:Q)),"Documento Removido")</f>
        <v>46267</v>
      </c>
      <c r="S261" s="40" t="str">
        <f t="shared" ca="1" si="44"/>
        <v>No prazo</v>
      </c>
      <c r="T261" s="40">
        <f>IFERROR(IF(I261&lt;&gt;"","Documento Emitido",_xlfn.XLOOKUP(D261,Cronograma!P:P,Cronograma!R:R)),"Documento Removido")</f>
        <v>46265</v>
      </c>
      <c r="U261" s="39" t="str">
        <f t="shared" si="45"/>
        <v>Emissão Atrasada</v>
      </c>
      <c r="V261" s="39" t="str">
        <f t="shared" si="46"/>
        <v/>
      </c>
      <c r="W261" s="39" t="str">
        <f t="shared" ca="1" si="47"/>
        <v/>
      </c>
    </row>
    <row r="262" spans="1:23" ht="28.5" customHeight="1" x14ac:dyDescent="0.25">
      <c r="A262" s="39">
        <v>259</v>
      </c>
      <c r="B262" s="39" t="str">
        <f>_xlfn.XLOOKUP(D262,'LD-ELFA'!F:F,'LD-ELFA'!C:C)</f>
        <v>UT - Sistema De Utilidades</v>
      </c>
      <c r="C262" s="39" t="str">
        <f>_xlfn.XLOOKUP(D262,'LD-ELFA'!F:F,'LD-ELFA'!D:D)</f>
        <v>ETE - Especificação Técnica</v>
      </c>
      <c r="D262" s="39" t="s">
        <v>262</v>
      </c>
      <c r="E262" s="39" t="str">
        <f>_xlfn.LET(_xlpm.q,_xlfn.XLOOKUP(D262,'LD-ELFA'!F:F,'LD-ELFA'!Q:Q),
   _xlpm.r,_xlfn.XLOOKUP(D262,'LD-ELFA'!F:F,'LD-ELFA'!R:R),
   IF(_xlpm.r = "", _xlpm.q, _xlpm.q &amp; " - " &amp; _xlpm.r))</f>
        <v>ESPECIFICAÇÃO TÉCNICA - SKID DE BOMBAS PARA COMBATE A INCÊNDIO</v>
      </c>
      <c r="F262" s="63" t="str">
        <f t="shared" si="41"/>
        <v>Básico</v>
      </c>
      <c r="G262" s="63">
        <f>_xlfn.XLOOKUP(D262,'LD-ELFA'!F:F,'LD-ELFA'!G:G)</f>
        <v>0</v>
      </c>
      <c r="H262" s="63">
        <f>_xlfn.XLOOKUP(D262,'LD-ELFA'!F:F,'LD-ELFA'!I:I)</f>
        <v>0</v>
      </c>
      <c r="I262" s="63" t="str">
        <f>IF(_xlfn.XLOOKUP(D262,'LD-ELFA'!F:F,'LD-ELFA'!T:T)="","",_xlfn.XLOOKUP(D262,'LD-ELFA'!F:F,'LD-ELFA'!T:T))</f>
        <v/>
      </c>
      <c r="J262" s="63" t="str">
        <f>IF(K262="Documento a emitir", "",_xlfn.XLOOKUP(D262,'LD-ELFA'!F:F,'LD-ELFA'!N:N))</f>
        <v/>
      </c>
      <c r="K262" s="43" t="str">
        <f>IF(_xlfn.XLOOKUP($D262,'LD-ELFA'!F:F,'LD-ELFA'!U:U)="","Documento a emitir",_xlfn.XLOOKUP($D262,'LD-ELFA'!F:F,'LD-ELFA'!U:U))</f>
        <v>Documento a emitir</v>
      </c>
      <c r="L262" s="43" t="str">
        <f>IF(K262="Documento a emitir","Documento a emitir",IF(K262&lt;&gt;"Documento a emitir",IF(_xlfn.XLOOKUP(D262,'LD-ELFA'!F:F,'LD-ELFA'!W:W)="","",_xlfn.XLOOKUP(D262,'LD-ELFA'!F:F,'LD-ELFA'!W:W)),""))</f>
        <v>Documento a emitir</v>
      </c>
      <c r="M262" s="43" t="str">
        <f>IF(K262="Documento a emitir","",IF(AND(Q262="APC-R  - APC-R - Aprovado com Comentários (Retornar para uma nova Aprovação)",Q262="APC-L  - APC-L  - Aprovado com Comentários (Retornar Aprovado)"),"",IF(OR(_xlfn.XLOOKUP(D262,'LD-ELFA'!F:F,'LD-ELFA'!N:N)="PARA CONHECIMENTO",_xlfn.XLOOKUP(D262,'LD-ELFA'!F:F,'LD-ELFA'!N:N)="PARA CONSTRUÇÃO",_xlfn.XLOOKUP(D262,'LD-ELFA'!F:F,'LD-ELFA'!N:N)="PARA COTAÇÃO",_xlfn.XLOOKUP(D262,'LD-ELFA'!F:F,'LD-ELFA'!N:N)="CANCELADO"),_xlfn.XLOOKUP(D262,'LD-ELFA'!F:F,'LD-ELFA'!U:U),IF(AND(L262="",J262&lt;&gt;"PARA APROVAÇÃO"),"",""))))</f>
        <v/>
      </c>
      <c r="N262" s="63" t="str">
        <f t="shared" ca="1" si="40"/>
        <v>Documento a Emitir</v>
      </c>
      <c r="O262" s="63" t="str">
        <f t="shared" si="42"/>
        <v>Blossom - Documento a emitir</v>
      </c>
      <c r="P262" s="63" t="str">
        <f t="shared" si="43"/>
        <v>Blossom</v>
      </c>
      <c r="Q262" s="63" t="str">
        <f>IF(_xlfn.XLOOKUP(D262,'LD-ELFA'!F:F,'LD-ELFA'!V:V)="","",_xlfn.XLOOKUP(D262,'LD-ELFA'!F:F,'LD-ELFA'!V:V))</f>
        <v/>
      </c>
      <c r="R262" s="40">
        <f>IFERROR(IF(I262&lt;&gt;"","Documento Emitido",_xlfn.XLOOKUP(D262,Cronograma!P:P,Cronograma!Q:Q)),"Documento Removido")</f>
        <v>46239</v>
      </c>
      <c r="S262" s="40" t="str">
        <f t="shared" ca="1" si="44"/>
        <v>No prazo</v>
      </c>
      <c r="T262" s="40">
        <f>IFERROR(IF(I262&lt;&gt;"","Documento Emitido",_xlfn.XLOOKUP(D262,Cronograma!P:P,Cronograma!R:R)),"Documento Removido")</f>
        <v>46247</v>
      </c>
      <c r="U262" s="39" t="str">
        <f t="shared" si="45"/>
        <v>No prazo</v>
      </c>
      <c r="V262" s="39" t="str">
        <f t="shared" si="46"/>
        <v/>
      </c>
      <c r="W262" s="39" t="str">
        <f t="shared" ca="1" si="47"/>
        <v/>
      </c>
    </row>
    <row r="263" spans="1:23" ht="28.5" customHeight="1" x14ac:dyDescent="0.25">
      <c r="A263" s="39">
        <v>260</v>
      </c>
      <c r="B263" s="39" t="str">
        <f>_xlfn.XLOOKUP(D263,'LD-ELFA'!F:F,'LD-ELFA'!C:C)</f>
        <v>UT - Sistema De Utilidades</v>
      </c>
      <c r="C263" s="39" t="str">
        <f>_xlfn.XLOOKUP(D263,'LD-ELFA'!F:F,'LD-ELFA'!D:D)</f>
        <v>ETE - Especificação Técnica</v>
      </c>
      <c r="D263" s="39" t="s">
        <v>263</v>
      </c>
      <c r="E263" s="39" t="str">
        <f>_xlfn.LET(_xlpm.q,_xlfn.XLOOKUP(D263,'LD-ELFA'!F:F,'LD-ELFA'!Q:Q),
   _xlpm.r,_xlfn.XLOOKUP(D263,'LD-ELFA'!F:F,'LD-ELFA'!R:R),
   IF(_xlpm.r = "", _xlpm.q, _xlpm.q &amp; " - " &amp; _xlpm.r))</f>
        <v>ESPECIFICAÇÃO TÉCNICA - ESTAÇÃO DE TRATAMENTO DE ÁGUA - ETA</v>
      </c>
      <c r="F263" s="63" t="str">
        <f t="shared" si="41"/>
        <v>Básico</v>
      </c>
      <c r="G263" s="63">
        <f>_xlfn.XLOOKUP(D263,'LD-ELFA'!F:F,'LD-ELFA'!G:G)</f>
        <v>0</v>
      </c>
      <c r="H263" s="63">
        <f>_xlfn.XLOOKUP(D263,'LD-ELFA'!F:F,'LD-ELFA'!I:I)</f>
        <v>0</v>
      </c>
      <c r="I263" s="63" t="str">
        <f>IF(_xlfn.XLOOKUP(D263,'LD-ELFA'!F:F,'LD-ELFA'!T:T)="","",_xlfn.XLOOKUP(D263,'LD-ELFA'!F:F,'LD-ELFA'!T:T))</f>
        <v/>
      </c>
      <c r="J263" s="63" t="str">
        <f>IF(K263="Documento a emitir", "",_xlfn.XLOOKUP(D263,'LD-ELFA'!F:F,'LD-ELFA'!N:N))</f>
        <v/>
      </c>
      <c r="K263" s="43" t="str">
        <f>IF(_xlfn.XLOOKUP($D263,'LD-ELFA'!F:F,'LD-ELFA'!U:U)="","Documento a emitir",_xlfn.XLOOKUP($D263,'LD-ELFA'!F:F,'LD-ELFA'!U:U))</f>
        <v>Documento a emitir</v>
      </c>
      <c r="L263" s="43" t="str">
        <f>IF(K263="Documento a emitir","Documento a emitir",IF(K263&lt;&gt;"Documento a emitir",IF(_xlfn.XLOOKUP(D263,'LD-ELFA'!F:F,'LD-ELFA'!W:W)="","",_xlfn.XLOOKUP(D263,'LD-ELFA'!F:F,'LD-ELFA'!W:W)),""))</f>
        <v>Documento a emitir</v>
      </c>
      <c r="M263" s="43" t="str">
        <f>IF(K263="Documento a emitir","",IF(AND(Q263="APC-R  - APC-R - Aprovado com Comentários (Retornar para uma nova Aprovação)",Q263="APC-L  - APC-L  - Aprovado com Comentários (Retornar Aprovado)"),"",IF(OR(_xlfn.XLOOKUP(D263,'LD-ELFA'!F:F,'LD-ELFA'!N:N)="PARA CONHECIMENTO",_xlfn.XLOOKUP(D263,'LD-ELFA'!F:F,'LD-ELFA'!N:N)="PARA CONSTRUÇÃO",_xlfn.XLOOKUP(D263,'LD-ELFA'!F:F,'LD-ELFA'!N:N)="PARA COTAÇÃO",_xlfn.XLOOKUP(D263,'LD-ELFA'!F:F,'LD-ELFA'!N:N)="CANCELADO"),_xlfn.XLOOKUP(D263,'LD-ELFA'!F:F,'LD-ELFA'!U:U),IF(AND(L263="",J263&lt;&gt;"PARA APROVAÇÃO"),"",""))))</f>
        <v/>
      </c>
      <c r="N263" s="63" t="str">
        <f t="shared" ca="1" si="40"/>
        <v>Documento a Emitir</v>
      </c>
      <c r="O263" s="63" t="str">
        <f t="shared" si="42"/>
        <v>Blossom - Documento a emitir</v>
      </c>
      <c r="P263" s="63" t="str">
        <f t="shared" si="43"/>
        <v>Blossom</v>
      </c>
      <c r="Q263" s="63" t="str">
        <f>IF(_xlfn.XLOOKUP(D263,'LD-ELFA'!F:F,'LD-ELFA'!V:V)="","",_xlfn.XLOOKUP(D263,'LD-ELFA'!F:F,'LD-ELFA'!V:V))</f>
        <v/>
      </c>
      <c r="R263" s="40">
        <f>IFERROR(IF(I263&lt;&gt;"","Documento Emitido",_xlfn.XLOOKUP(D263,Cronograma!P:P,Cronograma!Q:Q)),"Documento Removido")</f>
        <v>46239</v>
      </c>
      <c r="S263" s="40" t="str">
        <f t="shared" ca="1" si="44"/>
        <v>No prazo</v>
      </c>
      <c r="T263" s="40">
        <f>IFERROR(IF(I263&lt;&gt;"","Documento Emitido",_xlfn.XLOOKUP(D263,Cronograma!P:P,Cronograma!R:R)),"Documento Removido")</f>
        <v>46245</v>
      </c>
      <c r="U263" s="39" t="str">
        <f t="shared" si="45"/>
        <v>No prazo</v>
      </c>
      <c r="V263" s="39" t="str">
        <f t="shared" si="46"/>
        <v/>
      </c>
      <c r="W263" s="39" t="str">
        <f t="shared" ca="1" si="47"/>
        <v/>
      </c>
    </row>
    <row r="264" spans="1:23" ht="28.5" customHeight="1" x14ac:dyDescent="0.25">
      <c r="A264" s="39">
        <v>261</v>
      </c>
      <c r="B264" s="39" t="str">
        <f>_xlfn.XLOOKUP(D264,'LD-ELFA'!F:F,'LD-ELFA'!C:C)</f>
        <v>UT - Sistema De Utilidades</v>
      </c>
      <c r="C264" s="39" t="str">
        <f>_xlfn.XLOOKUP(D264,'LD-ELFA'!F:F,'LD-ELFA'!D:D)</f>
        <v>FDA - Folha De Dados</v>
      </c>
      <c r="D264" s="39" t="s">
        <v>264</v>
      </c>
      <c r="E264" s="39" t="str">
        <f>_xlfn.LET(_xlpm.q,_xlfn.XLOOKUP(D264,'LD-ELFA'!F:F,'LD-ELFA'!Q:Q),
   _xlpm.r,_xlfn.XLOOKUP(D264,'LD-ELFA'!F:F,'LD-ELFA'!R:R),
   IF(_xlpm.r = "", _xlpm.q, _xlpm.q &amp; " - " &amp; _xlpm.r))</f>
        <v>FOLHA DE DADOS - SKID DE COMBATE A INCÊNDIO</v>
      </c>
      <c r="F264" s="63" t="str">
        <f t="shared" si="41"/>
        <v>Básico</v>
      </c>
      <c r="G264" s="63">
        <f>_xlfn.XLOOKUP(D264,'LD-ELFA'!F:F,'LD-ELFA'!G:G)</f>
        <v>0</v>
      </c>
      <c r="H264" s="63">
        <f>_xlfn.XLOOKUP(D264,'LD-ELFA'!F:F,'LD-ELFA'!I:I)</f>
        <v>0</v>
      </c>
      <c r="I264" s="63" t="str">
        <f>IF(_xlfn.XLOOKUP(D264,'LD-ELFA'!F:F,'LD-ELFA'!T:T)="","",_xlfn.XLOOKUP(D264,'LD-ELFA'!F:F,'LD-ELFA'!T:T))</f>
        <v/>
      </c>
      <c r="J264" s="63" t="str">
        <f>IF(K264="Documento a emitir", "",_xlfn.XLOOKUP(D264,'LD-ELFA'!F:F,'LD-ELFA'!N:N))</f>
        <v/>
      </c>
      <c r="K264" s="43" t="str">
        <f>IF(_xlfn.XLOOKUP($D264,'LD-ELFA'!F:F,'LD-ELFA'!U:U)="","Documento a emitir",_xlfn.XLOOKUP($D264,'LD-ELFA'!F:F,'LD-ELFA'!U:U))</f>
        <v>Documento a emitir</v>
      </c>
      <c r="L264" s="43" t="str">
        <f>IF(K264="Documento a emitir","Documento a emitir",IF(K264&lt;&gt;"Documento a emitir",IF(_xlfn.XLOOKUP(D264,'LD-ELFA'!F:F,'LD-ELFA'!W:W)="","",_xlfn.XLOOKUP(D264,'LD-ELFA'!F:F,'LD-ELFA'!W:W)),""))</f>
        <v>Documento a emitir</v>
      </c>
      <c r="M264" s="43" t="str">
        <f>IF(K264="Documento a emitir","",IF(AND(Q264="APC-R  - APC-R - Aprovado com Comentários (Retornar para uma nova Aprovação)",Q264="APC-L  - APC-L  - Aprovado com Comentários (Retornar Aprovado)"),"",IF(OR(_xlfn.XLOOKUP(D264,'LD-ELFA'!F:F,'LD-ELFA'!N:N)="PARA CONHECIMENTO",_xlfn.XLOOKUP(D264,'LD-ELFA'!F:F,'LD-ELFA'!N:N)="PARA CONSTRUÇÃO",_xlfn.XLOOKUP(D264,'LD-ELFA'!F:F,'LD-ELFA'!N:N)="PARA COTAÇÃO",_xlfn.XLOOKUP(D264,'LD-ELFA'!F:F,'LD-ELFA'!N:N)="CANCELADO"),_xlfn.XLOOKUP(D264,'LD-ELFA'!F:F,'LD-ELFA'!U:U),IF(AND(L264="",J264&lt;&gt;"PARA APROVAÇÃO"),"",""))))</f>
        <v/>
      </c>
      <c r="N264" s="63" t="str">
        <f t="shared" ca="1" si="40"/>
        <v>Documento a Emitir</v>
      </c>
      <c r="O264" s="63" t="str">
        <f t="shared" si="42"/>
        <v>Blossom - Documento a emitir</v>
      </c>
      <c r="P264" s="63" t="str">
        <f t="shared" si="43"/>
        <v>Blossom</v>
      </c>
      <c r="Q264" s="63" t="str">
        <f>IF(_xlfn.XLOOKUP(D264,'LD-ELFA'!F:F,'LD-ELFA'!V:V)="","",_xlfn.XLOOKUP(D264,'LD-ELFA'!F:F,'LD-ELFA'!V:V))</f>
        <v/>
      </c>
      <c r="R264" s="40">
        <f>IFERROR(IF(I264&lt;&gt;"","Documento Emitido",_xlfn.XLOOKUP(D264,Cronograma!P:P,Cronograma!Q:Q)),"Documento Removido")</f>
        <v>46244</v>
      </c>
      <c r="S264" s="40" t="str">
        <f t="shared" ca="1" si="44"/>
        <v>No prazo</v>
      </c>
      <c r="T264" s="40">
        <f>IFERROR(IF(I264&lt;&gt;"","Documento Emitido",_xlfn.XLOOKUP(D264,Cronograma!P:P,Cronograma!R:R)),"Documento Removido")</f>
        <v>46252</v>
      </c>
      <c r="U264" s="39" t="str">
        <f t="shared" si="45"/>
        <v>No prazo</v>
      </c>
      <c r="V264" s="39" t="str">
        <f t="shared" si="46"/>
        <v/>
      </c>
      <c r="W264" s="39" t="str">
        <f t="shared" ca="1" si="47"/>
        <v/>
      </c>
    </row>
    <row r="265" spans="1:23" ht="28.5" customHeight="1" x14ac:dyDescent="0.25">
      <c r="A265" s="39">
        <v>262</v>
      </c>
      <c r="B265" s="39" t="str">
        <f>_xlfn.XLOOKUP(D265,'LD-ELFA'!F:F,'LD-ELFA'!C:C)</f>
        <v>UT - Sistema De Utilidades</v>
      </c>
      <c r="C265" s="39" t="str">
        <f>_xlfn.XLOOKUP(D265,'LD-ELFA'!F:F,'LD-ELFA'!D:D)</f>
        <v>FEN - Fluxograma De Engenharia</v>
      </c>
      <c r="D265" s="39" t="s">
        <v>265</v>
      </c>
      <c r="E265" s="39" t="str">
        <f>_xlfn.LET(_xlpm.q,_xlfn.XLOOKUP(D265,'LD-ELFA'!F:F,'LD-ELFA'!Q:Q),
   _xlpm.r,_xlfn.XLOOKUP(D265,'LD-ELFA'!F:F,'LD-ELFA'!R:R),
   IF(_xlpm.r = "", _xlpm.q, _xlpm.q &amp; " - " &amp; _xlpm.r))</f>
        <v>FLUXOGRAMA DE ENGENHARIA - P&amp;ID - AR COMPRIMIDO PARA LABORATÓRIO, RECOLHA DE ÓLEO USADO DA OFICINA DE EQUIPAMENTOS MÓVEIS</v>
      </c>
      <c r="F265" s="63" t="str">
        <f t="shared" si="41"/>
        <v>Básico</v>
      </c>
      <c r="G265" s="63">
        <f>_xlfn.XLOOKUP(D265,'LD-ELFA'!F:F,'LD-ELFA'!G:G)</f>
        <v>0</v>
      </c>
      <c r="H265" s="63">
        <f>_xlfn.XLOOKUP(D265,'LD-ELFA'!F:F,'LD-ELFA'!I:I)</f>
        <v>0</v>
      </c>
      <c r="I265" s="63" t="str">
        <f>IF(_xlfn.XLOOKUP(D265,'LD-ELFA'!F:F,'LD-ELFA'!T:T)="","",_xlfn.XLOOKUP(D265,'LD-ELFA'!F:F,'LD-ELFA'!T:T))</f>
        <v/>
      </c>
      <c r="J265" s="63" t="str">
        <f>IF(K265="Documento a emitir", "",_xlfn.XLOOKUP(D265,'LD-ELFA'!F:F,'LD-ELFA'!N:N))</f>
        <v/>
      </c>
      <c r="K265" s="43" t="str">
        <f>IF(_xlfn.XLOOKUP($D265,'LD-ELFA'!F:F,'LD-ELFA'!U:U)="","Documento a emitir",_xlfn.XLOOKUP($D265,'LD-ELFA'!F:F,'LD-ELFA'!U:U))</f>
        <v>Documento a emitir</v>
      </c>
      <c r="L265" s="43" t="str">
        <f>IF(K265="Documento a emitir","Documento a emitir",IF(K265&lt;&gt;"Documento a emitir",IF(_xlfn.XLOOKUP(D265,'LD-ELFA'!F:F,'LD-ELFA'!W:W)="","",_xlfn.XLOOKUP(D265,'LD-ELFA'!F:F,'LD-ELFA'!W:W)),""))</f>
        <v>Documento a emitir</v>
      </c>
      <c r="M265" s="43" t="str">
        <f>IF(K265="Documento a emitir","",IF(AND(Q265="APC-R  - APC-R - Aprovado com Comentários (Retornar para uma nova Aprovação)",Q265="APC-L  - APC-L  - Aprovado com Comentários (Retornar Aprovado)"),"",IF(OR(_xlfn.XLOOKUP(D265,'LD-ELFA'!F:F,'LD-ELFA'!N:N)="PARA CONHECIMENTO",_xlfn.XLOOKUP(D265,'LD-ELFA'!F:F,'LD-ELFA'!N:N)="PARA CONSTRUÇÃO",_xlfn.XLOOKUP(D265,'LD-ELFA'!F:F,'LD-ELFA'!N:N)="PARA COTAÇÃO",_xlfn.XLOOKUP(D265,'LD-ELFA'!F:F,'LD-ELFA'!N:N)="CANCELADO"),_xlfn.XLOOKUP(D265,'LD-ELFA'!F:F,'LD-ELFA'!U:U),IF(AND(L265="",J265&lt;&gt;"PARA APROVAÇÃO"),"",""))))</f>
        <v/>
      </c>
      <c r="N265" s="63" t="str">
        <f t="shared" ca="1" si="40"/>
        <v>Documento a Emitir</v>
      </c>
      <c r="O265" s="63" t="str">
        <f t="shared" si="42"/>
        <v>Blossom - Documento a emitir</v>
      </c>
      <c r="P265" s="63" t="str">
        <f t="shared" si="43"/>
        <v>Blossom</v>
      </c>
      <c r="Q265" s="63" t="str">
        <f>IF(_xlfn.XLOOKUP(D265,'LD-ELFA'!F:F,'LD-ELFA'!V:V)="","",_xlfn.XLOOKUP(D265,'LD-ELFA'!F:F,'LD-ELFA'!V:V))</f>
        <v/>
      </c>
      <c r="R265" s="40">
        <f>IFERROR(IF(I265&lt;&gt;"","Documento Emitido",_xlfn.XLOOKUP(D265,Cronograma!P:P,Cronograma!Q:Q)),"Documento Removido")</f>
        <v>46246</v>
      </c>
      <c r="S265" s="40" t="str">
        <f t="shared" ca="1" si="44"/>
        <v>No prazo</v>
      </c>
      <c r="T265" s="40">
        <f>IFERROR(IF(I265&lt;&gt;"","Documento Emitido",_xlfn.XLOOKUP(D265,Cronograma!P:P,Cronograma!R:R)),"Documento Removido")</f>
        <v>46213</v>
      </c>
      <c r="U265" s="39" t="str">
        <f t="shared" si="45"/>
        <v>Emissão Atrasada</v>
      </c>
      <c r="V265" s="39" t="str">
        <f t="shared" si="46"/>
        <v/>
      </c>
      <c r="W265" s="39" t="str">
        <f t="shared" ca="1" si="47"/>
        <v/>
      </c>
    </row>
    <row r="266" spans="1:23" ht="28.5" customHeight="1" x14ac:dyDescent="0.25">
      <c r="A266" s="39">
        <v>263</v>
      </c>
      <c r="B266" s="39" t="str">
        <f>_xlfn.XLOOKUP(D266,'LD-ELFA'!F:F,'LD-ELFA'!C:C)</f>
        <v>UT - Sistema De Utilidades</v>
      </c>
      <c r="C266" s="39" t="str">
        <f>_xlfn.XLOOKUP(D266,'LD-ELFA'!F:F,'LD-ELFA'!D:D)</f>
        <v>FEN - Fluxograma De Engenharia</v>
      </c>
      <c r="D266" s="39" t="s">
        <v>266</v>
      </c>
      <c r="E266" s="39" t="str">
        <f>_xlfn.LET(_xlpm.q,_xlfn.XLOOKUP(D266,'LD-ELFA'!F:F,'LD-ELFA'!Q:Q),
   _xlpm.r,_xlfn.XLOOKUP(D266,'LD-ELFA'!F:F,'LD-ELFA'!R:R),
   IF(_xlpm.r = "", _xlpm.q, _xlpm.q &amp; " - " &amp; _xlpm.r))</f>
        <v>FLUXOGRAMA DE ENGENHARIA - P&amp;ID - CAPTAÇÃO, ARMAZENAMENTO E DISTRIBUIÇÃO DE ÁGUA</v>
      </c>
      <c r="F266" s="63" t="str">
        <f t="shared" si="41"/>
        <v>Básico</v>
      </c>
      <c r="G266" s="63">
        <f>_xlfn.XLOOKUP(D266,'LD-ELFA'!F:F,'LD-ELFA'!G:G)</f>
        <v>0</v>
      </c>
      <c r="H266" s="63">
        <f>_xlfn.XLOOKUP(D266,'LD-ELFA'!F:F,'LD-ELFA'!I:I)</f>
        <v>0</v>
      </c>
      <c r="I266" s="63" t="str">
        <f>IF(_xlfn.XLOOKUP(D266,'LD-ELFA'!F:F,'LD-ELFA'!T:T)="","",_xlfn.XLOOKUP(D266,'LD-ELFA'!F:F,'LD-ELFA'!T:T))</f>
        <v/>
      </c>
      <c r="J266" s="63" t="str">
        <f>IF(K266="Documento a emitir", "",_xlfn.XLOOKUP(D266,'LD-ELFA'!F:F,'LD-ELFA'!N:N))</f>
        <v/>
      </c>
      <c r="K266" s="43" t="str">
        <f>IF(_xlfn.XLOOKUP($D266,'LD-ELFA'!F:F,'LD-ELFA'!U:U)="","Documento a emitir",_xlfn.XLOOKUP($D266,'LD-ELFA'!F:F,'LD-ELFA'!U:U))</f>
        <v>Documento a emitir</v>
      </c>
      <c r="L266" s="43" t="str">
        <f>IF(K266="Documento a emitir","Documento a emitir",IF(K266&lt;&gt;"Documento a emitir",IF(_xlfn.XLOOKUP(D266,'LD-ELFA'!F:F,'LD-ELFA'!W:W)="","",_xlfn.XLOOKUP(D266,'LD-ELFA'!F:F,'LD-ELFA'!W:W)),""))</f>
        <v>Documento a emitir</v>
      </c>
      <c r="M266" s="43" t="str">
        <f>IF(K266="Documento a emitir","",IF(AND(Q266="APC-R  - APC-R - Aprovado com Comentários (Retornar para uma nova Aprovação)",Q266="APC-L  - APC-L  - Aprovado com Comentários (Retornar Aprovado)"),"",IF(OR(_xlfn.XLOOKUP(D266,'LD-ELFA'!F:F,'LD-ELFA'!N:N)="PARA CONHECIMENTO",_xlfn.XLOOKUP(D266,'LD-ELFA'!F:F,'LD-ELFA'!N:N)="PARA CONSTRUÇÃO",_xlfn.XLOOKUP(D266,'LD-ELFA'!F:F,'LD-ELFA'!N:N)="PARA COTAÇÃO",_xlfn.XLOOKUP(D266,'LD-ELFA'!F:F,'LD-ELFA'!N:N)="CANCELADO"),_xlfn.XLOOKUP(D266,'LD-ELFA'!F:F,'LD-ELFA'!U:U),IF(AND(L266="",J266&lt;&gt;"PARA APROVAÇÃO"),"",""))))</f>
        <v/>
      </c>
      <c r="N266" s="63" t="str">
        <f t="shared" ca="1" si="40"/>
        <v>Documento a Emitir</v>
      </c>
      <c r="O266" s="63" t="str">
        <f t="shared" si="42"/>
        <v>Blossom - Documento a emitir</v>
      </c>
      <c r="P266" s="63" t="str">
        <f t="shared" si="43"/>
        <v>Blossom</v>
      </c>
      <c r="Q266" s="63" t="str">
        <f>IF(_xlfn.XLOOKUP(D266,'LD-ELFA'!F:F,'LD-ELFA'!V:V)="","",_xlfn.XLOOKUP(D266,'LD-ELFA'!F:F,'LD-ELFA'!V:V))</f>
        <v/>
      </c>
      <c r="R266" s="40">
        <f>IFERROR(IF(I266&lt;&gt;"","Documento Emitido",_xlfn.XLOOKUP(D266,Cronograma!P:P,Cronograma!Q:Q)),"Documento Removido")</f>
        <v>46237</v>
      </c>
      <c r="S266" s="40" t="str">
        <f t="shared" ca="1" si="44"/>
        <v>No prazo</v>
      </c>
      <c r="T266" s="40">
        <f>IFERROR(IF(I266&lt;&gt;"","Documento Emitido",_xlfn.XLOOKUP(D266,Cronograma!P:P,Cronograma!R:R)),"Documento Removido")</f>
        <v>46241</v>
      </c>
      <c r="U266" s="39" t="str">
        <f t="shared" si="45"/>
        <v>No prazo</v>
      </c>
      <c r="V266" s="39" t="str">
        <f t="shared" si="46"/>
        <v/>
      </c>
      <c r="W266" s="39" t="str">
        <f t="shared" ca="1" si="47"/>
        <v/>
      </c>
    </row>
    <row r="267" spans="1:23" ht="28.5" customHeight="1" x14ac:dyDescent="0.25">
      <c r="A267" s="39">
        <v>264</v>
      </c>
      <c r="B267" s="39" t="str">
        <f>_xlfn.XLOOKUP(D267,'LD-ELFA'!F:F,'LD-ELFA'!C:C)</f>
        <v>UT - Sistema De Utilidades</v>
      </c>
      <c r="C267" s="39" t="str">
        <f>_xlfn.XLOOKUP(D267,'LD-ELFA'!F:F,'LD-ELFA'!D:D)</f>
        <v>FEN - Fluxograma De Engenharia</v>
      </c>
      <c r="D267" s="39" t="s">
        <v>267</v>
      </c>
      <c r="E267" s="39" t="str">
        <f>_xlfn.LET(_xlpm.q,_xlfn.XLOOKUP(D267,'LD-ELFA'!F:F,'LD-ELFA'!Q:Q),
   _xlpm.r,_xlfn.XLOOKUP(D267,'LD-ELFA'!F:F,'LD-ELFA'!R:R),
   IF(_xlpm.r = "", _xlpm.q, _xlpm.q &amp; " - " &amp; _xlpm.r))</f>
        <v>FLUXOGRAMA DE ENGENHARIA - P&amp;ID - ÁGUA PARA COMBATE A INCÊNDIO - 1/3</v>
      </c>
      <c r="F267" s="63" t="str">
        <f t="shared" si="41"/>
        <v>Básico</v>
      </c>
      <c r="G267" s="63">
        <f>_xlfn.XLOOKUP(D267,'LD-ELFA'!F:F,'LD-ELFA'!G:G)</f>
        <v>0</v>
      </c>
      <c r="H267" s="63">
        <f>_xlfn.XLOOKUP(D267,'LD-ELFA'!F:F,'LD-ELFA'!I:I)</f>
        <v>0</v>
      </c>
      <c r="I267" s="63" t="str">
        <f>IF(_xlfn.XLOOKUP(D267,'LD-ELFA'!F:F,'LD-ELFA'!T:T)="","",_xlfn.XLOOKUP(D267,'LD-ELFA'!F:F,'LD-ELFA'!T:T))</f>
        <v/>
      </c>
      <c r="J267" s="63" t="str">
        <f>IF(K267="Documento a emitir", "",_xlfn.XLOOKUP(D267,'LD-ELFA'!F:F,'LD-ELFA'!N:N))</f>
        <v/>
      </c>
      <c r="K267" s="43" t="str">
        <f>IF(_xlfn.XLOOKUP($D267,'LD-ELFA'!F:F,'LD-ELFA'!U:U)="","Documento a emitir",_xlfn.XLOOKUP($D267,'LD-ELFA'!F:F,'LD-ELFA'!U:U))</f>
        <v>Documento a emitir</v>
      </c>
      <c r="L267" s="43" t="str">
        <f>IF(K267="Documento a emitir","Documento a emitir",IF(K267&lt;&gt;"Documento a emitir",IF(_xlfn.XLOOKUP(D267,'LD-ELFA'!F:F,'LD-ELFA'!W:W)="","",_xlfn.XLOOKUP(D267,'LD-ELFA'!F:F,'LD-ELFA'!W:W)),""))</f>
        <v>Documento a emitir</v>
      </c>
      <c r="M267" s="43" t="str">
        <f>IF(K267="Documento a emitir","",IF(AND(Q267="APC-R  - APC-R - Aprovado com Comentários (Retornar para uma nova Aprovação)",Q267="APC-L  - APC-L  - Aprovado com Comentários (Retornar Aprovado)"),"",IF(OR(_xlfn.XLOOKUP(D267,'LD-ELFA'!F:F,'LD-ELFA'!N:N)="PARA CONHECIMENTO",_xlfn.XLOOKUP(D267,'LD-ELFA'!F:F,'LD-ELFA'!N:N)="PARA CONSTRUÇÃO",_xlfn.XLOOKUP(D267,'LD-ELFA'!F:F,'LD-ELFA'!N:N)="PARA COTAÇÃO",_xlfn.XLOOKUP(D267,'LD-ELFA'!F:F,'LD-ELFA'!N:N)="CANCELADO"),_xlfn.XLOOKUP(D267,'LD-ELFA'!F:F,'LD-ELFA'!U:U),IF(AND(L267="",J267&lt;&gt;"PARA APROVAÇÃO"),"",""))))</f>
        <v/>
      </c>
      <c r="N267" s="63" t="str">
        <f t="shared" ca="1" si="40"/>
        <v>Documento a Emitir</v>
      </c>
      <c r="O267" s="63" t="str">
        <f t="shared" si="42"/>
        <v>Blossom - Documento a emitir</v>
      </c>
      <c r="P267" s="63" t="str">
        <f t="shared" si="43"/>
        <v>Blossom</v>
      </c>
      <c r="Q267" s="63" t="str">
        <f>IF(_xlfn.XLOOKUP(D267,'LD-ELFA'!F:F,'LD-ELFA'!V:V)="","",_xlfn.XLOOKUP(D267,'LD-ELFA'!F:F,'LD-ELFA'!V:V))</f>
        <v/>
      </c>
      <c r="R267" s="40">
        <f>IFERROR(IF(I267&lt;&gt;"","Documento Emitido",_xlfn.XLOOKUP(D267,Cronograma!P:P,Cronograma!Q:Q)),"Documento Removido")</f>
        <v>46225</v>
      </c>
      <c r="S267" s="40" t="str">
        <f t="shared" ca="1" si="44"/>
        <v>No prazo</v>
      </c>
      <c r="T267" s="40">
        <f>IFERROR(IF(I267&lt;&gt;"","Documento Emitido",_xlfn.XLOOKUP(D267,Cronograma!P:P,Cronograma!R:R)),"Documento Removido")</f>
        <v>46233</v>
      </c>
      <c r="U267" s="39" t="str">
        <f t="shared" si="45"/>
        <v>No prazo</v>
      </c>
      <c r="V267" s="39" t="str">
        <f t="shared" si="46"/>
        <v>Semana 2</v>
      </c>
      <c r="W267" s="39" t="str">
        <f t="shared" ca="1" si="47"/>
        <v/>
      </c>
    </row>
    <row r="268" spans="1:23" ht="28.5" customHeight="1" x14ac:dyDescent="0.25">
      <c r="A268" s="39">
        <v>265</v>
      </c>
      <c r="B268" s="39" t="str">
        <f>_xlfn.XLOOKUP(D268,'LD-ELFA'!F:F,'LD-ELFA'!C:C)</f>
        <v>UT - Sistema De Utilidades</v>
      </c>
      <c r="C268" s="39" t="str">
        <f>_xlfn.XLOOKUP(D268,'LD-ELFA'!F:F,'LD-ELFA'!D:D)</f>
        <v>FEN - Fluxograma De Engenharia</v>
      </c>
      <c r="D268" s="39" t="s">
        <v>268</v>
      </c>
      <c r="E268" s="39" t="str">
        <f>_xlfn.LET(_xlpm.q,_xlfn.XLOOKUP(D268,'LD-ELFA'!F:F,'LD-ELFA'!Q:Q),
   _xlpm.r,_xlfn.XLOOKUP(D268,'LD-ELFA'!F:F,'LD-ELFA'!R:R),
   IF(_xlpm.r = "", _xlpm.q, _xlpm.q &amp; " - " &amp; _xlpm.r))</f>
        <v>FLUXOGRAMA DE ENGENHARIA - P&amp;ID - ÁGUA PARA COMBATE A INCÊNDIO - 2/3</v>
      </c>
      <c r="F268" s="63" t="str">
        <f t="shared" si="41"/>
        <v>Básico</v>
      </c>
      <c r="G268" s="63">
        <f>_xlfn.XLOOKUP(D268,'LD-ELFA'!F:F,'LD-ELFA'!G:G)</f>
        <v>0</v>
      </c>
      <c r="H268" s="63">
        <f>_xlfn.XLOOKUP(D268,'LD-ELFA'!F:F,'LD-ELFA'!I:I)</f>
        <v>0</v>
      </c>
      <c r="I268" s="63" t="str">
        <f>IF(_xlfn.XLOOKUP(D268,'LD-ELFA'!F:F,'LD-ELFA'!T:T)="","",_xlfn.XLOOKUP(D268,'LD-ELFA'!F:F,'LD-ELFA'!T:T))</f>
        <v/>
      </c>
      <c r="J268" s="63" t="str">
        <f>IF(K268="Documento a emitir", "",_xlfn.XLOOKUP(D268,'LD-ELFA'!F:F,'LD-ELFA'!N:N))</f>
        <v/>
      </c>
      <c r="K268" s="43" t="str">
        <f>IF(_xlfn.XLOOKUP($D268,'LD-ELFA'!F:F,'LD-ELFA'!U:U)="","Documento a emitir",_xlfn.XLOOKUP($D268,'LD-ELFA'!F:F,'LD-ELFA'!U:U))</f>
        <v>Documento a emitir</v>
      </c>
      <c r="L268" s="43" t="str">
        <f>IF(K268="Documento a emitir","Documento a emitir",IF(K268&lt;&gt;"Documento a emitir",IF(_xlfn.XLOOKUP(D268,'LD-ELFA'!F:F,'LD-ELFA'!W:W)="","",_xlfn.XLOOKUP(D268,'LD-ELFA'!F:F,'LD-ELFA'!W:W)),""))</f>
        <v>Documento a emitir</v>
      </c>
      <c r="M268" s="43" t="str">
        <f>IF(K268="Documento a emitir","",IF(AND(Q268="APC-R  - APC-R - Aprovado com Comentários (Retornar para uma nova Aprovação)",Q268="APC-L  - APC-L  - Aprovado com Comentários (Retornar Aprovado)"),"",IF(OR(_xlfn.XLOOKUP(D268,'LD-ELFA'!F:F,'LD-ELFA'!N:N)="PARA CONHECIMENTO",_xlfn.XLOOKUP(D268,'LD-ELFA'!F:F,'LD-ELFA'!N:N)="PARA CONSTRUÇÃO",_xlfn.XLOOKUP(D268,'LD-ELFA'!F:F,'LD-ELFA'!N:N)="PARA COTAÇÃO",_xlfn.XLOOKUP(D268,'LD-ELFA'!F:F,'LD-ELFA'!N:N)="CANCELADO"),_xlfn.XLOOKUP(D268,'LD-ELFA'!F:F,'LD-ELFA'!U:U),IF(AND(L268="",J268&lt;&gt;"PARA APROVAÇÃO"),"",""))))</f>
        <v/>
      </c>
      <c r="N268" s="63" t="str">
        <f t="shared" ca="1" si="40"/>
        <v>Documento a Emitir</v>
      </c>
      <c r="O268" s="63" t="str">
        <f t="shared" si="42"/>
        <v>Blossom - Documento a emitir</v>
      </c>
      <c r="P268" s="63" t="str">
        <f t="shared" si="43"/>
        <v>Blossom</v>
      </c>
      <c r="Q268" s="63" t="str">
        <f>IF(_xlfn.XLOOKUP(D268,'LD-ELFA'!F:F,'LD-ELFA'!V:V)="","",_xlfn.XLOOKUP(D268,'LD-ELFA'!F:F,'LD-ELFA'!V:V))</f>
        <v/>
      </c>
      <c r="R268" s="40">
        <f>IFERROR(IF(I268&lt;&gt;"","Documento Emitido",_xlfn.XLOOKUP(D268,Cronograma!P:P,Cronograma!Q:Q)),"Documento Removido")</f>
        <v>46230</v>
      </c>
      <c r="S268" s="40" t="str">
        <f t="shared" ca="1" si="44"/>
        <v>No prazo</v>
      </c>
      <c r="T268" s="40">
        <f>IFERROR(IF(I268&lt;&gt;"","Documento Emitido",_xlfn.XLOOKUP(D268,Cronograma!P:P,Cronograma!R:R)),"Documento Removido")</f>
        <v>46238</v>
      </c>
      <c r="U268" s="39" t="str">
        <f t="shared" si="45"/>
        <v>No prazo</v>
      </c>
      <c r="V268" s="39" t="str">
        <f t="shared" si="46"/>
        <v>Semana 3</v>
      </c>
      <c r="W268" s="39" t="str">
        <f t="shared" ca="1" si="47"/>
        <v/>
      </c>
    </row>
    <row r="269" spans="1:23" ht="28.5" customHeight="1" x14ac:dyDescent="0.25">
      <c r="A269" s="39">
        <v>266</v>
      </c>
      <c r="B269" s="39" t="str">
        <f>_xlfn.XLOOKUP(D269,'LD-ELFA'!F:F,'LD-ELFA'!C:C)</f>
        <v>UT - Sistema De Utilidades</v>
      </c>
      <c r="C269" s="39" t="str">
        <f>_xlfn.XLOOKUP(D269,'LD-ELFA'!F:F,'LD-ELFA'!D:D)</f>
        <v>FEN - Fluxograma De Engenharia</v>
      </c>
      <c r="D269" s="39" t="s">
        <v>269</v>
      </c>
      <c r="E269" s="39" t="str">
        <f>_xlfn.LET(_xlpm.q,_xlfn.XLOOKUP(D269,'LD-ELFA'!F:F,'LD-ELFA'!Q:Q),
   _xlpm.r,_xlfn.XLOOKUP(D269,'LD-ELFA'!F:F,'LD-ELFA'!R:R),
   IF(_xlpm.r = "", _xlpm.q, _xlpm.q &amp; " - " &amp; _xlpm.r))</f>
        <v>FLUXOGRAMA DE ENGENHARIA - P&amp;ID - ÁGUA PARA COMBATE A INCÊNDIO - 3/3</v>
      </c>
      <c r="F269" s="63" t="str">
        <f t="shared" si="41"/>
        <v>Básico</v>
      </c>
      <c r="G269" s="63">
        <f>_xlfn.XLOOKUP(D269,'LD-ELFA'!F:F,'LD-ELFA'!G:G)</f>
        <v>0</v>
      </c>
      <c r="H269" s="63">
        <f>_xlfn.XLOOKUP(D269,'LD-ELFA'!F:F,'LD-ELFA'!I:I)</f>
        <v>0</v>
      </c>
      <c r="I269" s="63" t="str">
        <f>IF(_xlfn.XLOOKUP(D269,'LD-ELFA'!F:F,'LD-ELFA'!T:T)="","",_xlfn.XLOOKUP(D269,'LD-ELFA'!F:F,'LD-ELFA'!T:T))</f>
        <v/>
      </c>
      <c r="J269" s="63" t="str">
        <f>IF(K269="Documento a emitir", "",_xlfn.XLOOKUP(D269,'LD-ELFA'!F:F,'LD-ELFA'!N:N))</f>
        <v/>
      </c>
      <c r="K269" s="43" t="str">
        <f>IF(_xlfn.XLOOKUP($D269,'LD-ELFA'!F:F,'LD-ELFA'!U:U)="","Documento a emitir",_xlfn.XLOOKUP($D269,'LD-ELFA'!F:F,'LD-ELFA'!U:U))</f>
        <v>Documento a emitir</v>
      </c>
      <c r="L269" s="43" t="str">
        <f>IF(K269="Documento a emitir","Documento a emitir",IF(K269&lt;&gt;"Documento a emitir",IF(_xlfn.XLOOKUP(D269,'LD-ELFA'!F:F,'LD-ELFA'!W:W)="","",_xlfn.XLOOKUP(D269,'LD-ELFA'!F:F,'LD-ELFA'!W:W)),""))</f>
        <v>Documento a emitir</v>
      </c>
      <c r="M269" s="43" t="str">
        <f>IF(K269="Documento a emitir","",IF(AND(Q269="APC-R  - APC-R - Aprovado com Comentários (Retornar para uma nova Aprovação)",Q269="APC-L  - APC-L  - Aprovado com Comentários (Retornar Aprovado)"),"",IF(OR(_xlfn.XLOOKUP(D269,'LD-ELFA'!F:F,'LD-ELFA'!N:N)="PARA CONHECIMENTO",_xlfn.XLOOKUP(D269,'LD-ELFA'!F:F,'LD-ELFA'!N:N)="PARA CONSTRUÇÃO",_xlfn.XLOOKUP(D269,'LD-ELFA'!F:F,'LD-ELFA'!N:N)="PARA COTAÇÃO",_xlfn.XLOOKUP(D269,'LD-ELFA'!F:F,'LD-ELFA'!N:N)="CANCELADO"),_xlfn.XLOOKUP(D269,'LD-ELFA'!F:F,'LD-ELFA'!U:U),IF(AND(L269="",J269&lt;&gt;"PARA APROVAÇÃO"),"",""))))</f>
        <v/>
      </c>
      <c r="N269" s="63" t="str">
        <f t="shared" ca="1" si="40"/>
        <v>Documento a Emitir</v>
      </c>
      <c r="O269" s="63" t="str">
        <f t="shared" si="42"/>
        <v>Blossom - Documento a emitir</v>
      </c>
      <c r="P269" s="63" t="str">
        <f t="shared" si="43"/>
        <v>Blossom</v>
      </c>
      <c r="Q269" s="63" t="str">
        <f>IF(_xlfn.XLOOKUP(D269,'LD-ELFA'!F:F,'LD-ELFA'!V:V)="","",_xlfn.XLOOKUP(D269,'LD-ELFA'!F:F,'LD-ELFA'!V:V))</f>
        <v/>
      </c>
      <c r="R269" s="40">
        <f>IFERROR(IF(I269&lt;&gt;"","Documento Emitido",_xlfn.XLOOKUP(D269,Cronograma!P:P,Cronograma!Q:Q)),"Documento Removido")</f>
        <v>46233</v>
      </c>
      <c r="S269" s="40" t="str">
        <f t="shared" ca="1" si="44"/>
        <v>No prazo</v>
      </c>
      <c r="T269" s="40">
        <f>IFERROR(IF(I269&lt;&gt;"","Documento Emitido",_xlfn.XLOOKUP(D269,Cronograma!P:P,Cronograma!R:R)),"Documento Removido")</f>
        <v>46241</v>
      </c>
      <c r="U269" s="39" t="str">
        <f t="shared" si="45"/>
        <v>No prazo</v>
      </c>
      <c r="V269" s="39" t="str">
        <f t="shared" si="46"/>
        <v>Semana 3</v>
      </c>
      <c r="W269" s="39" t="str">
        <f t="shared" ca="1" si="47"/>
        <v/>
      </c>
    </row>
    <row r="270" spans="1:23" ht="28.5" customHeight="1" x14ac:dyDescent="0.25">
      <c r="A270" s="39">
        <v>267</v>
      </c>
      <c r="B270" s="39" t="str">
        <f>_xlfn.XLOOKUP(D270,'LD-ELFA'!F:F,'LD-ELFA'!C:C)</f>
        <v>UT - Sistema De Utilidades</v>
      </c>
      <c r="C270" s="39" t="str">
        <f>_xlfn.XLOOKUP(D270,'LD-ELFA'!F:F,'LD-ELFA'!D:D)</f>
        <v>FEN - Fluxograma De Engenharia</v>
      </c>
      <c r="D270" s="39" t="s">
        <v>270</v>
      </c>
      <c r="E270" s="39" t="str">
        <f>_xlfn.LET(_xlpm.q,_xlfn.XLOOKUP(D270,'LD-ELFA'!F:F,'LD-ELFA'!Q:Q),
   _xlpm.r,_xlfn.XLOOKUP(D270,'LD-ELFA'!F:F,'LD-ELFA'!R:R),
   IF(_xlpm.r = "", _xlpm.q, _xlpm.q &amp; " - " &amp; _xlpm.r))</f>
        <v>FLUXOGRAMA DE ENGENHARIA - P&amp;ID - ÁGUA DE SERVIÇO</v>
      </c>
      <c r="F270" s="63" t="str">
        <f t="shared" si="41"/>
        <v>Básico</v>
      </c>
      <c r="G270" s="63">
        <f>_xlfn.XLOOKUP(D270,'LD-ELFA'!F:F,'LD-ELFA'!G:G)</f>
        <v>0</v>
      </c>
      <c r="H270" s="63">
        <f>_xlfn.XLOOKUP(D270,'LD-ELFA'!F:F,'LD-ELFA'!I:I)</f>
        <v>0</v>
      </c>
      <c r="I270" s="63" t="str">
        <f>IF(_xlfn.XLOOKUP(D270,'LD-ELFA'!F:F,'LD-ELFA'!T:T)="","",_xlfn.XLOOKUP(D270,'LD-ELFA'!F:F,'LD-ELFA'!T:T))</f>
        <v/>
      </c>
      <c r="J270" s="63" t="str">
        <f>IF(K270="Documento a emitir", "",_xlfn.XLOOKUP(D270,'LD-ELFA'!F:F,'LD-ELFA'!N:N))</f>
        <v/>
      </c>
      <c r="K270" s="43" t="str">
        <f>IF(_xlfn.XLOOKUP($D270,'LD-ELFA'!F:F,'LD-ELFA'!U:U)="","Documento a emitir",_xlfn.XLOOKUP($D270,'LD-ELFA'!F:F,'LD-ELFA'!U:U))</f>
        <v>Documento a emitir</v>
      </c>
      <c r="L270" s="43" t="str">
        <f>IF(K270="Documento a emitir","Documento a emitir",IF(K270&lt;&gt;"Documento a emitir",IF(_xlfn.XLOOKUP(D270,'LD-ELFA'!F:F,'LD-ELFA'!W:W)="","",_xlfn.XLOOKUP(D270,'LD-ELFA'!F:F,'LD-ELFA'!W:W)),""))</f>
        <v>Documento a emitir</v>
      </c>
      <c r="M270" s="43" t="str">
        <f>IF(K270="Documento a emitir","",IF(AND(Q270="APC-R  - APC-R - Aprovado com Comentários (Retornar para uma nova Aprovação)",Q270="APC-L  - APC-L  - Aprovado com Comentários (Retornar Aprovado)"),"",IF(OR(_xlfn.XLOOKUP(D270,'LD-ELFA'!F:F,'LD-ELFA'!N:N)="PARA CONHECIMENTO",_xlfn.XLOOKUP(D270,'LD-ELFA'!F:F,'LD-ELFA'!N:N)="PARA CONSTRUÇÃO",_xlfn.XLOOKUP(D270,'LD-ELFA'!F:F,'LD-ELFA'!N:N)="PARA COTAÇÃO",_xlfn.XLOOKUP(D270,'LD-ELFA'!F:F,'LD-ELFA'!N:N)="CANCELADO"),_xlfn.XLOOKUP(D270,'LD-ELFA'!F:F,'LD-ELFA'!U:U),IF(AND(L270="",J270&lt;&gt;"PARA APROVAÇÃO"),"",""))))</f>
        <v/>
      </c>
      <c r="N270" s="63" t="str">
        <f t="shared" ca="1" si="40"/>
        <v>Documento a Emitir</v>
      </c>
      <c r="O270" s="63" t="str">
        <f t="shared" si="42"/>
        <v>Blossom - Documento a emitir</v>
      </c>
      <c r="P270" s="63" t="str">
        <f t="shared" si="43"/>
        <v>Blossom</v>
      </c>
      <c r="Q270" s="63" t="str">
        <f>IF(_xlfn.XLOOKUP(D270,'LD-ELFA'!F:F,'LD-ELFA'!V:V)="","",_xlfn.XLOOKUP(D270,'LD-ELFA'!F:F,'LD-ELFA'!V:V))</f>
        <v/>
      </c>
      <c r="R270" s="40">
        <f>IFERROR(IF(I270&lt;&gt;"","Documento Emitido",_xlfn.XLOOKUP(D270,Cronograma!P:P,Cronograma!Q:Q)),"Documento Removido")</f>
        <v>46237</v>
      </c>
      <c r="S270" s="40" t="str">
        <f t="shared" ca="1" si="44"/>
        <v>No prazo</v>
      </c>
      <c r="T270" s="40">
        <f>IFERROR(IF(I270&lt;&gt;"","Documento Emitido",_xlfn.XLOOKUP(D270,Cronograma!P:P,Cronograma!R:R)),"Documento Removido")</f>
        <v>46241</v>
      </c>
      <c r="U270" s="39" t="str">
        <f t="shared" si="45"/>
        <v>No prazo</v>
      </c>
      <c r="V270" s="39" t="str">
        <f t="shared" si="46"/>
        <v/>
      </c>
      <c r="W270" s="39" t="str">
        <f t="shared" ca="1" si="47"/>
        <v/>
      </c>
    </row>
    <row r="271" spans="1:23" ht="28.5" customHeight="1" x14ac:dyDescent="0.25">
      <c r="A271" s="39">
        <v>268</v>
      </c>
      <c r="B271" s="39" t="str">
        <f>_xlfn.XLOOKUP(D271,'LD-ELFA'!F:F,'LD-ELFA'!C:C)</f>
        <v>UT - Sistema De Utilidades</v>
      </c>
      <c r="C271" s="39" t="str">
        <f>_xlfn.XLOOKUP(D271,'LD-ELFA'!F:F,'LD-ELFA'!D:D)</f>
        <v>FEN - Fluxograma De Engenharia</v>
      </c>
      <c r="D271" s="39" t="s">
        <v>271</v>
      </c>
      <c r="E271" s="39" t="str">
        <f>_xlfn.LET(_xlpm.q,_xlfn.XLOOKUP(D271,'LD-ELFA'!F:F,'LD-ELFA'!Q:Q),
   _xlpm.r,_xlfn.XLOOKUP(D271,'LD-ELFA'!F:F,'LD-ELFA'!R:R),
   IF(_xlpm.r = "", _xlpm.q, _xlpm.q &amp; " - " &amp; _xlpm.r))</f>
        <v>FLUXOGRAMA DE ENGENHARIA - P&amp;ID - ÁGUA POTÁVEL</v>
      </c>
      <c r="F271" s="63" t="str">
        <f t="shared" si="41"/>
        <v>Básico</v>
      </c>
      <c r="G271" s="63">
        <f>_xlfn.XLOOKUP(D271,'LD-ELFA'!F:F,'LD-ELFA'!G:G)</f>
        <v>0</v>
      </c>
      <c r="H271" s="63">
        <f>_xlfn.XLOOKUP(D271,'LD-ELFA'!F:F,'LD-ELFA'!I:I)</f>
        <v>0</v>
      </c>
      <c r="I271" s="63" t="str">
        <f>IF(_xlfn.XLOOKUP(D271,'LD-ELFA'!F:F,'LD-ELFA'!T:T)="","",_xlfn.XLOOKUP(D271,'LD-ELFA'!F:F,'LD-ELFA'!T:T))</f>
        <v/>
      </c>
      <c r="J271" s="63" t="str">
        <f>IF(K271="Documento a emitir", "",_xlfn.XLOOKUP(D271,'LD-ELFA'!F:F,'LD-ELFA'!N:N))</f>
        <v/>
      </c>
      <c r="K271" s="43" t="str">
        <f>IF(_xlfn.XLOOKUP($D271,'LD-ELFA'!F:F,'LD-ELFA'!U:U)="","Documento a emitir",_xlfn.XLOOKUP($D271,'LD-ELFA'!F:F,'LD-ELFA'!U:U))</f>
        <v>Documento a emitir</v>
      </c>
      <c r="L271" s="43" t="str">
        <f>IF(K271="Documento a emitir","Documento a emitir",IF(K271&lt;&gt;"Documento a emitir",IF(_xlfn.XLOOKUP(D271,'LD-ELFA'!F:F,'LD-ELFA'!W:W)="","",_xlfn.XLOOKUP(D271,'LD-ELFA'!F:F,'LD-ELFA'!W:W)),""))</f>
        <v>Documento a emitir</v>
      </c>
      <c r="M271" s="43" t="str">
        <f>IF(K271="Documento a emitir","",IF(AND(Q271="APC-R  - APC-R - Aprovado com Comentários (Retornar para uma nova Aprovação)",Q271="APC-L  - APC-L  - Aprovado com Comentários (Retornar Aprovado)"),"",IF(OR(_xlfn.XLOOKUP(D271,'LD-ELFA'!F:F,'LD-ELFA'!N:N)="PARA CONHECIMENTO",_xlfn.XLOOKUP(D271,'LD-ELFA'!F:F,'LD-ELFA'!N:N)="PARA CONSTRUÇÃO",_xlfn.XLOOKUP(D271,'LD-ELFA'!F:F,'LD-ELFA'!N:N)="PARA COTAÇÃO",_xlfn.XLOOKUP(D271,'LD-ELFA'!F:F,'LD-ELFA'!N:N)="CANCELADO"),_xlfn.XLOOKUP(D271,'LD-ELFA'!F:F,'LD-ELFA'!U:U),IF(AND(L271="",J271&lt;&gt;"PARA APROVAÇÃO"),"",""))))</f>
        <v/>
      </c>
      <c r="N271" s="63" t="str">
        <f t="shared" ca="1" si="40"/>
        <v>Documento a Emitir</v>
      </c>
      <c r="O271" s="63" t="str">
        <f t="shared" si="42"/>
        <v>Blossom - Documento a emitir</v>
      </c>
      <c r="P271" s="63" t="str">
        <f t="shared" si="43"/>
        <v>Blossom</v>
      </c>
      <c r="Q271" s="63" t="str">
        <f>IF(_xlfn.XLOOKUP(D271,'LD-ELFA'!F:F,'LD-ELFA'!V:V)="","",_xlfn.XLOOKUP(D271,'LD-ELFA'!F:F,'LD-ELFA'!V:V))</f>
        <v/>
      </c>
      <c r="R271" s="40">
        <f>IFERROR(IF(I271&lt;&gt;"","Documento Emitido",_xlfn.XLOOKUP(D271,Cronograma!P:P,Cronograma!Q:Q)),"Documento Removido")</f>
        <v>46237</v>
      </c>
      <c r="S271" s="40" t="str">
        <f t="shared" ca="1" si="44"/>
        <v>No prazo</v>
      </c>
      <c r="T271" s="40">
        <f>IFERROR(IF(I271&lt;&gt;"","Documento Emitido",_xlfn.XLOOKUP(D271,Cronograma!P:P,Cronograma!R:R)),"Documento Removido")</f>
        <v>46241</v>
      </c>
      <c r="U271" s="39" t="str">
        <f t="shared" si="45"/>
        <v>No prazo</v>
      </c>
      <c r="V271" s="39" t="str">
        <f t="shared" si="46"/>
        <v/>
      </c>
      <c r="W271" s="39" t="str">
        <f t="shared" ca="1" si="47"/>
        <v/>
      </c>
    </row>
    <row r="272" spans="1:23" ht="28.5" customHeight="1" x14ac:dyDescent="0.25">
      <c r="A272" s="39">
        <v>269</v>
      </c>
      <c r="B272" s="39" t="str">
        <f>_xlfn.XLOOKUP(D272,'LD-ELFA'!F:F,'LD-ELFA'!C:C)</f>
        <v>UT - Sistema De Utilidades</v>
      </c>
      <c r="C272" s="39" t="str">
        <f>_xlfn.XLOOKUP(D272,'LD-ELFA'!F:F,'LD-ELFA'!D:D)</f>
        <v>FEN - Fluxograma De Engenharia</v>
      </c>
      <c r="D272" s="39" t="s">
        <v>272</v>
      </c>
      <c r="E272" s="39" t="str">
        <f>_xlfn.LET(_xlpm.q,_xlfn.XLOOKUP(D272,'LD-ELFA'!F:F,'LD-ELFA'!Q:Q),
   _xlpm.r,_xlfn.XLOOKUP(D272,'LD-ELFA'!F:F,'LD-ELFA'!R:R),
   IF(_xlpm.r = "", _xlpm.q, _xlpm.q &amp; " - " &amp; _xlpm.r))</f>
        <v>FLUXOGRAMA DE ENGENHARIA - P&amp;ID - ÁGUA POTÁVEL</v>
      </c>
      <c r="F272" s="63" t="str">
        <f t="shared" si="41"/>
        <v>Básico</v>
      </c>
      <c r="G272" s="63">
        <f>_xlfn.XLOOKUP(D272,'LD-ELFA'!F:F,'LD-ELFA'!G:G)</f>
        <v>0</v>
      </c>
      <c r="H272" s="63">
        <f>_xlfn.XLOOKUP(D272,'LD-ELFA'!F:F,'LD-ELFA'!I:I)</f>
        <v>0</v>
      </c>
      <c r="I272" s="63" t="str">
        <f>IF(_xlfn.XLOOKUP(D272,'LD-ELFA'!F:F,'LD-ELFA'!T:T)="","",_xlfn.XLOOKUP(D272,'LD-ELFA'!F:F,'LD-ELFA'!T:T))</f>
        <v/>
      </c>
      <c r="J272" s="63" t="str">
        <f>IF(K272="Documento a emitir", "",_xlfn.XLOOKUP(D272,'LD-ELFA'!F:F,'LD-ELFA'!N:N))</f>
        <v/>
      </c>
      <c r="K272" s="43" t="str">
        <f>IF(_xlfn.XLOOKUP($D272,'LD-ELFA'!F:F,'LD-ELFA'!U:U)="","Documento a emitir",_xlfn.XLOOKUP($D272,'LD-ELFA'!F:F,'LD-ELFA'!U:U))</f>
        <v>Documento a emitir</v>
      </c>
      <c r="L272" s="43" t="str">
        <f>IF(K272="Documento a emitir","Documento a emitir",IF(K272&lt;&gt;"Documento a emitir",IF(_xlfn.XLOOKUP(D272,'LD-ELFA'!F:F,'LD-ELFA'!W:W)="","",_xlfn.XLOOKUP(D272,'LD-ELFA'!F:F,'LD-ELFA'!W:W)),""))</f>
        <v>Documento a emitir</v>
      </c>
      <c r="M272" s="43" t="str">
        <f>IF(K272="Documento a emitir","",IF(AND(Q272="APC-R  - APC-R - Aprovado com Comentários (Retornar para uma nova Aprovação)",Q272="APC-L  - APC-L  - Aprovado com Comentários (Retornar Aprovado)"),"",IF(OR(_xlfn.XLOOKUP(D272,'LD-ELFA'!F:F,'LD-ELFA'!N:N)="PARA CONHECIMENTO",_xlfn.XLOOKUP(D272,'LD-ELFA'!F:F,'LD-ELFA'!N:N)="PARA CONSTRUÇÃO",_xlfn.XLOOKUP(D272,'LD-ELFA'!F:F,'LD-ELFA'!N:N)="PARA COTAÇÃO",_xlfn.XLOOKUP(D272,'LD-ELFA'!F:F,'LD-ELFA'!N:N)="CANCELADO"),_xlfn.XLOOKUP(D272,'LD-ELFA'!F:F,'LD-ELFA'!U:U),IF(AND(L272="",J272&lt;&gt;"PARA APROVAÇÃO"),"",""))))</f>
        <v/>
      </c>
      <c r="N272" s="63" t="str">
        <f t="shared" ca="1" si="40"/>
        <v>Documento a Emitir</v>
      </c>
      <c r="O272" s="63" t="str">
        <f t="shared" si="42"/>
        <v>Blossom - Documento a emitir</v>
      </c>
      <c r="P272" s="63" t="str">
        <f t="shared" si="43"/>
        <v>Blossom</v>
      </c>
      <c r="Q272" s="63" t="str">
        <f>IF(_xlfn.XLOOKUP(D272,'LD-ELFA'!F:F,'LD-ELFA'!V:V)="","",_xlfn.XLOOKUP(D272,'LD-ELFA'!F:F,'LD-ELFA'!V:V))</f>
        <v/>
      </c>
      <c r="R272" s="40">
        <f>IFERROR(IF(I272&lt;&gt;"","Documento Emitido",_xlfn.XLOOKUP(D272,Cronograma!P:P,Cronograma!Q:Q)),"Documento Removido")</f>
        <v>46237</v>
      </c>
      <c r="S272" s="40" t="str">
        <f t="shared" ca="1" si="44"/>
        <v>No prazo</v>
      </c>
      <c r="T272" s="40">
        <f>IFERROR(IF(I272&lt;&gt;"","Documento Emitido",_xlfn.XLOOKUP(D272,Cronograma!P:P,Cronograma!R:R)),"Documento Removido")</f>
        <v>46241</v>
      </c>
      <c r="U272" s="39" t="str">
        <f t="shared" si="45"/>
        <v>No prazo</v>
      </c>
      <c r="V272" s="39" t="str">
        <f t="shared" si="46"/>
        <v/>
      </c>
      <c r="W272" s="39" t="str">
        <f t="shared" ca="1" si="47"/>
        <v/>
      </c>
    </row>
    <row r="273" spans="1:23" ht="28.5" customHeight="1" x14ac:dyDescent="0.25">
      <c r="A273" s="39">
        <v>270</v>
      </c>
      <c r="B273" s="39" t="str">
        <f>_xlfn.XLOOKUP(D273,'LD-ELFA'!F:F,'LD-ELFA'!C:C)</f>
        <v>UT - Sistema De Utilidades</v>
      </c>
      <c r="C273" s="39" t="str">
        <f>_xlfn.XLOOKUP(D273,'LD-ELFA'!F:F,'LD-ELFA'!D:D)</f>
        <v>FEN - Fluxograma De Engenharia</v>
      </c>
      <c r="D273" s="39" t="s">
        <v>273</v>
      </c>
      <c r="E273" s="39" t="str">
        <f>_xlfn.LET(_xlpm.q,_xlfn.XLOOKUP(D273,'LD-ELFA'!F:F,'LD-ELFA'!Q:Q),
   _xlpm.r,_xlfn.XLOOKUP(D273,'LD-ELFA'!F:F,'LD-ELFA'!R:R),
   IF(_xlpm.r = "", _xlpm.q, _xlpm.q &amp; " - " &amp; _xlpm.r))</f>
        <v>UFD - BALANÇO DE ÁGUA POTÁVEL 1 MTPA</v>
      </c>
      <c r="F273" s="63" t="str">
        <f t="shared" si="41"/>
        <v>Básico</v>
      </c>
      <c r="G273" s="63">
        <f>_xlfn.XLOOKUP(D273,'LD-ELFA'!F:F,'LD-ELFA'!G:G)</f>
        <v>0</v>
      </c>
      <c r="H273" s="63" t="str">
        <f>_xlfn.XLOOKUP(D273,'LD-ELFA'!F:F,'LD-ELFA'!I:I)</f>
        <v>2</v>
      </c>
      <c r="I273" s="63" t="str">
        <f>IF(_xlfn.XLOOKUP(D273,'LD-ELFA'!F:F,'LD-ELFA'!T:T)="","",_xlfn.XLOOKUP(D273,'LD-ELFA'!F:F,'LD-ELFA'!T:T))</f>
        <v/>
      </c>
      <c r="J273" s="63" t="str">
        <f>IF(K273="Documento a emitir", "",_xlfn.XLOOKUP(D273,'LD-ELFA'!F:F,'LD-ELFA'!N:N))</f>
        <v/>
      </c>
      <c r="K273" s="43" t="str">
        <f>IF(_xlfn.XLOOKUP($D273,'LD-ELFA'!F:F,'LD-ELFA'!U:U)="","Documento a emitir",_xlfn.XLOOKUP($D273,'LD-ELFA'!F:F,'LD-ELFA'!U:U))</f>
        <v>Documento a emitir</v>
      </c>
      <c r="L273" s="43" t="str">
        <f>IF(K273="Documento a emitir","Documento a emitir",IF(K273&lt;&gt;"Documento a emitir",IF(_xlfn.XLOOKUP(D273,'LD-ELFA'!F:F,'LD-ELFA'!W:W)="","",_xlfn.XLOOKUP(D273,'LD-ELFA'!F:F,'LD-ELFA'!W:W)),""))</f>
        <v>Documento a emitir</v>
      </c>
      <c r="M273" s="43" t="str">
        <f>IF(K273="Documento a emitir","",IF(AND(Q273="APC-R  - APC-R - Aprovado com Comentários (Retornar para uma nova Aprovação)",Q273="APC-L  - APC-L  - Aprovado com Comentários (Retornar Aprovado)"),"",IF(OR(_xlfn.XLOOKUP(D273,'LD-ELFA'!F:F,'LD-ELFA'!N:N)="PARA CONHECIMENTO",_xlfn.XLOOKUP(D273,'LD-ELFA'!F:F,'LD-ELFA'!N:N)="PARA CONSTRUÇÃO",_xlfn.XLOOKUP(D273,'LD-ELFA'!F:F,'LD-ELFA'!N:N)="PARA COTAÇÃO",_xlfn.XLOOKUP(D273,'LD-ELFA'!F:F,'LD-ELFA'!N:N)="CANCELADO"),_xlfn.XLOOKUP(D273,'LD-ELFA'!F:F,'LD-ELFA'!U:U),IF(AND(L273="",J273&lt;&gt;"PARA APROVAÇÃO"),"",""))))</f>
        <v/>
      </c>
      <c r="N273" s="63" t="str">
        <f ca="1">IF(O273="Documento Concluído","Documento Concluído",IF(O273="Cliente - Atendimento de Comentário",IF(TODAY()&lt;=(K273+3),"No prazo","Atrasado"),IF(O273="Cliente - Atendimento de Comentário",IF(TODAY()&lt;=(WORKDAY(K273,3,0)),"No prazo","Atrasado"),IF(O273="Blossom - Emissão Final",IF(TODAY()&lt;=(WORKDAY(L273,3,0)),"No prazo","Atrasado"),IF(O273="Blossom - Atendimento de Comentário",IF(TODAY()&lt;=(WORKDAY(L273,3,0)),"No prazo","Atrasado"),IF(O273="Blossom - Documento a emitir","Documento a Emitir",IF(O273="Documento Removido","Documento Removido","ERRO")))))))</f>
        <v>Documento a Emitir</v>
      </c>
      <c r="O273" s="63" t="str">
        <f t="shared" si="42"/>
        <v>Blossom - Documento a emitir</v>
      </c>
      <c r="P273" s="63" t="str">
        <f t="shared" si="43"/>
        <v>Blossom</v>
      </c>
      <c r="Q273" s="63" t="str">
        <f>IF(_xlfn.XLOOKUP(D273,'LD-ELFA'!F:F,'LD-ELFA'!V:V)="","",_xlfn.XLOOKUP(D273,'LD-ELFA'!F:F,'LD-ELFA'!V:V))</f>
        <v/>
      </c>
      <c r="R273" s="40">
        <f>IFERROR(IF(I273&lt;&gt;"","Documento Emitido",_xlfn.XLOOKUP(D273,Cronograma!P:P,Cronograma!Q:Q)),"Documento Removido")</f>
        <v>46225</v>
      </c>
      <c r="S273" s="40" t="str">
        <f t="shared" ca="1" si="44"/>
        <v>No prazo</v>
      </c>
      <c r="T273" s="40">
        <f>IFERROR(IF(I273&lt;&gt;"","Documento Emitido",_xlfn.XLOOKUP(D273,Cronograma!P:P,Cronograma!R:R)),"Documento Removido")</f>
        <v>46231</v>
      </c>
      <c r="U273" s="39" t="str">
        <f t="shared" si="45"/>
        <v>No prazo</v>
      </c>
      <c r="V273" s="39" t="str">
        <f t="shared" si="46"/>
        <v>Semana 2</v>
      </c>
      <c r="W273" s="39" t="str">
        <f t="shared" ca="1" si="47"/>
        <v/>
      </c>
    </row>
    <row r="274" spans="1:23" ht="28.5" customHeight="1" x14ac:dyDescent="0.25">
      <c r="A274" s="39">
        <v>271</v>
      </c>
      <c r="B274" s="39" t="str">
        <f>_xlfn.XLOOKUP(D274,'LD-ELFA'!F:F,'LD-ELFA'!C:C)</f>
        <v>UT - Sistema De Utilidades</v>
      </c>
      <c r="C274" s="39" t="str">
        <f>_xlfn.XLOOKUP(D274,'LD-ELFA'!F:F,'LD-ELFA'!D:D)</f>
        <v>FEN - Fluxograma De Engenharia</v>
      </c>
      <c r="D274" s="39" t="s">
        <v>274</v>
      </c>
      <c r="E274" s="39" t="str">
        <f>_xlfn.LET(_xlpm.q,_xlfn.XLOOKUP(D274,'LD-ELFA'!F:F,'LD-ELFA'!Q:Q),
   _xlpm.r,_xlfn.XLOOKUP(D274,'LD-ELFA'!F:F,'LD-ELFA'!R:R),
   IF(_xlpm.r = "", _xlpm.q, _xlpm.q &amp; " - " &amp; _xlpm.r))</f>
        <v>UFD - BALANÇO DE AR COMPRIMIDO 1 MTPA</v>
      </c>
      <c r="F274" s="63" t="str">
        <f t="shared" si="41"/>
        <v>Básico</v>
      </c>
      <c r="G274" s="63">
        <f>_xlfn.XLOOKUP(D274,'LD-ELFA'!F:F,'LD-ELFA'!G:G)</f>
        <v>0</v>
      </c>
      <c r="H274" s="63">
        <f>_xlfn.XLOOKUP(D274,'LD-ELFA'!F:F,'LD-ELFA'!I:I)</f>
        <v>0</v>
      </c>
      <c r="I274" s="63" t="str">
        <f>IF(_xlfn.XLOOKUP(D274,'LD-ELFA'!F:F,'LD-ELFA'!T:T)="","",_xlfn.XLOOKUP(D274,'LD-ELFA'!F:F,'LD-ELFA'!T:T))</f>
        <v/>
      </c>
      <c r="J274" s="63" t="str">
        <f>IF(K274="Documento a emitir", "",_xlfn.XLOOKUP(D274,'LD-ELFA'!F:F,'LD-ELFA'!N:N))</f>
        <v/>
      </c>
      <c r="K274" s="43" t="str">
        <f>IF(_xlfn.XLOOKUP($D274,'LD-ELFA'!F:F,'LD-ELFA'!U:U)="","Documento a emitir",_xlfn.XLOOKUP($D274,'LD-ELFA'!F:F,'LD-ELFA'!U:U))</f>
        <v>Documento a emitir</v>
      </c>
      <c r="L274" s="43" t="str">
        <f>IF(K274="Documento a emitir","Documento a emitir",IF(K274&lt;&gt;"Documento a emitir",IF(_xlfn.XLOOKUP(D274,'LD-ELFA'!F:F,'LD-ELFA'!W:W)="","",_xlfn.XLOOKUP(D274,'LD-ELFA'!F:F,'LD-ELFA'!W:W)),""))</f>
        <v>Documento a emitir</v>
      </c>
      <c r="M274" s="43" t="str">
        <f>IF(K274="Documento a emitir","",IF(AND(Q274="APC-R  - APC-R - Aprovado com Comentários (Retornar para uma nova Aprovação)",Q274="APC-L  - APC-L  - Aprovado com Comentários (Retornar Aprovado)"),"",IF(OR(_xlfn.XLOOKUP(D274,'LD-ELFA'!F:F,'LD-ELFA'!N:N)="PARA CONHECIMENTO",_xlfn.XLOOKUP(D274,'LD-ELFA'!F:F,'LD-ELFA'!N:N)="PARA CONSTRUÇÃO",_xlfn.XLOOKUP(D274,'LD-ELFA'!F:F,'LD-ELFA'!N:N)="PARA COTAÇÃO",_xlfn.XLOOKUP(D274,'LD-ELFA'!F:F,'LD-ELFA'!N:N)="CANCELADO"),_xlfn.XLOOKUP(D274,'LD-ELFA'!F:F,'LD-ELFA'!U:U),IF(AND(L274="",J274&lt;&gt;"PARA APROVAÇÃO"),"",""))))</f>
        <v/>
      </c>
      <c r="N274" s="63" t="str">
        <f t="shared" ref="N274:N286" ca="1" si="48">IF(O274="Documento Concluído","Documento Concluído",IF(O274="Cliente - Atendimento de Comentário",IF(TODAY()&lt;=(K274+3),"No prazo","Atrasado"),IF(O274="Cliente - Atendimento de Comentário",IF(TODAY()&lt;=(WORKDAY(K274,3,0)),"No prazo","Atrasado"),IF(O274="Blossom - Emissão Final",IF(TODAY()&lt;=(WORKDAY(L274,3,0)),"No prazo","Atrasado"),IF(O274="Blossom - Atendimento de Comentário",IF(TODAY()&lt;=(WORKDAY(L274,3,0)),"No prazo","Atrasado"),IF(O274="Blossom - Documento a emitir","Documento a Emitir","ERRO"))))))</f>
        <v>Documento a Emitir</v>
      </c>
      <c r="O274" s="63" t="str">
        <f t="shared" si="42"/>
        <v>Blossom - Documento a emitir</v>
      </c>
      <c r="P274" s="63" t="str">
        <f t="shared" si="43"/>
        <v>Blossom</v>
      </c>
      <c r="Q274" s="63" t="str">
        <f>IF(_xlfn.XLOOKUP(D274,'LD-ELFA'!F:F,'LD-ELFA'!V:V)="","",_xlfn.XLOOKUP(D274,'LD-ELFA'!F:F,'LD-ELFA'!V:V))</f>
        <v/>
      </c>
      <c r="R274" s="40">
        <f>IFERROR(IF(I274&lt;&gt;"","Documento Emitido",_xlfn.XLOOKUP(D274,Cronograma!P:P,Cronograma!Q:Q)),"Documento Removido")</f>
        <v>46239</v>
      </c>
      <c r="S274" s="40" t="str">
        <f t="shared" ca="1" si="44"/>
        <v>No prazo</v>
      </c>
      <c r="T274" s="40">
        <f>IFERROR(IF(I274&lt;&gt;"","Documento Emitido",_xlfn.XLOOKUP(D274,Cronograma!P:P,Cronograma!R:R)),"Documento Removido")</f>
        <v>46245</v>
      </c>
      <c r="U274" s="39" t="str">
        <f t="shared" si="45"/>
        <v>No prazo</v>
      </c>
      <c r="V274" s="39" t="str">
        <f t="shared" si="46"/>
        <v/>
      </c>
      <c r="W274" s="39" t="str">
        <f t="shared" ca="1" si="47"/>
        <v/>
      </c>
    </row>
    <row r="275" spans="1:23" ht="28.5" customHeight="1" x14ac:dyDescent="0.25">
      <c r="A275" s="39">
        <v>272</v>
      </c>
      <c r="B275" s="39" t="str">
        <f>_xlfn.XLOOKUP(D275,'LD-ELFA'!F:F,'LD-ELFA'!C:C)</f>
        <v>UT - Sistema De Utilidades</v>
      </c>
      <c r="C275" s="39" t="str">
        <f>_xlfn.XLOOKUP(D275,'LD-ELFA'!F:F,'LD-ELFA'!D:D)</f>
        <v>FEN - Fluxograma De Engenharia</v>
      </c>
      <c r="D275" s="39" t="s">
        <v>275</v>
      </c>
      <c r="E275" s="39" t="str">
        <f>_xlfn.LET(_xlpm.q,_xlfn.XLOOKUP(D275,'LD-ELFA'!F:F,'LD-ELFA'!Q:Q),
   _xlpm.r,_xlfn.XLOOKUP(D275,'LD-ELFA'!F:F,'LD-ELFA'!R:R),
   IF(_xlpm.r = "", _xlpm.q, _xlpm.q &amp; " - " &amp; _xlpm.r))</f>
        <v>UFD - BALANÇO DE ÁGUA 1 MTPA</v>
      </c>
      <c r="F275" s="63" t="str">
        <f t="shared" si="41"/>
        <v>Básico</v>
      </c>
      <c r="G275" s="63">
        <f>_xlfn.XLOOKUP(D275,'LD-ELFA'!F:F,'LD-ELFA'!G:G)</f>
        <v>0</v>
      </c>
      <c r="H275" s="63">
        <f>_xlfn.XLOOKUP(D275,'LD-ELFA'!F:F,'LD-ELFA'!I:I)</f>
        <v>0</v>
      </c>
      <c r="I275" s="63" t="str">
        <f>IF(_xlfn.XLOOKUP(D275,'LD-ELFA'!F:F,'LD-ELFA'!T:T)="","",_xlfn.XLOOKUP(D275,'LD-ELFA'!F:F,'LD-ELFA'!T:T))</f>
        <v/>
      </c>
      <c r="J275" s="63" t="str">
        <f>IF(K275="Documento a emitir", "",_xlfn.XLOOKUP(D275,'LD-ELFA'!F:F,'LD-ELFA'!N:N))</f>
        <v/>
      </c>
      <c r="K275" s="43" t="str">
        <f>IF(_xlfn.XLOOKUP($D275,'LD-ELFA'!F:F,'LD-ELFA'!U:U)="","Documento a emitir",_xlfn.XLOOKUP($D275,'LD-ELFA'!F:F,'LD-ELFA'!U:U))</f>
        <v>Documento a emitir</v>
      </c>
      <c r="L275" s="43" t="str">
        <f>IF(K275="Documento a emitir","Documento a emitir",IF(K275&lt;&gt;"Documento a emitir",IF(_xlfn.XLOOKUP(D275,'LD-ELFA'!F:F,'LD-ELFA'!W:W)="","",_xlfn.XLOOKUP(D275,'LD-ELFA'!F:F,'LD-ELFA'!W:W)),""))</f>
        <v>Documento a emitir</v>
      </c>
      <c r="M275" s="43" t="str">
        <f>IF(K275="Documento a emitir","",IF(AND(Q275="APC-R  - APC-R - Aprovado com Comentários (Retornar para uma nova Aprovação)",Q275="APC-L  - APC-L  - Aprovado com Comentários (Retornar Aprovado)"),"",IF(OR(_xlfn.XLOOKUP(D275,'LD-ELFA'!F:F,'LD-ELFA'!N:N)="PARA CONHECIMENTO",_xlfn.XLOOKUP(D275,'LD-ELFA'!F:F,'LD-ELFA'!N:N)="PARA CONSTRUÇÃO",_xlfn.XLOOKUP(D275,'LD-ELFA'!F:F,'LD-ELFA'!N:N)="PARA COTAÇÃO",_xlfn.XLOOKUP(D275,'LD-ELFA'!F:F,'LD-ELFA'!N:N)="CANCELADO"),_xlfn.XLOOKUP(D275,'LD-ELFA'!F:F,'LD-ELFA'!U:U),IF(AND(L275="",J275&lt;&gt;"PARA APROVAÇÃO"),"",""))))</f>
        <v/>
      </c>
      <c r="N275" s="63" t="str">
        <f t="shared" ca="1" si="48"/>
        <v>Documento a Emitir</v>
      </c>
      <c r="O275" s="63" t="str">
        <f t="shared" si="42"/>
        <v>Blossom - Documento a emitir</v>
      </c>
      <c r="P275" s="63" t="str">
        <f t="shared" si="43"/>
        <v>Blossom</v>
      </c>
      <c r="Q275" s="63" t="str">
        <f>IF(_xlfn.XLOOKUP(D275,'LD-ELFA'!F:F,'LD-ELFA'!V:V)="","",_xlfn.XLOOKUP(D275,'LD-ELFA'!F:F,'LD-ELFA'!V:V))</f>
        <v/>
      </c>
      <c r="R275" s="40">
        <f>IFERROR(IF(I275&lt;&gt;"","Documento Emitido",_xlfn.XLOOKUP(D275,Cronograma!P:P,Cronograma!Q:Q)),"Documento Removido")</f>
        <v>46231</v>
      </c>
      <c r="S275" s="40" t="str">
        <f t="shared" ca="1" si="44"/>
        <v>No prazo</v>
      </c>
      <c r="T275" s="40">
        <f>IFERROR(IF(I275&lt;&gt;"","Documento Emitido",_xlfn.XLOOKUP(D275,Cronograma!P:P,Cronograma!R:R)),"Documento Removido")</f>
        <v>46237</v>
      </c>
      <c r="U275" s="39" t="str">
        <f t="shared" si="45"/>
        <v>No prazo</v>
      </c>
      <c r="V275" s="39" t="str">
        <f t="shared" si="46"/>
        <v>Semana 3</v>
      </c>
      <c r="W275" s="39" t="str">
        <f t="shared" ca="1" si="47"/>
        <v/>
      </c>
    </row>
    <row r="276" spans="1:23" ht="28.5" customHeight="1" x14ac:dyDescent="0.25">
      <c r="A276" s="39">
        <v>273</v>
      </c>
      <c r="B276" s="39" t="str">
        <f>_xlfn.XLOOKUP(D276,'LD-ELFA'!F:F,'LD-ELFA'!C:C)</f>
        <v>UT - Sistema De Utilidades</v>
      </c>
      <c r="C276" s="39" t="str">
        <f>_xlfn.XLOOKUP(D276,'LD-ELFA'!F:F,'LD-ELFA'!D:D)</f>
        <v>FEN - Fluxograma De Engenharia</v>
      </c>
      <c r="D276" s="39" t="s">
        <v>276</v>
      </c>
      <c r="E276" s="39" t="str">
        <f>_xlfn.LET(_xlpm.q,_xlfn.XLOOKUP(D276,'LD-ELFA'!F:F,'LD-ELFA'!Q:Q),
   _xlpm.r,_xlfn.XLOOKUP(D276,'LD-ELFA'!F:F,'LD-ELFA'!R:R),
   IF(_xlpm.r = "", _xlpm.q, _xlpm.q &amp; " - " &amp; _xlpm.r))</f>
        <v>FLUXOGRAMA DE ENGENHARIA - P&amp;ID - AR COMPRIMIDO DE INSTRUMENTOS - 2/3</v>
      </c>
      <c r="F276" s="63" t="str">
        <f t="shared" si="41"/>
        <v>Básico</v>
      </c>
      <c r="G276" s="63">
        <f>_xlfn.XLOOKUP(D276,'LD-ELFA'!F:F,'LD-ELFA'!G:G)</f>
        <v>0</v>
      </c>
      <c r="H276" s="63">
        <f>_xlfn.XLOOKUP(D276,'LD-ELFA'!F:F,'LD-ELFA'!I:I)</f>
        <v>0</v>
      </c>
      <c r="I276" s="63" t="str">
        <f>IF(_xlfn.XLOOKUP(D276,'LD-ELFA'!F:F,'LD-ELFA'!T:T)="","",_xlfn.XLOOKUP(D276,'LD-ELFA'!F:F,'LD-ELFA'!T:T))</f>
        <v/>
      </c>
      <c r="J276" s="63" t="str">
        <f>IF(K276="Documento a emitir", "",_xlfn.XLOOKUP(D276,'LD-ELFA'!F:F,'LD-ELFA'!N:N))</f>
        <v/>
      </c>
      <c r="K276" s="43" t="str">
        <f>IF(_xlfn.XLOOKUP($D276,'LD-ELFA'!F:F,'LD-ELFA'!U:U)="","Documento a emitir",_xlfn.XLOOKUP($D276,'LD-ELFA'!F:F,'LD-ELFA'!U:U))</f>
        <v>Documento a emitir</v>
      </c>
      <c r="L276" s="43" t="str">
        <f>IF(K276="Documento a emitir","Documento a emitir",IF(K276&lt;&gt;"Documento a emitir",IF(_xlfn.XLOOKUP(D276,'LD-ELFA'!F:F,'LD-ELFA'!W:W)="","",_xlfn.XLOOKUP(D276,'LD-ELFA'!F:F,'LD-ELFA'!W:W)),""))</f>
        <v>Documento a emitir</v>
      </c>
      <c r="M276" s="43" t="str">
        <f>IF(K276="Documento a emitir","",IF(AND(Q276="APC-R  - APC-R - Aprovado com Comentários (Retornar para uma nova Aprovação)",Q276="APC-L  - APC-L  - Aprovado com Comentários (Retornar Aprovado)"),"",IF(OR(_xlfn.XLOOKUP(D276,'LD-ELFA'!F:F,'LD-ELFA'!N:N)="PARA CONHECIMENTO",_xlfn.XLOOKUP(D276,'LD-ELFA'!F:F,'LD-ELFA'!N:N)="PARA CONSTRUÇÃO",_xlfn.XLOOKUP(D276,'LD-ELFA'!F:F,'LD-ELFA'!N:N)="PARA COTAÇÃO",_xlfn.XLOOKUP(D276,'LD-ELFA'!F:F,'LD-ELFA'!N:N)="CANCELADO"),_xlfn.XLOOKUP(D276,'LD-ELFA'!F:F,'LD-ELFA'!U:U),IF(AND(L276="",J276&lt;&gt;"PARA APROVAÇÃO"),"",""))))</f>
        <v/>
      </c>
      <c r="N276" s="63" t="str">
        <f t="shared" ca="1" si="48"/>
        <v>Documento a Emitir</v>
      </c>
      <c r="O276" s="63" t="str">
        <f t="shared" si="42"/>
        <v>Blossom - Documento a emitir</v>
      </c>
      <c r="P276" s="63" t="str">
        <f t="shared" si="43"/>
        <v>Blossom</v>
      </c>
      <c r="Q276" s="63" t="str">
        <f>IF(_xlfn.XLOOKUP(D276,'LD-ELFA'!F:F,'LD-ELFA'!V:V)="","",_xlfn.XLOOKUP(D276,'LD-ELFA'!F:F,'LD-ELFA'!V:V))</f>
        <v/>
      </c>
      <c r="R276" s="40">
        <f>IFERROR(IF(I276&lt;&gt;"","Documento Emitido",_xlfn.XLOOKUP(D276,Cronograma!P:P,Cronograma!Q:Q)),"Documento Removido")</f>
        <v>46245</v>
      </c>
      <c r="S276" s="40" t="str">
        <f t="shared" ca="1" si="44"/>
        <v>No prazo</v>
      </c>
      <c r="T276" s="40">
        <f>IFERROR(IF(I276&lt;&gt;"","Documento Emitido",_xlfn.XLOOKUP(D276,Cronograma!P:P,Cronograma!R:R)),"Documento Removido")</f>
        <v>46251</v>
      </c>
      <c r="U276" s="39" t="str">
        <f t="shared" si="45"/>
        <v>No prazo</v>
      </c>
      <c r="V276" s="39" t="str">
        <f t="shared" si="46"/>
        <v/>
      </c>
      <c r="W276" s="39" t="str">
        <f t="shared" ca="1" si="47"/>
        <v/>
      </c>
    </row>
    <row r="277" spans="1:23" ht="28.5" customHeight="1" x14ac:dyDescent="0.25">
      <c r="A277" s="39">
        <v>274</v>
      </c>
      <c r="B277" s="39" t="str">
        <f>_xlfn.XLOOKUP(D277,'LD-ELFA'!F:F,'LD-ELFA'!C:C)</f>
        <v>UT - Sistema De Utilidades</v>
      </c>
      <c r="C277" s="39" t="str">
        <f>_xlfn.XLOOKUP(D277,'LD-ELFA'!F:F,'LD-ELFA'!D:D)</f>
        <v>FEN - Fluxograma De Engenharia</v>
      </c>
      <c r="D277" s="39" t="s">
        <v>277</v>
      </c>
      <c r="E277" s="39" t="str">
        <f>_xlfn.LET(_xlpm.q,_xlfn.XLOOKUP(D277,'LD-ELFA'!F:F,'LD-ELFA'!Q:Q),
   _xlpm.r,_xlfn.XLOOKUP(D277,'LD-ELFA'!F:F,'LD-ELFA'!R:R),
   IF(_xlpm.r = "", _xlpm.q, _xlpm.q &amp; " - " &amp; _xlpm.r))</f>
        <v>FLUXOGRAMA DE ENGENHARIA - P&amp;ID - AR DE SERVIÇO - 3/3</v>
      </c>
      <c r="F277" s="63" t="str">
        <f t="shared" si="41"/>
        <v>Básico</v>
      </c>
      <c r="G277" s="63">
        <f>_xlfn.XLOOKUP(D277,'LD-ELFA'!F:F,'LD-ELFA'!G:G)</f>
        <v>0</v>
      </c>
      <c r="H277" s="63">
        <f>_xlfn.XLOOKUP(D277,'LD-ELFA'!F:F,'LD-ELFA'!I:I)</f>
        <v>0</v>
      </c>
      <c r="I277" s="63" t="str">
        <f>IF(_xlfn.XLOOKUP(D277,'LD-ELFA'!F:F,'LD-ELFA'!T:T)="","",_xlfn.XLOOKUP(D277,'LD-ELFA'!F:F,'LD-ELFA'!T:T))</f>
        <v/>
      </c>
      <c r="J277" s="63" t="str">
        <f>IF(K277="Documento a emitir", "",_xlfn.XLOOKUP(D277,'LD-ELFA'!F:F,'LD-ELFA'!N:N))</f>
        <v/>
      </c>
      <c r="K277" s="43" t="str">
        <f>IF(_xlfn.XLOOKUP($D277,'LD-ELFA'!F:F,'LD-ELFA'!U:U)="","Documento a emitir",_xlfn.XLOOKUP($D277,'LD-ELFA'!F:F,'LD-ELFA'!U:U))</f>
        <v>Documento a emitir</v>
      </c>
      <c r="L277" s="43" t="str">
        <f>IF(K277="Documento a emitir","Documento a emitir",IF(K277&lt;&gt;"Documento a emitir",IF(_xlfn.XLOOKUP(D277,'LD-ELFA'!F:F,'LD-ELFA'!W:W)="","",_xlfn.XLOOKUP(D277,'LD-ELFA'!F:F,'LD-ELFA'!W:W)),""))</f>
        <v>Documento a emitir</v>
      </c>
      <c r="M277" s="43" t="str">
        <f>IF(K277="Documento a emitir","",IF(AND(Q277="APC-R  - APC-R - Aprovado com Comentários (Retornar para uma nova Aprovação)",Q277="APC-L  - APC-L  - Aprovado com Comentários (Retornar Aprovado)"),"",IF(OR(_xlfn.XLOOKUP(D277,'LD-ELFA'!F:F,'LD-ELFA'!N:N)="PARA CONHECIMENTO",_xlfn.XLOOKUP(D277,'LD-ELFA'!F:F,'LD-ELFA'!N:N)="PARA CONSTRUÇÃO",_xlfn.XLOOKUP(D277,'LD-ELFA'!F:F,'LD-ELFA'!N:N)="PARA COTAÇÃO",_xlfn.XLOOKUP(D277,'LD-ELFA'!F:F,'LD-ELFA'!N:N)="CANCELADO"),_xlfn.XLOOKUP(D277,'LD-ELFA'!F:F,'LD-ELFA'!U:U),IF(AND(L277="",J277&lt;&gt;"PARA APROVAÇÃO"),"",""))))</f>
        <v/>
      </c>
      <c r="N277" s="63" t="str">
        <f t="shared" ca="1" si="48"/>
        <v>Documento a Emitir</v>
      </c>
      <c r="O277" s="63" t="str">
        <f t="shared" si="42"/>
        <v>Blossom - Documento a emitir</v>
      </c>
      <c r="P277" s="63" t="str">
        <f t="shared" si="43"/>
        <v>Blossom</v>
      </c>
      <c r="Q277" s="63" t="str">
        <f>IF(_xlfn.XLOOKUP(D277,'LD-ELFA'!F:F,'LD-ELFA'!V:V)="","",_xlfn.XLOOKUP(D277,'LD-ELFA'!F:F,'LD-ELFA'!V:V))</f>
        <v/>
      </c>
      <c r="R277" s="40">
        <f>IFERROR(IF(I277&lt;&gt;"","Documento Emitido",_xlfn.XLOOKUP(D277,Cronograma!P:P,Cronograma!Q:Q)),"Documento Removido")</f>
        <v>46248</v>
      </c>
      <c r="S277" s="40" t="str">
        <f t="shared" ca="1" si="44"/>
        <v>No prazo</v>
      </c>
      <c r="T277" s="40">
        <f>IFERROR(IF(I277&lt;&gt;"","Documento Emitido",_xlfn.XLOOKUP(D277,Cronograma!P:P,Cronograma!R:R)),"Documento Removido")</f>
        <v>46254</v>
      </c>
      <c r="U277" s="39" t="str">
        <f t="shared" si="45"/>
        <v>No prazo</v>
      </c>
      <c r="V277" s="39" t="str">
        <f t="shared" si="46"/>
        <v/>
      </c>
      <c r="W277" s="39" t="str">
        <f t="shared" ca="1" si="47"/>
        <v/>
      </c>
    </row>
    <row r="278" spans="1:23" ht="28.5" customHeight="1" x14ac:dyDescent="0.25">
      <c r="A278" s="39">
        <v>275</v>
      </c>
      <c r="B278" s="39" t="e">
        <f>_xlfn.XLOOKUP(D278,'LD-ELFA'!F:F,'LD-ELFA'!C:C)</f>
        <v>#N/A</v>
      </c>
      <c r="C278" s="39" t="e">
        <f>_xlfn.XLOOKUP(D278,'LD-ELFA'!F:F,'LD-ELFA'!D:D)</f>
        <v>#N/A</v>
      </c>
      <c r="D278" s="39" t="s">
        <v>278</v>
      </c>
      <c r="E278" s="39" t="e">
        <f>_xlfn.LET(_xlpm.q,_xlfn.XLOOKUP(D278,'LD-ELFA'!F:F,'LD-ELFA'!Q:Q),
   _xlpm.r,_xlfn.XLOOKUP(D278,'LD-ELFA'!F:F,'LD-ELFA'!R:R),
   IF(_xlpm.r = "", _xlpm.q, _xlpm.q &amp; " - " &amp; _xlpm.r))</f>
        <v>#N/A</v>
      </c>
      <c r="F278" s="63" t="str">
        <f t="shared" si="41"/>
        <v>Básico</v>
      </c>
      <c r="G278" s="63" t="e">
        <f>_xlfn.XLOOKUP(D278,'LD-ELFA'!F:F,'LD-ELFA'!G:G)</f>
        <v>#N/A</v>
      </c>
      <c r="H278" s="63" t="e">
        <f>_xlfn.XLOOKUP(D278,'LD-ELFA'!F:F,'LD-ELFA'!I:I)</f>
        <v>#N/A</v>
      </c>
      <c r="I278" s="63" t="e">
        <f>IF(_xlfn.XLOOKUP(D278,'LD-ELFA'!F:F,'LD-ELFA'!T:T)="","",_xlfn.XLOOKUP(D278,'LD-ELFA'!F:F,'LD-ELFA'!T:T))</f>
        <v>#N/A</v>
      </c>
      <c r="J278" s="63" t="e">
        <f>IF(K278="Documento a emitir", "",_xlfn.XLOOKUP(D278,'LD-ELFA'!F:F,'LD-ELFA'!N:N))</f>
        <v>#N/A</v>
      </c>
      <c r="K278" s="43" t="e">
        <f>IF(_xlfn.XLOOKUP($D278,'LD-ELFA'!F:F,'LD-ELFA'!U:U)="","Documento a emitir",_xlfn.XLOOKUP($D278,'LD-ELFA'!F:F,'LD-ELFA'!U:U))</f>
        <v>#N/A</v>
      </c>
      <c r="L278" s="43" t="e">
        <f>IF(K278="Documento a emitir","Documento a emitir",IF(K278&lt;&gt;"Documento a emitir",IF(_xlfn.XLOOKUP(D278,'LD-ELFA'!F:F,'LD-ELFA'!W:W)="","",_xlfn.XLOOKUP(D278,'LD-ELFA'!F:F,'LD-ELFA'!W:W)),""))</f>
        <v>#N/A</v>
      </c>
      <c r="M278" s="43" t="e">
        <f>IF(K278="Documento a emitir","",IF(AND(Q278="APC-R  - APC-R - Aprovado com Comentários (Retornar para uma nova Aprovação)",Q278="APC-L  - APC-L  - Aprovado com Comentários (Retornar Aprovado)"),"",IF(OR(_xlfn.XLOOKUP(D278,'LD-ELFA'!F:F,'LD-ELFA'!N:N)="PARA CONHECIMENTO",_xlfn.XLOOKUP(D278,'LD-ELFA'!F:F,'LD-ELFA'!N:N)="PARA CONSTRUÇÃO",_xlfn.XLOOKUP(D278,'LD-ELFA'!F:F,'LD-ELFA'!N:N)="PARA COTAÇÃO",_xlfn.XLOOKUP(D278,'LD-ELFA'!F:F,'LD-ELFA'!N:N)="CANCELADO"),_xlfn.XLOOKUP(D278,'LD-ELFA'!F:F,'LD-ELFA'!U:U),IF(AND(L278="",J278&lt;&gt;"PARA APROVAÇÃO"),"",""))))</f>
        <v>#N/A</v>
      </c>
      <c r="N278" s="63" t="str">
        <f t="shared" ca="1" si="48"/>
        <v>ERRO</v>
      </c>
      <c r="O278" s="63" t="str">
        <f t="shared" si="42"/>
        <v>Documento Removido</v>
      </c>
      <c r="P278" s="63" t="str">
        <f t="shared" si="43"/>
        <v>Blossom</v>
      </c>
      <c r="Q278" s="63" t="e">
        <f>IF(_xlfn.XLOOKUP(D278,'LD-ELFA'!F:F,'LD-ELFA'!V:V)="","",_xlfn.XLOOKUP(D278,'LD-ELFA'!F:F,'LD-ELFA'!V:V))</f>
        <v>#N/A</v>
      </c>
      <c r="R278" s="40" t="str">
        <f>IFERROR(IF(I278&lt;&gt;"","Documento Emitido",_xlfn.XLOOKUP(D278,Cronograma!P:P,Cronograma!Q:Q)),"Documento Removido")</f>
        <v>Documento Removido</v>
      </c>
      <c r="S278" s="40" t="str">
        <f t="shared" ca="1" si="44"/>
        <v>Documento Removido</v>
      </c>
      <c r="T278" s="40" t="str">
        <f>IFERROR(IF(I278&lt;&gt;"","Documento Emitido",_xlfn.XLOOKUP(D278,Cronograma!P:P,Cronograma!R:R)),"Documento Removido")</f>
        <v>Documento Removido</v>
      </c>
      <c r="U278" s="39" t="str">
        <f t="shared" si="45"/>
        <v>Documento Removido</v>
      </c>
      <c r="V278" s="39" t="str">
        <f t="shared" si="46"/>
        <v>Documento Removido</v>
      </c>
      <c r="W278" s="39" t="e">
        <f t="shared" ca="1" si="47"/>
        <v>#N/A</v>
      </c>
    </row>
    <row r="279" spans="1:23" ht="28.5" customHeight="1" x14ac:dyDescent="0.25">
      <c r="A279" s="39">
        <v>276</v>
      </c>
      <c r="B279" s="39" t="str">
        <f>_xlfn.XLOOKUP(D279,'LD-ELFA'!F:F,'LD-ELFA'!C:C)</f>
        <v>UT - Sistema De Utilidades</v>
      </c>
      <c r="C279" s="39" t="str">
        <f>_xlfn.XLOOKUP(D279,'LD-ELFA'!F:F,'LD-ELFA'!D:D)</f>
        <v>LLC - Lista De Linhas E Cabos</v>
      </c>
      <c r="D279" s="39" t="s">
        <v>279</v>
      </c>
      <c r="E279" s="39" t="str">
        <f>_xlfn.LET(_xlpm.q,_xlfn.XLOOKUP(D279,'LD-ELFA'!F:F,'LD-ELFA'!Q:Q),
   _xlpm.r,_xlfn.XLOOKUP(D279,'LD-ELFA'!F:F,'LD-ELFA'!R:R),
   IF(_xlpm.r = "", _xlpm.q, _xlpm.q &amp; " - " &amp; _xlpm.r))</f>
        <v>LISTA DE LINHAS - LISTA DE LINHAS</v>
      </c>
      <c r="F279" s="63" t="str">
        <f t="shared" si="41"/>
        <v>Básico</v>
      </c>
      <c r="G279" s="63">
        <f>_xlfn.XLOOKUP(D279,'LD-ELFA'!F:F,'LD-ELFA'!G:G)</f>
        <v>0</v>
      </c>
      <c r="H279" s="63">
        <f>_xlfn.XLOOKUP(D279,'LD-ELFA'!F:F,'LD-ELFA'!I:I)</f>
        <v>0</v>
      </c>
      <c r="I279" s="63" t="str">
        <f>IF(_xlfn.XLOOKUP(D279,'LD-ELFA'!F:F,'LD-ELFA'!T:T)="","",_xlfn.XLOOKUP(D279,'LD-ELFA'!F:F,'LD-ELFA'!T:T))</f>
        <v/>
      </c>
      <c r="J279" s="63" t="str">
        <f>IF(K279="Documento a emitir", "",_xlfn.XLOOKUP(D279,'LD-ELFA'!F:F,'LD-ELFA'!N:N))</f>
        <v/>
      </c>
      <c r="K279" s="43" t="str">
        <f>IF(_xlfn.XLOOKUP($D279,'LD-ELFA'!F:F,'LD-ELFA'!U:U)="","Documento a emitir",_xlfn.XLOOKUP($D279,'LD-ELFA'!F:F,'LD-ELFA'!U:U))</f>
        <v>Documento a emitir</v>
      </c>
      <c r="L279" s="43" t="str">
        <f>IF(K279="Documento a emitir","Documento a emitir",IF(K279&lt;&gt;"Documento a emitir",IF(_xlfn.XLOOKUP(D279,'LD-ELFA'!F:F,'LD-ELFA'!W:W)="","",_xlfn.XLOOKUP(D279,'LD-ELFA'!F:F,'LD-ELFA'!W:W)),""))</f>
        <v>Documento a emitir</v>
      </c>
      <c r="M279" s="43" t="str">
        <f>IF(K279="Documento a emitir","",IF(AND(Q279="APC-R  - APC-R - Aprovado com Comentários (Retornar para uma nova Aprovação)",Q279="APC-L  - APC-L  - Aprovado com Comentários (Retornar Aprovado)"),"",IF(OR(_xlfn.XLOOKUP(D279,'LD-ELFA'!F:F,'LD-ELFA'!N:N)="PARA CONHECIMENTO",_xlfn.XLOOKUP(D279,'LD-ELFA'!F:F,'LD-ELFA'!N:N)="PARA CONSTRUÇÃO",_xlfn.XLOOKUP(D279,'LD-ELFA'!F:F,'LD-ELFA'!N:N)="PARA COTAÇÃO",_xlfn.XLOOKUP(D279,'LD-ELFA'!F:F,'LD-ELFA'!N:N)="CANCELADO"),_xlfn.XLOOKUP(D279,'LD-ELFA'!F:F,'LD-ELFA'!U:U),IF(AND(L279="",J279&lt;&gt;"PARA APROVAÇÃO"),"",""))))</f>
        <v/>
      </c>
      <c r="N279" s="63" t="str">
        <f t="shared" ca="1" si="48"/>
        <v>Documento a Emitir</v>
      </c>
      <c r="O279" s="63" t="str">
        <f t="shared" si="42"/>
        <v>Blossom - Documento a emitir</v>
      </c>
      <c r="P279" s="63" t="str">
        <f t="shared" si="43"/>
        <v>Blossom</v>
      </c>
      <c r="Q279" s="63" t="str">
        <f>IF(_xlfn.XLOOKUP(D279,'LD-ELFA'!F:F,'LD-ELFA'!V:V)="","",_xlfn.XLOOKUP(D279,'LD-ELFA'!F:F,'LD-ELFA'!V:V))</f>
        <v/>
      </c>
      <c r="R279" s="40">
        <f>IFERROR(IF(I279&lt;&gt;"","Documento Emitido",_xlfn.XLOOKUP(D279,Cronograma!P:P,Cronograma!Q:Q)),"Documento Removido")</f>
        <v>46248</v>
      </c>
      <c r="S279" s="40" t="str">
        <f t="shared" ca="1" si="44"/>
        <v>No prazo</v>
      </c>
      <c r="T279" s="40">
        <f>IFERROR(IF(I279&lt;&gt;"","Documento Emitido",_xlfn.XLOOKUP(D279,Cronograma!P:P,Cronograma!R:R)),"Documento Removido")</f>
        <v>46254</v>
      </c>
      <c r="U279" s="39" t="str">
        <f t="shared" si="45"/>
        <v>No prazo</v>
      </c>
      <c r="V279" s="39" t="str">
        <f t="shared" si="46"/>
        <v/>
      </c>
      <c r="W279" s="39" t="str">
        <f t="shared" ca="1" si="47"/>
        <v/>
      </c>
    </row>
    <row r="280" spans="1:23" ht="28.5" customHeight="1" x14ac:dyDescent="0.25">
      <c r="A280" s="39">
        <v>277</v>
      </c>
      <c r="B280" s="39" t="str">
        <f>_xlfn.XLOOKUP(D280,'LD-ELFA'!F:F,'LD-ELFA'!C:C)</f>
        <v>UT - Sistema De Utilidades</v>
      </c>
      <c r="C280" s="39" t="str">
        <f>_xlfn.XLOOKUP(D280,'LD-ELFA'!F:F,'LD-ELFA'!D:D)</f>
        <v>MCA - Memória De Cálculo</v>
      </c>
      <c r="D280" s="39" t="s">
        <v>280</v>
      </c>
      <c r="E280" s="39" t="str">
        <f>_xlfn.LET(_xlpm.q,_xlfn.XLOOKUP(D280,'LD-ELFA'!F:F,'LD-ELFA'!Q:Q),
   _xlpm.r,_xlfn.XLOOKUP(D280,'LD-ELFA'!F:F,'LD-ELFA'!R:R),
   IF(_xlpm.r = "", _xlpm.q, _xlpm.q &amp; " - " &amp; _xlpm.r))</f>
        <v>MEMÓRIA DE CÁLCULO - SISTEMA DE COMBATE A INCÊNDIO</v>
      </c>
      <c r="F280" s="63" t="str">
        <f t="shared" si="41"/>
        <v>Básico</v>
      </c>
      <c r="G280" s="63">
        <f>_xlfn.XLOOKUP(D280,'LD-ELFA'!F:F,'LD-ELFA'!G:G)</f>
        <v>0</v>
      </c>
      <c r="H280" s="63">
        <f>_xlfn.XLOOKUP(D280,'LD-ELFA'!F:F,'LD-ELFA'!I:I)</f>
        <v>0</v>
      </c>
      <c r="I280" s="63" t="str">
        <f>IF(_xlfn.XLOOKUP(D280,'LD-ELFA'!F:F,'LD-ELFA'!T:T)="","",_xlfn.XLOOKUP(D280,'LD-ELFA'!F:F,'LD-ELFA'!T:T))</f>
        <v/>
      </c>
      <c r="J280" s="63" t="str">
        <f>IF(K280="Documento a emitir", "",_xlfn.XLOOKUP(D280,'LD-ELFA'!F:F,'LD-ELFA'!N:N))</f>
        <v/>
      </c>
      <c r="K280" s="43" t="str">
        <f>IF(_xlfn.XLOOKUP($D280,'LD-ELFA'!F:F,'LD-ELFA'!U:U)="","Documento a emitir",_xlfn.XLOOKUP($D280,'LD-ELFA'!F:F,'LD-ELFA'!U:U))</f>
        <v>Documento a emitir</v>
      </c>
      <c r="L280" s="43" t="str">
        <f>IF(K280="Documento a emitir","Documento a emitir",IF(K280&lt;&gt;"Documento a emitir",IF(_xlfn.XLOOKUP(D280,'LD-ELFA'!F:F,'LD-ELFA'!W:W)="","",_xlfn.XLOOKUP(D280,'LD-ELFA'!F:F,'LD-ELFA'!W:W)),""))</f>
        <v>Documento a emitir</v>
      </c>
      <c r="M280" s="43" t="str">
        <f>IF(K280="Documento a emitir","",IF(AND(Q280="APC-R  - APC-R - Aprovado com Comentários (Retornar para uma nova Aprovação)",Q280="APC-L  - APC-L  - Aprovado com Comentários (Retornar Aprovado)"),"",IF(OR(_xlfn.XLOOKUP(D280,'LD-ELFA'!F:F,'LD-ELFA'!N:N)="PARA CONHECIMENTO",_xlfn.XLOOKUP(D280,'LD-ELFA'!F:F,'LD-ELFA'!N:N)="PARA CONSTRUÇÃO",_xlfn.XLOOKUP(D280,'LD-ELFA'!F:F,'LD-ELFA'!N:N)="PARA COTAÇÃO",_xlfn.XLOOKUP(D280,'LD-ELFA'!F:F,'LD-ELFA'!N:N)="CANCELADO"),_xlfn.XLOOKUP(D280,'LD-ELFA'!F:F,'LD-ELFA'!U:U),IF(AND(L280="",J280&lt;&gt;"PARA APROVAÇÃO"),"",""))))</f>
        <v/>
      </c>
      <c r="N280" s="63" t="str">
        <f t="shared" ca="1" si="48"/>
        <v>Documento a Emitir</v>
      </c>
      <c r="O280" s="63" t="str">
        <f t="shared" si="42"/>
        <v>Blossom - Documento a emitir</v>
      </c>
      <c r="P280" s="63" t="str">
        <f t="shared" si="43"/>
        <v>Blossom</v>
      </c>
      <c r="Q280" s="63" t="str">
        <f>IF(_xlfn.XLOOKUP(D280,'LD-ELFA'!F:F,'LD-ELFA'!V:V)="","",_xlfn.XLOOKUP(D280,'LD-ELFA'!F:F,'LD-ELFA'!V:V))</f>
        <v/>
      </c>
      <c r="R280" s="40">
        <f>IFERROR(IF(I280&lt;&gt;"","Documento Emitido",_xlfn.XLOOKUP(D280,Cronograma!P:P,Cronograma!Q:Q)),"Documento Removido")</f>
        <v>46220</v>
      </c>
      <c r="S280" s="40" t="str">
        <f t="shared" ca="1" si="44"/>
        <v>No prazo</v>
      </c>
      <c r="T280" s="40">
        <f>IFERROR(IF(I280&lt;&gt;"","Documento Emitido",_xlfn.XLOOKUP(D280,Cronograma!P:P,Cronograma!R:R)),"Documento Removido")</f>
        <v>46226</v>
      </c>
      <c r="U280" s="39" t="str">
        <f t="shared" si="45"/>
        <v>No prazo</v>
      </c>
      <c r="V280" s="39" t="str">
        <f t="shared" si="46"/>
        <v>Semana 1</v>
      </c>
      <c r="W280" s="39" t="str">
        <f t="shared" ca="1" si="47"/>
        <v/>
      </c>
    </row>
    <row r="281" spans="1:23" ht="28.5" customHeight="1" x14ac:dyDescent="0.25">
      <c r="A281" s="39">
        <v>278</v>
      </c>
      <c r="B281" s="39" t="str">
        <f>_xlfn.XLOOKUP(D281,'LD-ELFA'!F:F,'LD-ELFA'!C:C)</f>
        <v>UT - Sistema De Utilidades</v>
      </c>
      <c r="C281" s="39" t="str">
        <f>_xlfn.XLOOKUP(D281,'LD-ELFA'!F:F,'LD-ELFA'!D:D)</f>
        <v>MCA - Memória De Cálculo</v>
      </c>
      <c r="D281" s="39" t="s">
        <v>281</v>
      </c>
      <c r="E281" s="39" t="str">
        <f>_xlfn.LET(_xlpm.q,_xlfn.XLOOKUP(D281,'LD-ELFA'!F:F,'LD-ELFA'!Q:Q),
   _xlpm.r,_xlfn.XLOOKUP(D281,'LD-ELFA'!F:F,'LD-ELFA'!R:R),
   IF(_xlpm.r = "", _xlpm.q, _xlpm.q &amp; " - " &amp; _xlpm.r))</f>
        <v>MEMÓRIA DE CÁLCULO - ÁGUA POTÁVEL</v>
      </c>
      <c r="F281" s="63" t="str">
        <f t="shared" si="41"/>
        <v>Básico</v>
      </c>
      <c r="G281" s="63">
        <f>_xlfn.XLOOKUP(D281,'LD-ELFA'!F:F,'LD-ELFA'!G:G)</f>
        <v>0</v>
      </c>
      <c r="H281" s="63" t="str">
        <f>_xlfn.XLOOKUP(D281,'LD-ELFA'!F:F,'LD-ELFA'!I:I)</f>
        <v>2</v>
      </c>
      <c r="I281" s="63" t="str">
        <f>IF(_xlfn.XLOOKUP(D281,'LD-ELFA'!F:F,'LD-ELFA'!T:T)="","",_xlfn.XLOOKUP(D281,'LD-ELFA'!F:F,'LD-ELFA'!T:T))</f>
        <v>0025</v>
      </c>
      <c r="J281" s="63" t="str">
        <f>IF(K281="Documento a emitir", "",_xlfn.XLOOKUP(D281,'LD-ELFA'!F:F,'LD-ELFA'!N:N))</f>
        <v>PARA APROVAÇÃO</v>
      </c>
      <c r="K281" s="43">
        <f>IF(_xlfn.XLOOKUP($D281,'LD-ELFA'!F:F,'LD-ELFA'!U:U)="","Documento a emitir",_xlfn.XLOOKUP($D281,'LD-ELFA'!F:F,'LD-ELFA'!U:U))</f>
        <v>46210.679327465281</v>
      </c>
      <c r="L281" s="43">
        <f>IF(K281="Documento a emitir","Documento a emitir",IF(K281&lt;&gt;"Documento a emitir",IF(_xlfn.XLOOKUP(D281,'LD-ELFA'!F:F,'LD-ELFA'!W:W)="","",_xlfn.XLOOKUP(D281,'LD-ELFA'!F:F,'LD-ELFA'!W:W)),""))</f>
        <v>46213.493148923611</v>
      </c>
      <c r="M281" s="43" t="str">
        <f>IF(K281="Documento a emitir","",IF(AND(Q281="APC-R  - APC-R - Aprovado com Comentários (Retornar para uma nova Aprovação)",Q281="APC-L  - APC-L  - Aprovado com Comentários (Retornar Aprovado)"),"",IF(OR(_xlfn.XLOOKUP(D281,'LD-ELFA'!F:F,'LD-ELFA'!N:N)="PARA CONHECIMENTO",_xlfn.XLOOKUP(D281,'LD-ELFA'!F:F,'LD-ELFA'!N:N)="PARA CONSTRUÇÃO",_xlfn.XLOOKUP(D281,'LD-ELFA'!F:F,'LD-ELFA'!N:N)="PARA COTAÇÃO",_xlfn.XLOOKUP(D281,'LD-ELFA'!F:F,'LD-ELFA'!N:N)="CANCELADO"),_xlfn.XLOOKUP(D281,'LD-ELFA'!F:F,'LD-ELFA'!U:U),IF(AND(L281="",J281&lt;&gt;"PARA APROVAÇÃO"),"",""))))</f>
        <v/>
      </c>
      <c r="N281" s="63" t="str">
        <f t="shared" ca="1" si="48"/>
        <v>No prazo</v>
      </c>
      <c r="O281" s="63" t="str">
        <f t="shared" si="42"/>
        <v>Blossom - Atendimento de Comentário</v>
      </c>
      <c r="P281" s="63" t="str">
        <f t="shared" si="43"/>
        <v>Blossom</v>
      </c>
      <c r="Q281" s="63" t="str">
        <f>IF(_xlfn.XLOOKUP(D281,'LD-ELFA'!F:F,'LD-ELFA'!V:V)="","",_xlfn.XLOOKUP(D281,'LD-ELFA'!F:F,'LD-ELFA'!V:V))</f>
        <v>APR - APROVADO</v>
      </c>
      <c r="R281" s="40" t="str">
        <f>IFERROR(IF(I281&lt;&gt;"","Documento Emitido",_xlfn.XLOOKUP(D281,Cronograma!P:P,Cronograma!Q:Q)),"Documento Removido")</f>
        <v>Documento Emitido</v>
      </c>
      <c r="S281" s="40" t="str">
        <f t="shared" ca="1" si="44"/>
        <v>Documento Emitido</v>
      </c>
      <c r="T281" s="40" t="str">
        <f>IFERROR(IF(I281&lt;&gt;"","Documento Emitido",_xlfn.XLOOKUP(D281,Cronograma!P:P,Cronograma!R:R)),"Documento Removido")</f>
        <v>Documento Emitido</v>
      </c>
      <c r="U281" s="39" t="str">
        <f t="shared" si="45"/>
        <v>Documento Emitido</v>
      </c>
      <c r="V281" s="39" t="str">
        <f t="shared" si="46"/>
        <v>Documento Emitido</v>
      </c>
      <c r="W281" s="39" t="str">
        <f t="shared" ca="1" si="47"/>
        <v>Emissão Semana</v>
      </c>
    </row>
    <row r="282" spans="1:23" ht="28.5" customHeight="1" x14ac:dyDescent="0.25">
      <c r="A282" s="39">
        <v>279</v>
      </c>
      <c r="B282" s="39" t="e">
        <f>_xlfn.XLOOKUP(D282,'LD-ELFA'!F:F,'LD-ELFA'!C:C)</f>
        <v>#N/A</v>
      </c>
      <c r="C282" s="39" t="e">
        <f>_xlfn.XLOOKUP(D282,'LD-ELFA'!F:F,'LD-ELFA'!D:D)</f>
        <v>#N/A</v>
      </c>
      <c r="D282" s="39" t="s">
        <v>282</v>
      </c>
      <c r="E282" s="39" t="e">
        <f>_xlfn.LET(_xlpm.q,_xlfn.XLOOKUP(D282,'LD-ELFA'!F:F,'LD-ELFA'!Q:Q),
   _xlpm.r,_xlfn.XLOOKUP(D282,'LD-ELFA'!F:F,'LD-ELFA'!R:R),
   IF(_xlpm.r = "", _xlpm.q, _xlpm.q &amp; " - " &amp; _xlpm.r))</f>
        <v>#N/A</v>
      </c>
      <c r="F282" s="63" t="str">
        <f t="shared" si="41"/>
        <v>Básico</v>
      </c>
      <c r="G282" s="63" t="e">
        <f>_xlfn.XLOOKUP(D282,'LD-ELFA'!F:F,'LD-ELFA'!G:G)</f>
        <v>#N/A</v>
      </c>
      <c r="H282" s="63" t="e">
        <f>_xlfn.XLOOKUP(D282,'LD-ELFA'!F:F,'LD-ELFA'!I:I)</f>
        <v>#N/A</v>
      </c>
      <c r="I282" s="63" t="e">
        <f>IF(_xlfn.XLOOKUP(D282,'LD-ELFA'!F:F,'LD-ELFA'!T:T)="","",_xlfn.XLOOKUP(D282,'LD-ELFA'!F:F,'LD-ELFA'!T:T))</f>
        <v>#N/A</v>
      </c>
      <c r="J282" s="63" t="e">
        <f>IF(K282="Documento a emitir", "",_xlfn.XLOOKUP(D282,'LD-ELFA'!F:F,'LD-ELFA'!N:N))</f>
        <v>#N/A</v>
      </c>
      <c r="K282" s="43" t="e">
        <f>IF(_xlfn.XLOOKUP($D282,'LD-ELFA'!F:F,'LD-ELFA'!U:U)="","Documento a emitir",_xlfn.XLOOKUP($D282,'LD-ELFA'!F:F,'LD-ELFA'!U:U))</f>
        <v>#N/A</v>
      </c>
      <c r="L282" s="43" t="e">
        <f>IF(K282="Documento a emitir","Documento a emitir",IF(K282&lt;&gt;"Documento a emitir",IF(_xlfn.XLOOKUP(D282,'LD-ELFA'!F:F,'LD-ELFA'!W:W)="","",_xlfn.XLOOKUP(D282,'LD-ELFA'!F:F,'LD-ELFA'!W:W)),""))</f>
        <v>#N/A</v>
      </c>
      <c r="M282" s="43" t="e">
        <f>IF(K282="Documento a emitir","",IF(AND(Q282="APC-R  - APC-R - Aprovado com Comentários (Retornar para uma nova Aprovação)",Q282="APC-L  - APC-L  - Aprovado com Comentários (Retornar Aprovado)"),"",IF(OR(_xlfn.XLOOKUP(D282,'LD-ELFA'!F:F,'LD-ELFA'!N:N)="PARA CONHECIMENTO",_xlfn.XLOOKUP(D282,'LD-ELFA'!F:F,'LD-ELFA'!N:N)="PARA CONSTRUÇÃO",_xlfn.XLOOKUP(D282,'LD-ELFA'!F:F,'LD-ELFA'!N:N)="PARA COTAÇÃO",_xlfn.XLOOKUP(D282,'LD-ELFA'!F:F,'LD-ELFA'!N:N)="CANCELADO"),_xlfn.XLOOKUP(D282,'LD-ELFA'!F:F,'LD-ELFA'!U:U),IF(AND(L282="",J282&lt;&gt;"PARA APROVAÇÃO"),"",""))))</f>
        <v>#N/A</v>
      </c>
      <c r="N282" s="63" t="str">
        <f t="shared" ca="1" si="48"/>
        <v>ERRO</v>
      </c>
      <c r="O282" s="63" t="str">
        <f t="shared" si="42"/>
        <v>Documento Removido</v>
      </c>
      <c r="P282" s="63" t="str">
        <f t="shared" si="43"/>
        <v>Blossom</v>
      </c>
      <c r="Q282" s="63" t="e">
        <f>IF(_xlfn.XLOOKUP(D282,'LD-ELFA'!F:F,'LD-ELFA'!V:V)="","",_xlfn.XLOOKUP(D282,'LD-ELFA'!F:F,'LD-ELFA'!V:V))</f>
        <v>#N/A</v>
      </c>
      <c r="R282" s="40" t="str">
        <f>IFERROR(IF(I282&lt;&gt;"","Documento Emitido",_xlfn.XLOOKUP(D282,Cronograma!P:P,Cronograma!Q:Q)),"Documento Removido")</f>
        <v>Documento Removido</v>
      </c>
      <c r="S282" s="40" t="str">
        <f t="shared" ca="1" si="44"/>
        <v>Documento Removido</v>
      </c>
      <c r="T282" s="40" t="str">
        <f>IFERROR(IF(I282&lt;&gt;"","Documento Emitido",_xlfn.XLOOKUP(D282,Cronograma!P:P,Cronograma!R:R)),"Documento Removido")</f>
        <v>Documento Removido</v>
      </c>
      <c r="U282" s="39" t="str">
        <f t="shared" si="45"/>
        <v>Documento Removido</v>
      </c>
      <c r="V282" s="39" t="str">
        <f t="shared" si="46"/>
        <v>Documento Removido</v>
      </c>
      <c r="W282" s="39" t="e">
        <f t="shared" ca="1" si="47"/>
        <v>#N/A</v>
      </c>
    </row>
    <row r="283" spans="1:23" ht="28.5" customHeight="1" x14ac:dyDescent="0.25">
      <c r="A283" s="39">
        <v>280</v>
      </c>
      <c r="B283" s="39" t="str">
        <f>_xlfn.XLOOKUP(D283,'LD-ELFA'!F:F,'LD-ELFA'!C:C)</f>
        <v>UT - Sistema De Utilidades</v>
      </c>
      <c r="C283" s="39" t="str">
        <f>_xlfn.XLOOKUP(D283,'LD-ELFA'!F:F,'LD-ELFA'!D:D)</f>
        <v>MCA - Memória De Cálculo</v>
      </c>
      <c r="D283" s="39" t="s">
        <v>283</v>
      </c>
      <c r="E283" s="39" t="str">
        <f>_xlfn.LET(_xlpm.q,_xlfn.XLOOKUP(D283,'LD-ELFA'!F:F,'LD-ELFA'!Q:Q),
   _xlpm.r,_xlfn.XLOOKUP(D283,'LD-ELFA'!F:F,'LD-ELFA'!R:R),
   IF(_xlpm.r = "", _xlpm.q, _xlpm.q &amp; " - " &amp; _xlpm.r))</f>
        <v>MEMÓRIA DE CÁLCULO - SISTEMAS DE ÁGUA</v>
      </c>
      <c r="F283" s="63" t="str">
        <f t="shared" si="41"/>
        <v>Básico</v>
      </c>
      <c r="G283" s="63">
        <f>_xlfn.XLOOKUP(D283,'LD-ELFA'!F:F,'LD-ELFA'!G:G)</f>
        <v>0</v>
      </c>
      <c r="H283" s="63">
        <f>_xlfn.XLOOKUP(D283,'LD-ELFA'!F:F,'LD-ELFA'!I:I)</f>
        <v>0</v>
      </c>
      <c r="I283" s="63" t="str">
        <f>IF(_xlfn.XLOOKUP(D283,'LD-ELFA'!F:F,'LD-ELFA'!T:T)="","",_xlfn.XLOOKUP(D283,'LD-ELFA'!F:F,'LD-ELFA'!T:T))</f>
        <v/>
      </c>
      <c r="J283" s="63" t="str">
        <f>IF(K283="Documento a emitir", "",_xlfn.XLOOKUP(D283,'LD-ELFA'!F:F,'LD-ELFA'!N:N))</f>
        <v/>
      </c>
      <c r="K283" s="43" t="str">
        <f>IF(_xlfn.XLOOKUP($D283,'LD-ELFA'!F:F,'LD-ELFA'!U:U)="","Documento a emitir",_xlfn.XLOOKUP($D283,'LD-ELFA'!F:F,'LD-ELFA'!U:U))</f>
        <v>Documento a emitir</v>
      </c>
      <c r="L283" s="43" t="str">
        <f>IF(K283="Documento a emitir","Documento a emitir",IF(K283&lt;&gt;"Documento a emitir",IF(_xlfn.XLOOKUP(D283,'LD-ELFA'!F:F,'LD-ELFA'!W:W)="","",_xlfn.XLOOKUP(D283,'LD-ELFA'!F:F,'LD-ELFA'!W:W)),""))</f>
        <v>Documento a emitir</v>
      </c>
      <c r="M283" s="43" t="str">
        <f>IF(K283="Documento a emitir","",IF(AND(Q283="APC-R  - APC-R - Aprovado com Comentários (Retornar para uma nova Aprovação)",Q283="APC-L  - APC-L  - Aprovado com Comentários (Retornar Aprovado)"),"",IF(OR(_xlfn.XLOOKUP(D283,'LD-ELFA'!F:F,'LD-ELFA'!N:N)="PARA CONHECIMENTO",_xlfn.XLOOKUP(D283,'LD-ELFA'!F:F,'LD-ELFA'!N:N)="PARA CONSTRUÇÃO",_xlfn.XLOOKUP(D283,'LD-ELFA'!F:F,'LD-ELFA'!N:N)="PARA COTAÇÃO",_xlfn.XLOOKUP(D283,'LD-ELFA'!F:F,'LD-ELFA'!N:N)="CANCELADO"),_xlfn.XLOOKUP(D283,'LD-ELFA'!F:F,'LD-ELFA'!U:U),IF(AND(L283="",J283&lt;&gt;"PARA APROVAÇÃO"),"",""))))</f>
        <v/>
      </c>
      <c r="N283" s="63" t="str">
        <f t="shared" ca="1" si="48"/>
        <v>Documento a Emitir</v>
      </c>
      <c r="O283" s="63" t="str">
        <f t="shared" si="42"/>
        <v>Blossom - Documento a emitir</v>
      </c>
      <c r="P283" s="63" t="str">
        <f t="shared" si="43"/>
        <v>Blossom</v>
      </c>
      <c r="Q283" s="63" t="str">
        <f>IF(_xlfn.XLOOKUP(D283,'LD-ELFA'!F:F,'LD-ELFA'!V:V)="","",_xlfn.XLOOKUP(D283,'LD-ELFA'!F:F,'LD-ELFA'!V:V))</f>
        <v/>
      </c>
      <c r="R283" s="40">
        <f>IFERROR(IF(I283&lt;&gt;"","Documento Emitido",_xlfn.XLOOKUP(D283,Cronograma!P:P,Cronograma!Q:Q)),"Documento Removido")</f>
        <v>46219</v>
      </c>
      <c r="S283" s="40" t="str">
        <f t="shared" ca="1" si="44"/>
        <v>No prazo</v>
      </c>
      <c r="T283" s="40">
        <f>IFERROR(IF(I283&lt;&gt;"","Documento Emitido",_xlfn.XLOOKUP(D283,Cronograma!P:P,Cronograma!R:R)),"Documento Removido")</f>
        <v>46225</v>
      </c>
      <c r="U283" s="39" t="str">
        <f t="shared" si="45"/>
        <v>No prazo</v>
      </c>
      <c r="V283" s="39" t="str">
        <f t="shared" si="46"/>
        <v>Semana 1</v>
      </c>
      <c r="W283" s="39" t="str">
        <f t="shared" ca="1" si="47"/>
        <v/>
      </c>
    </row>
    <row r="284" spans="1:23" ht="28.5" customHeight="1" x14ac:dyDescent="0.25">
      <c r="A284" s="39">
        <v>281</v>
      </c>
      <c r="B284" s="39" t="str">
        <f>_xlfn.XLOOKUP(D284,'LD-ELFA'!F:F,'LD-ELFA'!C:C)</f>
        <v>UT - Sistema De Utilidades</v>
      </c>
      <c r="C284" s="39" t="str">
        <f>_xlfn.XLOOKUP(D284,'LD-ELFA'!F:F,'LD-ELFA'!D:D)</f>
        <v>MCA - Memória De Cálculo</v>
      </c>
      <c r="D284" s="39" t="s">
        <v>284</v>
      </c>
      <c r="E284" s="39" t="str">
        <f>_xlfn.LET(_xlpm.q,_xlfn.XLOOKUP(D284,'LD-ELFA'!F:F,'LD-ELFA'!Q:Q),
   _xlpm.r,_xlfn.XLOOKUP(D284,'LD-ELFA'!F:F,'LD-ELFA'!R:R),
   IF(_xlpm.r = "", _xlpm.q, _xlpm.q &amp; " - " &amp; _xlpm.r))</f>
        <v>MEMÓRIA DE CÁLCULO - AR COMPRIMIDO</v>
      </c>
      <c r="F284" s="63" t="str">
        <f t="shared" si="41"/>
        <v>Básico</v>
      </c>
      <c r="G284" s="63">
        <f>_xlfn.XLOOKUP(D284,'LD-ELFA'!F:F,'LD-ELFA'!G:G)</f>
        <v>0</v>
      </c>
      <c r="H284" s="63">
        <f>_xlfn.XLOOKUP(D284,'LD-ELFA'!F:F,'LD-ELFA'!I:I)</f>
        <v>0</v>
      </c>
      <c r="I284" s="63" t="str">
        <f>IF(_xlfn.XLOOKUP(D284,'LD-ELFA'!F:F,'LD-ELFA'!T:T)="","",_xlfn.XLOOKUP(D284,'LD-ELFA'!F:F,'LD-ELFA'!T:T))</f>
        <v/>
      </c>
      <c r="J284" s="63" t="str">
        <f>IF(K284="Documento a emitir", "",_xlfn.XLOOKUP(D284,'LD-ELFA'!F:F,'LD-ELFA'!N:N))</f>
        <v/>
      </c>
      <c r="K284" s="43" t="str">
        <f>IF(_xlfn.XLOOKUP($D284,'LD-ELFA'!F:F,'LD-ELFA'!U:U)="","Documento a emitir",_xlfn.XLOOKUP($D284,'LD-ELFA'!F:F,'LD-ELFA'!U:U))</f>
        <v>Documento a emitir</v>
      </c>
      <c r="L284" s="43" t="str">
        <f>IF(K284="Documento a emitir","Documento a emitir",IF(K284&lt;&gt;"Documento a emitir",IF(_xlfn.XLOOKUP(D284,'LD-ELFA'!F:F,'LD-ELFA'!W:W)="","",_xlfn.XLOOKUP(D284,'LD-ELFA'!F:F,'LD-ELFA'!W:W)),""))</f>
        <v>Documento a emitir</v>
      </c>
      <c r="M284" s="43" t="str">
        <f>IF(K284="Documento a emitir","",IF(AND(Q284="APC-R  - APC-R - Aprovado com Comentários (Retornar para uma nova Aprovação)",Q284="APC-L  - APC-L  - Aprovado com Comentários (Retornar Aprovado)"),"",IF(OR(_xlfn.XLOOKUP(D284,'LD-ELFA'!F:F,'LD-ELFA'!N:N)="PARA CONHECIMENTO",_xlfn.XLOOKUP(D284,'LD-ELFA'!F:F,'LD-ELFA'!N:N)="PARA CONSTRUÇÃO",_xlfn.XLOOKUP(D284,'LD-ELFA'!F:F,'LD-ELFA'!N:N)="PARA COTAÇÃO",_xlfn.XLOOKUP(D284,'LD-ELFA'!F:F,'LD-ELFA'!N:N)="CANCELADO"),_xlfn.XLOOKUP(D284,'LD-ELFA'!F:F,'LD-ELFA'!U:U),IF(AND(L284="",J284&lt;&gt;"PARA APROVAÇÃO"),"",""))))</f>
        <v/>
      </c>
      <c r="N284" s="63" t="str">
        <f t="shared" ca="1" si="48"/>
        <v>Documento a Emitir</v>
      </c>
      <c r="O284" s="63" t="str">
        <f t="shared" si="42"/>
        <v>Blossom - Documento a emitir</v>
      </c>
      <c r="P284" s="63" t="str">
        <f t="shared" si="43"/>
        <v>Blossom</v>
      </c>
      <c r="Q284" s="63" t="str">
        <f>IF(_xlfn.XLOOKUP(D284,'LD-ELFA'!F:F,'LD-ELFA'!V:V)="","",_xlfn.XLOOKUP(D284,'LD-ELFA'!F:F,'LD-ELFA'!V:V))</f>
        <v/>
      </c>
      <c r="R284" s="40">
        <f>IFERROR(IF(I284&lt;&gt;"","Documento Emitido",_xlfn.XLOOKUP(D284,Cronograma!P:P,Cronograma!Q:Q)),"Documento Removido")</f>
        <v>46234</v>
      </c>
      <c r="S284" s="40" t="str">
        <f t="shared" ca="1" si="44"/>
        <v>No prazo</v>
      </c>
      <c r="T284" s="40">
        <f>IFERROR(IF(I284&lt;&gt;"","Documento Emitido",_xlfn.XLOOKUP(D284,Cronograma!P:P,Cronograma!R:R)),"Documento Removido")</f>
        <v>46240</v>
      </c>
      <c r="U284" s="39" t="str">
        <f t="shared" si="45"/>
        <v>No prazo</v>
      </c>
      <c r="V284" s="39" t="str">
        <f t="shared" si="46"/>
        <v>Semana 3</v>
      </c>
      <c r="W284" s="39" t="str">
        <f t="shared" ca="1" si="47"/>
        <v/>
      </c>
    </row>
    <row r="285" spans="1:23" ht="28.5" customHeight="1" x14ac:dyDescent="0.25">
      <c r="A285" s="39">
        <v>282</v>
      </c>
      <c r="B285" s="39" t="str">
        <f>_xlfn.XLOOKUP(D285,'LD-ELFA'!F:F,'LD-ELFA'!C:C)</f>
        <v>UT - Sistema De Utilidades</v>
      </c>
      <c r="C285" s="39" t="str">
        <f>_xlfn.XLOOKUP(D285,'LD-ELFA'!F:F,'LD-ELFA'!D:D)</f>
        <v>MCA - Memória De Cálculo</v>
      </c>
      <c r="D285" s="39" t="s">
        <v>285</v>
      </c>
      <c r="E285" s="39" t="str">
        <f>_xlfn.LET(_xlpm.q,_xlfn.XLOOKUP(D285,'LD-ELFA'!F:F,'LD-ELFA'!Q:Q),
   _xlpm.r,_xlfn.XLOOKUP(D285,'LD-ELFA'!F:F,'LD-ELFA'!R:R),
   IF(_xlpm.r = "", _xlpm.q, _xlpm.q &amp; " - " &amp; _xlpm.r))</f>
        <v>MEMÓRIA DE CÁLCULO - CLIMATIZAÇÃO DE SALAS ELÉTRICAS - HVAC</v>
      </c>
      <c r="F285" s="63" t="str">
        <f t="shared" si="41"/>
        <v>Básico</v>
      </c>
      <c r="G285" s="63">
        <f>_xlfn.XLOOKUP(D285,'LD-ELFA'!F:F,'LD-ELFA'!G:G)</f>
        <v>0</v>
      </c>
      <c r="H285" s="63">
        <f>_xlfn.XLOOKUP(D285,'LD-ELFA'!F:F,'LD-ELFA'!I:I)</f>
        <v>0</v>
      </c>
      <c r="I285" s="63" t="str">
        <f>IF(_xlfn.XLOOKUP(D285,'LD-ELFA'!F:F,'LD-ELFA'!T:T)="","",_xlfn.XLOOKUP(D285,'LD-ELFA'!F:F,'LD-ELFA'!T:T))</f>
        <v/>
      </c>
      <c r="J285" s="63" t="str">
        <f>IF(K285="Documento a emitir", "",_xlfn.XLOOKUP(D285,'LD-ELFA'!F:F,'LD-ELFA'!N:N))</f>
        <v/>
      </c>
      <c r="K285" s="43" t="str">
        <f>IF(_xlfn.XLOOKUP($D285,'LD-ELFA'!F:F,'LD-ELFA'!U:U)="","Documento a emitir",_xlfn.XLOOKUP($D285,'LD-ELFA'!F:F,'LD-ELFA'!U:U))</f>
        <v>Documento a emitir</v>
      </c>
      <c r="L285" s="43" t="str">
        <f>IF(K285="Documento a emitir","Documento a emitir",IF(K285&lt;&gt;"Documento a emitir",IF(_xlfn.XLOOKUP(D285,'LD-ELFA'!F:F,'LD-ELFA'!W:W)="","",_xlfn.XLOOKUP(D285,'LD-ELFA'!F:F,'LD-ELFA'!W:W)),""))</f>
        <v>Documento a emitir</v>
      </c>
      <c r="M285" s="43" t="str">
        <f>IF(K285="Documento a emitir","",IF(AND(Q285="APC-R  - APC-R - Aprovado com Comentários (Retornar para uma nova Aprovação)",Q285="APC-L  - APC-L  - Aprovado com Comentários (Retornar Aprovado)"),"",IF(OR(_xlfn.XLOOKUP(D285,'LD-ELFA'!F:F,'LD-ELFA'!N:N)="PARA CONHECIMENTO",_xlfn.XLOOKUP(D285,'LD-ELFA'!F:F,'LD-ELFA'!N:N)="PARA CONSTRUÇÃO",_xlfn.XLOOKUP(D285,'LD-ELFA'!F:F,'LD-ELFA'!N:N)="PARA COTAÇÃO",_xlfn.XLOOKUP(D285,'LD-ELFA'!F:F,'LD-ELFA'!N:N)="CANCELADO"),_xlfn.XLOOKUP(D285,'LD-ELFA'!F:F,'LD-ELFA'!U:U),IF(AND(L285="",J285&lt;&gt;"PARA APROVAÇÃO"),"",""))))</f>
        <v/>
      </c>
      <c r="N285" s="63" t="str">
        <f t="shared" ca="1" si="48"/>
        <v>Documento a Emitir</v>
      </c>
      <c r="O285" s="63" t="str">
        <f t="shared" si="42"/>
        <v>Blossom - Documento a emitir</v>
      </c>
      <c r="P285" s="63" t="str">
        <f t="shared" si="43"/>
        <v>Blossom</v>
      </c>
      <c r="Q285" s="63" t="str">
        <f>IF(_xlfn.XLOOKUP(D285,'LD-ELFA'!F:F,'LD-ELFA'!V:V)="","",_xlfn.XLOOKUP(D285,'LD-ELFA'!F:F,'LD-ELFA'!V:V))</f>
        <v/>
      </c>
      <c r="R285" s="40">
        <f>IFERROR(IF(I285&lt;&gt;"","Documento Emitido",_xlfn.XLOOKUP(D285,Cronograma!P:P,Cronograma!Q:Q)),"Documento Removido")</f>
        <v>46237</v>
      </c>
      <c r="S285" s="40" t="str">
        <f t="shared" ca="1" si="44"/>
        <v>No prazo</v>
      </c>
      <c r="T285" s="40">
        <f>IFERROR(IF(I285&lt;&gt;"","Documento Emitido",_xlfn.XLOOKUP(D285,Cronograma!P:P,Cronograma!R:R)),"Documento Removido")</f>
        <v>46258</v>
      </c>
      <c r="U285" s="39" t="str">
        <f t="shared" si="45"/>
        <v>No prazo</v>
      </c>
      <c r="V285" s="39" t="str">
        <f t="shared" si="46"/>
        <v/>
      </c>
      <c r="W285" s="39" t="str">
        <f t="shared" ca="1" si="47"/>
        <v/>
      </c>
    </row>
    <row r="286" spans="1:23" ht="28.5" customHeight="1" x14ac:dyDescent="0.25">
      <c r="A286" s="39">
        <v>283</v>
      </c>
      <c r="B286" s="39" t="str">
        <f>_xlfn.XLOOKUP(D286,'LD-ELFA'!F:F,'LD-ELFA'!C:C)</f>
        <v>UT - Sistema De Utilidades</v>
      </c>
      <c r="C286" s="39" t="str">
        <f>_xlfn.XLOOKUP(D286,'LD-ELFA'!F:F,'LD-ELFA'!D:D)</f>
        <v>RTE - Relatório Técnico</v>
      </c>
      <c r="D286" s="39" t="s">
        <v>286</v>
      </c>
      <c r="E286" s="39" t="str">
        <f>_xlfn.LET(_xlpm.q,_xlfn.XLOOKUP(D286,'LD-ELFA'!F:F,'LD-ELFA'!Q:Q),
   _xlpm.r,_xlfn.XLOOKUP(D286,'LD-ELFA'!F:F,'LD-ELFA'!R:R),
   IF(_xlpm.r = "", _xlpm.q, _xlpm.q &amp; " - " &amp; _xlpm.r))</f>
        <v>RELATÓRIO TÉCNICO - CLIMATIZAÇÃO PARA CONFORTO TÉRMICO</v>
      </c>
      <c r="F286" s="63" t="str">
        <f t="shared" si="41"/>
        <v>Básico</v>
      </c>
      <c r="G286" s="63">
        <f>_xlfn.XLOOKUP(D286,'LD-ELFA'!F:F,'LD-ELFA'!G:G)</f>
        <v>0</v>
      </c>
      <c r="H286" s="63" t="str">
        <f>_xlfn.XLOOKUP(D286,'LD-ELFA'!F:F,'LD-ELFA'!I:I)</f>
        <v>A</v>
      </c>
      <c r="I286" s="63" t="str">
        <f>IF(_xlfn.XLOOKUP(D286,'LD-ELFA'!F:F,'LD-ELFA'!T:T)="","",_xlfn.XLOOKUP(D286,'LD-ELFA'!F:F,'LD-ELFA'!T:T))</f>
        <v>0020</v>
      </c>
      <c r="J286" s="63" t="str">
        <f>IF(K286="Documento a emitir", "",_xlfn.XLOOKUP(D286,'LD-ELFA'!F:F,'LD-ELFA'!N:N))</f>
        <v>PARA APROVAÇÃO</v>
      </c>
      <c r="K286" s="43">
        <f>IF(_xlfn.XLOOKUP($D286,'LD-ELFA'!F:F,'LD-ELFA'!U:U)="","Documento a emitir",_xlfn.XLOOKUP($D286,'LD-ELFA'!F:F,'LD-ELFA'!U:U))</f>
        <v>46209.706836458332</v>
      </c>
      <c r="L286" s="43">
        <f>IF(K286="Documento a emitir","Documento a emitir",IF(K286&lt;&gt;"Documento a emitir",IF(_xlfn.XLOOKUP(D286,'LD-ELFA'!F:F,'LD-ELFA'!W:W)="","",_xlfn.XLOOKUP(D286,'LD-ELFA'!F:F,'LD-ELFA'!W:W)),""))</f>
        <v>46212.488815972218</v>
      </c>
      <c r="M286" s="43" t="str">
        <f>IF(K286="Documento a emitir","",IF(AND(Q286="APC-R  - APC-R - Aprovado com Comentários (Retornar para uma nova Aprovação)",Q286="APC-L  - APC-L  - Aprovado com Comentários (Retornar Aprovado)"),"",IF(OR(_xlfn.XLOOKUP(D286,'LD-ELFA'!F:F,'LD-ELFA'!N:N)="PARA CONHECIMENTO",_xlfn.XLOOKUP(D286,'LD-ELFA'!F:F,'LD-ELFA'!N:N)="PARA CONSTRUÇÃO",_xlfn.XLOOKUP(D286,'LD-ELFA'!F:F,'LD-ELFA'!N:N)="PARA COTAÇÃO",_xlfn.XLOOKUP(D286,'LD-ELFA'!F:F,'LD-ELFA'!N:N)="CANCELADO"),_xlfn.XLOOKUP(D286,'LD-ELFA'!F:F,'LD-ELFA'!U:U),IF(AND(L286="",J286&lt;&gt;"PARA APROVAÇÃO"),"",""))))</f>
        <v/>
      </c>
      <c r="N286" s="63" t="str">
        <f t="shared" ca="1" si="48"/>
        <v>No prazo</v>
      </c>
      <c r="O286" s="63" t="str">
        <f t="shared" si="42"/>
        <v>Blossom - Atendimento de Comentário</v>
      </c>
      <c r="P286" s="63" t="str">
        <f t="shared" si="43"/>
        <v>Blossom</v>
      </c>
      <c r="Q286" s="63" t="str">
        <f>IF(_xlfn.XLOOKUP(D286,'LD-ELFA'!F:F,'LD-ELFA'!V:V)="","",_xlfn.XLOOKUP(D286,'LD-ELFA'!F:F,'LD-ELFA'!V:V))</f>
        <v>APC-R  - APC-R - Aprovado com Comentários (Retornar para uma nova Aprovação)</v>
      </c>
      <c r="R286" s="40" t="str">
        <f>IFERROR(IF(I286&lt;&gt;"","Documento Emitido",_xlfn.XLOOKUP(D286,Cronograma!P:P,Cronograma!Q:Q)),"Documento Removido")</f>
        <v>Documento Emitido</v>
      </c>
      <c r="S286" s="40" t="str">
        <f t="shared" ca="1" si="44"/>
        <v>Documento Emitido</v>
      </c>
      <c r="T286" s="40" t="str">
        <f>IFERROR(IF(I286&lt;&gt;"","Documento Emitido",_xlfn.XLOOKUP(D286,Cronograma!P:P,Cronograma!R:R)),"Documento Removido")</f>
        <v>Documento Emitido</v>
      </c>
      <c r="U286" s="39" t="str">
        <f t="shared" si="45"/>
        <v>Documento Emitido</v>
      </c>
      <c r="V286" s="39" t="str">
        <f t="shared" si="46"/>
        <v>Documento Emitido</v>
      </c>
      <c r="W286" s="39" t="str">
        <f t="shared" ca="1" si="47"/>
        <v>Emissão Semana</v>
      </c>
    </row>
  </sheetData>
  <autoFilter ref="A3:W286" xr:uid="{00000000-0009-0000-0000-000001000000}"/>
  <pageMargins left="0.511811024" right="0.511811024" top="0.78740157499999996" bottom="0.78740157499999996" header="0.31496062000000002" footer="0.31496062000000002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B2:D1400"/>
  <sheetViews>
    <sheetView workbookViewId="0">
      <selection activeCell="F199" sqref="F199"/>
    </sheetView>
  </sheetViews>
  <sheetFormatPr defaultRowHeight="15" x14ac:dyDescent="0.25"/>
  <cols>
    <col min="2" max="2" width="25.140625" bestFit="1" customWidth="1"/>
    <col min="3" max="3" width="36.28515625" bestFit="1" customWidth="1"/>
    <col min="4" max="4" width="18.85546875" style="54" bestFit="1" customWidth="1"/>
  </cols>
  <sheetData>
    <row r="2" spans="2:4" x14ac:dyDescent="0.25">
      <c r="B2" t="s">
        <v>1442</v>
      </c>
      <c r="C2" t="s">
        <v>1443</v>
      </c>
      <c r="D2" s="54" t="s">
        <v>1444</v>
      </c>
    </row>
    <row r="3" spans="2:4" hidden="1" x14ac:dyDescent="0.25">
      <c r="B3" t="s">
        <v>129</v>
      </c>
      <c r="C3" t="str">
        <f>_xlfn.XLOOKUP(B3,'Data Base'!D:D,'Data Base'!O:O)</f>
        <v>Documento Concluído</v>
      </c>
      <c r="D3" s="54">
        <f>_xlfn.XLOOKUP(B3,'Data Base'!D:D,'Data Base'!K:K)</f>
        <v>46204.700379363429</v>
      </c>
    </row>
    <row r="4" spans="2:4" hidden="1" x14ac:dyDescent="0.25">
      <c r="B4" t="s">
        <v>257</v>
      </c>
      <c r="C4" t="str">
        <f>_xlfn.XLOOKUP(B4,'Data Base'!D:D,'Data Base'!O:O)</f>
        <v>Documento Concluído</v>
      </c>
      <c r="D4" s="54">
        <f>_xlfn.XLOOKUP(B4,'Data Base'!D:D,'Data Base'!K:K)</f>
        <v>46213.700537002318</v>
      </c>
    </row>
    <row r="5" spans="2:4" hidden="1" x14ac:dyDescent="0.25">
      <c r="B5" t="s">
        <v>223</v>
      </c>
      <c r="C5" t="str">
        <f>_xlfn.XLOOKUP(B5,'Data Base'!D:D,'Data Base'!O:O)</f>
        <v>Documento Concluído</v>
      </c>
      <c r="D5" s="54">
        <f>_xlfn.XLOOKUP(B5,'Data Base'!D:D,'Data Base'!K:K)</f>
        <v>46213.700205208334</v>
      </c>
    </row>
    <row r="6" spans="2:4" hidden="1" x14ac:dyDescent="0.25">
      <c r="B6" t="s">
        <v>224</v>
      </c>
      <c r="C6" t="str">
        <f>_xlfn.XLOOKUP(B6,'Data Base'!D:D,'Data Base'!O:O)</f>
        <v>Blossom - Documento a emitir</v>
      </c>
    </row>
    <row r="7" spans="2:4" hidden="1" x14ac:dyDescent="0.25">
      <c r="B7" t="s">
        <v>131</v>
      </c>
      <c r="C7" t="str">
        <f>_xlfn.XLOOKUP(B7,'Data Base'!D:D,'Data Base'!O:O)</f>
        <v>Blossom - Atendimento de Comentário</v>
      </c>
      <c r="D7" s="54">
        <f>_xlfn.XLOOKUP(B7,'Data Base'!D:D,'Data Base'!K:K)</f>
        <v>46193.521099305559</v>
      </c>
    </row>
    <row r="8" spans="2:4" hidden="1" x14ac:dyDescent="0.25">
      <c r="B8" t="s">
        <v>132</v>
      </c>
      <c r="C8" t="str">
        <f>_xlfn.XLOOKUP(B8,'Data Base'!D:D,'Data Base'!O:O)</f>
        <v>Blossom - Documento a emitir</v>
      </c>
    </row>
    <row r="9" spans="2:4" hidden="1" x14ac:dyDescent="0.25">
      <c r="B9" t="s">
        <v>133</v>
      </c>
      <c r="C9" t="str">
        <f>_xlfn.XLOOKUP(B9,'Data Base'!D:D,'Data Base'!O:O)</f>
        <v>Documento Concluído</v>
      </c>
      <c r="D9" s="54">
        <f>_xlfn.XLOOKUP(B9,'Data Base'!D:D,'Data Base'!K:K)</f>
        <v>46212.676366701387</v>
      </c>
    </row>
    <row r="10" spans="2:4" hidden="1" x14ac:dyDescent="0.25">
      <c r="B10" t="s">
        <v>130</v>
      </c>
      <c r="C10" t="str">
        <f>_xlfn.XLOOKUP(B10,'Data Base'!D:D,'Data Base'!O:O)</f>
        <v>Blossom - Documento a emitir</v>
      </c>
    </row>
    <row r="11" spans="2:4" x14ac:dyDescent="0.25">
      <c r="B11" t="s">
        <v>245</v>
      </c>
      <c r="C11" t="str">
        <f>_xlfn.XLOOKUP(B11,'Data Base'!D:D,'Data Base'!O:O)</f>
        <v>Cliente - Atendimento de Comentário</v>
      </c>
    </row>
    <row r="12" spans="2:4" hidden="1" x14ac:dyDescent="0.25">
      <c r="B12" t="s">
        <v>230</v>
      </c>
      <c r="C12" t="str">
        <f>_xlfn.XLOOKUP(B12,'Data Base'!D:D,'Data Base'!O:O)</f>
        <v>Blossom - Documento a emitir</v>
      </c>
    </row>
    <row r="13" spans="2:4" hidden="1" x14ac:dyDescent="0.25">
      <c r="B13" t="s">
        <v>233</v>
      </c>
      <c r="C13" t="str">
        <f>_xlfn.XLOOKUP(B13,'Data Base'!D:D,'Data Base'!O:O)</f>
        <v>Blossom - Documento a emitir</v>
      </c>
    </row>
    <row r="14" spans="2:4" hidden="1" x14ac:dyDescent="0.25">
      <c r="B14" t="s">
        <v>197</v>
      </c>
      <c r="C14" t="str">
        <f>_xlfn.XLOOKUP(B14,'Data Base'!D:D,'Data Base'!O:O)</f>
        <v>Blossom - Documento a emitir</v>
      </c>
    </row>
    <row r="15" spans="2:4" hidden="1" x14ac:dyDescent="0.25">
      <c r="B15" t="s">
        <v>235</v>
      </c>
      <c r="C15" t="str">
        <f>_xlfn.XLOOKUP(B15,'Data Base'!D:D,'Data Base'!O:O)</f>
        <v>Blossom - Documento a emitir</v>
      </c>
    </row>
    <row r="16" spans="2:4" hidden="1" x14ac:dyDescent="0.25">
      <c r="B16" t="s">
        <v>243</v>
      </c>
      <c r="C16" t="str">
        <f>_xlfn.XLOOKUP(B16,'Data Base'!D:D,'Data Base'!O:O)</f>
        <v>Blossom - Documento a emitir</v>
      </c>
    </row>
    <row r="17" spans="2:4" hidden="1" x14ac:dyDescent="0.25">
      <c r="B17" t="s">
        <v>244</v>
      </c>
      <c r="C17" t="str">
        <f>_xlfn.XLOOKUP(B17,'Data Base'!D:D,'Data Base'!O:O)</f>
        <v>Blossom - Atendimento de Comentário</v>
      </c>
      <c r="D17" s="54">
        <f>_xlfn.XLOOKUP(B17,'Data Base'!D:D,'Data Base'!K:K)</f>
        <v>46209.706695520843</v>
      </c>
    </row>
    <row r="18" spans="2:4" hidden="1" x14ac:dyDescent="0.25">
      <c r="B18" t="s">
        <v>190</v>
      </c>
      <c r="C18" t="str">
        <f>_xlfn.XLOOKUP(B18,'Data Base'!D:D,'Data Base'!O:O)</f>
        <v>Blossom - Documento a emitir</v>
      </c>
    </row>
    <row r="19" spans="2:4" hidden="1" x14ac:dyDescent="0.25">
      <c r="B19" t="s">
        <v>108</v>
      </c>
      <c r="C19" t="str">
        <f>_xlfn.XLOOKUP(B19,'Data Base'!D:D,'Data Base'!O:O)</f>
        <v>Blossom - Documento a emitir</v>
      </c>
    </row>
    <row r="20" spans="2:4" hidden="1" x14ac:dyDescent="0.25">
      <c r="B20" t="s">
        <v>98</v>
      </c>
      <c r="C20" t="str">
        <f>_xlfn.XLOOKUP(B20,'Data Base'!D:D,'Data Base'!O:O)</f>
        <v>Blossom - Documento a emitir</v>
      </c>
    </row>
    <row r="21" spans="2:4" hidden="1" x14ac:dyDescent="0.25">
      <c r="B21" t="s">
        <v>253</v>
      </c>
      <c r="C21" t="str">
        <f>_xlfn.XLOOKUP(B21,'Data Base'!D:D,'Data Base'!O:O)</f>
        <v>Blossom - Atendimento de Comentário</v>
      </c>
    </row>
    <row r="22" spans="2:4" hidden="1" x14ac:dyDescent="0.25">
      <c r="B22" t="s">
        <v>227</v>
      </c>
      <c r="C22" t="str">
        <f>_xlfn.XLOOKUP(B22,'Data Base'!D:D,'Data Base'!O:O)</f>
        <v>Blossom - Documento a emitir</v>
      </c>
    </row>
    <row r="23" spans="2:4" hidden="1" x14ac:dyDescent="0.25">
      <c r="B23" t="s">
        <v>236</v>
      </c>
      <c r="C23" t="str">
        <f>_xlfn.XLOOKUP(B23,'Data Base'!D:D,'Data Base'!O:O)</f>
        <v>Blossom - Documento a emitir</v>
      </c>
    </row>
    <row r="24" spans="2:4" hidden="1" x14ac:dyDescent="0.25">
      <c r="B24" t="s">
        <v>101</v>
      </c>
      <c r="C24" t="str">
        <f>_xlfn.XLOOKUP(B24,'Data Base'!D:D,'Data Base'!O:O)</f>
        <v>Blossom - Documento a emitir</v>
      </c>
    </row>
    <row r="25" spans="2:4" hidden="1" x14ac:dyDescent="0.25">
      <c r="B25" t="s">
        <v>102</v>
      </c>
      <c r="C25" t="str">
        <f>_xlfn.XLOOKUP(B25,'Data Base'!D:D,'Data Base'!O:O)</f>
        <v>Blossom - Documento a emitir</v>
      </c>
    </row>
    <row r="26" spans="2:4" hidden="1" x14ac:dyDescent="0.25">
      <c r="B26" t="s">
        <v>184</v>
      </c>
      <c r="C26" t="str">
        <f>_xlfn.XLOOKUP(B26,'Data Base'!D:D,'Data Base'!O:O)</f>
        <v>Blossom - Documento a emitir</v>
      </c>
    </row>
    <row r="27" spans="2:4" hidden="1" x14ac:dyDescent="0.25">
      <c r="B27" t="s">
        <v>185</v>
      </c>
      <c r="C27" t="str">
        <f>_xlfn.XLOOKUP(B27,'Data Base'!D:D,'Data Base'!O:O)</f>
        <v>Blossom - Documento a emitir</v>
      </c>
    </row>
    <row r="28" spans="2:4" hidden="1" x14ac:dyDescent="0.25">
      <c r="B28" t="s">
        <v>124</v>
      </c>
      <c r="C28" t="str">
        <f>_xlfn.XLOOKUP(B28,'Data Base'!D:D,'Data Base'!O:O)</f>
        <v>Blossom - Documento a emitir</v>
      </c>
    </row>
    <row r="29" spans="2:4" hidden="1" x14ac:dyDescent="0.25">
      <c r="B29" t="s">
        <v>99</v>
      </c>
      <c r="C29" t="str">
        <f>_xlfn.XLOOKUP(B29,'Data Base'!D:D,'Data Base'!O:O)</f>
        <v>Blossom - Documento a emitir</v>
      </c>
    </row>
    <row r="30" spans="2:4" hidden="1" x14ac:dyDescent="0.25">
      <c r="B30" t="s">
        <v>107</v>
      </c>
      <c r="C30" t="str">
        <f>_xlfn.XLOOKUP(B30,'Data Base'!D:D,'Data Base'!O:O)</f>
        <v>Blossom - Documento a emitir</v>
      </c>
    </row>
    <row r="31" spans="2:4" hidden="1" x14ac:dyDescent="0.25">
      <c r="B31" t="s">
        <v>90</v>
      </c>
      <c r="C31" t="str">
        <f>_xlfn.XLOOKUP(B31,'Data Base'!D:D,'Data Base'!O:O)</f>
        <v>Blossom - Documento a emitir</v>
      </c>
    </row>
    <row r="32" spans="2:4" hidden="1" x14ac:dyDescent="0.25">
      <c r="B32" t="s">
        <v>228</v>
      </c>
      <c r="C32" t="str">
        <f>_xlfn.XLOOKUP(B32,'Data Base'!D:D,'Data Base'!O:O)</f>
        <v>Blossom - Documento a emitir</v>
      </c>
    </row>
    <row r="33" spans="2:4" hidden="1" x14ac:dyDescent="0.25">
      <c r="B33" t="s">
        <v>237</v>
      </c>
      <c r="C33" t="str">
        <f>_xlfn.XLOOKUP(B33,'Data Base'!D:D,'Data Base'!O:O)</f>
        <v>Blossom - Documento a emitir</v>
      </c>
    </row>
    <row r="34" spans="2:4" hidden="1" x14ac:dyDescent="0.25">
      <c r="B34" t="s">
        <v>94</v>
      </c>
      <c r="C34" t="str">
        <f>_xlfn.XLOOKUP(B34,'Data Base'!D:D,'Data Base'!O:O)</f>
        <v>Blossom - Documento a emitir</v>
      </c>
    </row>
    <row r="35" spans="2:4" hidden="1" x14ac:dyDescent="0.25">
      <c r="B35" t="s">
        <v>279</v>
      </c>
      <c r="C35" t="str">
        <f>_xlfn.XLOOKUP(B35,'Data Base'!D:D,'Data Base'!O:O)</f>
        <v>Blossom - Documento a emitir</v>
      </c>
    </row>
    <row r="36" spans="2:4" hidden="1" x14ac:dyDescent="0.25">
      <c r="B36" t="s">
        <v>284</v>
      </c>
      <c r="C36" t="str">
        <f>_xlfn.XLOOKUP(B36,'Data Base'!D:D,'Data Base'!O:O)</f>
        <v>Blossom - Documento a emitir</v>
      </c>
    </row>
    <row r="37" spans="2:4" hidden="1" x14ac:dyDescent="0.25">
      <c r="B37" t="s">
        <v>274</v>
      </c>
      <c r="C37" t="str">
        <f>_xlfn.XLOOKUP(B37,'Data Base'!D:D,'Data Base'!O:O)</f>
        <v>Blossom - Documento a emitir</v>
      </c>
    </row>
    <row r="38" spans="2:4" hidden="1" x14ac:dyDescent="0.25">
      <c r="B38" t="s">
        <v>276</v>
      </c>
      <c r="C38" t="str">
        <f>_xlfn.XLOOKUP(B38,'Data Base'!D:D,'Data Base'!O:O)</f>
        <v>Blossom - Documento a emitir</v>
      </c>
    </row>
    <row r="39" spans="2:4" hidden="1" x14ac:dyDescent="0.25">
      <c r="B39" t="s">
        <v>277</v>
      </c>
      <c r="C39" t="str">
        <f>_xlfn.XLOOKUP(B39,'Data Base'!D:D,'Data Base'!O:O)</f>
        <v>Blossom - Documento a emitir</v>
      </c>
      <c r="D39" s="54" t="str">
        <f>_xlfn.XLOOKUP(B39,'Data Base'!D:D,'Data Base'!K:K)</f>
        <v>Documento a emitir</v>
      </c>
    </row>
    <row r="40" spans="2:4" hidden="1" x14ac:dyDescent="0.25">
      <c r="B40" t="s">
        <v>281</v>
      </c>
      <c r="C40" t="str">
        <f>_xlfn.XLOOKUP(B40,'Data Base'!D:D,'Data Base'!O:O)</f>
        <v>Blossom - Atendimento de Comentário</v>
      </c>
    </row>
    <row r="41" spans="2:4" hidden="1" x14ac:dyDescent="0.25">
      <c r="B41" t="s">
        <v>283</v>
      </c>
      <c r="C41" t="str">
        <f>_xlfn.XLOOKUP(B41,'Data Base'!D:D,'Data Base'!O:O)</f>
        <v>Blossom - Documento a emitir</v>
      </c>
    </row>
    <row r="42" spans="2:4" hidden="1" x14ac:dyDescent="0.25">
      <c r="B42" t="s">
        <v>273</v>
      </c>
      <c r="C42" t="str">
        <f>_xlfn.XLOOKUP(B42,'Data Base'!D:D,'Data Base'!O:O)</f>
        <v>Blossom - Documento a emitir</v>
      </c>
    </row>
    <row r="43" spans="2:4" hidden="1" x14ac:dyDescent="0.25">
      <c r="B43" t="s">
        <v>275</v>
      </c>
      <c r="C43" t="str">
        <f>_xlfn.XLOOKUP(B43,'Data Base'!D:D,'Data Base'!O:O)</f>
        <v>Blossom - Documento a emitir</v>
      </c>
    </row>
    <row r="44" spans="2:4" hidden="1" x14ac:dyDescent="0.25">
      <c r="B44" t="s">
        <v>266</v>
      </c>
      <c r="C44" t="str">
        <f>_xlfn.XLOOKUP(B44,'Data Base'!D:D,'Data Base'!O:O)</f>
        <v>Blossom - Documento a emitir</v>
      </c>
    </row>
    <row r="45" spans="2:4" hidden="1" x14ac:dyDescent="0.25">
      <c r="B45" t="s">
        <v>270</v>
      </c>
      <c r="C45" t="str">
        <f>_xlfn.XLOOKUP(B45,'Data Base'!D:D,'Data Base'!O:O)</f>
        <v>Blossom - Documento a emitir</v>
      </c>
    </row>
    <row r="46" spans="2:4" hidden="1" x14ac:dyDescent="0.25">
      <c r="B46" t="s">
        <v>271</v>
      </c>
      <c r="C46" t="str">
        <f>_xlfn.XLOOKUP(B46,'Data Base'!D:D,'Data Base'!O:O)</f>
        <v>Blossom - Documento a emitir</v>
      </c>
    </row>
    <row r="47" spans="2:4" hidden="1" x14ac:dyDescent="0.25">
      <c r="B47" t="s">
        <v>272</v>
      </c>
      <c r="C47" t="str">
        <f>_xlfn.XLOOKUP(B47,'Data Base'!D:D,'Data Base'!O:O)</f>
        <v>Blossom - Documento a emitir</v>
      </c>
    </row>
    <row r="48" spans="2:4" hidden="1" x14ac:dyDescent="0.25">
      <c r="B48" t="s">
        <v>263</v>
      </c>
      <c r="C48" t="str">
        <f>_xlfn.XLOOKUP(B48,'Data Base'!D:D,'Data Base'!O:O)</f>
        <v>Blossom - Documento a emitir</v>
      </c>
    </row>
    <row r="49" spans="2:4" hidden="1" x14ac:dyDescent="0.25">
      <c r="B49" t="s">
        <v>280</v>
      </c>
      <c r="C49" t="str">
        <f>_xlfn.XLOOKUP(B49,'Data Base'!D:D,'Data Base'!O:O)</f>
        <v>Blossom - Documento a emitir</v>
      </c>
    </row>
    <row r="50" spans="2:4" hidden="1" x14ac:dyDescent="0.25">
      <c r="B50" t="s">
        <v>267</v>
      </c>
      <c r="C50" t="str">
        <f>_xlfn.XLOOKUP(B50,'Data Base'!D:D,'Data Base'!O:O)</f>
        <v>Blossom - Documento a emitir</v>
      </c>
    </row>
    <row r="51" spans="2:4" hidden="1" x14ac:dyDescent="0.25">
      <c r="B51" t="s">
        <v>268</v>
      </c>
      <c r="C51" t="str">
        <f>_xlfn.XLOOKUP(B51,'Data Base'!D:D,'Data Base'!O:O)</f>
        <v>Blossom - Documento a emitir</v>
      </c>
    </row>
    <row r="52" spans="2:4" hidden="1" x14ac:dyDescent="0.25">
      <c r="B52" t="s">
        <v>269</v>
      </c>
      <c r="C52" t="str">
        <f>_xlfn.XLOOKUP(B52,'Data Base'!D:D,'Data Base'!O:O)</f>
        <v>Blossom - Documento a emitir</v>
      </c>
    </row>
    <row r="53" spans="2:4" hidden="1" x14ac:dyDescent="0.25">
      <c r="B53" t="s">
        <v>262</v>
      </c>
      <c r="C53" t="str">
        <f>_xlfn.XLOOKUP(B53,'Data Base'!D:D,'Data Base'!O:O)</f>
        <v>Blossom - Documento a emitir</v>
      </c>
    </row>
    <row r="54" spans="2:4" hidden="1" x14ac:dyDescent="0.25">
      <c r="B54" t="s">
        <v>264</v>
      </c>
      <c r="C54" t="str">
        <f>_xlfn.XLOOKUP(B54,'Data Base'!D:D,'Data Base'!O:O)</f>
        <v>Blossom - Documento a emitir</v>
      </c>
    </row>
    <row r="55" spans="2:4" hidden="1" x14ac:dyDescent="0.25">
      <c r="B55" t="s">
        <v>250</v>
      </c>
      <c r="C55" t="str">
        <f>_xlfn.XLOOKUP(B55,'Data Base'!D:D,'Data Base'!O:O)</f>
        <v>Blossom - Documento a emitir</v>
      </c>
    </row>
    <row r="56" spans="2:4" hidden="1" x14ac:dyDescent="0.25">
      <c r="B56" t="s">
        <v>103</v>
      </c>
      <c r="C56" t="str">
        <f>_xlfn.XLOOKUP(B56,'Data Base'!D:D,'Data Base'!O:O)</f>
        <v>Blossom - Documento a emitir</v>
      </c>
      <c r="D56" s="54" t="str">
        <f>_xlfn.XLOOKUP(B56,'Data Base'!D:D,'Data Base'!K:K)</f>
        <v>Documento a emitir</v>
      </c>
    </row>
    <row r="57" spans="2:4" hidden="1" x14ac:dyDescent="0.25">
      <c r="B57" t="s">
        <v>147</v>
      </c>
      <c r="C57" t="str">
        <f>_xlfn.XLOOKUP(B57,'Data Base'!D:D,'Data Base'!O:O)</f>
        <v>Blossom - Atendimento de Comentário</v>
      </c>
      <c r="D57" s="54">
        <f>_xlfn.XLOOKUP(B57,'Data Base'!D:D,'Data Base'!K:K)</f>
        <v>46193.521463460653</v>
      </c>
    </row>
    <row r="58" spans="2:4" hidden="1" x14ac:dyDescent="0.25">
      <c r="B58" t="s">
        <v>134</v>
      </c>
      <c r="C58" t="str">
        <f>_xlfn.XLOOKUP(B58,'Data Base'!D:D,'Data Base'!O:O)</f>
        <v>Blossom - Atendimento de Comentário</v>
      </c>
      <c r="D58" s="54">
        <f>_xlfn.XLOOKUP(B58,'Data Base'!D:D,'Data Base'!K:K)</f>
        <v>46199.69948116898</v>
      </c>
    </row>
    <row r="59" spans="2:4" hidden="1" x14ac:dyDescent="0.25">
      <c r="B59" t="s">
        <v>167</v>
      </c>
      <c r="C59" t="str">
        <f>_xlfn.XLOOKUP(B59,'Data Base'!D:D,'Data Base'!O:O)</f>
        <v>Blossom - Documento a emitir</v>
      </c>
    </row>
    <row r="60" spans="2:4" hidden="1" x14ac:dyDescent="0.25">
      <c r="B60" t="s">
        <v>151</v>
      </c>
      <c r="C60" t="str">
        <f>_xlfn.XLOOKUP(B60,'Data Base'!D:D,'Data Base'!O:O)</f>
        <v>Blossom - Documento a emitir</v>
      </c>
    </row>
    <row r="61" spans="2:4" hidden="1" x14ac:dyDescent="0.25">
      <c r="B61" t="s">
        <v>153</v>
      </c>
      <c r="C61" t="str">
        <f>_xlfn.XLOOKUP(B61,'Data Base'!D:D,'Data Base'!O:O)</f>
        <v>Blossom - Documento a emitir</v>
      </c>
    </row>
    <row r="62" spans="2:4" hidden="1" x14ac:dyDescent="0.25">
      <c r="B62" t="s">
        <v>154</v>
      </c>
      <c r="C62" t="str">
        <f>_xlfn.XLOOKUP(B62,'Data Base'!D:D,'Data Base'!O:O)</f>
        <v>Blossom - Documento a emitir</v>
      </c>
    </row>
    <row r="63" spans="2:4" hidden="1" x14ac:dyDescent="0.25">
      <c r="B63" t="s">
        <v>155</v>
      </c>
      <c r="C63" t="str">
        <f>_xlfn.XLOOKUP(B63,'Data Base'!D:D,'Data Base'!O:O)</f>
        <v>Blossom - Documento a emitir</v>
      </c>
    </row>
    <row r="64" spans="2:4" hidden="1" x14ac:dyDescent="0.25">
      <c r="B64" t="s">
        <v>156</v>
      </c>
      <c r="C64" t="str">
        <f>_xlfn.XLOOKUP(B64,'Data Base'!D:D,'Data Base'!O:O)</f>
        <v>Blossom - Documento a emitir</v>
      </c>
    </row>
    <row r="65" spans="2:3" hidden="1" x14ac:dyDescent="0.25">
      <c r="B65" t="s">
        <v>157</v>
      </c>
      <c r="C65" t="str">
        <f>_xlfn.XLOOKUP(B65,'Data Base'!D:D,'Data Base'!O:O)</f>
        <v>Blossom - Documento a emitir</v>
      </c>
    </row>
    <row r="66" spans="2:3" hidden="1" x14ac:dyDescent="0.25">
      <c r="B66" t="s">
        <v>158</v>
      </c>
      <c r="C66" t="str">
        <f>_xlfn.XLOOKUP(B66,'Data Base'!D:D,'Data Base'!O:O)</f>
        <v>Blossom - Documento a emitir</v>
      </c>
    </row>
    <row r="67" spans="2:3" hidden="1" x14ac:dyDescent="0.25">
      <c r="B67" t="s">
        <v>159</v>
      </c>
      <c r="C67" t="str">
        <f>_xlfn.XLOOKUP(B67,'Data Base'!D:D,'Data Base'!O:O)</f>
        <v>Blossom - Documento a emitir</v>
      </c>
    </row>
    <row r="68" spans="2:3" hidden="1" x14ac:dyDescent="0.25">
      <c r="B68" t="s">
        <v>160</v>
      </c>
      <c r="C68" t="str">
        <f>_xlfn.XLOOKUP(B68,'Data Base'!D:D,'Data Base'!O:O)</f>
        <v>Blossom - Documento a emitir</v>
      </c>
    </row>
    <row r="69" spans="2:3" hidden="1" x14ac:dyDescent="0.25">
      <c r="B69" t="s">
        <v>161</v>
      </c>
      <c r="C69" t="str">
        <f>_xlfn.XLOOKUP(B69,'Data Base'!D:D,'Data Base'!O:O)</f>
        <v>Blossom - Documento a emitir</v>
      </c>
    </row>
    <row r="70" spans="2:3" hidden="1" x14ac:dyDescent="0.25">
      <c r="B70" t="s">
        <v>162</v>
      </c>
      <c r="C70" t="str">
        <f>_xlfn.XLOOKUP(B70,'Data Base'!D:D,'Data Base'!O:O)</f>
        <v>Blossom - Documento a emitir</v>
      </c>
    </row>
    <row r="71" spans="2:3" hidden="1" x14ac:dyDescent="0.25">
      <c r="B71" t="s">
        <v>163</v>
      </c>
      <c r="C71" t="str">
        <f>_xlfn.XLOOKUP(B71,'Data Base'!D:D,'Data Base'!O:O)</f>
        <v>Blossom - Documento a emitir</v>
      </c>
    </row>
    <row r="72" spans="2:3" hidden="1" x14ac:dyDescent="0.25">
      <c r="B72" t="s">
        <v>164</v>
      </c>
      <c r="C72" t="str">
        <f>_xlfn.XLOOKUP(B72,'Data Base'!D:D,'Data Base'!O:O)</f>
        <v>Blossom - Documento a emitir</v>
      </c>
    </row>
    <row r="73" spans="2:3" hidden="1" x14ac:dyDescent="0.25">
      <c r="B73" t="s">
        <v>165</v>
      </c>
      <c r="C73" t="str">
        <f>_xlfn.XLOOKUP(B73,'Data Base'!D:D,'Data Base'!O:O)</f>
        <v>Blossom - Documento a emitir</v>
      </c>
    </row>
    <row r="74" spans="2:3" hidden="1" x14ac:dyDescent="0.25">
      <c r="B74" t="s">
        <v>166</v>
      </c>
      <c r="C74" t="str">
        <f>_xlfn.XLOOKUP(B74,'Data Base'!D:D,'Data Base'!O:O)</f>
        <v>Blossom - Documento a emitir</v>
      </c>
    </row>
    <row r="75" spans="2:3" hidden="1" x14ac:dyDescent="0.25">
      <c r="B75" t="s">
        <v>991</v>
      </c>
      <c r="C75" t="str">
        <f>_xlfn.XLOOKUP(B75,'Data Base'!D:D,'Data Base'!O:O)</f>
        <v>Blossom - Documento a emitir</v>
      </c>
    </row>
    <row r="76" spans="2:3" hidden="1" x14ac:dyDescent="0.25">
      <c r="B76" t="s">
        <v>171</v>
      </c>
      <c r="C76" t="str">
        <f>_xlfn.XLOOKUP(B76,'Data Base'!D:D,'Data Base'!O:O)</f>
        <v>Blossom - Documento a emitir</v>
      </c>
    </row>
    <row r="77" spans="2:3" hidden="1" x14ac:dyDescent="0.25">
      <c r="B77" t="s">
        <v>169</v>
      </c>
      <c r="C77" t="str">
        <f>_xlfn.XLOOKUP(B77,'Data Base'!D:D,'Data Base'!O:O)</f>
        <v>Blossom - Documento a emitir</v>
      </c>
    </row>
    <row r="78" spans="2:3" hidden="1" x14ac:dyDescent="0.25">
      <c r="B78" t="s">
        <v>172</v>
      </c>
      <c r="C78" t="str">
        <f>_xlfn.XLOOKUP(B78,'Data Base'!D:D,'Data Base'!O:O)</f>
        <v>Blossom - Documento a emitir</v>
      </c>
    </row>
    <row r="79" spans="2:3" hidden="1" x14ac:dyDescent="0.25">
      <c r="B79" t="s">
        <v>174</v>
      </c>
      <c r="C79" t="str">
        <f>_xlfn.XLOOKUP(B79,'Data Base'!D:D,'Data Base'!O:O)</f>
        <v>Blossom - Documento a emitir</v>
      </c>
    </row>
    <row r="80" spans="2:3" hidden="1" x14ac:dyDescent="0.25">
      <c r="B80" t="s">
        <v>149</v>
      </c>
      <c r="C80" t="str">
        <f>_xlfn.XLOOKUP(B80,'Data Base'!D:D,'Data Base'!O:O)</f>
        <v>Blossom - Documento a emitir</v>
      </c>
    </row>
    <row r="81" spans="2:4" hidden="1" x14ac:dyDescent="0.25">
      <c r="B81" t="s">
        <v>150</v>
      </c>
      <c r="C81" t="str">
        <f>_xlfn.XLOOKUP(B81,'Data Base'!D:D,'Data Base'!O:O)</f>
        <v>Blossom - Documento a emitir</v>
      </c>
    </row>
    <row r="82" spans="2:4" hidden="1" x14ac:dyDescent="0.25">
      <c r="B82" t="s">
        <v>175</v>
      </c>
      <c r="C82" t="str">
        <f>_xlfn.XLOOKUP(B82,'Data Base'!D:D,'Data Base'!O:O)</f>
        <v>Blossom - Documento a emitir</v>
      </c>
    </row>
    <row r="83" spans="2:4" hidden="1" x14ac:dyDescent="0.25">
      <c r="B83" t="s">
        <v>177</v>
      </c>
      <c r="C83" t="str">
        <f>_xlfn.XLOOKUP(B83,'Data Base'!D:D,'Data Base'!O:O)</f>
        <v>Blossom - Documento a emitir</v>
      </c>
    </row>
    <row r="84" spans="2:4" hidden="1" x14ac:dyDescent="0.25">
      <c r="B84" t="s">
        <v>285</v>
      </c>
      <c r="C84" t="str">
        <f>_xlfn.XLOOKUP(B84,'Data Base'!D:D,'Data Base'!O:O)</f>
        <v>Blossom - Documento a emitir</v>
      </c>
    </row>
    <row r="85" spans="2:4" x14ac:dyDescent="0.25">
      <c r="B85" t="s">
        <v>135</v>
      </c>
      <c r="C85" t="str">
        <f>_xlfn.XLOOKUP(B85,'Data Base'!D:D,'Data Base'!O:O)</f>
        <v>Cliente - Atendimento de Comentário</v>
      </c>
      <c r="D85" s="54">
        <f>_xlfn.XLOOKUP(B85,'Data Base'!D:D,'Data Base'!K:K)</f>
        <v>46209.706576273151</v>
      </c>
    </row>
    <row r="86" spans="2:4" hidden="1" x14ac:dyDescent="0.25">
      <c r="B86" t="s">
        <v>136</v>
      </c>
      <c r="C86" t="str">
        <f>_xlfn.XLOOKUP(B86,'Data Base'!D:D,'Data Base'!O:O)</f>
        <v>Blossom - Atendimento de Comentário</v>
      </c>
    </row>
    <row r="87" spans="2:4" hidden="1" x14ac:dyDescent="0.25">
      <c r="B87" t="s">
        <v>137</v>
      </c>
      <c r="C87" t="str">
        <f>_xlfn.XLOOKUP(B87,'Data Base'!D:D,'Data Base'!O:O)</f>
        <v>Blossom - Documento a emitir</v>
      </c>
    </row>
    <row r="88" spans="2:4" hidden="1" x14ac:dyDescent="0.25">
      <c r="B88" t="s">
        <v>138</v>
      </c>
      <c r="C88" t="str">
        <f>_xlfn.XLOOKUP(B88,'Data Base'!D:D,'Data Base'!O:O)</f>
        <v>Blossom - Documento a emitir</v>
      </c>
    </row>
    <row r="89" spans="2:4" hidden="1" x14ac:dyDescent="0.25">
      <c r="B89" t="s">
        <v>139</v>
      </c>
      <c r="C89" t="str">
        <f>_xlfn.XLOOKUP(B89,'Data Base'!D:D,'Data Base'!O:O)</f>
        <v>Blossom - Documento a emitir</v>
      </c>
    </row>
    <row r="90" spans="2:4" hidden="1" x14ac:dyDescent="0.25">
      <c r="B90" t="s">
        <v>73</v>
      </c>
      <c r="C90" t="str">
        <f>_xlfn.XLOOKUP(B90,'Data Base'!D:D,'Data Base'!O:O)</f>
        <v>Blossom - Documento a emitir</v>
      </c>
    </row>
    <row r="91" spans="2:4" hidden="1" x14ac:dyDescent="0.25">
      <c r="B91" t="s">
        <v>91</v>
      </c>
      <c r="C91" t="str">
        <f>_xlfn.XLOOKUP(B91,'Data Base'!D:D,'Data Base'!O:O)</f>
        <v>Blossom - Documento a emitir</v>
      </c>
    </row>
    <row r="92" spans="2:4" hidden="1" x14ac:dyDescent="0.25">
      <c r="B92" t="s">
        <v>180</v>
      </c>
      <c r="C92" t="str">
        <f>_xlfn.XLOOKUP(B92,'Data Base'!D:D,'Data Base'!O:O)</f>
        <v>Blossom - Documento a emitir</v>
      </c>
    </row>
    <row r="93" spans="2:4" hidden="1" x14ac:dyDescent="0.25">
      <c r="B93" t="s">
        <v>140</v>
      </c>
      <c r="C93" t="str">
        <f>_xlfn.XLOOKUP(B93,'Data Base'!D:D,'Data Base'!O:O)</f>
        <v>Blossom - Documento a emitir</v>
      </c>
    </row>
    <row r="94" spans="2:4" hidden="1" x14ac:dyDescent="0.25">
      <c r="B94" t="s">
        <v>141</v>
      </c>
      <c r="C94" t="str">
        <f>_xlfn.XLOOKUP(B94,'Data Base'!D:D,'Data Base'!O:O)</f>
        <v>Blossom - Documento a emitir</v>
      </c>
    </row>
    <row r="95" spans="2:4" hidden="1" x14ac:dyDescent="0.25">
      <c r="B95" t="s">
        <v>142</v>
      </c>
      <c r="C95" t="str">
        <f>_xlfn.XLOOKUP(B95,'Data Base'!D:D,'Data Base'!O:O)</f>
        <v>Blossom - Documento a emitir</v>
      </c>
    </row>
    <row r="96" spans="2:4" hidden="1" x14ac:dyDescent="0.25">
      <c r="B96" t="s">
        <v>74</v>
      </c>
      <c r="C96" t="str">
        <f>_xlfn.XLOOKUP(B96,'Data Base'!D:D,'Data Base'!O:O)</f>
        <v>Blossom - Documento a emitir</v>
      </c>
    </row>
    <row r="97" spans="2:4" hidden="1" x14ac:dyDescent="0.25">
      <c r="B97" t="s">
        <v>92</v>
      </c>
      <c r="C97" t="str">
        <f>_xlfn.XLOOKUP(B97,'Data Base'!D:D,'Data Base'!O:O)</f>
        <v>Blossom - Documento a emitir</v>
      </c>
    </row>
    <row r="98" spans="2:4" hidden="1" x14ac:dyDescent="0.25">
      <c r="B98" t="s">
        <v>181</v>
      </c>
      <c r="C98" t="str">
        <f>_xlfn.XLOOKUP(B98,'Data Base'!D:D,'Data Base'!O:O)</f>
        <v>Blossom - Documento a emitir</v>
      </c>
    </row>
    <row r="99" spans="2:4" hidden="1" x14ac:dyDescent="0.25">
      <c r="B99" t="s">
        <v>143</v>
      </c>
      <c r="C99" t="str">
        <f>_xlfn.XLOOKUP(B99,'Data Base'!D:D,'Data Base'!O:O)</f>
        <v>Blossom - Documento a emitir</v>
      </c>
    </row>
    <row r="100" spans="2:4" hidden="1" x14ac:dyDescent="0.25">
      <c r="B100" t="s">
        <v>144</v>
      </c>
      <c r="C100" t="str">
        <f>_xlfn.XLOOKUP(B100,'Data Base'!D:D,'Data Base'!O:O)</f>
        <v>Blossom - Documento a emitir</v>
      </c>
    </row>
    <row r="101" spans="2:4" hidden="1" x14ac:dyDescent="0.25">
      <c r="B101" t="s">
        <v>145</v>
      </c>
      <c r="C101" t="str">
        <f>_xlfn.XLOOKUP(B101,'Data Base'!D:D,'Data Base'!O:O)</f>
        <v>Blossom - Documento a emitir</v>
      </c>
    </row>
    <row r="102" spans="2:4" hidden="1" x14ac:dyDescent="0.25">
      <c r="B102" t="s">
        <v>75</v>
      </c>
      <c r="C102" t="str">
        <f>_xlfn.XLOOKUP(B102,'Data Base'!D:D,'Data Base'!O:O)</f>
        <v>Blossom - Documento a emitir</v>
      </c>
    </row>
    <row r="103" spans="2:4" hidden="1" x14ac:dyDescent="0.25">
      <c r="B103" t="s">
        <v>93</v>
      </c>
      <c r="C103" t="str">
        <f>_xlfn.XLOOKUP(B103,'Data Base'!D:D,'Data Base'!O:O)</f>
        <v>Blossom - Documento a emitir</v>
      </c>
    </row>
    <row r="104" spans="2:4" hidden="1" x14ac:dyDescent="0.25">
      <c r="B104" t="s">
        <v>182</v>
      </c>
      <c r="C104" t="str">
        <f>_xlfn.XLOOKUP(B104,'Data Base'!D:D,'Data Base'!O:O)</f>
        <v>Blossom - Documento a emitir</v>
      </c>
    </row>
    <row r="105" spans="2:4" hidden="1" x14ac:dyDescent="0.25">
      <c r="B105" t="s">
        <v>66</v>
      </c>
      <c r="C105" t="str">
        <f>_xlfn.XLOOKUP(B105,'Data Base'!D:D,'Data Base'!O:O)</f>
        <v>Blossom - Atendimento de Comentário</v>
      </c>
      <c r="D105" s="54">
        <f>_xlfn.XLOOKUP(B105,'Data Base'!D:D,'Data Base'!K:K)</f>
        <v>46199.699325266207</v>
      </c>
    </row>
    <row r="106" spans="2:4" hidden="1" x14ac:dyDescent="0.25">
      <c r="B106" t="s">
        <v>28</v>
      </c>
      <c r="C106" t="str">
        <f>_xlfn.XLOOKUP(B106,'Data Base'!D:D,'Data Base'!O:O)</f>
        <v>Documento Concluído</v>
      </c>
      <c r="D106" s="54">
        <f>_xlfn.XLOOKUP(B106,'Data Base'!D:D,'Data Base'!K:K)</f>
        <v>46210.678734525463</v>
      </c>
    </row>
    <row r="107" spans="2:4" hidden="1" x14ac:dyDescent="0.25">
      <c r="B107" t="s">
        <v>37</v>
      </c>
      <c r="C107" t="str">
        <f>_xlfn.XLOOKUP(B107,'Data Base'!D:D,'Data Base'!O:O)</f>
        <v>Documento Concluído</v>
      </c>
      <c r="D107" s="54">
        <f>_xlfn.XLOOKUP(B107,'Data Base'!D:D,'Data Base'!K:K)</f>
        <v>46202.537889432868</v>
      </c>
    </row>
    <row r="108" spans="2:4" hidden="1" x14ac:dyDescent="0.25">
      <c r="B108" t="s">
        <v>40</v>
      </c>
      <c r="C108" t="str">
        <f>_xlfn.XLOOKUP(B108,'Data Base'!D:D,'Data Base'!O:O)</f>
        <v>Documento Concluído</v>
      </c>
      <c r="D108" s="54">
        <f>_xlfn.XLOOKUP(B108,'Data Base'!D:D,'Data Base'!K:K)</f>
        <v>46210.678736377318</v>
      </c>
    </row>
    <row r="109" spans="2:4" hidden="1" x14ac:dyDescent="0.25">
      <c r="B109" t="s">
        <v>41</v>
      </c>
      <c r="C109" t="str">
        <f>_xlfn.XLOOKUP(B109,'Data Base'!D:D,'Data Base'!O:O)</f>
        <v>Documento Concluído</v>
      </c>
      <c r="D109" s="54">
        <f>_xlfn.XLOOKUP(B109,'Data Base'!D:D,'Data Base'!K:K)</f>
        <v>46213.699927858797</v>
      </c>
    </row>
    <row r="110" spans="2:4" hidden="1" x14ac:dyDescent="0.25">
      <c r="B110" t="s">
        <v>47</v>
      </c>
      <c r="C110" t="str">
        <f>_xlfn.XLOOKUP(B110,'Data Base'!D:D,'Data Base'!O:O)</f>
        <v>Documento Concluído</v>
      </c>
      <c r="D110" s="54">
        <f>_xlfn.XLOOKUP(B110,'Data Base'!D:D,'Data Base'!K:K)</f>
        <v>46213.699928275462</v>
      </c>
    </row>
    <row r="111" spans="2:4" hidden="1" x14ac:dyDescent="0.25">
      <c r="B111" t="s">
        <v>39</v>
      </c>
      <c r="C111" t="str">
        <f>_xlfn.XLOOKUP(B111,'Data Base'!D:D,'Data Base'!O:O)</f>
        <v>Blossom - Atendimento de Comentário</v>
      </c>
      <c r="D111" s="54">
        <f>_xlfn.XLOOKUP(B111,'Data Base'!D:D,'Data Base'!K:K)</f>
        <v>46210.67873579861</v>
      </c>
    </row>
    <row r="112" spans="2:4" x14ac:dyDescent="0.25">
      <c r="B112" t="s">
        <v>63</v>
      </c>
      <c r="C112" t="str">
        <f>_xlfn.XLOOKUP(B112,'Data Base'!D:D,'Data Base'!O:O)</f>
        <v>Cliente - Atendimento de Comentário</v>
      </c>
    </row>
    <row r="113" spans="2:3" x14ac:dyDescent="0.25">
      <c r="B113" t="s">
        <v>15</v>
      </c>
      <c r="C113" t="str">
        <f>_xlfn.XLOOKUP(B113,'Data Base'!D:D,'Data Base'!O:O)</f>
        <v>ERRO</v>
      </c>
    </row>
    <row r="114" spans="2:3" hidden="1" x14ac:dyDescent="0.25">
      <c r="B114" t="s">
        <v>16</v>
      </c>
      <c r="C114" t="str">
        <f>_xlfn.XLOOKUP(B114,'Data Base'!D:D,'Data Base'!O:O)</f>
        <v>Blossom - Documento a emitir</v>
      </c>
    </row>
    <row r="115" spans="2:3" hidden="1" x14ac:dyDescent="0.25">
      <c r="B115" t="s">
        <v>70</v>
      </c>
      <c r="C115" t="str">
        <f>_xlfn.XLOOKUP(B115,'Data Base'!D:D,'Data Base'!O:O)</f>
        <v>Blossom - Documento a emitir</v>
      </c>
    </row>
    <row r="116" spans="2:3" hidden="1" x14ac:dyDescent="0.25">
      <c r="B116" t="s">
        <v>27</v>
      </c>
      <c r="C116" t="str">
        <f>_xlfn.XLOOKUP(B116,'Data Base'!D:D,'Data Base'!O:O)</f>
        <v>Blossom - Documento a emitir</v>
      </c>
    </row>
    <row r="117" spans="2:3" hidden="1" x14ac:dyDescent="0.25">
      <c r="B117" t="s">
        <v>51</v>
      </c>
      <c r="C117" t="str">
        <f>_xlfn.XLOOKUP(B117,'Data Base'!D:D,'Data Base'!O:O)</f>
        <v>Blossom - Documento a emitir</v>
      </c>
    </row>
    <row r="118" spans="2:3" hidden="1" x14ac:dyDescent="0.25">
      <c r="B118" t="s">
        <v>49</v>
      </c>
      <c r="C118" t="str">
        <f>_xlfn.XLOOKUP(B118,'Data Base'!D:D,'Data Base'!O:O)</f>
        <v>Blossom - Documento a emitir</v>
      </c>
    </row>
    <row r="119" spans="2:3" hidden="1" x14ac:dyDescent="0.25">
      <c r="B119" t="s">
        <v>22</v>
      </c>
      <c r="C119" t="str">
        <f>_xlfn.XLOOKUP(B119,'Data Base'!D:D,'Data Base'!O:O)</f>
        <v>Blossom - Documento a emitir</v>
      </c>
    </row>
    <row r="120" spans="2:3" hidden="1" x14ac:dyDescent="0.25">
      <c r="B120" t="s">
        <v>64</v>
      </c>
      <c r="C120" t="str">
        <f>_xlfn.XLOOKUP(B120,'Data Base'!D:D,'Data Base'!O:O)</f>
        <v>Blossom - Documento a emitir</v>
      </c>
    </row>
    <row r="121" spans="2:3" hidden="1" x14ac:dyDescent="0.25">
      <c r="B121" t="s">
        <v>26</v>
      </c>
      <c r="C121" t="str">
        <f>_xlfn.XLOOKUP(B121,'Data Base'!D:D,'Data Base'!O:O)</f>
        <v>Blossom - Documento a emitir</v>
      </c>
    </row>
    <row r="122" spans="2:3" hidden="1" x14ac:dyDescent="0.25">
      <c r="B122" t="s">
        <v>43</v>
      </c>
      <c r="C122" t="str">
        <f>_xlfn.XLOOKUP(B122,'Data Base'!D:D,'Data Base'!O:O)</f>
        <v>Blossom - Documento a emitir</v>
      </c>
    </row>
    <row r="123" spans="2:3" hidden="1" x14ac:dyDescent="0.25">
      <c r="B123" t="s">
        <v>33</v>
      </c>
      <c r="C123" t="str">
        <f>_xlfn.XLOOKUP(B123,'Data Base'!D:D,'Data Base'!O:O)</f>
        <v>Blossom - Documento a emitir</v>
      </c>
    </row>
    <row r="124" spans="2:3" hidden="1" x14ac:dyDescent="0.25">
      <c r="B124" t="s">
        <v>32</v>
      </c>
      <c r="C124" t="str">
        <f>_xlfn.XLOOKUP(B124,'Data Base'!D:D,'Data Base'!O:O)</f>
        <v>Blossom - Documento a emitir</v>
      </c>
    </row>
    <row r="125" spans="2:3" hidden="1" x14ac:dyDescent="0.25">
      <c r="B125" t="s">
        <v>42</v>
      </c>
      <c r="C125" t="str">
        <f>_xlfn.XLOOKUP(B125,'Data Base'!D:D,'Data Base'!O:O)</f>
        <v>Blossom - Documento a emitir</v>
      </c>
    </row>
    <row r="126" spans="2:3" hidden="1" x14ac:dyDescent="0.25">
      <c r="B126" t="s">
        <v>44</v>
      </c>
      <c r="C126" t="str">
        <f>_xlfn.XLOOKUP(B126,'Data Base'!D:D,'Data Base'!O:O)</f>
        <v>Blossom - Documento a emitir</v>
      </c>
    </row>
    <row r="127" spans="2:3" hidden="1" x14ac:dyDescent="0.25">
      <c r="B127" t="s">
        <v>45</v>
      </c>
      <c r="C127" t="str">
        <f>_xlfn.XLOOKUP(B127,'Data Base'!D:D,'Data Base'!O:O)</f>
        <v>Blossom - Documento a emitir</v>
      </c>
    </row>
    <row r="128" spans="2:3" hidden="1" x14ac:dyDescent="0.25">
      <c r="B128" t="s">
        <v>48</v>
      </c>
      <c r="C128" t="str">
        <f>_xlfn.XLOOKUP(B128,'Data Base'!D:D,'Data Base'!O:O)</f>
        <v>Blossom - Documento a emitir</v>
      </c>
    </row>
    <row r="129" spans="2:3" hidden="1" x14ac:dyDescent="0.25">
      <c r="B129" t="s">
        <v>29</v>
      </c>
      <c r="C129" t="str">
        <f>_xlfn.XLOOKUP(B129,'Data Base'!D:D,'Data Base'!O:O)</f>
        <v>Blossom - Documento a emitir</v>
      </c>
    </row>
    <row r="130" spans="2:3" hidden="1" x14ac:dyDescent="0.25">
      <c r="B130" t="s">
        <v>30</v>
      </c>
      <c r="C130" t="str">
        <f>_xlfn.XLOOKUP(B130,'Data Base'!D:D,'Data Base'!O:O)</f>
        <v>Blossom - Documento a emitir</v>
      </c>
    </row>
    <row r="131" spans="2:3" hidden="1" x14ac:dyDescent="0.25">
      <c r="B131" t="s">
        <v>31</v>
      </c>
      <c r="C131" t="str">
        <f>_xlfn.XLOOKUP(B131,'Data Base'!D:D,'Data Base'!O:O)</f>
        <v>Blossom - Documento a emitir</v>
      </c>
    </row>
    <row r="132" spans="2:3" hidden="1" x14ac:dyDescent="0.25">
      <c r="B132" t="s">
        <v>46</v>
      </c>
      <c r="C132" t="str">
        <f>_xlfn.XLOOKUP(B132,'Data Base'!D:D,'Data Base'!O:O)</f>
        <v>Blossom - Documento a emitir</v>
      </c>
    </row>
    <row r="133" spans="2:3" hidden="1" x14ac:dyDescent="0.25">
      <c r="B133" t="s">
        <v>38</v>
      </c>
      <c r="C133" t="str">
        <f>_xlfn.XLOOKUP(B133,'Data Base'!D:D,'Data Base'!O:O)</f>
        <v>Blossom - Documento a emitir</v>
      </c>
    </row>
    <row r="134" spans="2:3" hidden="1" x14ac:dyDescent="0.25">
      <c r="B134" t="s">
        <v>34</v>
      </c>
      <c r="C134" t="str">
        <f>_xlfn.XLOOKUP(B134,'Data Base'!D:D,'Data Base'!O:O)</f>
        <v>Blossom - Documento a emitir</v>
      </c>
    </row>
    <row r="135" spans="2:3" hidden="1" x14ac:dyDescent="0.25">
      <c r="B135" t="s">
        <v>35</v>
      </c>
      <c r="C135" t="str">
        <f>_xlfn.XLOOKUP(B135,'Data Base'!D:D,'Data Base'!O:O)</f>
        <v>Blossom - Documento a emitir</v>
      </c>
    </row>
    <row r="136" spans="2:3" hidden="1" x14ac:dyDescent="0.25">
      <c r="B136" t="s">
        <v>36</v>
      </c>
      <c r="C136" t="str">
        <f>_xlfn.XLOOKUP(B136,'Data Base'!D:D,'Data Base'!O:O)</f>
        <v>Blossom - Documento a emitir</v>
      </c>
    </row>
    <row r="137" spans="2:3" hidden="1" x14ac:dyDescent="0.25">
      <c r="B137" t="s">
        <v>17</v>
      </c>
      <c r="C137" t="str">
        <f>_xlfn.XLOOKUP(B137,'Data Base'!D:D,'Data Base'!O:O)</f>
        <v>Blossom - Documento a emitir</v>
      </c>
    </row>
    <row r="138" spans="2:3" hidden="1" x14ac:dyDescent="0.25">
      <c r="B138" t="s">
        <v>50</v>
      </c>
      <c r="C138" t="str">
        <f>_xlfn.XLOOKUP(B138,'Data Base'!D:D,'Data Base'!O:O)</f>
        <v>Blossom - Documento a emitir</v>
      </c>
    </row>
    <row r="139" spans="2:3" hidden="1" x14ac:dyDescent="0.25">
      <c r="B139" t="s">
        <v>23</v>
      </c>
      <c r="C139" t="str">
        <f>_xlfn.XLOOKUP(B139,'Data Base'!D:D,'Data Base'!O:O)</f>
        <v>Blossom - Documento a emitir</v>
      </c>
    </row>
    <row r="140" spans="2:3" hidden="1" x14ac:dyDescent="0.25">
      <c r="B140" t="s">
        <v>20</v>
      </c>
      <c r="C140" t="str">
        <f>_xlfn.XLOOKUP(B140,'Data Base'!D:D,'Data Base'!O:O)</f>
        <v>Blossom - Documento a emitir</v>
      </c>
    </row>
    <row r="141" spans="2:3" hidden="1" x14ac:dyDescent="0.25">
      <c r="B141" t="s">
        <v>54</v>
      </c>
      <c r="C141" t="str">
        <f>_xlfn.XLOOKUP(B141,'Data Base'!D:D,'Data Base'!O:O)</f>
        <v>Blossom - Documento a emitir</v>
      </c>
    </row>
    <row r="142" spans="2:3" hidden="1" x14ac:dyDescent="0.25">
      <c r="B142" t="s">
        <v>25</v>
      </c>
      <c r="C142" t="str">
        <f>_xlfn.XLOOKUP(B142,'Data Base'!D:D,'Data Base'!O:O)</f>
        <v>Blossom - Documento a emitir</v>
      </c>
    </row>
    <row r="143" spans="2:3" hidden="1" x14ac:dyDescent="0.25">
      <c r="B143" t="s">
        <v>19</v>
      </c>
      <c r="C143" t="str">
        <f>_xlfn.XLOOKUP(B143,'Data Base'!D:D,'Data Base'!O:O)</f>
        <v>Blossom - Documento a emitir</v>
      </c>
    </row>
    <row r="144" spans="2:3" hidden="1" x14ac:dyDescent="0.25">
      <c r="B144" t="s">
        <v>53</v>
      </c>
      <c r="C144" t="str">
        <f>_xlfn.XLOOKUP(B144,'Data Base'!D:D,'Data Base'!O:O)</f>
        <v>Blossom - Documento a emitir</v>
      </c>
    </row>
    <row r="145" spans="2:4" hidden="1" x14ac:dyDescent="0.25">
      <c r="B145" t="s">
        <v>24</v>
      </c>
      <c r="C145" t="str">
        <f>_xlfn.XLOOKUP(B145,'Data Base'!D:D,'Data Base'!O:O)</f>
        <v>Blossom - Documento a emitir</v>
      </c>
    </row>
    <row r="146" spans="2:4" hidden="1" x14ac:dyDescent="0.25">
      <c r="B146" t="s">
        <v>18</v>
      </c>
      <c r="C146" t="str">
        <f>_xlfn.XLOOKUP(B146,'Data Base'!D:D,'Data Base'!O:O)</f>
        <v>Blossom - Documento a emitir</v>
      </c>
    </row>
    <row r="147" spans="2:4" hidden="1" x14ac:dyDescent="0.25">
      <c r="B147" t="s">
        <v>52</v>
      </c>
      <c r="C147" t="str">
        <f>_xlfn.XLOOKUP(B147,'Data Base'!D:D,'Data Base'!O:O)</f>
        <v>Blossom - Documento a emitir</v>
      </c>
    </row>
    <row r="148" spans="2:4" hidden="1" x14ac:dyDescent="0.25">
      <c r="B148" t="s">
        <v>21</v>
      </c>
      <c r="C148" t="str">
        <f>_xlfn.XLOOKUP(B148,'Data Base'!D:D,'Data Base'!O:O)</f>
        <v>Blossom - Documento a emitir</v>
      </c>
    </row>
    <row r="149" spans="2:4" hidden="1" x14ac:dyDescent="0.25">
      <c r="B149" t="s">
        <v>55</v>
      </c>
      <c r="C149" t="str">
        <f>_xlfn.XLOOKUP(B149,'Data Base'!D:D,'Data Base'!O:O)</f>
        <v>Blossom - Documento a emitir</v>
      </c>
    </row>
    <row r="150" spans="2:4" hidden="1" x14ac:dyDescent="0.25">
      <c r="B150" t="s">
        <v>65</v>
      </c>
      <c r="C150" t="str">
        <f>_xlfn.XLOOKUP(B150,'Data Base'!D:D,'Data Base'!O:O)</f>
        <v>Blossom - Documento a emitir</v>
      </c>
    </row>
    <row r="151" spans="2:4" hidden="1" x14ac:dyDescent="0.25">
      <c r="B151" t="s">
        <v>72</v>
      </c>
      <c r="C151" t="str">
        <f>_xlfn.XLOOKUP(B151,'Data Base'!D:D,'Data Base'!O:O)</f>
        <v>Documento Concluído</v>
      </c>
      <c r="D151" s="54">
        <f>_xlfn.XLOOKUP(B151,'Data Base'!D:D,'Data Base'!K:K)</f>
        <v>46213.699656053243</v>
      </c>
    </row>
    <row r="152" spans="2:4" hidden="1" x14ac:dyDescent="0.25">
      <c r="B152" t="s">
        <v>82</v>
      </c>
      <c r="C152" t="str">
        <f>_xlfn.XLOOKUP(B152,'Data Base'!D:D,'Data Base'!O:O)</f>
        <v>Blossom - Documento a emitir</v>
      </c>
    </row>
    <row r="153" spans="2:4" hidden="1" x14ac:dyDescent="0.25">
      <c r="B153" t="s">
        <v>76</v>
      </c>
      <c r="C153" t="str">
        <f>_xlfn.XLOOKUP(B153,'Data Base'!D:D,'Data Base'!O:O)</f>
        <v>Blossom - Documento a emitir</v>
      </c>
    </row>
    <row r="154" spans="2:4" hidden="1" x14ac:dyDescent="0.25">
      <c r="B154" t="s">
        <v>80</v>
      </c>
      <c r="C154" t="str">
        <f>_xlfn.XLOOKUP(B154,'Data Base'!D:D,'Data Base'!O:O)</f>
        <v>Blossom - Documento a emitir</v>
      </c>
    </row>
    <row r="155" spans="2:4" hidden="1" x14ac:dyDescent="0.25">
      <c r="B155" t="s">
        <v>81</v>
      </c>
      <c r="C155" t="str">
        <f>_xlfn.XLOOKUP(B155,'Data Base'!D:D,'Data Base'!O:O)</f>
        <v>Blossom - Documento a emitir</v>
      </c>
    </row>
    <row r="156" spans="2:4" hidden="1" x14ac:dyDescent="0.25">
      <c r="B156" t="s">
        <v>110</v>
      </c>
      <c r="C156" t="str">
        <f>_xlfn.XLOOKUP(B156,'Data Base'!D:D,'Data Base'!O:O)</f>
        <v>Blossom - Atendimento de Comentário</v>
      </c>
      <c r="D156" s="54">
        <f>_xlfn.XLOOKUP(B156,'Data Base'!D:D,'Data Base'!K:K)</f>
        <v>46211.677941400463</v>
      </c>
    </row>
    <row r="157" spans="2:4" hidden="1" x14ac:dyDescent="0.25">
      <c r="B157" t="s">
        <v>111</v>
      </c>
      <c r="C157" t="str">
        <f>_xlfn.XLOOKUP(B157,'Data Base'!D:D,'Data Base'!O:O)</f>
        <v>Blossom - Atendimento de Comentário</v>
      </c>
      <c r="D157" s="54">
        <f>_xlfn.XLOOKUP(B157,'Data Base'!D:D,'Data Base'!K:K)</f>
        <v>46210.678921678242</v>
      </c>
    </row>
    <row r="158" spans="2:4" hidden="1" x14ac:dyDescent="0.25">
      <c r="B158" t="s">
        <v>112</v>
      </c>
      <c r="C158" t="str">
        <f>_xlfn.XLOOKUP(B158,'Data Base'!D:D,'Data Base'!O:O)</f>
        <v>Blossom - Atendimento de Comentário</v>
      </c>
      <c r="D158" s="54">
        <f>_xlfn.XLOOKUP(B158,'Data Base'!D:D,'Data Base'!K:K)</f>
        <v>46210.678922800929</v>
      </c>
    </row>
    <row r="159" spans="2:4" hidden="1" x14ac:dyDescent="0.25">
      <c r="B159" t="s">
        <v>113</v>
      </c>
      <c r="C159" t="str">
        <f>_xlfn.XLOOKUP(B159,'Data Base'!D:D,'Data Base'!O:O)</f>
        <v>Blossom - Atendimento de Comentário</v>
      </c>
    </row>
    <row r="160" spans="2:4" hidden="1" x14ac:dyDescent="0.25">
      <c r="B160" t="s">
        <v>757</v>
      </c>
      <c r="C160" t="str">
        <f>_xlfn.XLOOKUP(B160,'Data Base'!D:D,'Data Base'!O:O)</f>
        <v>Blossom - Documento a emitir</v>
      </c>
      <c r="D160" s="54" t="str">
        <f>_xlfn.XLOOKUP(B160,'Data Base'!D:D,'Data Base'!K:K)</f>
        <v>Documento a emitir</v>
      </c>
    </row>
    <row r="161" spans="2:4" hidden="1" x14ac:dyDescent="0.25">
      <c r="B161" t="s">
        <v>286</v>
      </c>
      <c r="C161" t="str">
        <f>_xlfn.XLOOKUP(B161,'Data Base'!D:D,'Data Base'!O:O)</f>
        <v>Blossom - Atendimento de Comentário</v>
      </c>
      <c r="D161" s="54">
        <f>_xlfn.XLOOKUP(B161,'Data Base'!D:D,'Data Base'!K:K)</f>
        <v>46209.706836458332</v>
      </c>
    </row>
    <row r="162" spans="2:4" hidden="1" x14ac:dyDescent="0.25">
      <c r="B162" t="s">
        <v>265</v>
      </c>
      <c r="C162" t="str">
        <f>_xlfn.XLOOKUP(B162,'Data Base'!D:D,'Data Base'!O:O)</f>
        <v>Blossom - Documento a emitir</v>
      </c>
      <c r="D162" s="54" t="str">
        <f>_xlfn.XLOOKUP(B162,'Data Base'!D:D,'Data Base'!K:K)</f>
        <v>Documento a emitir</v>
      </c>
    </row>
    <row r="163" spans="2:4" hidden="1" x14ac:dyDescent="0.25">
      <c r="B163" t="s">
        <v>191</v>
      </c>
      <c r="C163" t="str">
        <f>_xlfn.XLOOKUP(B163,'Data Base'!D:D,'Data Base'!O:O)</f>
        <v>Blossom - Atendimento de Comentário</v>
      </c>
      <c r="D163" s="54">
        <f>_xlfn.XLOOKUP(B163,'Data Base'!D:D,'Data Base'!K:K)</f>
        <v>46202.5380540162</v>
      </c>
    </row>
    <row r="164" spans="2:4" hidden="1" x14ac:dyDescent="0.25">
      <c r="B164" t="s">
        <v>192</v>
      </c>
      <c r="C164" t="str">
        <f>_xlfn.XLOOKUP(B164,'Data Base'!D:D,'Data Base'!O:O)</f>
        <v>Blossom - Atendimento de Comentário</v>
      </c>
    </row>
    <row r="165" spans="2:4" hidden="1" x14ac:dyDescent="0.25">
      <c r="B165" t="s">
        <v>193</v>
      </c>
      <c r="C165" t="str">
        <f>_xlfn.XLOOKUP(B165,'Data Base'!D:D,'Data Base'!O:O)</f>
        <v>Blossom - Atendimento de Comentário</v>
      </c>
      <c r="D165" s="54">
        <f>_xlfn.XLOOKUP(B165,'Data Base'!D:D,'Data Base'!K:K)</f>
        <v>46204.519204976852</v>
      </c>
    </row>
    <row r="166" spans="2:4" hidden="1" x14ac:dyDescent="0.25">
      <c r="B166" t="s">
        <v>194</v>
      </c>
      <c r="C166" t="str">
        <f>_xlfn.XLOOKUP(B166,'Data Base'!D:D,'Data Base'!O:O)</f>
        <v>Blossom - Atendimento de Comentário</v>
      </c>
      <c r="D166" s="54">
        <f>_xlfn.XLOOKUP(B166,'Data Base'!D:D,'Data Base'!K:K)</f>
        <v>46204.700839467587</v>
      </c>
    </row>
    <row r="167" spans="2:4" hidden="1" x14ac:dyDescent="0.25">
      <c r="B167" t="s">
        <v>195</v>
      </c>
      <c r="C167" t="str">
        <f>_xlfn.XLOOKUP(B167,'Data Base'!D:D,'Data Base'!O:O)</f>
        <v>Blossom - Atendimento de Comentário</v>
      </c>
      <c r="D167" s="54">
        <f>_xlfn.XLOOKUP(B167,'Data Base'!D:D,'Data Base'!K:K)</f>
        <v>46204.72341875</v>
      </c>
    </row>
    <row r="168" spans="2:4" hidden="1" x14ac:dyDescent="0.25">
      <c r="B168" t="s">
        <v>77</v>
      </c>
      <c r="C168" t="str">
        <f>_xlfn.XLOOKUP(B168,'Data Base'!D:D,'Data Base'!O:O)</f>
        <v>Blossom - Documento a emitir</v>
      </c>
      <c r="D168" s="54" t="str">
        <f>_xlfn.XLOOKUP(B168,'Data Base'!D:D,'Data Base'!K:K)</f>
        <v>Documento a emitir</v>
      </c>
    </row>
    <row r="169" spans="2:4" hidden="1" x14ac:dyDescent="0.25">
      <c r="B169" t="s">
        <v>78</v>
      </c>
      <c r="C169" t="str">
        <f>_xlfn.XLOOKUP(B169,'Data Base'!D:D,'Data Base'!O:O)</f>
        <v>Blossom - Documento a emitir</v>
      </c>
      <c r="D169" s="54" t="str">
        <f>_xlfn.XLOOKUP(B169,'Data Base'!D:D,'Data Base'!K:K)</f>
        <v>Documento a emitir</v>
      </c>
    </row>
    <row r="170" spans="2:4" hidden="1" x14ac:dyDescent="0.25">
      <c r="B170" t="s">
        <v>79</v>
      </c>
      <c r="C170" t="str">
        <f>_xlfn.XLOOKUP(B170,'Data Base'!D:D,'Data Base'!O:O)</f>
        <v>Blossom - Documento a emitir</v>
      </c>
      <c r="D170" s="54" t="str">
        <f>_xlfn.XLOOKUP(B170,'Data Base'!D:D,'Data Base'!K:K)</f>
        <v>Documento a emitir</v>
      </c>
    </row>
    <row r="171" spans="2:4" hidden="1" x14ac:dyDescent="0.25">
      <c r="B171" t="s">
        <v>186</v>
      </c>
      <c r="C171" t="str">
        <f>_xlfn.XLOOKUP(B171,'Data Base'!D:D,'Data Base'!O:O)</f>
        <v>Blossom - Documento a emitir</v>
      </c>
    </row>
    <row r="172" spans="2:4" x14ac:dyDescent="0.25">
      <c r="B172" t="s">
        <v>252</v>
      </c>
      <c r="C172" t="str">
        <f>_xlfn.XLOOKUP(B172,'Data Base'!D:D,'Data Base'!O:O)</f>
        <v>Cliente - Atendimento de Comentário</v>
      </c>
    </row>
    <row r="173" spans="2:4" hidden="1" x14ac:dyDescent="0.25">
      <c r="B173" t="s">
        <v>123</v>
      </c>
      <c r="C173" t="str">
        <f>_xlfn.XLOOKUP(B173,'Data Base'!D:D,'Data Base'!O:O)</f>
        <v>Blossom - Documento a emitir</v>
      </c>
    </row>
    <row r="174" spans="2:4" hidden="1" x14ac:dyDescent="0.25">
      <c r="B174" t="s">
        <v>125</v>
      </c>
      <c r="C174" t="str">
        <f>_xlfn.XLOOKUP(B174,'Data Base'!D:D,'Data Base'!O:O)</f>
        <v>Blossom - Documento a emitir</v>
      </c>
    </row>
    <row r="175" spans="2:4" hidden="1" x14ac:dyDescent="0.25">
      <c r="B175" t="s">
        <v>126</v>
      </c>
      <c r="C175" t="str">
        <f>_xlfn.XLOOKUP(B175,'Data Base'!D:D,'Data Base'!O:O)</f>
        <v>Blossom - Documento a emitir</v>
      </c>
      <c r="D175" s="54" t="str">
        <f>_xlfn.XLOOKUP(B175,'Data Base'!D:D,'Data Base'!K:K)</f>
        <v>Documento a emitir</v>
      </c>
    </row>
    <row r="176" spans="2:4" hidden="1" x14ac:dyDescent="0.25">
      <c r="B176" t="s">
        <v>122</v>
      </c>
      <c r="C176" t="str">
        <f>_xlfn.XLOOKUP(B176,'Data Base'!D:D,'Data Base'!O:O)</f>
        <v>Blossom - Documento a emitir</v>
      </c>
      <c r="D176" s="54" t="str">
        <f>_xlfn.XLOOKUP(B176,'Data Base'!D:D,'Data Base'!K:K)</f>
        <v>Documento a emitir</v>
      </c>
    </row>
    <row r="177" spans="2:4" hidden="1" x14ac:dyDescent="0.25">
      <c r="B177" t="s">
        <v>121</v>
      </c>
      <c r="C177" t="str">
        <f>_xlfn.XLOOKUP(B177,'Data Base'!D:D,'Data Base'!O:O)</f>
        <v>Blossom - Documento a emitir</v>
      </c>
    </row>
    <row r="178" spans="2:4" hidden="1" x14ac:dyDescent="0.25">
      <c r="B178" t="s">
        <v>104</v>
      </c>
      <c r="C178" t="str">
        <f>_xlfn.XLOOKUP(B178,'Data Base'!D:D,'Data Base'!O:O)</f>
        <v>Blossom - Documento a emitir</v>
      </c>
    </row>
    <row r="179" spans="2:4" hidden="1" x14ac:dyDescent="0.25">
      <c r="B179" t="s">
        <v>189</v>
      </c>
      <c r="C179" t="str">
        <f>_xlfn.XLOOKUP(B179,'Data Base'!D:D,'Data Base'!O:O)</f>
        <v>Blossom - Documento a emitir</v>
      </c>
    </row>
    <row r="180" spans="2:4" hidden="1" x14ac:dyDescent="0.25">
      <c r="B180" t="s">
        <v>83</v>
      </c>
      <c r="C180" t="str">
        <f>_xlfn.XLOOKUP(B180,'Data Base'!D:D,'Data Base'!O:O)</f>
        <v>Blossom - Documento a emitir</v>
      </c>
    </row>
    <row r="181" spans="2:4" hidden="1" x14ac:dyDescent="0.25">
      <c r="B181" t="s">
        <v>84</v>
      </c>
      <c r="C181" t="str">
        <f>_xlfn.XLOOKUP(B181,'Data Base'!D:D,'Data Base'!O:O)</f>
        <v>Blossom - Documento a emitir</v>
      </c>
      <c r="D181" s="54" t="str">
        <f>_xlfn.XLOOKUP(B181,'Data Base'!D:D,'Data Base'!K:K)</f>
        <v>Documento a emitir</v>
      </c>
    </row>
    <row r="182" spans="2:4" hidden="1" x14ac:dyDescent="0.25">
      <c r="B182" t="s">
        <v>85</v>
      </c>
      <c r="C182" t="str">
        <f>_xlfn.XLOOKUP(B182,'Data Base'!D:D,'Data Base'!O:O)</f>
        <v>Blossom - Documento a emitir</v>
      </c>
    </row>
    <row r="183" spans="2:4" hidden="1" x14ac:dyDescent="0.25">
      <c r="B183" t="s">
        <v>86</v>
      </c>
      <c r="C183" t="str">
        <f>_xlfn.XLOOKUP(B183,'Data Base'!D:D,'Data Base'!O:O)</f>
        <v>Blossom - Documento a emitir</v>
      </c>
    </row>
    <row r="184" spans="2:4" hidden="1" x14ac:dyDescent="0.25">
      <c r="B184" t="s">
        <v>87</v>
      </c>
      <c r="C184" t="str">
        <f>_xlfn.XLOOKUP(B184,'Data Base'!D:D,'Data Base'!O:O)</f>
        <v>Blossom - Documento a emitir</v>
      </c>
    </row>
    <row r="185" spans="2:4" hidden="1" x14ac:dyDescent="0.25">
      <c r="B185" t="s">
        <v>88</v>
      </c>
      <c r="C185" t="str">
        <f>_xlfn.XLOOKUP(B185,'Data Base'!D:D,'Data Base'!O:O)</f>
        <v>Blossom - Documento a emitir</v>
      </c>
    </row>
    <row r="186" spans="2:4" hidden="1" x14ac:dyDescent="0.25">
      <c r="B186" t="s">
        <v>89</v>
      </c>
      <c r="C186" t="str">
        <f>_xlfn.XLOOKUP(B186,'Data Base'!D:D,'Data Base'!O:O)</f>
        <v>Blossom - Documento a emitir</v>
      </c>
    </row>
    <row r="187" spans="2:4" hidden="1" x14ac:dyDescent="0.25">
      <c r="B187" t="s">
        <v>100</v>
      </c>
      <c r="C187" t="str">
        <f>_xlfn.XLOOKUP(B187,'Data Base'!D:D,'Data Base'!O:O)</f>
        <v>Blossom - Documento a emitir</v>
      </c>
    </row>
    <row r="188" spans="2:4" hidden="1" x14ac:dyDescent="0.25">
      <c r="B188" t="s">
        <v>260</v>
      </c>
      <c r="C188" t="str">
        <f>_xlfn.XLOOKUP(B188,'Data Base'!D:D,'Data Base'!O:O)</f>
        <v>Blossom - Documento a emitir</v>
      </c>
    </row>
    <row r="189" spans="2:4" hidden="1" x14ac:dyDescent="0.25">
      <c r="B189" t="s">
        <v>258</v>
      </c>
      <c r="C189" t="str">
        <f>_xlfn.XLOOKUP(B189,'Data Base'!D:D,'Data Base'!O:O)</f>
        <v>Blossom - Documento a emitir</v>
      </c>
    </row>
    <row r="190" spans="2:4" hidden="1" x14ac:dyDescent="0.25">
      <c r="B190" t="s">
        <v>261</v>
      </c>
      <c r="C190" t="str">
        <f>_xlfn.XLOOKUP(B190,'Data Base'!D:D,'Data Base'!O:O)</f>
        <v>Blossom - Documento a emitir</v>
      </c>
    </row>
    <row r="191" spans="2:4" hidden="1" x14ac:dyDescent="0.25">
      <c r="B191" t="s">
        <v>105</v>
      </c>
      <c r="C191" t="str">
        <f>_xlfn.XLOOKUP(B191,'Data Base'!D:D,'Data Base'!O:O)</f>
        <v>Blossom - Documento a emitir</v>
      </c>
    </row>
    <row r="192" spans="2:4" hidden="1" x14ac:dyDescent="0.25">
      <c r="B192" t="s">
        <v>106</v>
      </c>
      <c r="C192" t="str">
        <f>_xlfn.XLOOKUP(B192,'Data Base'!D:D,'Data Base'!O:O)</f>
        <v>Blossom - Documento a emitir</v>
      </c>
    </row>
    <row r="193" spans="2:4" hidden="1" x14ac:dyDescent="0.25">
      <c r="B193" t="s">
        <v>198</v>
      </c>
      <c r="C193" t="str">
        <f>_xlfn.XLOOKUP(B193,'Data Base'!D:D,'Data Base'!O:O)</f>
        <v>Blossom - Documento a emitir</v>
      </c>
    </row>
    <row r="194" spans="2:4" x14ac:dyDescent="0.25">
      <c r="B194" t="s">
        <v>238</v>
      </c>
      <c r="C194" t="str">
        <f>_xlfn.XLOOKUP(B194,'Data Base'!D:D,'Data Base'!O:O)</f>
        <v>Cliente - Atendimento de Comentário</v>
      </c>
    </row>
    <row r="195" spans="2:4" hidden="1" x14ac:dyDescent="0.25">
      <c r="B195" t="s">
        <v>240</v>
      </c>
      <c r="C195" t="str">
        <f>_xlfn.XLOOKUP(B195,'Data Base'!D:D,'Data Base'!O:O)</f>
        <v>Blossom - Documento a emitir</v>
      </c>
    </row>
    <row r="196" spans="2:4" x14ac:dyDescent="0.25">
      <c r="B196" t="s">
        <v>241</v>
      </c>
      <c r="C196" t="str">
        <f>_xlfn.XLOOKUP(B196,'Data Base'!D:D,'Data Base'!O:O)</f>
        <v>Blossom - Atendimento de Comentário</v>
      </c>
    </row>
    <row r="197" spans="2:4" hidden="1" x14ac:dyDescent="0.25">
      <c r="B197" t="s">
        <v>251</v>
      </c>
      <c r="C197" t="str">
        <f>_xlfn.XLOOKUP(B197,'Data Base'!D:D,'Data Base'!O:O)</f>
        <v>Blossom - Atendimento de Comentário</v>
      </c>
    </row>
    <row r="198" spans="2:4" hidden="1" x14ac:dyDescent="0.25">
      <c r="B198" t="s">
        <v>225</v>
      </c>
      <c r="C198" t="str">
        <f>_xlfn.XLOOKUP(B198,'Data Base'!D:D,'Data Base'!O:O)</f>
        <v>Blossom - Atendimento de Comentário</v>
      </c>
    </row>
    <row r="199" spans="2:4" x14ac:dyDescent="0.25">
      <c r="B199" t="s">
        <v>232</v>
      </c>
      <c r="C199" t="str">
        <f>_xlfn.XLOOKUP(B199,'Data Base'!D:D,'Data Base'!O:O)</f>
        <v>Cliente - Atendimento de Comentário</v>
      </c>
    </row>
    <row r="200" spans="2:4" hidden="1" x14ac:dyDescent="0.25">
      <c r="B200" t="s">
        <v>254</v>
      </c>
      <c r="C200" t="str">
        <f>_xlfn.XLOOKUP(B200,'Data Base'!D:D,'Data Base'!O:O)</f>
        <v>Blossom - Documento a emitir</v>
      </c>
      <c r="D200" s="54" t="str">
        <f>_xlfn.XLOOKUP(B200,'Data Base'!D:D,'Data Base'!K:K)</f>
        <v>Documento a emitir</v>
      </c>
    </row>
    <row r="201" spans="2:4" hidden="1" x14ac:dyDescent="0.25">
      <c r="B201" t="s">
        <v>255</v>
      </c>
      <c r="C201" t="str">
        <f>_xlfn.XLOOKUP(B201,'Data Base'!D:D,'Data Base'!O:O)</f>
        <v>Blossom - Documento a emitir</v>
      </c>
    </row>
    <row r="202" spans="2:4" hidden="1" x14ac:dyDescent="0.25">
      <c r="B202" t="s">
        <v>256</v>
      </c>
      <c r="C202" t="str">
        <f>_xlfn.XLOOKUP(B202,'Data Base'!D:D,'Data Base'!O:O)</f>
        <v>Blossom - Documento a emitir</v>
      </c>
    </row>
    <row r="203" spans="2:4" x14ac:dyDescent="0.25">
      <c r="B203" t="s">
        <v>229</v>
      </c>
      <c r="C203" t="str">
        <f>_xlfn.XLOOKUP(B203,'Data Base'!D:D,'Data Base'!O:O)</f>
        <v>Cliente - Atendimento de Comentário</v>
      </c>
    </row>
    <row r="204" spans="2:4" hidden="1" x14ac:dyDescent="0.25">
      <c r="B204" t="s">
        <v>226</v>
      </c>
      <c r="C204" t="str">
        <f>_xlfn.XLOOKUP(B204,'Data Base'!D:D,'Data Base'!O:O)</f>
        <v>Blossom - Documento a emitir</v>
      </c>
    </row>
    <row r="205" spans="2:4" x14ac:dyDescent="0.25">
      <c r="B205" t="s">
        <v>1222</v>
      </c>
      <c r="C205" t="str">
        <f>_xlfn.XLOOKUP(B205,'Data Base'!D:D,'Data Base'!O:O)</f>
        <v>Cliente - Atendimento de Comentário</v>
      </c>
    </row>
    <row r="206" spans="2:4" hidden="1" x14ac:dyDescent="0.25">
      <c r="B206" t="s">
        <v>117</v>
      </c>
      <c r="C206" t="str">
        <f>_xlfn.XLOOKUP(B206,'Data Base'!D:D,'Data Base'!O:O)</f>
        <v>Blossom - Documento a emitir</v>
      </c>
    </row>
    <row r="207" spans="2:4" hidden="1" x14ac:dyDescent="0.25">
      <c r="B207" t="s">
        <v>118</v>
      </c>
      <c r="C207" t="str">
        <f>_xlfn.XLOOKUP(B207,'Data Base'!D:D,'Data Base'!O:O)</f>
        <v>Blossom - Documento a emitir</v>
      </c>
    </row>
    <row r="208" spans="2:4" hidden="1" x14ac:dyDescent="0.25">
      <c r="B208" t="s">
        <v>148</v>
      </c>
      <c r="C208" t="str">
        <f>_xlfn.XLOOKUP(B208,'Data Base'!D:D,'Data Base'!O:O)</f>
        <v>Blossom - Documento a emitir</v>
      </c>
    </row>
    <row r="209" spans="2:3" hidden="1" x14ac:dyDescent="0.25">
      <c r="B209" t="s">
        <v>168</v>
      </c>
      <c r="C209" t="str">
        <f>_xlfn.XLOOKUP(B209,'Data Base'!D:D,'Data Base'!O:O)</f>
        <v>Blossom - Documento a emitir</v>
      </c>
    </row>
    <row r="210" spans="2:3" hidden="1" x14ac:dyDescent="0.25">
      <c r="B210" t="s">
        <v>173</v>
      </c>
      <c r="C210" t="str">
        <f>_xlfn.XLOOKUP(B210,'Data Base'!D:D,'Data Base'!O:O)</f>
        <v>Blossom - Documento a emitir</v>
      </c>
    </row>
    <row r="211" spans="2:3" hidden="1" x14ac:dyDescent="0.25">
      <c r="B211" t="s">
        <v>170</v>
      </c>
      <c r="C211" t="str">
        <f>_xlfn.XLOOKUP(B211,'Data Base'!D:D,'Data Base'!O:O)</f>
        <v>Blossom - Documento a emitir</v>
      </c>
    </row>
    <row r="212" spans="2:3" hidden="1" x14ac:dyDescent="0.25">
      <c r="B212" t="s">
        <v>176</v>
      </c>
      <c r="C212" t="str">
        <f>_xlfn.XLOOKUP(B212,'Data Base'!D:D,'Data Base'!O:O)</f>
        <v>Blossom - Documento a emitir</v>
      </c>
    </row>
    <row r="213" spans="2:3" hidden="1" x14ac:dyDescent="0.25">
      <c r="B213" t="s">
        <v>178</v>
      </c>
      <c r="C213" t="str">
        <f>_xlfn.XLOOKUP(B213,'Data Base'!D:D,'Data Base'!O:O)</f>
        <v>Blossom - Documento a emitir</v>
      </c>
    </row>
    <row r="214" spans="2:3" hidden="1" x14ac:dyDescent="0.25">
      <c r="B214" t="s">
        <v>119</v>
      </c>
      <c r="C214" t="str">
        <f>_xlfn.XLOOKUP(B214,'Data Base'!D:D,'Data Base'!O:O)</f>
        <v>Blossom - Documento a emitir</v>
      </c>
    </row>
    <row r="215" spans="2:3" hidden="1" x14ac:dyDescent="0.25">
      <c r="B215" t="s">
        <v>120</v>
      </c>
      <c r="C215" t="str">
        <f>_xlfn.XLOOKUP(B215,'Data Base'!D:D,'Data Base'!O:O)</f>
        <v>Blossom - Documento a emitir</v>
      </c>
    </row>
    <row r="216" spans="2:3" hidden="1" x14ac:dyDescent="0.25">
      <c r="B216" t="s">
        <v>109</v>
      </c>
      <c r="C216" t="str">
        <f>_xlfn.XLOOKUP(B216,'Data Base'!D:D,'Data Base'!O:O)</f>
        <v>Blossom - Documento a emitir</v>
      </c>
    </row>
    <row r="217" spans="2:3" hidden="1" x14ac:dyDescent="0.25">
      <c r="B217" t="s">
        <v>114</v>
      </c>
      <c r="C217" t="str">
        <f>_xlfn.XLOOKUP(B217,'Data Base'!D:D,'Data Base'!O:O)</f>
        <v>Blossom - Documento a emitir</v>
      </c>
    </row>
    <row r="218" spans="2:3" hidden="1" x14ac:dyDescent="0.25">
      <c r="B218" t="s">
        <v>115</v>
      </c>
      <c r="C218" t="str">
        <f>_xlfn.XLOOKUP(B218,'Data Base'!D:D,'Data Base'!O:O)</f>
        <v>Blossom - Documento a emitir</v>
      </c>
    </row>
    <row r="219" spans="2:3" hidden="1" x14ac:dyDescent="0.25">
      <c r="B219" t="s">
        <v>116</v>
      </c>
      <c r="C219" t="str">
        <f>_xlfn.XLOOKUP(B219,'Data Base'!D:D,'Data Base'!O:O)</f>
        <v>Blossom - Documento a emitir</v>
      </c>
    </row>
    <row r="220" spans="2:3" hidden="1" x14ac:dyDescent="0.25">
      <c r="B220" t="s">
        <v>249</v>
      </c>
      <c r="C220" t="str">
        <f>_xlfn.XLOOKUP(B220,'Data Base'!D:D,'Data Base'!O:O)</f>
        <v>Blossom - Documento a emitir</v>
      </c>
    </row>
    <row r="221" spans="2:3" hidden="1" x14ac:dyDescent="0.25">
      <c r="B221" t="s">
        <v>1441</v>
      </c>
      <c r="C221" t="str">
        <f>_xlfn.XLOOKUP(B221,'Data Base'!D:D,'Data Base'!O:O)</f>
        <v>Documento Removido</v>
      </c>
    </row>
    <row r="222" spans="2:3" hidden="1" x14ac:dyDescent="0.25"/>
    <row r="223" spans="2:3" hidden="1" x14ac:dyDescent="0.25"/>
    <row r="224" spans="2:3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hidden="1" x14ac:dyDescent="0.25"/>
    <row r="418" hidden="1" x14ac:dyDescent="0.25"/>
    <row r="419" hidden="1" x14ac:dyDescent="0.25"/>
    <row r="420" hidden="1" x14ac:dyDescent="0.25"/>
    <row r="421" hidden="1" x14ac:dyDescent="0.25"/>
    <row r="422" hidden="1" x14ac:dyDescent="0.25"/>
    <row r="423" hidden="1" x14ac:dyDescent="0.25"/>
    <row r="424" hidden="1" x14ac:dyDescent="0.25"/>
    <row r="425" hidden="1" x14ac:dyDescent="0.25"/>
    <row r="426" hidden="1" x14ac:dyDescent="0.25"/>
    <row r="427" hidden="1" x14ac:dyDescent="0.25"/>
    <row r="428" hidden="1" x14ac:dyDescent="0.25"/>
    <row r="429" hidden="1" x14ac:dyDescent="0.25"/>
    <row r="430" hidden="1" x14ac:dyDescent="0.25"/>
    <row r="431" hidden="1" x14ac:dyDescent="0.25"/>
    <row r="432" hidden="1" x14ac:dyDescent="0.25"/>
    <row r="433" hidden="1" x14ac:dyDescent="0.25"/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  <row r="440" hidden="1" x14ac:dyDescent="0.25"/>
    <row r="441" hidden="1" x14ac:dyDescent="0.25"/>
    <row r="442" hidden="1" x14ac:dyDescent="0.25"/>
    <row r="443" hidden="1" x14ac:dyDescent="0.25"/>
    <row r="444" hidden="1" x14ac:dyDescent="0.25"/>
    <row r="445" hidden="1" x14ac:dyDescent="0.25"/>
    <row r="446" hidden="1" x14ac:dyDescent="0.25"/>
    <row r="447" hidden="1" x14ac:dyDescent="0.25"/>
    <row r="448" hidden="1" x14ac:dyDescent="0.25"/>
    <row r="449" hidden="1" x14ac:dyDescent="0.25"/>
    <row r="450" hidden="1" x14ac:dyDescent="0.25"/>
    <row r="451" hidden="1" x14ac:dyDescent="0.25"/>
    <row r="452" hidden="1" x14ac:dyDescent="0.25"/>
    <row r="453" hidden="1" x14ac:dyDescent="0.25"/>
    <row r="454" hidden="1" x14ac:dyDescent="0.25"/>
    <row r="455" hidden="1" x14ac:dyDescent="0.25"/>
    <row r="456" hidden="1" x14ac:dyDescent="0.25"/>
    <row r="457" hidden="1" x14ac:dyDescent="0.25"/>
    <row r="458" hidden="1" x14ac:dyDescent="0.25"/>
    <row r="459" hidden="1" x14ac:dyDescent="0.25"/>
    <row r="460" hidden="1" x14ac:dyDescent="0.25"/>
    <row r="461" hidden="1" x14ac:dyDescent="0.25"/>
    <row r="462" hidden="1" x14ac:dyDescent="0.25"/>
    <row r="463" hidden="1" x14ac:dyDescent="0.25"/>
    <row r="464" hidden="1" x14ac:dyDescent="0.25"/>
    <row r="465" hidden="1" x14ac:dyDescent="0.25"/>
    <row r="466" hidden="1" x14ac:dyDescent="0.25"/>
    <row r="467" hidden="1" x14ac:dyDescent="0.25"/>
    <row r="468" hidden="1" x14ac:dyDescent="0.25"/>
    <row r="469" hidden="1" x14ac:dyDescent="0.25"/>
    <row r="470" hidden="1" x14ac:dyDescent="0.25"/>
    <row r="471" hidden="1" x14ac:dyDescent="0.25"/>
    <row r="472" hidden="1" x14ac:dyDescent="0.25"/>
    <row r="473" hidden="1" x14ac:dyDescent="0.25"/>
    <row r="474" hidden="1" x14ac:dyDescent="0.25"/>
    <row r="475" hidden="1" x14ac:dyDescent="0.25"/>
    <row r="476" hidden="1" x14ac:dyDescent="0.25"/>
    <row r="477" hidden="1" x14ac:dyDescent="0.25"/>
    <row r="478" hidden="1" x14ac:dyDescent="0.25"/>
    <row r="479" hidden="1" x14ac:dyDescent="0.25"/>
    <row r="480" hidden="1" x14ac:dyDescent="0.25"/>
    <row r="481" hidden="1" x14ac:dyDescent="0.25"/>
    <row r="482" hidden="1" x14ac:dyDescent="0.25"/>
    <row r="483" hidden="1" x14ac:dyDescent="0.25"/>
    <row r="484" hidden="1" x14ac:dyDescent="0.25"/>
    <row r="485" hidden="1" x14ac:dyDescent="0.25"/>
    <row r="486" hidden="1" x14ac:dyDescent="0.25"/>
    <row r="487" hidden="1" x14ac:dyDescent="0.25"/>
    <row r="488" hidden="1" x14ac:dyDescent="0.25"/>
    <row r="489" hidden="1" x14ac:dyDescent="0.25"/>
    <row r="490" hidden="1" x14ac:dyDescent="0.25"/>
    <row r="491" hidden="1" x14ac:dyDescent="0.25"/>
    <row r="492" hidden="1" x14ac:dyDescent="0.25"/>
    <row r="493" hidden="1" x14ac:dyDescent="0.25"/>
    <row r="494" hidden="1" x14ac:dyDescent="0.25"/>
    <row r="495" hidden="1" x14ac:dyDescent="0.25"/>
    <row r="496" hidden="1" x14ac:dyDescent="0.25"/>
    <row r="497" hidden="1" x14ac:dyDescent="0.25"/>
    <row r="498" hidden="1" x14ac:dyDescent="0.25"/>
    <row r="499" hidden="1" x14ac:dyDescent="0.25"/>
    <row r="500" hidden="1" x14ac:dyDescent="0.25"/>
    <row r="501" hidden="1" x14ac:dyDescent="0.25"/>
    <row r="502" hidden="1" x14ac:dyDescent="0.25"/>
    <row r="503" hidden="1" x14ac:dyDescent="0.25"/>
    <row r="504" hidden="1" x14ac:dyDescent="0.25"/>
    <row r="505" hidden="1" x14ac:dyDescent="0.25"/>
    <row r="506" hidden="1" x14ac:dyDescent="0.25"/>
    <row r="507" hidden="1" x14ac:dyDescent="0.25"/>
    <row r="508" hidden="1" x14ac:dyDescent="0.25"/>
    <row r="509" hidden="1" x14ac:dyDescent="0.25"/>
    <row r="510" hidden="1" x14ac:dyDescent="0.25"/>
    <row r="511" hidden="1" x14ac:dyDescent="0.25"/>
    <row r="512" hidden="1" x14ac:dyDescent="0.25"/>
    <row r="513" hidden="1" x14ac:dyDescent="0.25"/>
    <row r="514" hidden="1" x14ac:dyDescent="0.25"/>
    <row r="515" hidden="1" x14ac:dyDescent="0.25"/>
    <row r="516" hidden="1" x14ac:dyDescent="0.25"/>
    <row r="517" hidden="1" x14ac:dyDescent="0.25"/>
    <row r="518" hidden="1" x14ac:dyDescent="0.25"/>
    <row r="519" hidden="1" x14ac:dyDescent="0.25"/>
    <row r="520" hidden="1" x14ac:dyDescent="0.25"/>
    <row r="521" hidden="1" x14ac:dyDescent="0.25"/>
    <row r="522" hidden="1" x14ac:dyDescent="0.25"/>
    <row r="523" hidden="1" x14ac:dyDescent="0.25"/>
    <row r="524" hidden="1" x14ac:dyDescent="0.25"/>
    <row r="525" hidden="1" x14ac:dyDescent="0.25"/>
    <row r="526" hidden="1" x14ac:dyDescent="0.25"/>
    <row r="527" hidden="1" x14ac:dyDescent="0.25"/>
    <row r="528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  <row r="556" hidden="1" x14ac:dyDescent="0.25"/>
    <row r="557" hidden="1" x14ac:dyDescent="0.25"/>
    <row r="558" hidden="1" x14ac:dyDescent="0.25"/>
    <row r="559" hidden="1" x14ac:dyDescent="0.25"/>
    <row r="56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hidden="1" x14ac:dyDescent="0.25"/>
    <row r="578" hidden="1" x14ac:dyDescent="0.25"/>
    <row r="579" hidden="1" x14ac:dyDescent="0.25"/>
    <row r="580" hidden="1" x14ac:dyDescent="0.25"/>
    <row r="581" hidden="1" x14ac:dyDescent="0.25"/>
    <row r="582" hidden="1" x14ac:dyDescent="0.25"/>
    <row r="583" hidden="1" x14ac:dyDescent="0.25"/>
    <row r="584" hidden="1" x14ac:dyDescent="0.25"/>
    <row r="585" hidden="1" x14ac:dyDescent="0.25"/>
    <row r="586" hidden="1" x14ac:dyDescent="0.25"/>
    <row r="587" hidden="1" x14ac:dyDescent="0.25"/>
    <row r="588" hidden="1" x14ac:dyDescent="0.25"/>
    <row r="589" hidden="1" x14ac:dyDescent="0.25"/>
    <row r="590" hidden="1" x14ac:dyDescent="0.25"/>
    <row r="591" hidden="1" x14ac:dyDescent="0.25"/>
    <row r="592" hidden="1" x14ac:dyDescent="0.25"/>
    <row r="593" hidden="1" x14ac:dyDescent="0.25"/>
    <row r="594" hidden="1" x14ac:dyDescent="0.25"/>
    <row r="595" hidden="1" x14ac:dyDescent="0.25"/>
    <row r="596" hidden="1" x14ac:dyDescent="0.25"/>
    <row r="597" hidden="1" x14ac:dyDescent="0.25"/>
    <row r="598" hidden="1" x14ac:dyDescent="0.25"/>
    <row r="599" hidden="1" x14ac:dyDescent="0.25"/>
    <row r="600" hidden="1" x14ac:dyDescent="0.25"/>
    <row r="601" hidden="1" x14ac:dyDescent="0.25"/>
    <row r="602" hidden="1" x14ac:dyDescent="0.25"/>
    <row r="603" hidden="1" x14ac:dyDescent="0.25"/>
    <row r="604" hidden="1" x14ac:dyDescent="0.25"/>
    <row r="605" hidden="1" x14ac:dyDescent="0.25"/>
    <row r="606" hidden="1" x14ac:dyDescent="0.25"/>
    <row r="607" hidden="1" x14ac:dyDescent="0.25"/>
    <row r="608" hidden="1" x14ac:dyDescent="0.25"/>
    <row r="609" hidden="1" x14ac:dyDescent="0.25"/>
    <row r="610" hidden="1" x14ac:dyDescent="0.25"/>
    <row r="611" hidden="1" x14ac:dyDescent="0.25"/>
    <row r="612" hidden="1" x14ac:dyDescent="0.25"/>
    <row r="613" hidden="1" x14ac:dyDescent="0.25"/>
    <row r="614" hidden="1" x14ac:dyDescent="0.25"/>
    <row r="615" hidden="1" x14ac:dyDescent="0.25"/>
    <row r="616" hidden="1" x14ac:dyDescent="0.25"/>
    <row r="617" hidden="1" x14ac:dyDescent="0.25"/>
    <row r="618" hidden="1" x14ac:dyDescent="0.25"/>
    <row r="619" hidden="1" x14ac:dyDescent="0.25"/>
    <row r="620" hidden="1" x14ac:dyDescent="0.25"/>
    <row r="621" hidden="1" x14ac:dyDescent="0.25"/>
    <row r="622" hidden="1" x14ac:dyDescent="0.25"/>
    <row r="623" hidden="1" x14ac:dyDescent="0.25"/>
    <row r="624" hidden="1" x14ac:dyDescent="0.25"/>
    <row r="625" hidden="1" x14ac:dyDescent="0.25"/>
    <row r="626" hidden="1" x14ac:dyDescent="0.25"/>
    <row r="627" hidden="1" x14ac:dyDescent="0.25"/>
    <row r="628" hidden="1" x14ac:dyDescent="0.25"/>
    <row r="629" hidden="1" x14ac:dyDescent="0.25"/>
    <row r="630" hidden="1" x14ac:dyDescent="0.25"/>
    <row r="631" hidden="1" x14ac:dyDescent="0.25"/>
    <row r="632" hidden="1" x14ac:dyDescent="0.25"/>
    <row r="633" hidden="1" x14ac:dyDescent="0.25"/>
    <row r="634" hidden="1" x14ac:dyDescent="0.25"/>
    <row r="635" hidden="1" x14ac:dyDescent="0.25"/>
    <row r="636" hidden="1" x14ac:dyDescent="0.25"/>
    <row r="637" hidden="1" x14ac:dyDescent="0.25"/>
    <row r="638" hidden="1" x14ac:dyDescent="0.25"/>
    <row r="639" hidden="1" x14ac:dyDescent="0.25"/>
    <row r="640" hidden="1" x14ac:dyDescent="0.25"/>
    <row r="641" hidden="1" x14ac:dyDescent="0.25"/>
    <row r="642" hidden="1" x14ac:dyDescent="0.25"/>
    <row r="643" hidden="1" x14ac:dyDescent="0.25"/>
    <row r="644" hidden="1" x14ac:dyDescent="0.25"/>
    <row r="645" hidden="1" x14ac:dyDescent="0.25"/>
    <row r="646" hidden="1" x14ac:dyDescent="0.25"/>
    <row r="647" hidden="1" x14ac:dyDescent="0.25"/>
    <row r="648" hidden="1" x14ac:dyDescent="0.25"/>
    <row r="649" hidden="1" x14ac:dyDescent="0.25"/>
    <row r="650" hidden="1" x14ac:dyDescent="0.25"/>
    <row r="651" hidden="1" x14ac:dyDescent="0.25"/>
    <row r="652" hidden="1" x14ac:dyDescent="0.25"/>
    <row r="653" hidden="1" x14ac:dyDescent="0.25"/>
    <row r="654" hidden="1" x14ac:dyDescent="0.25"/>
    <row r="655" hidden="1" x14ac:dyDescent="0.25"/>
    <row r="656" hidden="1" x14ac:dyDescent="0.25"/>
    <row r="657" hidden="1" x14ac:dyDescent="0.25"/>
    <row r="658" hidden="1" x14ac:dyDescent="0.25"/>
    <row r="659" hidden="1" x14ac:dyDescent="0.25"/>
    <row r="660" hidden="1" x14ac:dyDescent="0.25"/>
    <row r="661" hidden="1" x14ac:dyDescent="0.25"/>
    <row r="662" hidden="1" x14ac:dyDescent="0.25"/>
    <row r="663" hidden="1" x14ac:dyDescent="0.25"/>
    <row r="664" hidden="1" x14ac:dyDescent="0.25"/>
    <row r="665" hidden="1" x14ac:dyDescent="0.25"/>
    <row r="666" hidden="1" x14ac:dyDescent="0.25"/>
    <row r="667" hidden="1" x14ac:dyDescent="0.25"/>
    <row r="668" hidden="1" x14ac:dyDescent="0.25"/>
    <row r="669" hidden="1" x14ac:dyDescent="0.25"/>
    <row r="670" hidden="1" x14ac:dyDescent="0.25"/>
    <row r="671" hidden="1" x14ac:dyDescent="0.25"/>
    <row r="672" hidden="1" x14ac:dyDescent="0.25"/>
    <row r="673" hidden="1" x14ac:dyDescent="0.25"/>
    <row r="674" hidden="1" x14ac:dyDescent="0.25"/>
    <row r="675" hidden="1" x14ac:dyDescent="0.25"/>
    <row r="676" hidden="1" x14ac:dyDescent="0.25"/>
    <row r="677" hidden="1" x14ac:dyDescent="0.25"/>
    <row r="678" hidden="1" x14ac:dyDescent="0.25"/>
    <row r="679" hidden="1" x14ac:dyDescent="0.25"/>
    <row r="680" hidden="1" x14ac:dyDescent="0.25"/>
    <row r="681" hidden="1" x14ac:dyDescent="0.25"/>
    <row r="682" hidden="1" x14ac:dyDescent="0.25"/>
    <row r="683" hidden="1" x14ac:dyDescent="0.25"/>
    <row r="684" hidden="1" x14ac:dyDescent="0.25"/>
    <row r="685" hidden="1" x14ac:dyDescent="0.25"/>
    <row r="686" hidden="1" x14ac:dyDescent="0.25"/>
    <row r="687" hidden="1" x14ac:dyDescent="0.25"/>
    <row r="688" hidden="1" x14ac:dyDescent="0.25"/>
    <row r="689" hidden="1" x14ac:dyDescent="0.25"/>
    <row r="690" hidden="1" x14ac:dyDescent="0.25"/>
    <row r="691" hidden="1" x14ac:dyDescent="0.25"/>
    <row r="692" hidden="1" x14ac:dyDescent="0.25"/>
    <row r="693" hidden="1" x14ac:dyDescent="0.25"/>
    <row r="694" hidden="1" x14ac:dyDescent="0.25"/>
    <row r="695" hidden="1" x14ac:dyDescent="0.25"/>
    <row r="696" hidden="1" x14ac:dyDescent="0.25"/>
    <row r="697" hidden="1" x14ac:dyDescent="0.25"/>
    <row r="698" hidden="1" x14ac:dyDescent="0.25"/>
    <row r="699" hidden="1" x14ac:dyDescent="0.25"/>
    <row r="700" hidden="1" x14ac:dyDescent="0.25"/>
    <row r="701" hidden="1" x14ac:dyDescent="0.25"/>
    <row r="702" hidden="1" x14ac:dyDescent="0.25"/>
    <row r="703" hidden="1" x14ac:dyDescent="0.25"/>
    <row r="704" hidden="1" x14ac:dyDescent="0.25"/>
    <row r="705" hidden="1" x14ac:dyDescent="0.25"/>
    <row r="706" hidden="1" x14ac:dyDescent="0.25"/>
    <row r="707" hidden="1" x14ac:dyDescent="0.25"/>
    <row r="708" hidden="1" x14ac:dyDescent="0.25"/>
    <row r="709" hidden="1" x14ac:dyDescent="0.25"/>
    <row r="710" hidden="1" x14ac:dyDescent="0.25"/>
    <row r="711" hidden="1" x14ac:dyDescent="0.25"/>
    <row r="712" hidden="1" x14ac:dyDescent="0.25"/>
    <row r="713" hidden="1" x14ac:dyDescent="0.25"/>
    <row r="714" hidden="1" x14ac:dyDescent="0.25"/>
    <row r="715" hidden="1" x14ac:dyDescent="0.25"/>
    <row r="716" hidden="1" x14ac:dyDescent="0.25"/>
    <row r="717" hidden="1" x14ac:dyDescent="0.25"/>
    <row r="718" hidden="1" x14ac:dyDescent="0.25"/>
    <row r="719" hidden="1" x14ac:dyDescent="0.25"/>
    <row r="720" hidden="1" x14ac:dyDescent="0.25"/>
    <row r="721" hidden="1" x14ac:dyDescent="0.25"/>
    <row r="722" hidden="1" x14ac:dyDescent="0.25"/>
    <row r="723" hidden="1" x14ac:dyDescent="0.25"/>
    <row r="724" hidden="1" x14ac:dyDescent="0.25"/>
    <row r="725" hidden="1" x14ac:dyDescent="0.25"/>
    <row r="726" hidden="1" x14ac:dyDescent="0.25"/>
    <row r="727" hidden="1" x14ac:dyDescent="0.25"/>
    <row r="728" hidden="1" x14ac:dyDescent="0.25"/>
    <row r="729" hidden="1" x14ac:dyDescent="0.25"/>
    <row r="730" hidden="1" x14ac:dyDescent="0.25"/>
    <row r="731" hidden="1" x14ac:dyDescent="0.25"/>
    <row r="732" hidden="1" x14ac:dyDescent="0.25"/>
    <row r="733" hidden="1" x14ac:dyDescent="0.25"/>
    <row r="734" hidden="1" x14ac:dyDescent="0.25"/>
    <row r="735" hidden="1" x14ac:dyDescent="0.25"/>
    <row r="736" hidden="1" x14ac:dyDescent="0.25"/>
    <row r="737" hidden="1" x14ac:dyDescent="0.25"/>
    <row r="738" hidden="1" x14ac:dyDescent="0.25"/>
    <row r="739" hidden="1" x14ac:dyDescent="0.25"/>
    <row r="740" hidden="1" x14ac:dyDescent="0.25"/>
    <row r="741" hidden="1" x14ac:dyDescent="0.25"/>
    <row r="742" hidden="1" x14ac:dyDescent="0.25"/>
    <row r="743" hidden="1" x14ac:dyDescent="0.25"/>
    <row r="744" hidden="1" x14ac:dyDescent="0.25"/>
    <row r="745" hidden="1" x14ac:dyDescent="0.25"/>
    <row r="746" hidden="1" x14ac:dyDescent="0.25"/>
    <row r="747" hidden="1" x14ac:dyDescent="0.25"/>
    <row r="748" hidden="1" x14ac:dyDescent="0.25"/>
    <row r="749" hidden="1" x14ac:dyDescent="0.25"/>
    <row r="750" hidden="1" x14ac:dyDescent="0.25"/>
    <row r="751" hidden="1" x14ac:dyDescent="0.25"/>
    <row r="752" hidden="1" x14ac:dyDescent="0.25"/>
    <row r="753" hidden="1" x14ac:dyDescent="0.25"/>
    <row r="754" hidden="1" x14ac:dyDescent="0.25"/>
    <row r="755" hidden="1" x14ac:dyDescent="0.25"/>
    <row r="756" hidden="1" x14ac:dyDescent="0.25"/>
    <row r="757" hidden="1" x14ac:dyDescent="0.25"/>
    <row r="758" hidden="1" x14ac:dyDescent="0.25"/>
    <row r="759" hidden="1" x14ac:dyDescent="0.25"/>
    <row r="760" hidden="1" x14ac:dyDescent="0.25"/>
    <row r="761" hidden="1" x14ac:dyDescent="0.25"/>
    <row r="762" hidden="1" x14ac:dyDescent="0.25"/>
    <row r="763" hidden="1" x14ac:dyDescent="0.25"/>
    <row r="764" hidden="1" x14ac:dyDescent="0.25"/>
    <row r="765" hidden="1" x14ac:dyDescent="0.25"/>
    <row r="766" hidden="1" x14ac:dyDescent="0.25"/>
    <row r="767" hidden="1" x14ac:dyDescent="0.25"/>
    <row r="768" hidden="1" x14ac:dyDescent="0.25"/>
    <row r="769" hidden="1" x14ac:dyDescent="0.25"/>
    <row r="770" hidden="1" x14ac:dyDescent="0.25"/>
    <row r="771" hidden="1" x14ac:dyDescent="0.25"/>
    <row r="772" hidden="1" x14ac:dyDescent="0.25"/>
    <row r="773" hidden="1" x14ac:dyDescent="0.25"/>
    <row r="774" hidden="1" x14ac:dyDescent="0.25"/>
    <row r="775" hidden="1" x14ac:dyDescent="0.25"/>
    <row r="776" hidden="1" x14ac:dyDescent="0.25"/>
    <row r="777" hidden="1" x14ac:dyDescent="0.25"/>
    <row r="778" hidden="1" x14ac:dyDescent="0.25"/>
    <row r="779" hidden="1" x14ac:dyDescent="0.25"/>
    <row r="780" hidden="1" x14ac:dyDescent="0.25"/>
    <row r="781" hidden="1" x14ac:dyDescent="0.25"/>
    <row r="782" hidden="1" x14ac:dyDescent="0.25"/>
    <row r="783" hidden="1" x14ac:dyDescent="0.25"/>
    <row r="784" hidden="1" x14ac:dyDescent="0.25"/>
    <row r="785" hidden="1" x14ac:dyDescent="0.25"/>
    <row r="786" hidden="1" x14ac:dyDescent="0.25"/>
    <row r="787" hidden="1" x14ac:dyDescent="0.25"/>
    <row r="788" hidden="1" x14ac:dyDescent="0.25"/>
    <row r="789" hidden="1" x14ac:dyDescent="0.25"/>
    <row r="790" hidden="1" x14ac:dyDescent="0.25"/>
    <row r="791" hidden="1" x14ac:dyDescent="0.25"/>
    <row r="792" hidden="1" x14ac:dyDescent="0.25"/>
    <row r="793" hidden="1" x14ac:dyDescent="0.25"/>
    <row r="794" hidden="1" x14ac:dyDescent="0.25"/>
    <row r="795" hidden="1" x14ac:dyDescent="0.25"/>
    <row r="796" hidden="1" x14ac:dyDescent="0.25"/>
    <row r="797" hidden="1" x14ac:dyDescent="0.25"/>
    <row r="798" hidden="1" x14ac:dyDescent="0.25"/>
    <row r="799" hidden="1" x14ac:dyDescent="0.25"/>
    <row r="800" hidden="1" x14ac:dyDescent="0.25"/>
    <row r="801" hidden="1" x14ac:dyDescent="0.25"/>
    <row r="802" hidden="1" x14ac:dyDescent="0.25"/>
    <row r="803" hidden="1" x14ac:dyDescent="0.25"/>
    <row r="804" hidden="1" x14ac:dyDescent="0.25"/>
    <row r="805" hidden="1" x14ac:dyDescent="0.25"/>
    <row r="806" hidden="1" x14ac:dyDescent="0.25"/>
    <row r="807" hidden="1" x14ac:dyDescent="0.25"/>
    <row r="808" hidden="1" x14ac:dyDescent="0.25"/>
    <row r="809" hidden="1" x14ac:dyDescent="0.25"/>
    <row r="810" hidden="1" x14ac:dyDescent="0.25"/>
    <row r="811" hidden="1" x14ac:dyDescent="0.25"/>
    <row r="812" hidden="1" x14ac:dyDescent="0.25"/>
    <row r="813" hidden="1" x14ac:dyDescent="0.25"/>
    <row r="814" hidden="1" x14ac:dyDescent="0.25"/>
    <row r="815" hidden="1" x14ac:dyDescent="0.25"/>
    <row r="816" hidden="1" x14ac:dyDescent="0.25"/>
    <row r="817" hidden="1" x14ac:dyDescent="0.25"/>
    <row r="818" hidden="1" x14ac:dyDescent="0.25"/>
    <row r="819" hidden="1" x14ac:dyDescent="0.25"/>
    <row r="820" hidden="1" x14ac:dyDescent="0.25"/>
    <row r="821" hidden="1" x14ac:dyDescent="0.25"/>
    <row r="822" hidden="1" x14ac:dyDescent="0.25"/>
    <row r="823" hidden="1" x14ac:dyDescent="0.25"/>
    <row r="824" hidden="1" x14ac:dyDescent="0.25"/>
    <row r="825" hidden="1" x14ac:dyDescent="0.25"/>
    <row r="826" hidden="1" x14ac:dyDescent="0.25"/>
    <row r="827" hidden="1" x14ac:dyDescent="0.25"/>
    <row r="828" hidden="1" x14ac:dyDescent="0.25"/>
    <row r="829" hidden="1" x14ac:dyDescent="0.25"/>
    <row r="830" hidden="1" x14ac:dyDescent="0.25"/>
    <row r="831" hidden="1" x14ac:dyDescent="0.25"/>
    <row r="832" hidden="1" x14ac:dyDescent="0.25"/>
    <row r="833" hidden="1" x14ac:dyDescent="0.25"/>
    <row r="834" hidden="1" x14ac:dyDescent="0.25"/>
    <row r="835" hidden="1" x14ac:dyDescent="0.25"/>
    <row r="836" hidden="1" x14ac:dyDescent="0.25"/>
    <row r="837" hidden="1" x14ac:dyDescent="0.25"/>
    <row r="838" hidden="1" x14ac:dyDescent="0.25"/>
    <row r="839" hidden="1" x14ac:dyDescent="0.25"/>
    <row r="840" hidden="1" x14ac:dyDescent="0.25"/>
    <row r="841" hidden="1" x14ac:dyDescent="0.25"/>
    <row r="842" hidden="1" x14ac:dyDescent="0.25"/>
    <row r="843" hidden="1" x14ac:dyDescent="0.25"/>
    <row r="844" hidden="1" x14ac:dyDescent="0.25"/>
    <row r="845" hidden="1" x14ac:dyDescent="0.25"/>
    <row r="846" hidden="1" x14ac:dyDescent="0.25"/>
    <row r="847" hidden="1" x14ac:dyDescent="0.25"/>
    <row r="848" hidden="1" x14ac:dyDescent="0.25"/>
    <row r="849" hidden="1" x14ac:dyDescent="0.25"/>
    <row r="850" hidden="1" x14ac:dyDescent="0.25"/>
    <row r="851" hidden="1" x14ac:dyDescent="0.25"/>
    <row r="852" hidden="1" x14ac:dyDescent="0.25"/>
    <row r="853" hidden="1" x14ac:dyDescent="0.25"/>
    <row r="854" hidden="1" x14ac:dyDescent="0.25"/>
    <row r="855" hidden="1" x14ac:dyDescent="0.25"/>
    <row r="856" hidden="1" x14ac:dyDescent="0.25"/>
    <row r="857" hidden="1" x14ac:dyDescent="0.25"/>
    <row r="858" hidden="1" x14ac:dyDescent="0.25"/>
    <row r="859" hidden="1" x14ac:dyDescent="0.25"/>
    <row r="860" hidden="1" x14ac:dyDescent="0.25"/>
    <row r="861" hidden="1" x14ac:dyDescent="0.25"/>
    <row r="862" hidden="1" x14ac:dyDescent="0.25"/>
    <row r="863" hidden="1" x14ac:dyDescent="0.25"/>
    <row r="864" hidden="1" x14ac:dyDescent="0.25"/>
    <row r="865" hidden="1" x14ac:dyDescent="0.25"/>
    <row r="866" hidden="1" x14ac:dyDescent="0.25"/>
    <row r="867" hidden="1" x14ac:dyDescent="0.25"/>
    <row r="868" hidden="1" x14ac:dyDescent="0.25"/>
    <row r="869" hidden="1" x14ac:dyDescent="0.25"/>
    <row r="870" hidden="1" x14ac:dyDescent="0.25"/>
    <row r="871" hidden="1" x14ac:dyDescent="0.25"/>
    <row r="872" hidden="1" x14ac:dyDescent="0.25"/>
    <row r="873" hidden="1" x14ac:dyDescent="0.25"/>
    <row r="874" hidden="1" x14ac:dyDescent="0.25"/>
    <row r="875" hidden="1" x14ac:dyDescent="0.25"/>
    <row r="876" hidden="1" x14ac:dyDescent="0.25"/>
    <row r="877" hidden="1" x14ac:dyDescent="0.25"/>
    <row r="878" hidden="1" x14ac:dyDescent="0.25"/>
    <row r="879" hidden="1" x14ac:dyDescent="0.25"/>
    <row r="880" hidden="1" x14ac:dyDescent="0.25"/>
    <row r="881" hidden="1" x14ac:dyDescent="0.25"/>
    <row r="882" hidden="1" x14ac:dyDescent="0.25"/>
    <row r="883" hidden="1" x14ac:dyDescent="0.25"/>
    <row r="884" hidden="1" x14ac:dyDescent="0.25"/>
    <row r="885" hidden="1" x14ac:dyDescent="0.25"/>
    <row r="886" hidden="1" x14ac:dyDescent="0.25"/>
    <row r="887" hidden="1" x14ac:dyDescent="0.25"/>
    <row r="888" hidden="1" x14ac:dyDescent="0.25"/>
    <row r="889" hidden="1" x14ac:dyDescent="0.25"/>
    <row r="890" hidden="1" x14ac:dyDescent="0.25"/>
    <row r="891" hidden="1" x14ac:dyDescent="0.25"/>
    <row r="892" hidden="1" x14ac:dyDescent="0.25"/>
    <row r="893" hidden="1" x14ac:dyDescent="0.25"/>
    <row r="894" hidden="1" x14ac:dyDescent="0.25"/>
    <row r="895" hidden="1" x14ac:dyDescent="0.25"/>
    <row r="896" hidden="1" x14ac:dyDescent="0.25"/>
    <row r="897" hidden="1" x14ac:dyDescent="0.25"/>
    <row r="898" hidden="1" x14ac:dyDescent="0.25"/>
    <row r="899" hidden="1" x14ac:dyDescent="0.25"/>
    <row r="900" hidden="1" x14ac:dyDescent="0.25"/>
    <row r="901" hidden="1" x14ac:dyDescent="0.25"/>
    <row r="902" hidden="1" x14ac:dyDescent="0.25"/>
    <row r="903" hidden="1" x14ac:dyDescent="0.25"/>
    <row r="904" hidden="1" x14ac:dyDescent="0.25"/>
    <row r="905" hidden="1" x14ac:dyDescent="0.25"/>
    <row r="906" hidden="1" x14ac:dyDescent="0.25"/>
    <row r="907" hidden="1" x14ac:dyDescent="0.25"/>
    <row r="908" hidden="1" x14ac:dyDescent="0.25"/>
    <row r="909" hidden="1" x14ac:dyDescent="0.25"/>
    <row r="910" hidden="1" x14ac:dyDescent="0.25"/>
    <row r="911" hidden="1" x14ac:dyDescent="0.25"/>
    <row r="912" hidden="1" x14ac:dyDescent="0.25"/>
    <row r="913" hidden="1" x14ac:dyDescent="0.25"/>
    <row r="914" hidden="1" x14ac:dyDescent="0.25"/>
    <row r="915" hidden="1" x14ac:dyDescent="0.25"/>
    <row r="916" hidden="1" x14ac:dyDescent="0.25"/>
    <row r="917" hidden="1" x14ac:dyDescent="0.25"/>
    <row r="918" hidden="1" x14ac:dyDescent="0.25"/>
    <row r="919" hidden="1" x14ac:dyDescent="0.25"/>
    <row r="920" hidden="1" x14ac:dyDescent="0.25"/>
    <row r="921" hidden="1" x14ac:dyDescent="0.25"/>
    <row r="922" hidden="1" x14ac:dyDescent="0.25"/>
    <row r="923" hidden="1" x14ac:dyDescent="0.25"/>
    <row r="924" hidden="1" x14ac:dyDescent="0.25"/>
    <row r="925" hidden="1" x14ac:dyDescent="0.25"/>
    <row r="926" hidden="1" x14ac:dyDescent="0.25"/>
    <row r="927" hidden="1" x14ac:dyDescent="0.25"/>
    <row r="928" hidden="1" x14ac:dyDescent="0.25"/>
    <row r="929" hidden="1" x14ac:dyDescent="0.25"/>
    <row r="930" hidden="1" x14ac:dyDescent="0.25"/>
    <row r="931" hidden="1" x14ac:dyDescent="0.25"/>
    <row r="932" hidden="1" x14ac:dyDescent="0.25"/>
    <row r="933" hidden="1" x14ac:dyDescent="0.25"/>
    <row r="934" hidden="1" x14ac:dyDescent="0.25"/>
    <row r="935" hidden="1" x14ac:dyDescent="0.25"/>
    <row r="936" hidden="1" x14ac:dyDescent="0.25"/>
    <row r="937" hidden="1" x14ac:dyDescent="0.25"/>
    <row r="938" hidden="1" x14ac:dyDescent="0.25"/>
    <row r="939" hidden="1" x14ac:dyDescent="0.25"/>
    <row r="940" hidden="1" x14ac:dyDescent="0.25"/>
    <row r="941" hidden="1" x14ac:dyDescent="0.25"/>
    <row r="942" hidden="1" x14ac:dyDescent="0.25"/>
    <row r="943" hidden="1" x14ac:dyDescent="0.25"/>
    <row r="944" hidden="1" x14ac:dyDescent="0.25"/>
    <row r="945" hidden="1" x14ac:dyDescent="0.25"/>
    <row r="946" hidden="1" x14ac:dyDescent="0.25"/>
    <row r="947" hidden="1" x14ac:dyDescent="0.25"/>
    <row r="948" hidden="1" x14ac:dyDescent="0.25"/>
    <row r="949" hidden="1" x14ac:dyDescent="0.25"/>
    <row r="950" hidden="1" x14ac:dyDescent="0.25"/>
    <row r="951" hidden="1" x14ac:dyDescent="0.25"/>
    <row r="952" hidden="1" x14ac:dyDescent="0.25"/>
    <row r="953" hidden="1" x14ac:dyDescent="0.25"/>
    <row r="954" hidden="1" x14ac:dyDescent="0.25"/>
    <row r="955" hidden="1" x14ac:dyDescent="0.25"/>
    <row r="956" hidden="1" x14ac:dyDescent="0.25"/>
    <row r="957" hidden="1" x14ac:dyDescent="0.25"/>
    <row r="958" hidden="1" x14ac:dyDescent="0.25"/>
    <row r="959" hidden="1" x14ac:dyDescent="0.25"/>
    <row r="960" hidden="1" x14ac:dyDescent="0.25"/>
    <row r="961" hidden="1" x14ac:dyDescent="0.25"/>
    <row r="962" hidden="1" x14ac:dyDescent="0.25"/>
    <row r="963" hidden="1" x14ac:dyDescent="0.25"/>
    <row r="964" hidden="1" x14ac:dyDescent="0.25"/>
    <row r="965" hidden="1" x14ac:dyDescent="0.25"/>
    <row r="966" hidden="1" x14ac:dyDescent="0.25"/>
    <row r="967" hidden="1" x14ac:dyDescent="0.25"/>
    <row r="968" hidden="1" x14ac:dyDescent="0.25"/>
    <row r="969" hidden="1" x14ac:dyDescent="0.25"/>
    <row r="970" hidden="1" x14ac:dyDescent="0.25"/>
    <row r="971" hidden="1" x14ac:dyDescent="0.25"/>
    <row r="972" hidden="1" x14ac:dyDescent="0.25"/>
    <row r="973" hidden="1" x14ac:dyDescent="0.25"/>
    <row r="974" hidden="1" x14ac:dyDescent="0.25"/>
    <row r="975" hidden="1" x14ac:dyDescent="0.25"/>
    <row r="976" hidden="1" x14ac:dyDescent="0.25"/>
    <row r="977" hidden="1" x14ac:dyDescent="0.25"/>
    <row r="978" hidden="1" x14ac:dyDescent="0.25"/>
    <row r="979" hidden="1" x14ac:dyDescent="0.25"/>
    <row r="980" hidden="1" x14ac:dyDescent="0.25"/>
    <row r="981" hidden="1" x14ac:dyDescent="0.25"/>
    <row r="982" hidden="1" x14ac:dyDescent="0.25"/>
    <row r="983" hidden="1" x14ac:dyDescent="0.25"/>
    <row r="984" hidden="1" x14ac:dyDescent="0.25"/>
    <row r="985" hidden="1" x14ac:dyDescent="0.25"/>
    <row r="986" hidden="1" x14ac:dyDescent="0.25"/>
    <row r="987" hidden="1" x14ac:dyDescent="0.25"/>
    <row r="988" hidden="1" x14ac:dyDescent="0.25"/>
    <row r="989" hidden="1" x14ac:dyDescent="0.25"/>
    <row r="990" hidden="1" x14ac:dyDescent="0.25"/>
    <row r="991" hidden="1" x14ac:dyDescent="0.25"/>
    <row r="992" hidden="1" x14ac:dyDescent="0.25"/>
    <row r="993" hidden="1" x14ac:dyDescent="0.25"/>
    <row r="994" hidden="1" x14ac:dyDescent="0.25"/>
    <row r="995" hidden="1" x14ac:dyDescent="0.25"/>
    <row r="996" hidden="1" x14ac:dyDescent="0.25"/>
    <row r="997" hidden="1" x14ac:dyDescent="0.25"/>
    <row r="998" hidden="1" x14ac:dyDescent="0.25"/>
    <row r="999" hidden="1" x14ac:dyDescent="0.25"/>
    <row r="1000" hidden="1" x14ac:dyDescent="0.25"/>
    <row r="1001" hidden="1" x14ac:dyDescent="0.25"/>
    <row r="1002" hidden="1" x14ac:dyDescent="0.25"/>
    <row r="1003" hidden="1" x14ac:dyDescent="0.25"/>
    <row r="1004" hidden="1" x14ac:dyDescent="0.25"/>
    <row r="1005" hidden="1" x14ac:dyDescent="0.25"/>
    <row r="1006" hidden="1" x14ac:dyDescent="0.25"/>
    <row r="1007" hidden="1" x14ac:dyDescent="0.25"/>
    <row r="1008" hidden="1" x14ac:dyDescent="0.25"/>
    <row r="1009" hidden="1" x14ac:dyDescent="0.25"/>
    <row r="1010" hidden="1" x14ac:dyDescent="0.25"/>
    <row r="1011" hidden="1" x14ac:dyDescent="0.25"/>
    <row r="1012" hidden="1" x14ac:dyDescent="0.25"/>
    <row r="1013" hidden="1" x14ac:dyDescent="0.25"/>
    <row r="1014" hidden="1" x14ac:dyDescent="0.25"/>
    <row r="1015" hidden="1" x14ac:dyDescent="0.25"/>
    <row r="1016" hidden="1" x14ac:dyDescent="0.25"/>
    <row r="1017" hidden="1" x14ac:dyDescent="0.25"/>
    <row r="1018" hidden="1" x14ac:dyDescent="0.25"/>
    <row r="1019" hidden="1" x14ac:dyDescent="0.25"/>
    <row r="1020" hidden="1" x14ac:dyDescent="0.25"/>
    <row r="1021" hidden="1" x14ac:dyDescent="0.25"/>
    <row r="1022" hidden="1" x14ac:dyDescent="0.25"/>
    <row r="1023" hidden="1" x14ac:dyDescent="0.25"/>
    <row r="1024" hidden="1" x14ac:dyDescent="0.25"/>
    <row r="1025" hidden="1" x14ac:dyDescent="0.25"/>
    <row r="1026" hidden="1" x14ac:dyDescent="0.25"/>
    <row r="1027" hidden="1" x14ac:dyDescent="0.25"/>
    <row r="1028" hidden="1" x14ac:dyDescent="0.25"/>
    <row r="1029" hidden="1" x14ac:dyDescent="0.25"/>
    <row r="1030" hidden="1" x14ac:dyDescent="0.25"/>
    <row r="1031" hidden="1" x14ac:dyDescent="0.25"/>
    <row r="1032" hidden="1" x14ac:dyDescent="0.25"/>
    <row r="1033" hidden="1" x14ac:dyDescent="0.25"/>
    <row r="1034" hidden="1" x14ac:dyDescent="0.25"/>
    <row r="1035" hidden="1" x14ac:dyDescent="0.25"/>
    <row r="1036" hidden="1" x14ac:dyDescent="0.25"/>
    <row r="1037" hidden="1" x14ac:dyDescent="0.25"/>
    <row r="1038" hidden="1" x14ac:dyDescent="0.25"/>
    <row r="1039" hidden="1" x14ac:dyDescent="0.25"/>
    <row r="1040" hidden="1" x14ac:dyDescent="0.25"/>
    <row r="1041" hidden="1" x14ac:dyDescent="0.25"/>
    <row r="1042" hidden="1" x14ac:dyDescent="0.25"/>
    <row r="1043" hidden="1" x14ac:dyDescent="0.25"/>
    <row r="1044" hidden="1" x14ac:dyDescent="0.25"/>
    <row r="1045" hidden="1" x14ac:dyDescent="0.25"/>
    <row r="1046" hidden="1" x14ac:dyDescent="0.25"/>
    <row r="1047" hidden="1" x14ac:dyDescent="0.25"/>
    <row r="1048" hidden="1" x14ac:dyDescent="0.25"/>
    <row r="1049" hidden="1" x14ac:dyDescent="0.25"/>
    <row r="1050" hidden="1" x14ac:dyDescent="0.25"/>
    <row r="1051" hidden="1" x14ac:dyDescent="0.25"/>
    <row r="1052" hidden="1" x14ac:dyDescent="0.25"/>
    <row r="1053" hidden="1" x14ac:dyDescent="0.25"/>
    <row r="1054" hidden="1" x14ac:dyDescent="0.25"/>
    <row r="1055" hidden="1" x14ac:dyDescent="0.25"/>
    <row r="1056" hidden="1" x14ac:dyDescent="0.25"/>
    <row r="1057" hidden="1" x14ac:dyDescent="0.25"/>
    <row r="1058" hidden="1" x14ac:dyDescent="0.25"/>
    <row r="1059" hidden="1" x14ac:dyDescent="0.25"/>
    <row r="1060" hidden="1" x14ac:dyDescent="0.25"/>
    <row r="1061" hidden="1" x14ac:dyDescent="0.25"/>
    <row r="1062" hidden="1" x14ac:dyDescent="0.25"/>
    <row r="1063" hidden="1" x14ac:dyDescent="0.25"/>
    <row r="1064" hidden="1" x14ac:dyDescent="0.25"/>
    <row r="1065" hidden="1" x14ac:dyDescent="0.25"/>
    <row r="1066" hidden="1" x14ac:dyDescent="0.25"/>
    <row r="1067" hidden="1" x14ac:dyDescent="0.25"/>
    <row r="1068" hidden="1" x14ac:dyDescent="0.25"/>
    <row r="1069" hidden="1" x14ac:dyDescent="0.25"/>
    <row r="1070" hidden="1" x14ac:dyDescent="0.25"/>
    <row r="1071" hidden="1" x14ac:dyDescent="0.25"/>
    <row r="1072" hidden="1" x14ac:dyDescent="0.25"/>
    <row r="1073" hidden="1" x14ac:dyDescent="0.25"/>
    <row r="1074" hidden="1" x14ac:dyDescent="0.25"/>
    <row r="1075" hidden="1" x14ac:dyDescent="0.25"/>
    <row r="1076" hidden="1" x14ac:dyDescent="0.25"/>
    <row r="1077" hidden="1" x14ac:dyDescent="0.25"/>
    <row r="1078" hidden="1" x14ac:dyDescent="0.25"/>
    <row r="1079" hidden="1" x14ac:dyDescent="0.25"/>
    <row r="1080" hidden="1" x14ac:dyDescent="0.25"/>
    <row r="1081" hidden="1" x14ac:dyDescent="0.25"/>
    <row r="1082" hidden="1" x14ac:dyDescent="0.25"/>
    <row r="1083" hidden="1" x14ac:dyDescent="0.25"/>
    <row r="1084" hidden="1" x14ac:dyDescent="0.25"/>
    <row r="1085" hidden="1" x14ac:dyDescent="0.25"/>
    <row r="1086" hidden="1" x14ac:dyDescent="0.25"/>
    <row r="1087" hidden="1" x14ac:dyDescent="0.25"/>
    <row r="1088" hidden="1" x14ac:dyDescent="0.25"/>
    <row r="1089" hidden="1" x14ac:dyDescent="0.25"/>
    <row r="1090" hidden="1" x14ac:dyDescent="0.25"/>
    <row r="1091" hidden="1" x14ac:dyDescent="0.25"/>
    <row r="1092" hidden="1" x14ac:dyDescent="0.25"/>
    <row r="1093" hidden="1" x14ac:dyDescent="0.25"/>
    <row r="1094" hidden="1" x14ac:dyDescent="0.25"/>
    <row r="1095" hidden="1" x14ac:dyDescent="0.25"/>
    <row r="1096" hidden="1" x14ac:dyDescent="0.25"/>
    <row r="1097" hidden="1" x14ac:dyDescent="0.25"/>
    <row r="1098" hidden="1" x14ac:dyDescent="0.25"/>
    <row r="1099" hidden="1" x14ac:dyDescent="0.25"/>
    <row r="1100" hidden="1" x14ac:dyDescent="0.25"/>
    <row r="1101" hidden="1" x14ac:dyDescent="0.25"/>
    <row r="1102" hidden="1" x14ac:dyDescent="0.25"/>
    <row r="1103" hidden="1" x14ac:dyDescent="0.25"/>
    <row r="1104" hidden="1" x14ac:dyDescent="0.25"/>
    <row r="1105" hidden="1" x14ac:dyDescent="0.25"/>
    <row r="1106" hidden="1" x14ac:dyDescent="0.25"/>
    <row r="1107" hidden="1" x14ac:dyDescent="0.25"/>
    <row r="1108" hidden="1" x14ac:dyDescent="0.25"/>
    <row r="1109" hidden="1" x14ac:dyDescent="0.25"/>
    <row r="1110" hidden="1" x14ac:dyDescent="0.25"/>
    <row r="1111" hidden="1" x14ac:dyDescent="0.25"/>
    <row r="1112" hidden="1" x14ac:dyDescent="0.25"/>
    <row r="1113" hidden="1" x14ac:dyDescent="0.25"/>
    <row r="1114" hidden="1" x14ac:dyDescent="0.25"/>
    <row r="1115" hidden="1" x14ac:dyDescent="0.25"/>
    <row r="1116" hidden="1" x14ac:dyDescent="0.25"/>
    <row r="1117" hidden="1" x14ac:dyDescent="0.25"/>
    <row r="1118" hidden="1" x14ac:dyDescent="0.25"/>
    <row r="1119" hidden="1" x14ac:dyDescent="0.25"/>
    <row r="1120" hidden="1" x14ac:dyDescent="0.25"/>
    <row r="1121" hidden="1" x14ac:dyDescent="0.25"/>
    <row r="1122" hidden="1" x14ac:dyDescent="0.25"/>
    <row r="1123" hidden="1" x14ac:dyDescent="0.25"/>
    <row r="1124" hidden="1" x14ac:dyDescent="0.25"/>
    <row r="1125" hidden="1" x14ac:dyDescent="0.25"/>
    <row r="1126" hidden="1" x14ac:dyDescent="0.25"/>
    <row r="1127" hidden="1" x14ac:dyDescent="0.25"/>
    <row r="1128" hidden="1" x14ac:dyDescent="0.25"/>
    <row r="1129" hidden="1" x14ac:dyDescent="0.25"/>
    <row r="1130" hidden="1" x14ac:dyDescent="0.25"/>
    <row r="1131" hidden="1" x14ac:dyDescent="0.25"/>
    <row r="1132" hidden="1" x14ac:dyDescent="0.25"/>
    <row r="1133" hidden="1" x14ac:dyDescent="0.25"/>
    <row r="1134" hidden="1" x14ac:dyDescent="0.25"/>
    <row r="1135" hidden="1" x14ac:dyDescent="0.25"/>
    <row r="1136" hidden="1" x14ac:dyDescent="0.25"/>
    <row r="1137" hidden="1" x14ac:dyDescent="0.25"/>
    <row r="1138" hidden="1" x14ac:dyDescent="0.25"/>
    <row r="1139" hidden="1" x14ac:dyDescent="0.25"/>
    <row r="1140" hidden="1" x14ac:dyDescent="0.25"/>
    <row r="1141" hidden="1" x14ac:dyDescent="0.25"/>
    <row r="1142" hidden="1" x14ac:dyDescent="0.25"/>
    <row r="1143" hidden="1" x14ac:dyDescent="0.25"/>
    <row r="1144" hidden="1" x14ac:dyDescent="0.25"/>
    <row r="1145" hidden="1" x14ac:dyDescent="0.25"/>
    <row r="1146" hidden="1" x14ac:dyDescent="0.25"/>
    <row r="1147" hidden="1" x14ac:dyDescent="0.25"/>
    <row r="1148" hidden="1" x14ac:dyDescent="0.25"/>
    <row r="1149" hidden="1" x14ac:dyDescent="0.25"/>
    <row r="1150" hidden="1" x14ac:dyDescent="0.25"/>
    <row r="1151" hidden="1" x14ac:dyDescent="0.25"/>
    <row r="1152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  <row r="1182" hidden="1" x14ac:dyDescent="0.25"/>
    <row r="1183" hidden="1" x14ac:dyDescent="0.25"/>
    <row r="1184" hidden="1" x14ac:dyDescent="0.25"/>
    <row r="1185" hidden="1" x14ac:dyDescent="0.25"/>
    <row r="1186" hidden="1" x14ac:dyDescent="0.25"/>
    <row r="1187" hidden="1" x14ac:dyDescent="0.25"/>
    <row r="1188" hidden="1" x14ac:dyDescent="0.25"/>
    <row r="1189" hidden="1" x14ac:dyDescent="0.25"/>
    <row r="1190" hidden="1" x14ac:dyDescent="0.25"/>
    <row r="1191" hidden="1" x14ac:dyDescent="0.25"/>
    <row r="1192" hidden="1" x14ac:dyDescent="0.25"/>
    <row r="1193" hidden="1" x14ac:dyDescent="0.25"/>
    <row r="1194" hidden="1" x14ac:dyDescent="0.25"/>
    <row r="1195" hidden="1" x14ac:dyDescent="0.25"/>
    <row r="1196" hidden="1" x14ac:dyDescent="0.25"/>
    <row r="1197" hidden="1" x14ac:dyDescent="0.25"/>
    <row r="1198" hidden="1" x14ac:dyDescent="0.25"/>
    <row r="1199" hidden="1" x14ac:dyDescent="0.25"/>
    <row r="1200" hidden="1" x14ac:dyDescent="0.25"/>
    <row r="1201" hidden="1" x14ac:dyDescent="0.25"/>
    <row r="1202" hidden="1" x14ac:dyDescent="0.25"/>
    <row r="1203" hidden="1" x14ac:dyDescent="0.25"/>
    <row r="1204" hidden="1" x14ac:dyDescent="0.25"/>
    <row r="1205" hidden="1" x14ac:dyDescent="0.25"/>
    <row r="1206" hidden="1" x14ac:dyDescent="0.25"/>
    <row r="1207" hidden="1" x14ac:dyDescent="0.25"/>
    <row r="1208" hidden="1" x14ac:dyDescent="0.25"/>
    <row r="1209" hidden="1" x14ac:dyDescent="0.25"/>
    <row r="1210" hidden="1" x14ac:dyDescent="0.25"/>
    <row r="1211" hidden="1" x14ac:dyDescent="0.25"/>
    <row r="1212" hidden="1" x14ac:dyDescent="0.25"/>
    <row r="1213" hidden="1" x14ac:dyDescent="0.25"/>
    <row r="1214" hidden="1" x14ac:dyDescent="0.25"/>
    <row r="1215" hidden="1" x14ac:dyDescent="0.25"/>
    <row r="1216" hidden="1" x14ac:dyDescent="0.25"/>
    <row r="1217" hidden="1" x14ac:dyDescent="0.25"/>
    <row r="1218" hidden="1" x14ac:dyDescent="0.25"/>
    <row r="1219" hidden="1" x14ac:dyDescent="0.25"/>
    <row r="1220" hidden="1" x14ac:dyDescent="0.25"/>
    <row r="1221" hidden="1" x14ac:dyDescent="0.25"/>
    <row r="1222" hidden="1" x14ac:dyDescent="0.25"/>
    <row r="1223" hidden="1" x14ac:dyDescent="0.25"/>
    <row r="1224" hidden="1" x14ac:dyDescent="0.25"/>
    <row r="1225" hidden="1" x14ac:dyDescent="0.25"/>
    <row r="1226" hidden="1" x14ac:dyDescent="0.25"/>
    <row r="1227" hidden="1" x14ac:dyDescent="0.25"/>
    <row r="1228" hidden="1" x14ac:dyDescent="0.25"/>
    <row r="1229" hidden="1" x14ac:dyDescent="0.25"/>
    <row r="1230" hidden="1" x14ac:dyDescent="0.25"/>
    <row r="1231" hidden="1" x14ac:dyDescent="0.25"/>
    <row r="1232" hidden="1" x14ac:dyDescent="0.25"/>
    <row r="1233" hidden="1" x14ac:dyDescent="0.25"/>
    <row r="1234" hidden="1" x14ac:dyDescent="0.25"/>
    <row r="1235" hidden="1" x14ac:dyDescent="0.25"/>
    <row r="1236" hidden="1" x14ac:dyDescent="0.25"/>
    <row r="1237" hidden="1" x14ac:dyDescent="0.25"/>
    <row r="1238" hidden="1" x14ac:dyDescent="0.25"/>
    <row r="1239" hidden="1" x14ac:dyDescent="0.25"/>
    <row r="1240" hidden="1" x14ac:dyDescent="0.25"/>
    <row r="1241" hidden="1" x14ac:dyDescent="0.25"/>
    <row r="1242" hidden="1" x14ac:dyDescent="0.25"/>
    <row r="1243" hidden="1" x14ac:dyDescent="0.25"/>
    <row r="1244" hidden="1" x14ac:dyDescent="0.25"/>
    <row r="1245" hidden="1" x14ac:dyDescent="0.25"/>
    <row r="1246" hidden="1" x14ac:dyDescent="0.25"/>
    <row r="1247" hidden="1" x14ac:dyDescent="0.25"/>
    <row r="1248" hidden="1" x14ac:dyDescent="0.25"/>
    <row r="1249" hidden="1" x14ac:dyDescent="0.25"/>
    <row r="1250" hidden="1" x14ac:dyDescent="0.25"/>
    <row r="1251" hidden="1" x14ac:dyDescent="0.25"/>
    <row r="1252" hidden="1" x14ac:dyDescent="0.25"/>
    <row r="1253" hidden="1" x14ac:dyDescent="0.25"/>
    <row r="1254" hidden="1" x14ac:dyDescent="0.25"/>
    <row r="1255" hidden="1" x14ac:dyDescent="0.25"/>
    <row r="1256" hidden="1" x14ac:dyDescent="0.25"/>
    <row r="1257" hidden="1" x14ac:dyDescent="0.25"/>
    <row r="1258" hidden="1" x14ac:dyDescent="0.25"/>
    <row r="1259" hidden="1" x14ac:dyDescent="0.25"/>
    <row r="1260" hidden="1" x14ac:dyDescent="0.25"/>
    <row r="1261" hidden="1" x14ac:dyDescent="0.25"/>
    <row r="1262" hidden="1" x14ac:dyDescent="0.25"/>
    <row r="1263" hidden="1" x14ac:dyDescent="0.25"/>
    <row r="1264" hidden="1" x14ac:dyDescent="0.25"/>
    <row r="1265" hidden="1" x14ac:dyDescent="0.25"/>
    <row r="1266" hidden="1" x14ac:dyDescent="0.25"/>
    <row r="1267" hidden="1" x14ac:dyDescent="0.25"/>
    <row r="1268" hidden="1" x14ac:dyDescent="0.25"/>
    <row r="1269" hidden="1" x14ac:dyDescent="0.25"/>
    <row r="1270" hidden="1" x14ac:dyDescent="0.25"/>
    <row r="1271" hidden="1" x14ac:dyDescent="0.25"/>
    <row r="1272" hidden="1" x14ac:dyDescent="0.25"/>
    <row r="1273" hidden="1" x14ac:dyDescent="0.25"/>
    <row r="1274" hidden="1" x14ac:dyDescent="0.25"/>
    <row r="1275" hidden="1" x14ac:dyDescent="0.25"/>
    <row r="1276" hidden="1" x14ac:dyDescent="0.25"/>
    <row r="1277" hidden="1" x14ac:dyDescent="0.25"/>
    <row r="1278" hidden="1" x14ac:dyDescent="0.25"/>
    <row r="1279" hidden="1" x14ac:dyDescent="0.25"/>
    <row r="1280" hidden="1" x14ac:dyDescent="0.25"/>
    <row r="1281" hidden="1" x14ac:dyDescent="0.25"/>
    <row r="1282" hidden="1" x14ac:dyDescent="0.25"/>
    <row r="1283" hidden="1" x14ac:dyDescent="0.25"/>
    <row r="1284" hidden="1" x14ac:dyDescent="0.25"/>
    <row r="1285" hidden="1" x14ac:dyDescent="0.25"/>
    <row r="1286" hidden="1" x14ac:dyDescent="0.25"/>
    <row r="1287" hidden="1" x14ac:dyDescent="0.25"/>
    <row r="1288" hidden="1" x14ac:dyDescent="0.25"/>
    <row r="1289" hidden="1" x14ac:dyDescent="0.25"/>
    <row r="1290" hidden="1" x14ac:dyDescent="0.25"/>
    <row r="1291" hidden="1" x14ac:dyDescent="0.25"/>
    <row r="1292" hidden="1" x14ac:dyDescent="0.25"/>
    <row r="1293" hidden="1" x14ac:dyDescent="0.25"/>
    <row r="1294" hidden="1" x14ac:dyDescent="0.25"/>
    <row r="1295" hidden="1" x14ac:dyDescent="0.25"/>
    <row r="1296" hidden="1" x14ac:dyDescent="0.25"/>
    <row r="1297" hidden="1" x14ac:dyDescent="0.25"/>
    <row r="1298" hidden="1" x14ac:dyDescent="0.25"/>
    <row r="1299" hidden="1" x14ac:dyDescent="0.25"/>
    <row r="1300" hidden="1" x14ac:dyDescent="0.25"/>
    <row r="1301" hidden="1" x14ac:dyDescent="0.25"/>
    <row r="1302" hidden="1" x14ac:dyDescent="0.25"/>
    <row r="1303" hidden="1" x14ac:dyDescent="0.25"/>
    <row r="1304" hidden="1" x14ac:dyDescent="0.25"/>
    <row r="1305" hidden="1" x14ac:dyDescent="0.25"/>
    <row r="1306" hidden="1" x14ac:dyDescent="0.25"/>
    <row r="1307" hidden="1" x14ac:dyDescent="0.25"/>
    <row r="1308" hidden="1" x14ac:dyDescent="0.25"/>
    <row r="1309" hidden="1" x14ac:dyDescent="0.25"/>
    <row r="1310" hidden="1" x14ac:dyDescent="0.25"/>
    <row r="1311" hidden="1" x14ac:dyDescent="0.25"/>
    <row r="1312" hidden="1" x14ac:dyDescent="0.25"/>
    <row r="1313" hidden="1" x14ac:dyDescent="0.25"/>
    <row r="1314" hidden="1" x14ac:dyDescent="0.25"/>
    <row r="1315" hidden="1" x14ac:dyDescent="0.25"/>
    <row r="1316" hidden="1" x14ac:dyDescent="0.25"/>
    <row r="1317" hidden="1" x14ac:dyDescent="0.25"/>
    <row r="1318" hidden="1" x14ac:dyDescent="0.25"/>
    <row r="1319" hidden="1" x14ac:dyDescent="0.25"/>
    <row r="1320" hidden="1" x14ac:dyDescent="0.25"/>
    <row r="1321" hidden="1" x14ac:dyDescent="0.25"/>
    <row r="1322" hidden="1" x14ac:dyDescent="0.25"/>
    <row r="1323" hidden="1" x14ac:dyDescent="0.25"/>
    <row r="1324" hidden="1" x14ac:dyDescent="0.25"/>
    <row r="1325" hidden="1" x14ac:dyDescent="0.25"/>
    <row r="1326" hidden="1" x14ac:dyDescent="0.25"/>
    <row r="1327" hidden="1" x14ac:dyDescent="0.25"/>
    <row r="1328" hidden="1" x14ac:dyDescent="0.25"/>
    <row r="1329" hidden="1" x14ac:dyDescent="0.25"/>
    <row r="1330" hidden="1" x14ac:dyDescent="0.25"/>
    <row r="1331" hidden="1" x14ac:dyDescent="0.25"/>
    <row r="1332" hidden="1" x14ac:dyDescent="0.25"/>
    <row r="1333" hidden="1" x14ac:dyDescent="0.25"/>
    <row r="1334" hidden="1" x14ac:dyDescent="0.25"/>
    <row r="1335" hidden="1" x14ac:dyDescent="0.25"/>
    <row r="1336" hidden="1" x14ac:dyDescent="0.25"/>
    <row r="1337" hidden="1" x14ac:dyDescent="0.25"/>
    <row r="1338" hidden="1" x14ac:dyDescent="0.25"/>
    <row r="1339" hidden="1" x14ac:dyDescent="0.25"/>
    <row r="1340" hidden="1" x14ac:dyDescent="0.25"/>
    <row r="1341" hidden="1" x14ac:dyDescent="0.25"/>
    <row r="1342" hidden="1" x14ac:dyDescent="0.25"/>
    <row r="1343" hidden="1" x14ac:dyDescent="0.25"/>
    <row r="1344" hidden="1" x14ac:dyDescent="0.25"/>
    <row r="1345" hidden="1" x14ac:dyDescent="0.25"/>
    <row r="1346" hidden="1" x14ac:dyDescent="0.25"/>
    <row r="1347" hidden="1" x14ac:dyDescent="0.25"/>
    <row r="1348" hidden="1" x14ac:dyDescent="0.25"/>
    <row r="1349" hidden="1" x14ac:dyDescent="0.25"/>
    <row r="1350" hidden="1" x14ac:dyDescent="0.25"/>
    <row r="1351" hidden="1" x14ac:dyDescent="0.25"/>
    <row r="1352" hidden="1" x14ac:dyDescent="0.25"/>
    <row r="1353" hidden="1" x14ac:dyDescent="0.25"/>
    <row r="1354" hidden="1" x14ac:dyDescent="0.25"/>
    <row r="1355" hidden="1" x14ac:dyDescent="0.25"/>
    <row r="1356" hidden="1" x14ac:dyDescent="0.25"/>
    <row r="1357" hidden="1" x14ac:dyDescent="0.25"/>
    <row r="1358" hidden="1" x14ac:dyDescent="0.25"/>
    <row r="1359" hidden="1" x14ac:dyDescent="0.25"/>
    <row r="1360" hidden="1" x14ac:dyDescent="0.25"/>
    <row r="1361" hidden="1" x14ac:dyDescent="0.25"/>
    <row r="1362" hidden="1" x14ac:dyDescent="0.25"/>
    <row r="1363" hidden="1" x14ac:dyDescent="0.25"/>
    <row r="1364" hidden="1" x14ac:dyDescent="0.25"/>
    <row r="1365" hidden="1" x14ac:dyDescent="0.25"/>
    <row r="1366" hidden="1" x14ac:dyDescent="0.25"/>
    <row r="1367" hidden="1" x14ac:dyDescent="0.25"/>
    <row r="1368" hidden="1" x14ac:dyDescent="0.25"/>
    <row r="1369" hidden="1" x14ac:dyDescent="0.25"/>
    <row r="1370" hidden="1" x14ac:dyDescent="0.25"/>
    <row r="1371" hidden="1" x14ac:dyDescent="0.25"/>
    <row r="1372" hidden="1" x14ac:dyDescent="0.25"/>
    <row r="1373" hidden="1" x14ac:dyDescent="0.25"/>
    <row r="1374" hidden="1" x14ac:dyDescent="0.25"/>
    <row r="1375" hidden="1" x14ac:dyDescent="0.25"/>
    <row r="1376" hidden="1" x14ac:dyDescent="0.25"/>
    <row r="1377" hidden="1" x14ac:dyDescent="0.25"/>
    <row r="1378" hidden="1" x14ac:dyDescent="0.25"/>
    <row r="1379" hidden="1" x14ac:dyDescent="0.25"/>
    <row r="1380" hidden="1" x14ac:dyDescent="0.25"/>
    <row r="1381" hidden="1" x14ac:dyDescent="0.25"/>
    <row r="1382" hidden="1" x14ac:dyDescent="0.25"/>
    <row r="1383" hidden="1" x14ac:dyDescent="0.25"/>
    <row r="1384" hidden="1" x14ac:dyDescent="0.25"/>
    <row r="1385" hidden="1" x14ac:dyDescent="0.25"/>
    <row r="1386" hidden="1" x14ac:dyDescent="0.25"/>
    <row r="1387" hidden="1" x14ac:dyDescent="0.25"/>
    <row r="1388" hidden="1" x14ac:dyDescent="0.25"/>
    <row r="1389" hidden="1" x14ac:dyDescent="0.25"/>
    <row r="1390" hidden="1" x14ac:dyDescent="0.25"/>
    <row r="1391" hidden="1" x14ac:dyDescent="0.25"/>
    <row r="1392" hidden="1" x14ac:dyDescent="0.25"/>
    <row r="1393" hidden="1" x14ac:dyDescent="0.25"/>
    <row r="1394" hidden="1" x14ac:dyDescent="0.25"/>
    <row r="1395" hidden="1" x14ac:dyDescent="0.25"/>
    <row r="1396" hidden="1" x14ac:dyDescent="0.25"/>
    <row r="1397" hidden="1" x14ac:dyDescent="0.25"/>
    <row r="1398" hidden="1" x14ac:dyDescent="0.25"/>
    <row r="1399" hidden="1" x14ac:dyDescent="0.25"/>
    <row r="1400" hidden="1" x14ac:dyDescent="0.25"/>
  </sheetData>
  <autoFilter ref="B2:C1400" xr:uid="{00000000-0009-0000-0000-000002000000}">
    <filterColumn colId="1">
      <filters>
        <filter val="Cliente - Atendimento de Comentário"/>
      </filters>
    </filterColumn>
  </autoFilter>
  <pageMargins left="0.511811024" right="0.511811024" top="0.78740157499999996" bottom="0.78740157499999996" header="0.31496062000000002" footer="0.31496062000000002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17"/>
  <sheetViews>
    <sheetView topLeftCell="D1" workbookViewId="0">
      <selection activeCell="E18" sqref="E18"/>
    </sheetView>
  </sheetViews>
  <sheetFormatPr defaultColWidth="9" defaultRowHeight="17.45" customHeight="1" x14ac:dyDescent="0.25"/>
  <cols>
    <col min="2" max="2" width="5" bestFit="1" customWidth="1"/>
    <col min="3" max="3" width="19.5703125" bestFit="1" customWidth="1"/>
    <col min="4" max="4" width="18.42578125" bestFit="1" customWidth="1"/>
    <col min="5" max="5" width="77.28515625" bestFit="1" customWidth="1"/>
    <col min="6" max="6" width="7.42578125" bestFit="1" customWidth="1"/>
    <col min="7" max="7" width="9.28515625" customWidth="1"/>
    <col min="8" max="8" width="11.42578125" customWidth="1"/>
    <col min="9" max="9" width="8.42578125" customWidth="1"/>
    <col min="10" max="10" width="12.140625" customWidth="1"/>
    <col min="11" max="11" width="12.5703125" customWidth="1"/>
    <col min="12" max="13" width="10.7109375" bestFit="1" customWidth="1"/>
  </cols>
  <sheetData>
    <row r="1" spans="2:13" ht="15" customHeight="1" x14ac:dyDescent="0.25"/>
    <row r="2" spans="2:13" ht="17.45" customHeight="1" x14ac:dyDescent="0.25">
      <c r="B2" s="55" t="s">
        <v>1445</v>
      </c>
      <c r="C2" s="55" t="s">
        <v>1442</v>
      </c>
      <c r="D2" s="55" t="s">
        <v>1446</v>
      </c>
      <c r="E2" s="55" t="s">
        <v>1447</v>
      </c>
      <c r="F2" s="55" t="s">
        <v>1448</v>
      </c>
      <c r="G2" s="55" t="s">
        <v>1449</v>
      </c>
      <c r="H2" s="55" t="s">
        <v>1450</v>
      </c>
      <c r="I2" s="55" t="s">
        <v>1451</v>
      </c>
      <c r="J2" s="55" t="s">
        <v>1452</v>
      </c>
      <c r="K2" s="55" t="s">
        <v>1453</v>
      </c>
      <c r="L2" s="55" t="s">
        <v>1454</v>
      </c>
      <c r="M2" s="55" t="s">
        <v>1455</v>
      </c>
    </row>
    <row r="3" spans="2:13" ht="17.45" customHeight="1" x14ac:dyDescent="0.25">
      <c r="B3" s="66">
        <v>0</v>
      </c>
      <c r="C3" s="67"/>
      <c r="D3" s="67"/>
      <c r="E3" s="68" t="s">
        <v>1456</v>
      </c>
      <c r="F3" s="68" t="s">
        <v>1457</v>
      </c>
      <c r="G3" s="68">
        <v>125</v>
      </c>
      <c r="H3" s="69">
        <v>0.2742</v>
      </c>
      <c r="I3" s="69">
        <v>0.27279999999999999</v>
      </c>
      <c r="J3" s="70">
        <v>46164</v>
      </c>
      <c r="K3" s="70">
        <v>46288</v>
      </c>
      <c r="L3" s="70">
        <v>46164</v>
      </c>
      <c r="M3" s="70">
        <v>46288</v>
      </c>
    </row>
    <row r="4" spans="2:13" ht="15" customHeight="1" x14ac:dyDescent="0.25">
      <c r="B4" s="66">
        <v>1</v>
      </c>
      <c r="C4" s="67"/>
      <c r="D4" s="67"/>
      <c r="E4" s="68" t="s">
        <v>1458</v>
      </c>
      <c r="F4" s="68" t="s">
        <v>1459</v>
      </c>
      <c r="G4" s="68">
        <v>125</v>
      </c>
      <c r="H4" s="69">
        <v>0.74219999999999997</v>
      </c>
      <c r="I4" s="69">
        <v>0.73760000000000003</v>
      </c>
      <c r="J4" s="70">
        <v>46164</v>
      </c>
      <c r="K4" s="70">
        <v>46288</v>
      </c>
      <c r="L4" s="70">
        <v>46164</v>
      </c>
      <c r="M4" s="70">
        <v>46288</v>
      </c>
    </row>
    <row r="5" spans="2:13" ht="17.45" customHeight="1" x14ac:dyDescent="0.25">
      <c r="B5" s="71">
        <v>2</v>
      </c>
      <c r="C5" s="72"/>
      <c r="D5" s="72"/>
      <c r="E5" s="73" t="s">
        <v>1460</v>
      </c>
      <c r="F5" s="73" t="s">
        <v>1459</v>
      </c>
      <c r="G5" s="73">
        <v>125</v>
      </c>
      <c r="H5" s="74">
        <v>0.74219999999999997</v>
      </c>
      <c r="I5" s="74">
        <v>0.73760000000000003</v>
      </c>
      <c r="J5" s="75">
        <v>46164</v>
      </c>
      <c r="K5" s="75">
        <v>46288</v>
      </c>
      <c r="L5" s="75">
        <v>46164</v>
      </c>
      <c r="M5" s="75">
        <v>46288</v>
      </c>
    </row>
    <row r="6" spans="2:13" ht="17.45" customHeight="1" x14ac:dyDescent="0.25">
      <c r="B6" s="66">
        <v>77</v>
      </c>
      <c r="C6" s="67"/>
      <c r="D6" s="67"/>
      <c r="E6" s="68" t="s">
        <v>1461</v>
      </c>
      <c r="F6" s="68" t="s">
        <v>1459</v>
      </c>
      <c r="G6" s="68">
        <v>125</v>
      </c>
      <c r="H6" s="69">
        <v>0.25409999999999999</v>
      </c>
      <c r="I6" s="69">
        <v>0.25280000000000002</v>
      </c>
      <c r="J6" s="70">
        <v>46171</v>
      </c>
      <c r="K6" s="70">
        <v>46288</v>
      </c>
      <c r="L6" s="70">
        <v>46164</v>
      </c>
      <c r="M6" s="70">
        <v>46288</v>
      </c>
    </row>
    <row r="7" spans="2:13" ht="17.45" customHeight="1" x14ac:dyDescent="0.25">
      <c r="B7" s="71">
        <v>78</v>
      </c>
      <c r="C7" s="72"/>
      <c r="D7" s="72"/>
      <c r="E7" s="73" t="s">
        <v>1462</v>
      </c>
      <c r="F7" s="73" t="s">
        <v>1463</v>
      </c>
      <c r="G7" s="73">
        <v>117</v>
      </c>
      <c r="H7" s="74">
        <v>0.62450000000000006</v>
      </c>
      <c r="I7" s="74">
        <v>0.38080000000000003</v>
      </c>
      <c r="J7" s="75">
        <v>46171</v>
      </c>
      <c r="K7" s="75">
        <v>46266</v>
      </c>
      <c r="L7" s="75">
        <v>46171</v>
      </c>
      <c r="M7" s="75">
        <v>46287</v>
      </c>
    </row>
    <row r="8" spans="2:13" ht="17.45" customHeight="1" x14ac:dyDescent="0.25">
      <c r="B8" s="71">
        <v>214</v>
      </c>
      <c r="C8" s="72"/>
      <c r="D8" s="72"/>
      <c r="E8" s="73" t="s">
        <v>1464</v>
      </c>
      <c r="F8" s="73" t="s">
        <v>1465</v>
      </c>
      <c r="G8" s="73">
        <v>47</v>
      </c>
      <c r="H8" s="74">
        <v>0</v>
      </c>
      <c r="I8" s="74">
        <v>0.1148</v>
      </c>
      <c r="J8" s="75">
        <v>46220</v>
      </c>
      <c r="K8" s="75">
        <v>46254</v>
      </c>
      <c r="L8" s="75">
        <v>46205</v>
      </c>
      <c r="M8" s="75">
        <v>46251</v>
      </c>
    </row>
    <row r="9" spans="2:13" ht="17.45" customHeight="1" x14ac:dyDescent="0.25">
      <c r="B9" s="71">
        <v>250</v>
      </c>
      <c r="C9" s="72"/>
      <c r="D9" s="72"/>
      <c r="E9" s="73" t="s">
        <v>1466</v>
      </c>
      <c r="F9" s="73" t="s">
        <v>1467</v>
      </c>
      <c r="G9" s="73">
        <v>42</v>
      </c>
      <c r="H9" s="74">
        <v>0</v>
      </c>
      <c r="I9" s="74">
        <v>0.46429999999999999</v>
      </c>
      <c r="J9" s="75">
        <v>46218</v>
      </c>
      <c r="K9" s="75">
        <v>46251</v>
      </c>
      <c r="L9" s="75">
        <v>46210</v>
      </c>
      <c r="M9" s="75">
        <v>46251</v>
      </c>
    </row>
    <row r="10" spans="2:13" ht="17.45" customHeight="1" x14ac:dyDescent="0.25">
      <c r="B10" s="71">
        <v>275</v>
      </c>
      <c r="C10" s="72"/>
      <c r="D10" s="72"/>
      <c r="E10" s="73" t="s">
        <v>1468</v>
      </c>
      <c r="F10" s="73" t="s">
        <v>1469</v>
      </c>
      <c r="G10" s="73">
        <v>64</v>
      </c>
      <c r="H10" s="74">
        <v>1.66E-2</v>
      </c>
      <c r="I10" s="74">
        <v>4.9200000000000001E-2</v>
      </c>
      <c r="J10" s="75">
        <v>46213</v>
      </c>
      <c r="K10" s="75">
        <v>46267</v>
      </c>
      <c r="L10" s="75">
        <v>46204</v>
      </c>
      <c r="M10" s="75">
        <v>46267</v>
      </c>
    </row>
    <row r="11" spans="2:13" ht="17.45" customHeight="1" x14ac:dyDescent="0.25">
      <c r="B11" s="71">
        <v>408</v>
      </c>
      <c r="C11" s="72"/>
      <c r="D11" s="72"/>
      <c r="E11" s="73" t="s">
        <v>1470</v>
      </c>
      <c r="F11" s="73" t="s">
        <v>1471</v>
      </c>
      <c r="G11" s="73">
        <v>99</v>
      </c>
      <c r="H11" s="74">
        <v>0.11269999999999999</v>
      </c>
      <c r="I11" s="74">
        <v>0.1318</v>
      </c>
      <c r="J11" s="75">
        <v>46189</v>
      </c>
      <c r="K11" s="75">
        <v>46288</v>
      </c>
      <c r="L11" s="75">
        <v>46189</v>
      </c>
      <c r="M11" s="75">
        <v>46287</v>
      </c>
    </row>
    <row r="12" spans="2:13" ht="17.45" customHeight="1" x14ac:dyDescent="0.25">
      <c r="B12" s="71">
        <v>699</v>
      </c>
      <c r="C12" s="72"/>
      <c r="D12" s="72"/>
      <c r="E12" s="73" t="s">
        <v>1472</v>
      </c>
      <c r="F12" s="73" t="s">
        <v>1473</v>
      </c>
      <c r="G12" s="73">
        <v>107</v>
      </c>
      <c r="H12" s="74">
        <v>0.17380000000000001</v>
      </c>
      <c r="I12" s="74">
        <v>0.16850000000000001</v>
      </c>
      <c r="J12" s="75">
        <v>46182</v>
      </c>
      <c r="K12" s="75">
        <v>46288</v>
      </c>
      <c r="L12" s="75">
        <v>46182</v>
      </c>
      <c r="M12" s="75">
        <v>46288</v>
      </c>
    </row>
    <row r="13" spans="2:13" ht="17.45" customHeight="1" x14ac:dyDescent="0.25">
      <c r="B13" s="71">
        <v>944</v>
      </c>
      <c r="C13" s="72"/>
      <c r="D13" s="72"/>
      <c r="E13" s="73" t="s">
        <v>1474</v>
      </c>
      <c r="F13" s="73" t="s">
        <v>1475</v>
      </c>
      <c r="G13" s="73">
        <v>89</v>
      </c>
      <c r="H13" s="74">
        <v>0.7339</v>
      </c>
      <c r="I13" s="74">
        <v>0.68840000000000001</v>
      </c>
      <c r="J13" s="75">
        <v>46171</v>
      </c>
      <c r="K13" s="75">
        <v>46244</v>
      </c>
      <c r="L13" s="75">
        <v>46171</v>
      </c>
      <c r="M13" s="75">
        <v>46259</v>
      </c>
    </row>
    <row r="14" spans="2:13" ht="17.45" customHeight="1" x14ac:dyDescent="0.25">
      <c r="B14" s="71">
        <v>1098</v>
      </c>
      <c r="C14" s="72"/>
      <c r="D14" s="72"/>
      <c r="E14" s="73" t="s">
        <v>1476</v>
      </c>
      <c r="F14" s="73" t="s">
        <v>1477</v>
      </c>
      <c r="G14" s="73">
        <v>110</v>
      </c>
      <c r="H14" s="74">
        <v>0</v>
      </c>
      <c r="I14" s="74">
        <v>0.2311</v>
      </c>
      <c r="J14" s="75">
        <v>46230</v>
      </c>
      <c r="K14" s="75">
        <v>46266</v>
      </c>
      <c r="L14" s="75">
        <v>46164</v>
      </c>
      <c r="M14" s="75">
        <v>46273</v>
      </c>
    </row>
    <row r="15" spans="2:13" ht="17.45" customHeight="1" x14ac:dyDescent="0.25">
      <c r="B15" s="71">
        <v>1142</v>
      </c>
      <c r="C15" s="72"/>
      <c r="D15" s="72"/>
      <c r="E15" s="73" t="s">
        <v>1478</v>
      </c>
      <c r="F15" s="73" t="s">
        <v>1479</v>
      </c>
      <c r="G15" s="73">
        <v>45</v>
      </c>
      <c r="H15" s="74">
        <v>0</v>
      </c>
      <c r="I15" s="74">
        <v>0</v>
      </c>
      <c r="J15" s="75">
        <v>46232</v>
      </c>
      <c r="K15" s="75">
        <v>46283</v>
      </c>
      <c r="L15" s="75">
        <v>46232</v>
      </c>
      <c r="M15" s="75">
        <v>46276</v>
      </c>
    </row>
    <row r="16" spans="2:13" ht="17.45" customHeight="1" x14ac:dyDescent="0.25">
      <c r="B16" s="71">
        <v>1260</v>
      </c>
      <c r="C16" s="72"/>
      <c r="D16" s="72"/>
      <c r="E16" s="73" t="s">
        <v>1480</v>
      </c>
      <c r="F16" s="73" t="s">
        <v>1473</v>
      </c>
      <c r="G16" s="73">
        <v>107</v>
      </c>
      <c r="H16" s="74">
        <v>0.06</v>
      </c>
      <c r="I16" s="74">
        <v>0.27379999999999999</v>
      </c>
      <c r="J16" s="75">
        <v>46182</v>
      </c>
      <c r="K16" s="75">
        <v>46288</v>
      </c>
      <c r="L16" s="75">
        <v>46182</v>
      </c>
      <c r="M16" s="75">
        <v>46288</v>
      </c>
    </row>
    <row r="17" spans="2:13" ht="17.45" customHeight="1" x14ac:dyDescent="0.25">
      <c r="B17" s="71">
        <v>1359</v>
      </c>
      <c r="C17" s="72"/>
      <c r="D17" s="72"/>
      <c r="E17" s="73" t="s">
        <v>1481</v>
      </c>
      <c r="F17" s="73" t="s">
        <v>1482</v>
      </c>
      <c r="G17" s="73">
        <v>92</v>
      </c>
      <c r="H17" s="74">
        <v>0.20349999999999999</v>
      </c>
      <c r="I17" s="74">
        <v>0.13739999999999999</v>
      </c>
      <c r="J17" s="75">
        <v>46190</v>
      </c>
      <c r="K17" s="75">
        <v>46282</v>
      </c>
      <c r="L17" s="75">
        <v>46190</v>
      </c>
      <c r="M17" s="75">
        <v>46281</v>
      </c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U1451"/>
  <sheetViews>
    <sheetView topLeftCell="F1379" zoomScale="70" zoomScaleNormal="70" workbookViewId="0">
      <selection activeCell="B2" sqref="B2:M1400"/>
    </sheetView>
  </sheetViews>
  <sheetFormatPr defaultRowHeight="15" x14ac:dyDescent="0.25"/>
  <cols>
    <col min="3" max="3" width="29.7109375" bestFit="1" customWidth="1"/>
    <col min="4" max="4" width="11.85546875" customWidth="1"/>
    <col min="5" max="5" width="56.85546875" customWidth="1"/>
    <col min="6" max="6" width="11.42578125" customWidth="1"/>
    <col min="7" max="7" width="14.28515625" customWidth="1"/>
    <col min="8" max="8" width="9.7109375" customWidth="1"/>
    <col min="9" max="9" width="9.140625" customWidth="1"/>
    <col min="10" max="10" width="27.7109375" customWidth="1"/>
    <col min="11" max="11" width="26.85546875" style="54" customWidth="1"/>
    <col min="12" max="12" width="29.42578125" style="54" customWidth="1"/>
    <col min="13" max="13" width="12.140625" style="54" bestFit="1" customWidth="1"/>
    <col min="15" max="15" width="13" style="51" bestFit="1" customWidth="1"/>
    <col min="16" max="16" width="24.28515625" style="51" bestFit="1" customWidth="1"/>
    <col min="17" max="17" width="12.5703125" style="52" bestFit="1" customWidth="1"/>
    <col min="18" max="18" width="12.42578125" bestFit="1" customWidth="1"/>
    <col min="19" max="19" width="13.140625" style="51" bestFit="1" customWidth="1"/>
    <col min="20" max="20" width="30" bestFit="1" customWidth="1"/>
    <col min="21" max="21" width="12.42578125" bestFit="1" customWidth="1"/>
  </cols>
  <sheetData>
    <row r="1" spans="2:21" x14ac:dyDescent="0.25">
      <c r="S1" s="51" t="s">
        <v>1483</v>
      </c>
    </row>
    <row r="2" spans="2:21" x14ac:dyDescent="0.25">
      <c r="B2" t="s">
        <v>1445</v>
      </c>
      <c r="C2" t="s">
        <v>1442</v>
      </c>
      <c r="D2" t="s">
        <v>1446</v>
      </c>
      <c r="E2" t="s">
        <v>1447</v>
      </c>
      <c r="F2" t="s">
        <v>1448</v>
      </c>
      <c r="G2" t="s">
        <v>1449</v>
      </c>
      <c r="H2" t="s">
        <v>1450</v>
      </c>
      <c r="I2" t="s">
        <v>1451</v>
      </c>
      <c r="J2" t="s">
        <v>1452</v>
      </c>
      <c r="K2" s="54" t="s">
        <v>1453</v>
      </c>
      <c r="L2" s="54" t="s">
        <v>1454</v>
      </c>
      <c r="M2" s="54" t="s">
        <v>1455</v>
      </c>
      <c r="O2" s="51" t="s">
        <v>1484</v>
      </c>
      <c r="P2" s="51" t="s">
        <v>1485</v>
      </c>
      <c r="Q2" s="52" t="s">
        <v>1486</v>
      </c>
      <c r="R2" t="s">
        <v>1487</v>
      </c>
      <c r="S2" s="51" t="s">
        <v>1484</v>
      </c>
      <c r="T2" s="51" t="s">
        <v>1485</v>
      </c>
      <c r="U2" t="s">
        <v>1488</v>
      </c>
    </row>
    <row r="3" spans="2:21" x14ac:dyDescent="0.25">
      <c r="B3">
        <v>0</v>
      </c>
      <c r="E3" t="s">
        <v>1456</v>
      </c>
      <c r="F3" t="s">
        <v>1457</v>
      </c>
      <c r="G3">
        <v>125</v>
      </c>
      <c r="H3" s="48">
        <v>0.2742</v>
      </c>
      <c r="I3" s="48">
        <v>0.27279999999999999</v>
      </c>
      <c r="J3" s="54">
        <v>46164</v>
      </c>
      <c r="K3" s="54">
        <v>46288</v>
      </c>
      <c r="L3" s="54">
        <v>46164</v>
      </c>
      <c r="M3" s="54">
        <v>46288</v>
      </c>
      <c r="O3" s="51" t="str">
        <f t="shared" ref="O3:O66" si="0">IF(OR(E3 = "                           1 - Emissão Inicial",E3="                  1 - Emissão após Design Review 1",E3 = "                  1 - Emissão para conhecimento",E3 = "                  1 - Emissão Final",E3 = "         Lista de Documentos",E3 = "         Elaboração do cronograma",E3 = "         Norma de Coordenação"), "SIM", "")</f>
        <v/>
      </c>
      <c r="P3" s="51" t="str">
        <f t="shared" ref="P3:P66" si="1">IF(O3="SIM",C3,"")</f>
        <v/>
      </c>
      <c r="Q3" s="52" t="str">
        <f t="shared" ref="Q3:Q66" si="2">IF(O3="SIM",M3,"")</f>
        <v/>
      </c>
      <c r="R3" s="52" t="str">
        <f t="shared" ref="R3:R66" si="3">IF(O3="SIM",K3,"")</f>
        <v/>
      </c>
      <c r="S3" s="51" t="str">
        <f t="shared" ref="S3:S66" si="4">IF(OR(E3 = "                           3 - Atendimento de Comentários",E3="                  1 - Emissão após Design Review 1",E3 = "                  1 - Emissão para conhecimento",E3 = "                  1 - Emissão Final",E3 = "         Lista de Documentos",E3 = "         Elaboração do cronograma",E3 = "         Norma de Coordenação"), "SIM", "")</f>
        <v/>
      </c>
      <c r="T3" t="str">
        <f t="shared" ref="T3:T66" si="5">IF(S3="SIM",C3,"")</f>
        <v/>
      </c>
      <c r="U3" s="52" t="str">
        <f t="shared" ref="U3:U66" si="6">IF(S3="SIM",M3,"")</f>
        <v/>
      </c>
    </row>
    <row r="4" spans="2:21" x14ac:dyDescent="0.25">
      <c r="B4">
        <v>1</v>
      </c>
      <c r="E4" t="s">
        <v>1458</v>
      </c>
      <c r="F4" t="s">
        <v>1459</v>
      </c>
      <c r="G4">
        <v>125</v>
      </c>
      <c r="H4" s="48">
        <v>0.74219999999999997</v>
      </c>
      <c r="I4" s="48">
        <v>0.73760000000000003</v>
      </c>
      <c r="J4" s="54">
        <v>46164</v>
      </c>
      <c r="K4" s="54">
        <v>46288</v>
      </c>
      <c r="L4" s="54">
        <v>46164</v>
      </c>
      <c r="M4" s="54">
        <v>46288</v>
      </c>
      <c r="O4" s="51" t="str">
        <f t="shared" si="0"/>
        <v/>
      </c>
      <c r="P4" s="51" t="str">
        <f t="shared" si="1"/>
        <v/>
      </c>
      <c r="Q4" s="52" t="str">
        <f t="shared" si="2"/>
        <v/>
      </c>
      <c r="R4" s="52" t="str">
        <f t="shared" si="3"/>
        <v/>
      </c>
      <c r="S4" s="51" t="str">
        <f t="shared" si="4"/>
        <v/>
      </c>
      <c r="T4" t="str">
        <f t="shared" si="5"/>
        <v/>
      </c>
      <c r="U4" s="52" t="str">
        <f t="shared" si="6"/>
        <v/>
      </c>
    </row>
    <row r="5" spans="2:21" x14ac:dyDescent="0.25">
      <c r="B5">
        <v>2</v>
      </c>
      <c r="E5" t="s">
        <v>1460</v>
      </c>
      <c r="F5" t="s">
        <v>1459</v>
      </c>
      <c r="G5">
        <v>125</v>
      </c>
      <c r="H5" s="48">
        <v>0.74219999999999997</v>
      </c>
      <c r="I5" s="48">
        <v>0.73760000000000003</v>
      </c>
      <c r="J5" s="54">
        <v>46164</v>
      </c>
      <c r="K5" s="54">
        <v>46288</v>
      </c>
      <c r="L5" s="54">
        <v>46164</v>
      </c>
      <c r="M5" s="54">
        <v>46288</v>
      </c>
      <c r="O5" s="51" t="str">
        <f t="shared" si="0"/>
        <v/>
      </c>
      <c r="P5" s="51" t="str">
        <f t="shared" si="1"/>
        <v/>
      </c>
      <c r="Q5" s="52" t="str">
        <f t="shared" si="2"/>
        <v/>
      </c>
      <c r="R5" s="52" t="str">
        <f t="shared" si="3"/>
        <v/>
      </c>
      <c r="S5" s="51" t="str">
        <f t="shared" si="4"/>
        <v/>
      </c>
      <c r="T5" t="str">
        <f t="shared" si="5"/>
        <v/>
      </c>
      <c r="U5" s="52" t="str">
        <f t="shared" si="6"/>
        <v/>
      </c>
    </row>
    <row r="6" spans="2:21" x14ac:dyDescent="0.25">
      <c r="B6">
        <v>3</v>
      </c>
      <c r="E6" t="s">
        <v>1489</v>
      </c>
      <c r="F6" t="s">
        <v>1459</v>
      </c>
      <c r="G6">
        <v>125</v>
      </c>
      <c r="H6" s="48">
        <v>0.74219999999999997</v>
      </c>
      <c r="I6" s="48">
        <v>0.73760000000000003</v>
      </c>
      <c r="J6" s="54">
        <v>46164</v>
      </c>
      <c r="K6" s="54">
        <v>46288</v>
      </c>
      <c r="L6" s="54">
        <v>46164</v>
      </c>
      <c r="M6" s="54">
        <v>46288</v>
      </c>
      <c r="O6" s="51" t="str">
        <f t="shared" si="0"/>
        <v/>
      </c>
      <c r="P6" s="51" t="str">
        <f t="shared" si="1"/>
        <v/>
      </c>
      <c r="Q6" s="52" t="str">
        <f t="shared" si="2"/>
        <v/>
      </c>
      <c r="R6" s="52" t="str">
        <f t="shared" si="3"/>
        <v/>
      </c>
      <c r="S6" s="51" t="str">
        <f t="shared" si="4"/>
        <v/>
      </c>
      <c r="T6" t="str">
        <f t="shared" si="5"/>
        <v/>
      </c>
      <c r="U6" s="52" t="str">
        <f t="shared" si="6"/>
        <v/>
      </c>
    </row>
    <row r="7" spans="2:21" x14ac:dyDescent="0.25">
      <c r="B7">
        <v>4</v>
      </c>
      <c r="E7" t="s">
        <v>1490</v>
      </c>
      <c r="F7" t="s">
        <v>1459</v>
      </c>
      <c r="G7">
        <v>125</v>
      </c>
      <c r="H7" s="48">
        <v>0.74219999999999997</v>
      </c>
      <c r="I7" s="48">
        <v>0.73760000000000003</v>
      </c>
      <c r="J7" s="54">
        <v>46164</v>
      </c>
      <c r="K7" s="54">
        <v>46288</v>
      </c>
      <c r="L7" s="54">
        <v>46164</v>
      </c>
      <c r="M7" s="54">
        <v>46288</v>
      </c>
      <c r="O7" s="51" t="str">
        <f t="shared" si="0"/>
        <v/>
      </c>
      <c r="P7" s="51" t="str">
        <f t="shared" si="1"/>
        <v/>
      </c>
      <c r="Q7" s="52" t="str">
        <f t="shared" si="2"/>
        <v/>
      </c>
      <c r="R7" s="52" t="str">
        <f t="shared" si="3"/>
        <v/>
      </c>
      <c r="S7" s="51" t="str">
        <f t="shared" si="4"/>
        <v/>
      </c>
      <c r="T7" t="str">
        <f t="shared" si="5"/>
        <v/>
      </c>
      <c r="U7" s="52" t="str">
        <f t="shared" si="6"/>
        <v/>
      </c>
    </row>
    <row r="8" spans="2:21" x14ac:dyDescent="0.25">
      <c r="B8">
        <v>5</v>
      </c>
      <c r="E8" t="s">
        <v>1491</v>
      </c>
      <c r="F8" t="s">
        <v>1459</v>
      </c>
      <c r="G8">
        <v>125</v>
      </c>
      <c r="H8" s="48">
        <v>0.74219999999999997</v>
      </c>
      <c r="I8" s="48">
        <v>0.73760000000000003</v>
      </c>
      <c r="J8" s="54">
        <v>46164</v>
      </c>
      <c r="K8" s="54">
        <v>46288</v>
      </c>
      <c r="L8" s="54">
        <v>46164</v>
      </c>
      <c r="M8" s="54">
        <v>46288</v>
      </c>
      <c r="O8" s="51" t="str">
        <f t="shared" si="0"/>
        <v/>
      </c>
      <c r="P8" s="51" t="str">
        <f t="shared" si="1"/>
        <v/>
      </c>
      <c r="Q8" s="52" t="str">
        <f t="shared" si="2"/>
        <v/>
      </c>
      <c r="R8" s="52" t="str">
        <f t="shared" si="3"/>
        <v/>
      </c>
      <c r="S8" s="51" t="str">
        <f t="shared" si="4"/>
        <v/>
      </c>
      <c r="T8" t="str">
        <f t="shared" si="5"/>
        <v/>
      </c>
      <c r="U8" s="52" t="str">
        <f t="shared" si="6"/>
        <v/>
      </c>
    </row>
    <row r="9" spans="2:21" x14ac:dyDescent="0.25">
      <c r="B9">
        <v>6</v>
      </c>
      <c r="E9" t="s">
        <v>1492</v>
      </c>
      <c r="F9" t="s">
        <v>1459</v>
      </c>
      <c r="G9">
        <v>125</v>
      </c>
      <c r="H9" s="48">
        <v>0.74219999999999997</v>
      </c>
      <c r="I9" s="48">
        <v>0.73760000000000003</v>
      </c>
      <c r="J9" s="54">
        <v>46164</v>
      </c>
      <c r="K9" s="54">
        <v>46288</v>
      </c>
      <c r="L9" s="54">
        <v>46164</v>
      </c>
      <c r="M9" s="54">
        <v>46288</v>
      </c>
      <c r="O9" s="51" t="str">
        <f t="shared" si="0"/>
        <v/>
      </c>
      <c r="P9" s="51" t="str">
        <f t="shared" si="1"/>
        <v/>
      </c>
      <c r="Q9" s="52" t="str">
        <f t="shared" si="2"/>
        <v/>
      </c>
      <c r="R9" s="52" t="str">
        <f t="shared" si="3"/>
        <v/>
      </c>
      <c r="S9" s="51" t="str">
        <f t="shared" si="4"/>
        <v/>
      </c>
      <c r="T9" t="str">
        <f t="shared" si="5"/>
        <v/>
      </c>
      <c r="U9" s="52" t="str">
        <f t="shared" si="6"/>
        <v/>
      </c>
    </row>
    <row r="10" spans="2:21" x14ac:dyDescent="0.25">
      <c r="B10">
        <v>7</v>
      </c>
      <c r="E10" t="s">
        <v>1493</v>
      </c>
      <c r="F10" t="s">
        <v>1494</v>
      </c>
      <c r="G10">
        <v>1</v>
      </c>
      <c r="H10" s="48">
        <v>1</v>
      </c>
      <c r="I10" s="48">
        <v>1</v>
      </c>
      <c r="J10" s="54">
        <v>46164</v>
      </c>
      <c r="K10" s="54">
        <v>46164</v>
      </c>
      <c r="L10" s="54">
        <v>46164</v>
      </c>
      <c r="M10" s="54">
        <v>46164</v>
      </c>
      <c r="O10" s="51" t="str">
        <f t="shared" si="0"/>
        <v/>
      </c>
      <c r="P10" s="51" t="str">
        <f t="shared" si="1"/>
        <v/>
      </c>
      <c r="Q10" s="52" t="str">
        <f t="shared" si="2"/>
        <v/>
      </c>
      <c r="R10" s="52" t="str">
        <f t="shared" si="3"/>
        <v/>
      </c>
      <c r="S10" s="51" t="str">
        <f t="shared" si="4"/>
        <v/>
      </c>
      <c r="T10" t="str">
        <f t="shared" si="5"/>
        <v/>
      </c>
      <c r="U10" s="52" t="str">
        <f t="shared" si="6"/>
        <v/>
      </c>
    </row>
    <row r="11" spans="2:21" x14ac:dyDescent="0.25">
      <c r="B11">
        <v>8</v>
      </c>
      <c r="E11" t="s">
        <v>1495</v>
      </c>
      <c r="F11" t="s">
        <v>1494</v>
      </c>
      <c r="G11">
        <v>1</v>
      </c>
      <c r="H11" s="48">
        <v>1</v>
      </c>
      <c r="I11" s="48">
        <v>1</v>
      </c>
      <c r="J11" s="54">
        <v>46164</v>
      </c>
      <c r="K11" s="54">
        <v>46164</v>
      </c>
      <c r="L11" s="54">
        <v>46164</v>
      </c>
      <c r="M11" s="54">
        <v>46164</v>
      </c>
      <c r="O11" s="51" t="str">
        <f t="shared" si="0"/>
        <v/>
      </c>
      <c r="P11" s="51" t="str">
        <f t="shared" si="1"/>
        <v/>
      </c>
      <c r="Q11" s="52" t="str">
        <f t="shared" si="2"/>
        <v/>
      </c>
      <c r="R11" s="52" t="str">
        <f t="shared" si="3"/>
        <v/>
      </c>
      <c r="S11" s="51" t="str">
        <f t="shared" si="4"/>
        <v/>
      </c>
      <c r="T11" t="str">
        <f t="shared" si="5"/>
        <v/>
      </c>
      <c r="U11" s="52" t="str">
        <f t="shared" si="6"/>
        <v/>
      </c>
    </row>
    <row r="12" spans="2:21" x14ac:dyDescent="0.25">
      <c r="B12">
        <v>9</v>
      </c>
      <c r="E12" t="s">
        <v>1496</v>
      </c>
      <c r="F12" t="s">
        <v>1497</v>
      </c>
      <c r="G12">
        <v>95</v>
      </c>
      <c r="H12" s="48">
        <v>0</v>
      </c>
      <c r="I12" s="48">
        <v>0</v>
      </c>
      <c r="J12" s="54">
        <v>46167</v>
      </c>
      <c r="K12" s="54">
        <v>46220</v>
      </c>
      <c r="L12" s="54">
        <v>46167</v>
      </c>
      <c r="M12" s="54">
        <v>46261</v>
      </c>
      <c r="O12" s="51" t="str">
        <f t="shared" si="0"/>
        <v/>
      </c>
      <c r="P12" s="51" t="str">
        <f t="shared" si="1"/>
        <v/>
      </c>
      <c r="Q12" s="52" t="str">
        <f t="shared" si="2"/>
        <v/>
      </c>
      <c r="R12" s="52" t="str">
        <f t="shared" si="3"/>
        <v/>
      </c>
      <c r="S12" s="51" t="str">
        <f t="shared" si="4"/>
        <v/>
      </c>
      <c r="T12" t="str">
        <f t="shared" si="5"/>
        <v/>
      </c>
      <c r="U12" s="52" t="str">
        <f t="shared" si="6"/>
        <v/>
      </c>
    </row>
    <row r="13" spans="2:21" x14ac:dyDescent="0.25">
      <c r="B13">
        <v>10</v>
      </c>
      <c r="E13" t="s">
        <v>1498</v>
      </c>
      <c r="F13" t="s">
        <v>1494</v>
      </c>
      <c r="G13">
        <v>1</v>
      </c>
      <c r="H13" s="48">
        <v>1</v>
      </c>
      <c r="I13" s="48">
        <v>1</v>
      </c>
      <c r="J13" s="54">
        <v>46167</v>
      </c>
      <c r="K13" s="54">
        <v>46167</v>
      </c>
      <c r="L13" s="54">
        <v>46167</v>
      </c>
      <c r="M13" s="54">
        <v>46167</v>
      </c>
      <c r="O13" s="51" t="str">
        <f t="shared" si="0"/>
        <v/>
      </c>
      <c r="P13" s="51" t="str">
        <f t="shared" si="1"/>
        <v/>
      </c>
      <c r="Q13" s="52" t="str">
        <f t="shared" si="2"/>
        <v/>
      </c>
      <c r="R13" s="52" t="str">
        <f t="shared" si="3"/>
        <v/>
      </c>
      <c r="S13" s="51" t="str">
        <f t="shared" si="4"/>
        <v/>
      </c>
      <c r="T13" t="str">
        <f t="shared" si="5"/>
        <v/>
      </c>
      <c r="U13" s="52" t="str">
        <f t="shared" si="6"/>
        <v/>
      </c>
    </row>
    <row r="14" spans="2:21" x14ac:dyDescent="0.25">
      <c r="B14">
        <v>11</v>
      </c>
      <c r="E14" t="s">
        <v>1499</v>
      </c>
      <c r="F14" t="s">
        <v>1494</v>
      </c>
      <c r="G14">
        <v>1</v>
      </c>
      <c r="H14" s="48">
        <v>1</v>
      </c>
      <c r="I14" s="48">
        <v>1</v>
      </c>
      <c r="J14" s="54">
        <v>46167</v>
      </c>
      <c r="K14" s="54">
        <v>46167</v>
      </c>
      <c r="L14" s="54">
        <v>46167</v>
      </c>
      <c r="M14" s="54">
        <v>46167</v>
      </c>
      <c r="O14" s="51" t="str">
        <f t="shared" si="0"/>
        <v/>
      </c>
      <c r="P14" s="51" t="str">
        <f t="shared" si="1"/>
        <v/>
      </c>
      <c r="Q14" s="52" t="str">
        <f t="shared" si="2"/>
        <v/>
      </c>
      <c r="R14" s="52" t="str">
        <f t="shared" si="3"/>
        <v/>
      </c>
      <c r="S14" s="51" t="str">
        <f t="shared" si="4"/>
        <v/>
      </c>
      <c r="T14" t="str">
        <f t="shared" si="5"/>
        <v/>
      </c>
      <c r="U14" s="52" t="str">
        <f t="shared" si="6"/>
        <v/>
      </c>
    </row>
    <row r="15" spans="2:21" x14ac:dyDescent="0.25">
      <c r="B15">
        <v>12</v>
      </c>
      <c r="E15" t="s">
        <v>1500</v>
      </c>
      <c r="F15" t="s">
        <v>1494</v>
      </c>
      <c r="G15">
        <v>1</v>
      </c>
      <c r="H15" s="48">
        <v>1</v>
      </c>
      <c r="I15" s="48">
        <v>1</v>
      </c>
      <c r="J15" s="54">
        <v>46167</v>
      </c>
      <c r="K15" s="54">
        <v>46167</v>
      </c>
      <c r="L15" s="54">
        <v>46167</v>
      </c>
      <c r="M15" s="54">
        <v>46167</v>
      </c>
      <c r="O15" s="51" t="str">
        <f t="shared" si="0"/>
        <v/>
      </c>
      <c r="P15" s="51" t="str">
        <f t="shared" si="1"/>
        <v/>
      </c>
      <c r="Q15" s="52" t="str">
        <f t="shared" si="2"/>
        <v/>
      </c>
      <c r="R15" s="52" t="str">
        <f t="shared" si="3"/>
        <v/>
      </c>
      <c r="S15" s="51" t="str">
        <f t="shared" si="4"/>
        <v/>
      </c>
      <c r="T15" t="str">
        <f t="shared" si="5"/>
        <v/>
      </c>
      <c r="U15" s="52" t="str">
        <f t="shared" si="6"/>
        <v/>
      </c>
    </row>
    <row r="16" spans="2:21" x14ac:dyDescent="0.25">
      <c r="B16">
        <v>13</v>
      </c>
      <c r="E16" t="s">
        <v>1501</v>
      </c>
      <c r="F16" t="s">
        <v>1494</v>
      </c>
      <c r="G16">
        <v>1</v>
      </c>
      <c r="H16" s="48">
        <v>1</v>
      </c>
      <c r="I16" s="48">
        <v>1</v>
      </c>
      <c r="J16" s="54">
        <v>46174</v>
      </c>
      <c r="K16" s="54">
        <v>46174</v>
      </c>
      <c r="L16" s="54">
        <v>46174</v>
      </c>
      <c r="M16" s="54">
        <v>46174</v>
      </c>
      <c r="O16" s="51" t="str">
        <f t="shared" si="0"/>
        <v/>
      </c>
      <c r="P16" s="51" t="str">
        <f t="shared" si="1"/>
        <v/>
      </c>
      <c r="Q16" s="52" t="str">
        <f t="shared" si="2"/>
        <v/>
      </c>
      <c r="R16" s="52" t="str">
        <f t="shared" si="3"/>
        <v/>
      </c>
      <c r="S16" s="51" t="str">
        <f t="shared" si="4"/>
        <v/>
      </c>
      <c r="T16" t="str">
        <f t="shared" si="5"/>
        <v/>
      </c>
      <c r="U16" s="52" t="str">
        <f t="shared" si="6"/>
        <v/>
      </c>
    </row>
    <row r="17" spans="2:21" x14ac:dyDescent="0.25">
      <c r="B17">
        <v>14</v>
      </c>
      <c r="E17" t="s">
        <v>1502</v>
      </c>
      <c r="F17" t="s">
        <v>1494</v>
      </c>
      <c r="G17">
        <v>1</v>
      </c>
      <c r="H17" s="48">
        <v>1</v>
      </c>
      <c r="I17" s="48">
        <v>1</v>
      </c>
      <c r="J17" s="54">
        <v>46176</v>
      </c>
      <c r="K17" s="54">
        <v>46176</v>
      </c>
      <c r="L17" s="54">
        <v>46176</v>
      </c>
      <c r="M17" s="54">
        <v>46176</v>
      </c>
      <c r="O17" s="51" t="str">
        <f t="shared" si="0"/>
        <v/>
      </c>
      <c r="P17" s="51" t="str">
        <f t="shared" si="1"/>
        <v/>
      </c>
      <c r="Q17" s="52" t="str">
        <f t="shared" si="2"/>
        <v/>
      </c>
      <c r="R17" s="52" t="str">
        <f t="shared" si="3"/>
        <v/>
      </c>
      <c r="S17" s="51" t="str">
        <f t="shared" si="4"/>
        <v/>
      </c>
      <c r="T17" t="str">
        <f t="shared" si="5"/>
        <v/>
      </c>
      <c r="U17" s="52" t="str">
        <f t="shared" si="6"/>
        <v/>
      </c>
    </row>
    <row r="18" spans="2:21" x14ac:dyDescent="0.25">
      <c r="B18">
        <v>15</v>
      </c>
      <c r="E18" t="s">
        <v>1503</v>
      </c>
      <c r="F18" t="s">
        <v>1494</v>
      </c>
      <c r="G18">
        <v>1</v>
      </c>
      <c r="H18" s="48">
        <v>0</v>
      </c>
      <c r="I18" s="48">
        <v>0</v>
      </c>
      <c r="J18" s="54">
        <v>46220</v>
      </c>
      <c r="K18" s="54">
        <v>46220</v>
      </c>
      <c r="L18" s="54">
        <v>46220</v>
      </c>
      <c r="M18" s="54">
        <v>46220</v>
      </c>
      <c r="O18" s="51" t="str">
        <f t="shared" si="0"/>
        <v/>
      </c>
      <c r="P18" s="51" t="str">
        <f t="shared" si="1"/>
        <v/>
      </c>
      <c r="Q18" s="52" t="str">
        <f t="shared" si="2"/>
        <v/>
      </c>
      <c r="R18" s="52" t="str">
        <f t="shared" si="3"/>
        <v/>
      </c>
      <c r="S18" s="51" t="str">
        <f t="shared" si="4"/>
        <v/>
      </c>
      <c r="T18" t="str">
        <f t="shared" si="5"/>
        <v/>
      </c>
      <c r="U18" s="52" t="str">
        <f t="shared" si="6"/>
        <v/>
      </c>
    </row>
    <row r="19" spans="2:21" x14ac:dyDescent="0.25">
      <c r="B19">
        <v>16</v>
      </c>
      <c r="E19" t="s">
        <v>1504</v>
      </c>
      <c r="F19" t="s">
        <v>1494</v>
      </c>
      <c r="G19">
        <v>1</v>
      </c>
      <c r="H19" s="48">
        <v>1</v>
      </c>
      <c r="I19" s="48">
        <v>1</v>
      </c>
      <c r="J19" s="54">
        <v>46185</v>
      </c>
      <c r="K19" s="54">
        <v>46185</v>
      </c>
      <c r="L19" s="54">
        <v>46185</v>
      </c>
      <c r="M19" s="54">
        <v>46185</v>
      </c>
      <c r="O19" s="51" t="str">
        <f t="shared" si="0"/>
        <v/>
      </c>
      <c r="P19" s="51" t="str">
        <f t="shared" si="1"/>
        <v/>
      </c>
      <c r="Q19" s="52" t="str">
        <f t="shared" si="2"/>
        <v/>
      </c>
      <c r="R19" s="52" t="str">
        <f t="shared" si="3"/>
        <v/>
      </c>
      <c r="S19" s="51" t="str">
        <f t="shared" si="4"/>
        <v/>
      </c>
      <c r="T19" t="str">
        <f t="shared" si="5"/>
        <v/>
      </c>
      <c r="U19" s="52" t="str">
        <f t="shared" si="6"/>
        <v/>
      </c>
    </row>
    <row r="20" spans="2:21" x14ac:dyDescent="0.25">
      <c r="B20">
        <v>17</v>
      </c>
      <c r="E20" t="s">
        <v>1505</v>
      </c>
      <c r="F20" t="s">
        <v>1494</v>
      </c>
      <c r="G20">
        <v>1</v>
      </c>
      <c r="H20" s="48">
        <v>0</v>
      </c>
      <c r="I20" s="48">
        <v>0</v>
      </c>
      <c r="J20" s="54" t="s">
        <v>1506</v>
      </c>
      <c r="K20" s="54" t="s">
        <v>1506</v>
      </c>
      <c r="L20" s="54">
        <v>46255</v>
      </c>
      <c r="M20" s="54">
        <v>46255</v>
      </c>
      <c r="O20" s="51" t="str">
        <f t="shared" si="0"/>
        <v/>
      </c>
      <c r="P20" s="51" t="str">
        <f t="shared" si="1"/>
        <v/>
      </c>
      <c r="Q20" s="52" t="str">
        <f t="shared" si="2"/>
        <v/>
      </c>
      <c r="R20" s="52" t="str">
        <f t="shared" si="3"/>
        <v/>
      </c>
      <c r="S20" s="51" t="str">
        <f t="shared" si="4"/>
        <v/>
      </c>
      <c r="T20" t="str">
        <f t="shared" si="5"/>
        <v/>
      </c>
      <c r="U20" s="52" t="str">
        <f t="shared" si="6"/>
        <v/>
      </c>
    </row>
    <row r="21" spans="2:21" x14ac:dyDescent="0.25">
      <c r="B21">
        <v>18</v>
      </c>
      <c r="E21" t="s">
        <v>1507</v>
      </c>
      <c r="F21" t="s">
        <v>1494</v>
      </c>
      <c r="G21">
        <v>1</v>
      </c>
      <c r="H21" s="48">
        <v>0</v>
      </c>
      <c r="I21" s="48">
        <v>0</v>
      </c>
      <c r="J21" s="54" t="s">
        <v>1506</v>
      </c>
      <c r="K21" s="54" t="s">
        <v>1506</v>
      </c>
      <c r="L21" s="54">
        <v>46261</v>
      </c>
      <c r="M21" s="54">
        <v>46261</v>
      </c>
      <c r="O21" s="51" t="str">
        <f t="shared" si="0"/>
        <v/>
      </c>
      <c r="P21" s="51" t="str">
        <f t="shared" si="1"/>
        <v/>
      </c>
      <c r="Q21" s="52" t="str">
        <f t="shared" si="2"/>
        <v/>
      </c>
      <c r="R21" s="52" t="str">
        <f t="shared" si="3"/>
        <v/>
      </c>
      <c r="S21" s="51" t="str">
        <f t="shared" si="4"/>
        <v/>
      </c>
      <c r="T21" t="str">
        <f t="shared" si="5"/>
        <v/>
      </c>
      <c r="U21" s="52" t="str">
        <f t="shared" si="6"/>
        <v/>
      </c>
    </row>
    <row r="22" spans="2:21" x14ac:dyDescent="0.25">
      <c r="B22">
        <v>19</v>
      </c>
      <c r="E22" t="s">
        <v>1508</v>
      </c>
      <c r="F22" t="s">
        <v>1509</v>
      </c>
      <c r="G22">
        <v>19</v>
      </c>
      <c r="H22" s="48">
        <v>1</v>
      </c>
      <c r="I22" s="48">
        <v>1</v>
      </c>
      <c r="J22" s="54">
        <v>46164</v>
      </c>
      <c r="K22" s="54">
        <v>46182</v>
      </c>
      <c r="L22" s="54">
        <v>46164</v>
      </c>
      <c r="M22" s="54">
        <v>46182</v>
      </c>
      <c r="O22" s="51" t="str">
        <f t="shared" si="0"/>
        <v/>
      </c>
      <c r="P22" s="51" t="str">
        <f t="shared" si="1"/>
        <v/>
      </c>
      <c r="Q22" s="52" t="str">
        <f t="shared" si="2"/>
        <v/>
      </c>
      <c r="R22" s="52" t="str">
        <f t="shared" si="3"/>
        <v/>
      </c>
      <c r="S22" s="51" t="str">
        <f t="shared" si="4"/>
        <v/>
      </c>
      <c r="T22" t="str">
        <f t="shared" si="5"/>
        <v/>
      </c>
      <c r="U22" s="52" t="str">
        <f t="shared" si="6"/>
        <v/>
      </c>
    </row>
    <row r="23" spans="2:21" x14ac:dyDescent="0.25">
      <c r="B23">
        <v>20</v>
      </c>
      <c r="E23" t="s">
        <v>1510</v>
      </c>
      <c r="F23" t="s">
        <v>1509</v>
      </c>
      <c r="G23">
        <v>19</v>
      </c>
      <c r="H23" s="48">
        <v>1</v>
      </c>
      <c r="I23" s="48">
        <v>1</v>
      </c>
      <c r="J23" s="54">
        <v>46164</v>
      </c>
      <c r="K23" s="54">
        <v>46182</v>
      </c>
      <c r="L23" s="54">
        <v>46164</v>
      </c>
      <c r="M23" s="54">
        <v>46182</v>
      </c>
      <c r="O23" s="51" t="str">
        <f t="shared" si="0"/>
        <v/>
      </c>
      <c r="P23" s="51" t="str">
        <f t="shared" si="1"/>
        <v/>
      </c>
      <c r="Q23" s="52" t="str">
        <f t="shared" si="2"/>
        <v/>
      </c>
      <c r="R23" s="52" t="str">
        <f t="shared" si="3"/>
        <v/>
      </c>
      <c r="S23" s="51" t="str">
        <f t="shared" si="4"/>
        <v/>
      </c>
      <c r="T23" t="str">
        <f t="shared" si="5"/>
        <v/>
      </c>
      <c r="U23" s="52" t="str">
        <f t="shared" si="6"/>
        <v/>
      </c>
    </row>
    <row r="24" spans="2:21" x14ac:dyDescent="0.25">
      <c r="B24">
        <v>21</v>
      </c>
      <c r="E24" t="s">
        <v>1511</v>
      </c>
      <c r="F24" t="s">
        <v>1509</v>
      </c>
      <c r="G24">
        <v>19</v>
      </c>
      <c r="H24" s="48">
        <v>1</v>
      </c>
      <c r="I24" s="48">
        <v>1</v>
      </c>
      <c r="J24" s="54">
        <v>46164</v>
      </c>
      <c r="K24" s="54">
        <v>46182</v>
      </c>
      <c r="L24" s="54">
        <v>46164</v>
      </c>
      <c r="M24" s="54">
        <v>46182</v>
      </c>
      <c r="O24" s="51" t="str">
        <f t="shared" si="0"/>
        <v/>
      </c>
      <c r="P24" s="51" t="str">
        <f t="shared" si="1"/>
        <v/>
      </c>
      <c r="Q24" s="52" t="str">
        <f t="shared" si="2"/>
        <v/>
      </c>
      <c r="R24" s="52" t="str">
        <f t="shared" si="3"/>
        <v/>
      </c>
      <c r="S24" s="51" t="str">
        <f t="shared" si="4"/>
        <v/>
      </c>
      <c r="T24" t="str">
        <f t="shared" si="5"/>
        <v/>
      </c>
      <c r="U24" s="52" t="str">
        <f t="shared" si="6"/>
        <v/>
      </c>
    </row>
    <row r="25" spans="2:21" x14ac:dyDescent="0.25">
      <c r="B25">
        <v>22</v>
      </c>
      <c r="E25" t="s">
        <v>1512</v>
      </c>
      <c r="F25" t="s">
        <v>1473</v>
      </c>
      <c r="G25">
        <v>107</v>
      </c>
      <c r="H25" s="48">
        <v>0.7</v>
      </c>
      <c r="I25" s="48">
        <v>0.7</v>
      </c>
      <c r="J25" s="54">
        <v>46182</v>
      </c>
      <c r="K25" s="54">
        <v>46288</v>
      </c>
      <c r="L25" s="54">
        <v>46182</v>
      </c>
      <c r="M25" s="54">
        <v>46288</v>
      </c>
      <c r="O25" s="51" t="str">
        <f t="shared" si="0"/>
        <v/>
      </c>
      <c r="P25" s="51" t="str">
        <f t="shared" si="1"/>
        <v/>
      </c>
      <c r="Q25" s="52" t="str">
        <f t="shared" si="2"/>
        <v/>
      </c>
      <c r="R25" s="52" t="str">
        <f t="shared" si="3"/>
        <v/>
      </c>
      <c r="S25" s="51" t="str">
        <f t="shared" si="4"/>
        <v/>
      </c>
      <c r="T25" t="str">
        <f t="shared" si="5"/>
        <v/>
      </c>
      <c r="U25" s="52" t="str">
        <f t="shared" si="6"/>
        <v/>
      </c>
    </row>
    <row r="26" spans="2:21" x14ac:dyDescent="0.25">
      <c r="B26">
        <v>23</v>
      </c>
      <c r="C26" t="s">
        <v>129</v>
      </c>
      <c r="D26" t="s">
        <v>823</v>
      </c>
      <c r="E26" t="s">
        <v>1513</v>
      </c>
      <c r="F26" t="s">
        <v>1514</v>
      </c>
      <c r="G26">
        <v>28</v>
      </c>
      <c r="H26" s="48">
        <v>1</v>
      </c>
      <c r="I26" s="48">
        <v>1</v>
      </c>
      <c r="J26" s="54">
        <v>46182</v>
      </c>
      <c r="K26" s="54">
        <v>46205</v>
      </c>
      <c r="L26" s="54">
        <v>46182</v>
      </c>
      <c r="M26" s="54">
        <v>46209</v>
      </c>
      <c r="O26" s="51" t="str">
        <f t="shared" si="0"/>
        <v/>
      </c>
      <c r="P26" s="51" t="str">
        <f t="shared" si="1"/>
        <v/>
      </c>
      <c r="Q26" s="52" t="str">
        <f t="shared" si="2"/>
        <v/>
      </c>
      <c r="R26" s="52" t="str">
        <f t="shared" si="3"/>
        <v/>
      </c>
      <c r="S26" s="51" t="str">
        <f t="shared" si="4"/>
        <v/>
      </c>
      <c r="T26" t="str">
        <f t="shared" si="5"/>
        <v/>
      </c>
      <c r="U26" s="52" t="str">
        <f t="shared" si="6"/>
        <v/>
      </c>
    </row>
    <row r="27" spans="2:21" x14ac:dyDescent="0.25">
      <c r="B27">
        <v>24</v>
      </c>
      <c r="C27" t="s">
        <v>129</v>
      </c>
      <c r="D27" t="s">
        <v>823</v>
      </c>
      <c r="E27" t="s">
        <v>1515</v>
      </c>
      <c r="F27" t="s">
        <v>1516</v>
      </c>
      <c r="G27">
        <v>11</v>
      </c>
      <c r="H27" s="48">
        <v>1</v>
      </c>
      <c r="I27" s="48">
        <v>1</v>
      </c>
      <c r="J27" s="54">
        <v>46182</v>
      </c>
      <c r="K27" s="54">
        <v>46192</v>
      </c>
      <c r="L27" s="54">
        <v>46182</v>
      </c>
      <c r="M27" s="54">
        <v>46192</v>
      </c>
      <c r="O27" s="51" t="str">
        <f t="shared" si="0"/>
        <v>SIM</v>
      </c>
      <c r="P27" s="51" t="str">
        <f t="shared" si="1"/>
        <v>BL1132-0001-DC-LDO-2000</v>
      </c>
      <c r="Q27" s="52">
        <f t="shared" si="2"/>
        <v>46192</v>
      </c>
      <c r="R27" s="52">
        <f t="shared" si="3"/>
        <v>46192</v>
      </c>
      <c r="S27" s="51" t="str">
        <f t="shared" si="4"/>
        <v/>
      </c>
      <c r="T27" t="str">
        <f t="shared" si="5"/>
        <v/>
      </c>
      <c r="U27" s="52" t="str">
        <f t="shared" si="6"/>
        <v/>
      </c>
    </row>
    <row r="28" spans="2:21" x14ac:dyDescent="0.25">
      <c r="B28">
        <v>25</v>
      </c>
      <c r="C28" t="s">
        <v>129</v>
      </c>
      <c r="D28" t="s">
        <v>823</v>
      </c>
      <c r="E28" t="s">
        <v>1517</v>
      </c>
      <c r="F28" t="s">
        <v>1516</v>
      </c>
      <c r="G28">
        <v>13</v>
      </c>
      <c r="H28" s="48">
        <v>1</v>
      </c>
      <c r="I28" s="48">
        <v>1</v>
      </c>
      <c r="J28" s="54">
        <v>46192</v>
      </c>
      <c r="K28" s="54">
        <v>46197</v>
      </c>
      <c r="L28" s="54">
        <v>46192</v>
      </c>
      <c r="M28" s="54">
        <v>46204</v>
      </c>
      <c r="O28" s="51" t="str">
        <f t="shared" si="0"/>
        <v/>
      </c>
      <c r="P28" s="51" t="str">
        <f t="shared" si="1"/>
        <v/>
      </c>
      <c r="Q28" s="52" t="str">
        <f t="shared" si="2"/>
        <v/>
      </c>
      <c r="R28" s="52" t="str">
        <f t="shared" si="3"/>
        <v/>
      </c>
      <c r="S28" s="51" t="str">
        <f t="shared" si="4"/>
        <v/>
      </c>
      <c r="T28" t="str">
        <f t="shared" si="5"/>
        <v/>
      </c>
      <c r="U28" s="52" t="str">
        <f t="shared" si="6"/>
        <v/>
      </c>
    </row>
    <row r="29" spans="2:21" x14ac:dyDescent="0.25">
      <c r="B29">
        <v>26</v>
      </c>
      <c r="C29" t="s">
        <v>129</v>
      </c>
      <c r="D29" t="s">
        <v>823</v>
      </c>
      <c r="E29" t="s">
        <v>1518</v>
      </c>
      <c r="F29" t="s">
        <v>1519</v>
      </c>
      <c r="G29">
        <v>6</v>
      </c>
      <c r="H29" s="48">
        <v>1</v>
      </c>
      <c r="I29" s="48">
        <v>1</v>
      </c>
      <c r="J29" s="54">
        <v>46197</v>
      </c>
      <c r="K29" s="54">
        <v>46202</v>
      </c>
      <c r="L29" s="54">
        <v>46204</v>
      </c>
      <c r="M29" s="54">
        <v>46209</v>
      </c>
      <c r="O29" s="51" t="str">
        <f t="shared" si="0"/>
        <v/>
      </c>
      <c r="P29" s="51" t="str">
        <f t="shared" si="1"/>
        <v/>
      </c>
      <c r="Q29" s="52" t="str">
        <f t="shared" si="2"/>
        <v/>
      </c>
      <c r="R29" s="52" t="str">
        <f t="shared" si="3"/>
        <v/>
      </c>
      <c r="S29" s="51" t="str">
        <f t="shared" si="4"/>
        <v>SIM</v>
      </c>
      <c r="T29" t="str">
        <f t="shared" si="5"/>
        <v>BL1132-0001-DC-LDO-2000</v>
      </c>
      <c r="U29" s="52">
        <f t="shared" si="6"/>
        <v>46209</v>
      </c>
    </row>
    <row r="30" spans="2:21" x14ac:dyDescent="0.25">
      <c r="B30">
        <v>27</v>
      </c>
      <c r="C30" t="s">
        <v>129</v>
      </c>
      <c r="D30" t="s">
        <v>823</v>
      </c>
      <c r="E30" t="s">
        <v>1520</v>
      </c>
      <c r="F30" t="s">
        <v>1519</v>
      </c>
      <c r="G30">
        <v>6</v>
      </c>
      <c r="H30" s="48">
        <v>1</v>
      </c>
      <c r="I30" s="48">
        <v>1</v>
      </c>
      <c r="J30" s="54">
        <v>46202</v>
      </c>
      <c r="K30" s="54">
        <v>46205</v>
      </c>
      <c r="L30" s="54">
        <v>46204</v>
      </c>
      <c r="M30" s="54">
        <v>46209</v>
      </c>
      <c r="O30" s="51" t="str">
        <f t="shared" si="0"/>
        <v/>
      </c>
      <c r="P30" s="51" t="str">
        <f t="shared" si="1"/>
        <v/>
      </c>
      <c r="Q30" s="52" t="str">
        <f t="shared" si="2"/>
        <v/>
      </c>
      <c r="R30" s="52" t="str">
        <f t="shared" si="3"/>
        <v/>
      </c>
      <c r="S30" s="51" t="str">
        <f t="shared" si="4"/>
        <v/>
      </c>
      <c r="T30" t="str">
        <f t="shared" si="5"/>
        <v/>
      </c>
      <c r="U30" s="52" t="str">
        <f t="shared" si="6"/>
        <v/>
      </c>
    </row>
    <row r="31" spans="2:21" x14ac:dyDescent="0.25">
      <c r="B31">
        <v>28</v>
      </c>
      <c r="C31" t="s">
        <v>257</v>
      </c>
      <c r="D31" t="s">
        <v>1294</v>
      </c>
      <c r="E31" t="s">
        <v>1521</v>
      </c>
      <c r="F31" t="s">
        <v>1522</v>
      </c>
      <c r="G31">
        <v>32</v>
      </c>
      <c r="H31" s="48">
        <v>1</v>
      </c>
      <c r="I31" s="48">
        <v>1</v>
      </c>
      <c r="J31" s="54">
        <v>46182</v>
      </c>
      <c r="K31" s="54">
        <v>46205</v>
      </c>
      <c r="L31" s="54">
        <v>46182</v>
      </c>
      <c r="M31" s="54">
        <v>46213</v>
      </c>
      <c r="O31" s="51" t="str">
        <f t="shared" si="0"/>
        <v/>
      </c>
      <c r="P31" s="51" t="str">
        <f t="shared" si="1"/>
        <v/>
      </c>
      <c r="Q31" s="52" t="str">
        <f t="shared" si="2"/>
        <v/>
      </c>
      <c r="R31" s="52" t="str">
        <f t="shared" si="3"/>
        <v/>
      </c>
      <c r="S31" s="51" t="str">
        <f t="shared" si="4"/>
        <v/>
      </c>
      <c r="T31" t="str">
        <f t="shared" si="5"/>
        <v/>
      </c>
      <c r="U31" s="52" t="str">
        <f t="shared" si="6"/>
        <v/>
      </c>
    </row>
    <row r="32" spans="2:21" x14ac:dyDescent="0.25">
      <c r="B32">
        <v>29</v>
      </c>
      <c r="C32" t="s">
        <v>257</v>
      </c>
      <c r="D32" t="s">
        <v>1294</v>
      </c>
      <c r="E32" t="s">
        <v>1515</v>
      </c>
      <c r="F32" t="s">
        <v>1516</v>
      </c>
      <c r="G32">
        <v>11</v>
      </c>
      <c r="H32" s="48">
        <v>1</v>
      </c>
      <c r="I32" s="48">
        <v>1</v>
      </c>
      <c r="J32" s="54">
        <v>46182</v>
      </c>
      <c r="K32" s="54">
        <v>46192</v>
      </c>
      <c r="L32" s="54">
        <v>46182</v>
      </c>
      <c r="M32" s="54">
        <v>46192</v>
      </c>
      <c r="O32" s="51" t="str">
        <f t="shared" si="0"/>
        <v>SIM</v>
      </c>
      <c r="P32" s="51" t="str">
        <f t="shared" si="1"/>
        <v>BL1132-0001-PC-CRO-2000</v>
      </c>
      <c r="Q32" s="52">
        <f t="shared" si="2"/>
        <v>46192</v>
      </c>
      <c r="R32" s="52">
        <f t="shared" si="3"/>
        <v>46192</v>
      </c>
      <c r="S32" s="51" t="str">
        <f t="shared" si="4"/>
        <v/>
      </c>
      <c r="T32" t="str">
        <f t="shared" si="5"/>
        <v/>
      </c>
      <c r="U32" s="52" t="str">
        <f t="shared" si="6"/>
        <v/>
      </c>
    </row>
    <row r="33" spans="2:21" x14ac:dyDescent="0.25">
      <c r="B33">
        <v>30</v>
      </c>
      <c r="C33" t="s">
        <v>257</v>
      </c>
      <c r="D33" t="s">
        <v>1294</v>
      </c>
      <c r="E33" t="s">
        <v>1517</v>
      </c>
      <c r="F33" t="s">
        <v>1516</v>
      </c>
      <c r="G33">
        <v>13</v>
      </c>
      <c r="H33" s="48">
        <v>1</v>
      </c>
      <c r="I33" s="48">
        <v>1</v>
      </c>
      <c r="J33" s="54">
        <v>46192</v>
      </c>
      <c r="K33" s="54">
        <v>46197</v>
      </c>
      <c r="L33" s="54">
        <v>46192</v>
      </c>
      <c r="M33" s="54">
        <v>46204</v>
      </c>
      <c r="O33" s="51" t="str">
        <f t="shared" si="0"/>
        <v/>
      </c>
      <c r="P33" s="51" t="str">
        <f t="shared" si="1"/>
        <v/>
      </c>
      <c r="Q33" s="52" t="str">
        <f t="shared" si="2"/>
        <v/>
      </c>
      <c r="R33" s="52" t="str">
        <f t="shared" si="3"/>
        <v/>
      </c>
      <c r="S33" s="51" t="str">
        <f t="shared" si="4"/>
        <v/>
      </c>
      <c r="T33" t="str">
        <f t="shared" si="5"/>
        <v/>
      </c>
      <c r="U33" s="52" t="str">
        <f t="shared" si="6"/>
        <v/>
      </c>
    </row>
    <row r="34" spans="2:21" x14ac:dyDescent="0.25">
      <c r="B34">
        <v>31</v>
      </c>
      <c r="C34" t="s">
        <v>257</v>
      </c>
      <c r="D34" t="s">
        <v>1294</v>
      </c>
      <c r="E34" t="s">
        <v>1518</v>
      </c>
      <c r="F34" t="s">
        <v>1523</v>
      </c>
      <c r="G34">
        <v>10</v>
      </c>
      <c r="H34" s="48">
        <v>1</v>
      </c>
      <c r="I34" s="48">
        <v>1</v>
      </c>
      <c r="J34" s="54">
        <v>46197</v>
      </c>
      <c r="K34" s="54">
        <v>46202</v>
      </c>
      <c r="L34" s="54">
        <v>46204</v>
      </c>
      <c r="M34" s="54">
        <v>46213</v>
      </c>
      <c r="O34" s="51" t="str">
        <f t="shared" si="0"/>
        <v/>
      </c>
      <c r="P34" s="51" t="str">
        <f t="shared" si="1"/>
        <v/>
      </c>
      <c r="Q34" s="52" t="str">
        <f t="shared" si="2"/>
        <v/>
      </c>
      <c r="R34" s="52" t="str">
        <f t="shared" si="3"/>
        <v/>
      </c>
      <c r="S34" s="51" t="str">
        <f t="shared" si="4"/>
        <v>SIM</v>
      </c>
      <c r="T34" t="str">
        <f t="shared" si="5"/>
        <v>BL1132-0001-PC-CRO-2000</v>
      </c>
      <c r="U34" s="52">
        <f t="shared" si="6"/>
        <v>46213</v>
      </c>
    </row>
    <row r="35" spans="2:21" x14ac:dyDescent="0.25">
      <c r="B35">
        <v>32</v>
      </c>
      <c r="C35" t="s">
        <v>257</v>
      </c>
      <c r="D35" t="s">
        <v>1294</v>
      </c>
      <c r="E35" t="s">
        <v>1520</v>
      </c>
      <c r="F35" t="s">
        <v>1519</v>
      </c>
      <c r="G35">
        <v>4</v>
      </c>
      <c r="H35" s="48">
        <v>1</v>
      </c>
      <c r="I35" s="48">
        <v>1</v>
      </c>
      <c r="J35" s="54">
        <v>46202</v>
      </c>
      <c r="K35" s="54">
        <v>46205</v>
      </c>
      <c r="L35" s="54">
        <v>46210</v>
      </c>
      <c r="M35" s="54">
        <v>46213</v>
      </c>
      <c r="O35" s="51" t="str">
        <f t="shared" si="0"/>
        <v/>
      </c>
      <c r="P35" s="51" t="str">
        <f t="shared" si="1"/>
        <v/>
      </c>
      <c r="Q35" s="52" t="str">
        <f t="shared" si="2"/>
        <v/>
      </c>
      <c r="R35" s="52" t="str">
        <f t="shared" si="3"/>
        <v/>
      </c>
      <c r="S35" s="51" t="str">
        <f t="shared" si="4"/>
        <v/>
      </c>
      <c r="T35" t="str">
        <f t="shared" si="5"/>
        <v/>
      </c>
      <c r="U35" s="52" t="str">
        <f t="shared" si="6"/>
        <v/>
      </c>
    </row>
    <row r="36" spans="2:21" x14ac:dyDescent="0.25">
      <c r="B36">
        <v>33</v>
      </c>
      <c r="C36" t="s">
        <v>223</v>
      </c>
      <c r="D36" t="s">
        <v>1162</v>
      </c>
      <c r="E36" t="s">
        <v>1524</v>
      </c>
      <c r="F36" t="s">
        <v>1522</v>
      </c>
      <c r="G36">
        <v>32</v>
      </c>
      <c r="H36" s="48">
        <v>1</v>
      </c>
      <c r="I36" s="48">
        <v>1</v>
      </c>
      <c r="J36" s="54">
        <v>46182</v>
      </c>
      <c r="K36" s="54">
        <v>46205</v>
      </c>
      <c r="L36" s="54">
        <v>46182</v>
      </c>
      <c r="M36" s="54">
        <v>46213</v>
      </c>
      <c r="O36" s="51" t="str">
        <f t="shared" si="0"/>
        <v/>
      </c>
      <c r="P36" s="51" t="str">
        <f t="shared" si="1"/>
        <v/>
      </c>
      <c r="Q36" s="52" t="str">
        <f t="shared" si="2"/>
        <v/>
      </c>
      <c r="R36" s="52" t="str">
        <f t="shared" si="3"/>
        <v/>
      </c>
      <c r="S36" s="51" t="str">
        <f t="shared" si="4"/>
        <v/>
      </c>
      <c r="T36" t="str">
        <f t="shared" si="5"/>
        <v/>
      </c>
      <c r="U36" s="52" t="str">
        <f t="shared" si="6"/>
        <v/>
      </c>
    </row>
    <row r="37" spans="2:21" x14ac:dyDescent="0.25">
      <c r="B37">
        <v>34</v>
      </c>
      <c r="C37" t="s">
        <v>223</v>
      </c>
      <c r="D37" t="s">
        <v>1162</v>
      </c>
      <c r="E37" t="s">
        <v>1515</v>
      </c>
      <c r="F37" t="s">
        <v>1516</v>
      </c>
      <c r="G37">
        <v>11</v>
      </c>
      <c r="H37" s="48">
        <v>1</v>
      </c>
      <c r="I37" s="48">
        <v>1</v>
      </c>
      <c r="J37" s="54">
        <v>46182</v>
      </c>
      <c r="K37" s="54">
        <v>46192</v>
      </c>
      <c r="L37" s="54">
        <v>46182</v>
      </c>
      <c r="M37" s="54">
        <v>46192</v>
      </c>
      <c r="O37" s="51" t="str">
        <f t="shared" si="0"/>
        <v>SIM</v>
      </c>
      <c r="P37" s="51" t="str">
        <f t="shared" si="1"/>
        <v>BL1132-0001-GP-NCO-2000</v>
      </c>
      <c r="Q37" s="52">
        <f t="shared" si="2"/>
        <v>46192</v>
      </c>
      <c r="R37" s="52">
        <f t="shared" si="3"/>
        <v>46192</v>
      </c>
      <c r="S37" s="51" t="str">
        <f t="shared" si="4"/>
        <v/>
      </c>
      <c r="T37" t="str">
        <f t="shared" si="5"/>
        <v/>
      </c>
      <c r="U37" s="52" t="str">
        <f t="shared" si="6"/>
        <v/>
      </c>
    </row>
    <row r="38" spans="2:21" x14ac:dyDescent="0.25">
      <c r="B38">
        <v>35</v>
      </c>
      <c r="C38" t="s">
        <v>223</v>
      </c>
      <c r="D38" t="s">
        <v>1162</v>
      </c>
      <c r="E38" t="s">
        <v>1517</v>
      </c>
      <c r="F38" t="s">
        <v>1516</v>
      </c>
      <c r="G38">
        <v>13</v>
      </c>
      <c r="H38" s="48">
        <v>1</v>
      </c>
      <c r="I38" s="48">
        <v>1</v>
      </c>
      <c r="J38" s="54">
        <v>46192</v>
      </c>
      <c r="K38" s="54">
        <v>46197</v>
      </c>
      <c r="L38" s="54">
        <v>46192</v>
      </c>
      <c r="M38" s="54">
        <v>46204</v>
      </c>
      <c r="O38" s="51" t="str">
        <f t="shared" si="0"/>
        <v/>
      </c>
      <c r="P38" s="51" t="str">
        <f t="shared" si="1"/>
        <v/>
      </c>
      <c r="Q38" s="52" t="str">
        <f t="shared" si="2"/>
        <v/>
      </c>
      <c r="R38" s="52" t="str">
        <f t="shared" si="3"/>
        <v/>
      </c>
      <c r="S38" s="51" t="str">
        <f t="shared" si="4"/>
        <v/>
      </c>
      <c r="T38" t="str">
        <f t="shared" si="5"/>
        <v/>
      </c>
      <c r="U38" s="52" t="str">
        <f t="shared" si="6"/>
        <v/>
      </c>
    </row>
    <row r="39" spans="2:21" x14ac:dyDescent="0.25">
      <c r="B39">
        <v>36</v>
      </c>
      <c r="C39" t="s">
        <v>223</v>
      </c>
      <c r="D39" t="s">
        <v>1162</v>
      </c>
      <c r="E39" t="s">
        <v>1518</v>
      </c>
      <c r="F39" t="s">
        <v>1525</v>
      </c>
      <c r="G39">
        <v>7</v>
      </c>
      <c r="H39" s="48">
        <v>1</v>
      </c>
      <c r="I39" s="48">
        <v>1</v>
      </c>
      <c r="J39" s="54">
        <v>46197</v>
      </c>
      <c r="K39" s="54">
        <v>46202</v>
      </c>
      <c r="L39" s="54">
        <v>46204</v>
      </c>
      <c r="M39" s="54">
        <v>46210</v>
      </c>
      <c r="O39" s="51" t="str">
        <f t="shared" si="0"/>
        <v/>
      </c>
      <c r="P39" s="51" t="str">
        <f t="shared" si="1"/>
        <v/>
      </c>
      <c r="Q39" s="52" t="str">
        <f t="shared" si="2"/>
        <v/>
      </c>
      <c r="R39" s="52" t="str">
        <f t="shared" si="3"/>
        <v/>
      </c>
      <c r="S39" s="51" t="str">
        <f t="shared" si="4"/>
        <v>SIM</v>
      </c>
      <c r="T39" t="str">
        <f t="shared" si="5"/>
        <v>BL1132-0001-GP-NCO-2000</v>
      </c>
      <c r="U39" s="52">
        <f t="shared" si="6"/>
        <v>46210</v>
      </c>
    </row>
    <row r="40" spans="2:21" x14ac:dyDescent="0.25">
      <c r="B40">
        <v>37</v>
      </c>
      <c r="C40" t="s">
        <v>223</v>
      </c>
      <c r="D40" t="s">
        <v>1162</v>
      </c>
      <c r="E40" t="s">
        <v>1520</v>
      </c>
      <c r="F40" t="s">
        <v>1519</v>
      </c>
      <c r="G40">
        <v>4</v>
      </c>
      <c r="H40" s="48">
        <v>1</v>
      </c>
      <c r="I40" s="48">
        <v>1</v>
      </c>
      <c r="J40" s="54">
        <v>46202</v>
      </c>
      <c r="K40" s="54">
        <v>46205</v>
      </c>
      <c r="L40" s="54">
        <v>46210</v>
      </c>
      <c r="M40" s="54">
        <v>46213</v>
      </c>
      <c r="O40" s="51" t="str">
        <f t="shared" si="0"/>
        <v/>
      </c>
      <c r="P40" s="51" t="str">
        <f t="shared" si="1"/>
        <v/>
      </c>
      <c r="Q40" s="52" t="str">
        <f t="shared" si="2"/>
        <v/>
      </c>
      <c r="R40" s="52" t="str">
        <f t="shared" si="3"/>
        <v/>
      </c>
      <c r="S40" s="51" t="str">
        <f t="shared" si="4"/>
        <v/>
      </c>
      <c r="T40" t="str">
        <f t="shared" si="5"/>
        <v/>
      </c>
      <c r="U40" s="52" t="str">
        <f t="shared" si="6"/>
        <v/>
      </c>
    </row>
    <row r="41" spans="2:21" x14ac:dyDescent="0.25">
      <c r="B41">
        <v>38</v>
      </c>
      <c r="C41" t="s">
        <v>224</v>
      </c>
      <c r="D41" t="s">
        <v>1167</v>
      </c>
      <c r="E41" t="s">
        <v>1526</v>
      </c>
      <c r="F41" t="s">
        <v>1527</v>
      </c>
      <c r="G41">
        <v>22</v>
      </c>
      <c r="H41" s="48">
        <v>0</v>
      </c>
      <c r="I41" s="48">
        <v>0</v>
      </c>
      <c r="J41" s="54">
        <v>46267</v>
      </c>
      <c r="K41" s="54">
        <v>46288</v>
      </c>
      <c r="L41" s="54">
        <v>46267</v>
      </c>
      <c r="M41" s="54">
        <v>46288</v>
      </c>
      <c r="O41" s="51" t="str">
        <f t="shared" si="0"/>
        <v/>
      </c>
      <c r="P41" s="51" t="str">
        <f t="shared" si="1"/>
        <v/>
      </c>
      <c r="Q41" s="52" t="str">
        <f t="shared" si="2"/>
        <v/>
      </c>
      <c r="R41" s="52" t="str">
        <f t="shared" si="3"/>
        <v/>
      </c>
      <c r="S41" s="51" t="str">
        <f t="shared" si="4"/>
        <v/>
      </c>
      <c r="T41" t="str">
        <f t="shared" si="5"/>
        <v/>
      </c>
      <c r="U41" s="52" t="str">
        <f t="shared" si="6"/>
        <v/>
      </c>
    </row>
    <row r="42" spans="2:21" x14ac:dyDescent="0.25">
      <c r="B42">
        <v>39</v>
      </c>
      <c r="C42" t="s">
        <v>224</v>
      </c>
      <c r="D42" t="s">
        <v>1167</v>
      </c>
      <c r="E42" t="s">
        <v>1515</v>
      </c>
      <c r="F42" t="s">
        <v>1528</v>
      </c>
      <c r="G42">
        <v>9</v>
      </c>
      <c r="H42" s="48">
        <v>0</v>
      </c>
      <c r="I42" s="48">
        <v>0</v>
      </c>
      <c r="J42" s="54">
        <v>46267</v>
      </c>
      <c r="K42" s="54">
        <v>46275</v>
      </c>
      <c r="L42" s="54">
        <v>46267</v>
      </c>
      <c r="M42" s="54">
        <v>46275</v>
      </c>
      <c r="O42" s="51" t="str">
        <f t="shared" si="0"/>
        <v>SIM</v>
      </c>
      <c r="P42" s="51" t="str">
        <f t="shared" si="1"/>
        <v>BL1132-0001-GP-RTE-2000</v>
      </c>
      <c r="Q42" s="52">
        <f t="shared" si="2"/>
        <v>46275</v>
      </c>
      <c r="R42" s="52">
        <f t="shared" si="3"/>
        <v>46275</v>
      </c>
      <c r="S42" s="51" t="str">
        <f t="shared" si="4"/>
        <v/>
      </c>
      <c r="T42" t="str">
        <f t="shared" si="5"/>
        <v/>
      </c>
      <c r="U42" s="52" t="str">
        <f t="shared" si="6"/>
        <v/>
      </c>
    </row>
    <row r="43" spans="2:21" x14ac:dyDescent="0.25">
      <c r="B43">
        <v>40</v>
      </c>
      <c r="C43" t="s">
        <v>224</v>
      </c>
      <c r="D43" t="s">
        <v>1167</v>
      </c>
      <c r="E43" t="s">
        <v>1517</v>
      </c>
      <c r="F43" t="s">
        <v>1519</v>
      </c>
      <c r="G43">
        <v>6</v>
      </c>
      <c r="H43" s="48">
        <v>0</v>
      </c>
      <c r="I43" s="48">
        <v>0</v>
      </c>
      <c r="J43" s="54">
        <v>46275</v>
      </c>
      <c r="K43" s="54">
        <v>46280</v>
      </c>
      <c r="L43" s="54">
        <v>46275</v>
      </c>
      <c r="M43" s="54">
        <v>46280</v>
      </c>
      <c r="O43" s="51" t="str">
        <f t="shared" si="0"/>
        <v/>
      </c>
      <c r="P43" s="51" t="str">
        <f t="shared" si="1"/>
        <v/>
      </c>
      <c r="Q43" s="52" t="str">
        <f t="shared" si="2"/>
        <v/>
      </c>
      <c r="R43" s="52" t="str">
        <f t="shared" si="3"/>
        <v/>
      </c>
      <c r="S43" s="51" t="str">
        <f t="shared" si="4"/>
        <v/>
      </c>
      <c r="T43" t="str">
        <f t="shared" si="5"/>
        <v/>
      </c>
      <c r="U43" s="52" t="str">
        <f t="shared" si="6"/>
        <v/>
      </c>
    </row>
    <row r="44" spans="2:21" x14ac:dyDescent="0.25">
      <c r="B44">
        <v>41</v>
      </c>
      <c r="C44" t="s">
        <v>224</v>
      </c>
      <c r="D44" t="s">
        <v>1167</v>
      </c>
      <c r="E44" t="s">
        <v>1518</v>
      </c>
      <c r="F44" t="s">
        <v>1519</v>
      </c>
      <c r="G44">
        <v>4</v>
      </c>
      <c r="H44" s="48">
        <v>0</v>
      </c>
      <c r="I44" s="48">
        <v>0</v>
      </c>
      <c r="J44" s="54">
        <v>46280</v>
      </c>
      <c r="K44" s="54">
        <v>46283</v>
      </c>
      <c r="L44" s="54">
        <v>46280</v>
      </c>
      <c r="M44" s="54">
        <v>46283</v>
      </c>
      <c r="O44" s="51" t="str">
        <f t="shared" si="0"/>
        <v/>
      </c>
      <c r="P44" s="51" t="str">
        <f t="shared" si="1"/>
        <v/>
      </c>
      <c r="Q44" s="52" t="str">
        <f t="shared" si="2"/>
        <v/>
      </c>
      <c r="R44" s="52" t="str">
        <f t="shared" si="3"/>
        <v/>
      </c>
      <c r="S44" s="51" t="str">
        <f t="shared" si="4"/>
        <v>SIM</v>
      </c>
      <c r="T44" t="str">
        <f t="shared" si="5"/>
        <v>BL1132-0001-GP-RTE-2000</v>
      </c>
      <c r="U44" s="52">
        <f t="shared" si="6"/>
        <v>46283</v>
      </c>
    </row>
    <row r="45" spans="2:21" x14ac:dyDescent="0.25">
      <c r="B45">
        <v>42</v>
      </c>
      <c r="C45" t="s">
        <v>224</v>
      </c>
      <c r="D45" t="s">
        <v>1167</v>
      </c>
      <c r="E45" t="s">
        <v>1520</v>
      </c>
      <c r="F45" t="s">
        <v>1519</v>
      </c>
      <c r="G45">
        <v>6</v>
      </c>
      <c r="H45" s="48">
        <v>0</v>
      </c>
      <c r="I45" s="48">
        <v>0</v>
      </c>
      <c r="J45" s="54">
        <v>46283</v>
      </c>
      <c r="K45" s="54">
        <v>46288</v>
      </c>
      <c r="L45" s="54">
        <v>46283</v>
      </c>
      <c r="M45" s="54">
        <v>46288</v>
      </c>
      <c r="O45" s="51" t="str">
        <f t="shared" si="0"/>
        <v/>
      </c>
      <c r="P45" s="51" t="str">
        <f t="shared" si="1"/>
        <v/>
      </c>
      <c r="Q45" s="52" t="str">
        <f t="shared" si="2"/>
        <v/>
      </c>
      <c r="R45" s="52" t="str">
        <f t="shared" si="3"/>
        <v/>
      </c>
      <c r="S45" s="51" t="str">
        <f t="shared" si="4"/>
        <v/>
      </c>
      <c r="T45" t="str">
        <f t="shared" si="5"/>
        <v/>
      </c>
      <c r="U45" s="52" t="str">
        <f t="shared" si="6"/>
        <v/>
      </c>
    </row>
    <row r="46" spans="2:21" x14ac:dyDescent="0.25">
      <c r="B46">
        <v>43</v>
      </c>
      <c r="E46" t="s">
        <v>1529</v>
      </c>
      <c r="F46" t="s">
        <v>1459</v>
      </c>
      <c r="G46">
        <v>125</v>
      </c>
      <c r="H46" s="48">
        <v>0.79869999999999997</v>
      </c>
      <c r="I46" s="48">
        <v>0.78800000000000003</v>
      </c>
      <c r="J46" s="54">
        <v>46164</v>
      </c>
      <c r="K46" s="54">
        <v>46288</v>
      </c>
      <c r="L46" s="54">
        <v>46164</v>
      </c>
      <c r="M46" s="54">
        <v>46288</v>
      </c>
      <c r="O46" s="51" t="str">
        <f t="shared" si="0"/>
        <v/>
      </c>
      <c r="P46" s="51" t="str">
        <f t="shared" si="1"/>
        <v/>
      </c>
      <c r="Q46" s="52" t="str">
        <f t="shared" si="2"/>
        <v/>
      </c>
      <c r="R46" s="52" t="str">
        <f t="shared" si="3"/>
        <v/>
      </c>
      <c r="S46" s="51" t="str">
        <f t="shared" si="4"/>
        <v/>
      </c>
      <c r="T46" t="str">
        <f t="shared" si="5"/>
        <v/>
      </c>
      <c r="U46" s="52" t="str">
        <f t="shared" si="6"/>
        <v/>
      </c>
    </row>
    <row r="47" spans="2:21" x14ac:dyDescent="0.25">
      <c r="B47">
        <v>44</v>
      </c>
      <c r="E47" t="s">
        <v>1530</v>
      </c>
      <c r="F47" t="s">
        <v>1509</v>
      </c>
      <c r="G47">
        <v>19</v>
      </c>
      <c r="H47" s="48">
        <v>1</v>
      </c>
      <c r="I47" s="48">
        <v>1</v>
      </c>
      <c r="J47" s="54">
        <v>46164</v>
      </c>
      <c r="K47" s="54">
        <v>46182</v>
      </c>
      <c r="L47" s="54">
        <v>46164</v>
      </c>
      <c r="M47" s="54">
        <v>46182</v>
      </c>
      <c r="O47" s="51" t="str">
        <f t="shared" si="0"/>
        <v/>
      </c>
      <c r="P47" s="51" t="str">
        <f t="shared" si="1"/>
        <v/>
      </c>
      <c r="Q47" s="52" t="str">
        <f t="shared" si="2"/>
        <v/>
      </c>
      <c r="R47" s="52" t="str">
        <f t="shared" si="3"/>
        <v/>
      </c>
      <c r="S47" s="51" t="str">
        <f t="shared" si="4"/>
        <v/>
      </c>
      <c r="T47" t="str">
        <f t="shared" si="5"/>
        <v/>
      </c>
      <c r="U47" s="52" t="str">
        <f t="shared" si="6"/>
        <v/>
      </c>
    </row>
    <row r="48" spans="2:21" x14ac:dyDescent="0.25">
      <c r="B48">
        <v>45</v>
      </c>
      <c r="E48" t="s">
        <v>1531</v>
      </c>
      <c r="F48" t="s">
        <v>1528</v>
      </c>
      <c r="G48">
        <v>8</v>
      </c>
      <c r="H48" s="48">
        <v>1</v>
      </c>
      <c r="I48" s="48">
        <v>1</v>
      </c>
      <c r="J48" s="54">
        <v>46164</v>
      </c>
      <c r="K48" s="54">
        <v>46171</v>
      </c>
      <c r="L48" s="54">
        <v>46164</v>
      </c>
      <c r="M48" s="54">
        <v>46171</v>
      </c>
      <c r="O48" s="51" t="str">
        <f t="shared" si="0"/>
        <v/>
      </c>
      <c r="P48" s="51" t="str">
        <f t="shared" si="1"/>
        <v/>
      </c>
      <c r="Q48" s="52" t="str">
        <f t="shared" si="2"/>
        <v/>
      </c>
      <c r="R48" s="52" t="str">
        <f t="shared" si="3"/>
        <v/>
      </c>
      <c r="S48" s="51" t="str">
        <f t="shared" si="4"/>
        <v/>
      </c>
      <c r="T48" t="str">
        <f t="shared" si="5"/>
        <v/>
      </c>
      <c r="U48" s="52" t="str">
        <f t="shared" si="6"/>
        <v/>
      </c>
    </row>
    <row r="49" spans="2:21" x14ac:dyDescent="0.25">
      <c r="B49">
        <v>46</v>
      </c>
      <c r="E49" t="s">
        <v>1532</v>
      </c>
      <c r="F49" t="s">
        <v>1509</v>
      </c>
      <c r="G49">
        <v>19</v>
      </c>
      <c r="H49" s="48">
        <v>1</v>
      </c>
      <c r="I49" s="48">
        <v>1</v>
      </c>
      <c r="J49" s="54">
        <v>46164</v>
      </c>
      <c r="K49" s="54">
        <v>46182</v>
      </c>
      <c r="L49" s="54">
        <v>46164</v>
      </c>
      <c r="M49" s="54">
        <v>46182</v>
      </c>
      <c r="O49" s="51" t="str">
        <f t="shared" si="0"/>
        <v/>
      </c>
      <c r="P49" s="51" t="str">
        <f t="shared" si="1"/>
        <v/>
      </c>
      <c r="Q49" s="52" t="str">
        <f t="shared" si="2"/>
        <v/>
      </c>
      <c r="R49" s="52" t="str">
        <f t="shared" si="3"/>
        <v/>
      </c>
      <c r="S49" s="51" t="str">
        <f t="shared" si="4"/>
        <v/>
      </c>
      <c r="T49" t="str">
        <f t="shared" si="5"/>
        <v/>
      </c>
      <c r="U49" s="52" t="str">
        <f t="shared" si="6"/>
        <v/>
      </c>
    </row>
    <row r="50" spans="2:21" x14ac:dyDescent="0.25">
      <c r="B50">
        <v>47</v>
      </c>
      <c r="E50" t="s">
        <v>1533</v>
      </c>
      <c r="F50" t="s">
        <v>1528</v>
      </c>
      <c r="G50">
        <v>8</v>
      </c>
      <c r="H50" s="48">
        <v>1</v>
      </c>
      <c r="I50" s="48">
        <v>1</v>
      </c>
      <c r="J50" s="54">
        <v>46164</v>
      </c>
      <c r="K50" s="54">
        <v>46171</v>
      </c>
      <c r="L50" s="54">
        <v>46164</v>
      </c>
      <c r="M50" s="54">
        <v>46171</v>
      </c>
      <c r="O50" s="51" t="str">
        <f t="shared" si="0"/>
        <v/>
      </c>
      <c r="P50" s="51" t="str">
        <f t="shared" si="1"/>
        <v/>
      </c>
      <c r="Q50" s="52" t="str">
        <f t="shared" si="2"/>
        <v/>
      </c>
      <c r="R50" s="52" t="str">
        <f t="shared" si="3"/>
        <v/>
      </c>
      <c r="S50" s="51" t="str">
        <f t="shared" si="4"/>
        <v/>
      </c>
      <c r="T50" t="str">
        <f t="shared" si="5"/>
        <v/>
      </c>
      <c r="U50" s="52" t="str">
        <f t="shared" si="6"/>
        <v/>
      </c>
    </row>
    <row r="51" spans="2:21" x14ac:dyDescent="0.25">
      <c r="B51">
        <v>48</v>
      </c>
      <c r="C51" t="s">
        <v>131</v>
      </c>
      <c r="D51" t="s">
        <v>834</v>
      </c>
      <c r="E51" t="s">
        <v>1534</v>
      </c>
      <c r="F51" t="s">
        <v>1465</v>
      </c>
      <c r="G51">
        <v>49</v>
      </c>
      <c r="H51" s="48">
        <v>1</v>
      </c>
      <c r="I51" s="48">
        <v>0.97330000000000005</v>
      </c>
      <c r="J51" s="54">
        <v>46171</v>
      </c>
      <c r="K51" s="54">
        <v>46205</v>
      </c>
      <c r="L51" s="54">
        <v>46171</v>
      </c>
      <c r="M51" s="54">
        <v>46219</v>
      </c>
      <c r="O51" s="51" t="str">
        <f t="shared" si="0"/>
        <v/>
      </c>
      <c r="P51" s="51" t="str">
        <f t="shared" si="1"/>
        <v/>
      </c>
      <c r="Q51" s="52" t="str">
        <f t="shared" si="2"/>
        <v/>
      </c>
      <c r="R51" s="52" t="str">
        <f t="shared" si="3"/>
        <v/>
      </c>
      <c r="S51" s="51" t="str">
        <f t="shared" si="4"/>
        <v/>
      </c>
      <c r="T51" t="str">
        <f t="shared" si="5"/>
        <v/>
      </c>
      <c r="U51" s="52" t="str">
        <f t="shared" si="6"/>
        <v/>
      </c>
    </row>
    <row r="52" spans="2:21" x14ac:dyDescent="0.25">
      <c r="B52">
        <v>49</v>
      </c>
      <c r="C52" t="s">
        <v>131</v>
      </c>
      <c r="D52" t="s">
        <v>834</v>
      </c>
      <c r="E52" t="s">
        <v>1515</v>
      </c>
      <c r="F52" t="s">
        <v>1535</v>
      </c>
      <c r="G52">
        <v>22</v>
      </c>
      <c r="H52" s="48">
        <v>1</v>
      </c>
      <c r="I52" s="48">
        <v>1</v>
      </c>
      <c r="J52" s="54">
        <v>46171</v>
      </c>
      <c r="K52" s="54">
        <v>46192</v>
      </c>
      <c r="L52" s="54">
        <v>46171</v>
      </c>
      <c r="M52" s="54">
        <v>46192</v>
      </c>
      <c r="O52" s="51" t="str">
        <f t="shared" si="0"/>
        <v>SIM</v>
      </c>
      <c r="P52" s="51" t="str">
        <f t="shared" si="1"/>
        <v>BL1132-0001-ED-RTE-2000</v>
      </c>
      <c r="Q52" s="52">
        <f t="shared" si="2"/>
        <v>46192</v>
      </c>
      <c r="R52" s="52">
        <f t="shared" si="3"/>
        <v>46192</v>
      </c>
      <c r="S52" s="51" t="str">
        <f t="shared" si="4"/>
        <v/>
      </c>
      <c r="T52" t="str">
        <f t="shared" si="5"/>
        <v/>
      </c>
      <c r="U52" s="52" t="str">
        <f t="shared" si="6"/>
        <v/>
      </c>
    </row>
    <row r="53" spans="2:21" x14ac:dyDescent="0.25">
      <c r="B53">
        <v>50</v>
      </c>
      <c r="C53" t="s">
        <v>131</v>
      </c>
      <c r="D53" t="s">
        <v>834</v>
      </c>
      <c r="E53" t="s">
        <v>1517</v>
      </c>
      <c r="F53" t="s">
        <v>1516</v>
      </c>
      <c r="G53">
        <v>13</v>
      </c>
      <c r="H53" s="48">
        <v>1</v>
      </c>
      <c r="I53" s="48">
        <v>1</v>
      </c>
      <c r="J53" s="54">
        <v>46192</v>
      </c>
      <c r="K53" s="54">
        <v>46197</v>
      </c>
      <c r="L53" s="54">
        <v>46192</v>
      </c>
      <c r="M53" s="54">
        <v>46204</v>
      </c>
      <c r="O53" s="51" t="str">
        <f t="shared" si="0"/>
        <v/>
      </c>
      <c r="P53" s="51" t="str">
        <f t="shared" si="1"/>
        <v/>
      </c>
      <c r="Q53" s="52" t="str">
        <f t="shared" si="2"/>
        <v/>
      </c>
      <c r="R53" s="52" t="str">
        <f t="shared" si="3"/>
        <v/>
      </c>
      <c r="S53" s="51" t="str">
        <f t="shared" si="4"/>
        <v/>
      </c>
      <c r="T53" t="str">
        <f t="shared" si="5"/>
        <v/>
      </c>
      <c r="U53" s="52" t="str">
        <f t="shared" si="6"/>
        <v/>
      </c>
    </row>
    <row r="54" spans="2:21" x14ac:dyDescent="0.25">
      <c r="B54">
        <v>51</v>
      </c>
      <c r="C54" t="s">
        <v>131</v>
      </c>
      <c r="D54" t="s">
        <v>834</v>
      </c>
      <c r="E54" t="s">
        <v>1518</v>
      </c>
      <c r="F54" t="s">
        <v>1516</v>
      </c>
      <c r="G54">
        <v>13</v>
      </c>
      <c r="H54" s="48">
        <v>1</v>
      </c>
      <c r="I54" s="48">
        <v>1</v>
      </c>
      <c r="J54" s="54">
        <v>46197</v>
      </c>
      <c r="K54" s="54">
        <v>46202</v>
      </c>
      <c r="L54" s="54">
        <v>46204</v>
      </c>
      <c r="M54" s="54">
        <v>46216</v>
      </c>
      <c r="O54" s="51" t="str">
        <f t="shared" si="0"/>
        <v/>
      </c>
      <c r="P54" s="51" t="str">
        <f t="shared" si="1"/>
        <v/>
      </c>
      <c r="Q54" s="52" t="str">
        <f t="shared" si="2"/>
        <v/>
      </c>
      <c r="R54" s="52" t="str">
        <f t="shared" si="3"/>
        <v/>
      </c>
      <c r="S54" s="51" t="str">
        <f t="shared" si="4"/>
        <v>SIM</v>
      </c>
      <c r="T54" t="str">
        <f t="shared" si="5"/>
        <v>BL1132-0001-ED-RTE-2000</v>
      </c>
      <c r="U54" s="52">
        <f t="shared" si="6"/>
        <v>46216</v>
      </c>
    </row>
    <row r="55" spans="2:21" x14ac:dyDescent="0.25">
      <c r="B55">
        <v>52</v>
      </c>
      <c r="C55" t="s">
        <v>131</v>
      </c>
      <c r="D55" t="s">
        <v>834</v>
      </c>
      <c r="E55" t="s">
        <v>1520</v>
      </c>
      <c r="F55" t="s">
        <v>1519</v>
      </c>
      <c r="G55">
        <v>4</v>
      </c>
      <c r="H55" s="48">
        <v>1</v>
      </c>
      <c r="I55" s="48">
        <v>0</v>
      </c>
      <c r="J55" s="54">
        <v>46202</v>
      </c>
      <c r="K55" s="54">
        <v>46205</v>
      </c>
      <c r="L55" s="54">
        <v>46216</v>
      </c>
      <c r="M55" s="54">
        <v>46219</v>
      </c>
      <c r="O55" s="51" t="str">
        <f t="shared" si="0"/>
        <v/>
      </c>
      <c r="P55" s="51" t="str">
        <f t="shared" si="1"/>
        <v/>
      </c>
      <c r="Q55" s="52" t="str">
        <f t="shared" si="2"/>
        <v/>
      </c>
      <c r="R55" s="52" t="str">
        <f t="shared" si="3"/>
        <v/>
      </c>
      <c r="S55" s="51" t="str">
        <f t="shared" si="4"/>
        <v/>
      </c>
      <c r="T55" t="str">
        <f t="shared" si="5"/>
        <v/>
      </c>
      <c r="U55" s="52" t="str">
        <f t="shared" si="6"/>
        <v/>
      </c>
    </row>
    <row r="56" spans="2:21" x14ac:dyDescent="0.25">
      <c r="B56">
        <v>53</v>
      </c>
      <c r="C56" t="s">
        <v>132</v>
      </c>
      <c r="D56" t="s">
        <v>841</v>
      </c>
      <c r="E56" t="s">
        <v>1536</v>
      </c>
      <c r="F56" t="s">
        <v>1527</v>
      </c>
      <c r="G56">
        <v>22</v>
      </c>
      <c r="H56" s="48">
        <v>0</v>
      </c>
      <c r="I56" s="48">
        <v>0</v>
      </c>
      <c r="J56" s="54">
        <v>46267</v>
      </c>
      <c r="K56" s="54">
        <v>46288</v>
      </c>
      <c r="L56" s="54">
        <v>46267</v>
      </c>
      <c r="M56" s="54">
        <v>46288</v>
      </c>
      <c r="O56" s="51" t="str">
        <f t="shared" si="0"/>
        <v/>
      </c>
      <c r="P56" s="51" t="str">
        <f t="shared" si="1"/>
        <v/>
      </c>
      <c r="Q56" s="52" t="str">
        <f t="shared" si="2"/>
        <v/>
      </c>
      <c r="R56" s="52" t="str">
        <f t="shared" si="3"/>
        <v/>
      </c>
      <c r="S56" s="51" t="str">
        <f t="shared" si="4"/>
        <v/>
      </c>
      <c r="T56" t="str">
        <f t="shared" si="5"/>
        <v/>
      </c>
      <c r="U56" s="52" t="str">
        <f t="shared" si="6"/>
        <v/>
      </c>
    </row>
    <row r="57" spans="2:21" x14ac:dyDescent="0.25">
      <c r="B57">
        <v>54</v>
      </c>
      <c r="C57" t="s">
        <v>132</v>
      </c>
      <c r="D57" t="s">
        <v>841</v>
      </c>
      <c r="E57" t="s">
        <v>1515</v>
      </c>
      <c r="F57" t="s">
        <v>1528</v>
      </c>
      <c r="G57">
        <v>9</v>
      </c>
      <c r="H57" s="48">
        <v>0</v>
      </c>
      <c r="I57" s="48">
        <v>0</v>
      </c>
      <c r="J57" s="54">
        <v>46267</v>
      </c>
      <c r="K57" s="54">
        <v>46275</v>
      </c>
      <c r="L57" s="54">
        <v>46267</v>
      </c>
      <c r="M57" s="54">
        <v>46275</v>
      </c>
      <c r="O57" s="51" t="str">
        <f t="shared" si="0"/>
        <v>SIM</v>
      </c>
      <c r="P57" s="51" t="str">
        <f t="shared" si="1"/>
        <v>BL1132-0001-ED-RTE-2001</v>
      </c>
      <c r="Q57" s="52">
        <f t="shared" si="2"/>
        <v>46275</v>
      </c>
      <c r="R57" s="52">
        <f t="shared" si="3"/>
        <v>46275</v>
      </c>
      <c r="S57" s="51" t="str">
        <f t="shared" si="4"/>
        <v/>
      </c>
      <c r="T57" t="str">
        <f t="shared" si="5"/>
        <v/>
      </c>
      <c r="U57" s="52" t="str">
        <f t="shared" si="6"/>
        <v/>
      </c>
    </row>
    <row r="58" spans="2:21" x14ac:dyDescent="0.25">
      <c r="B58">
        <v>55</v>
      </c>
      <c r="C58" t="s">
        <v>132</v>
      </c>
      <c r="D58" t="s">
        <v>841</v>
      </c>
      <c r="E58" t="s">
        <v>1517</v>
      </c>
      <c r="F58" t="s">
        <v>1519</v>
      </c>
      <c r="G58">
        <v>6</v>
      </c>
      <c r="H58" s="48">
        <v>0</v>
      </c>
      <c r="I58" s="48">
        <v>0</v>
      </c>
      <c r="J58" s="54">
        <v>46275</v>
      </c>
      <c r="K58" s="54">
        <v>46280</v>
      </c>
      <c r="L58" s="54">
        <v>46275</v>
      </c>
      <c r="M58" s="54">
        <v>46280</v>
      </c>
      <c r="O58" s="51" t="str">
        <f t="shared" si="0"/>
        <v/>
      </c>
      <c r="P58" s="51" t="str">
        <f t="shared" si="1"/>
        <v/>
      </c>
      <c r="Q58" s="52" t="str">
        <f t="shared" si="2"/>
        <v/>
      </c>
      <c r="R58" s="52" t="str">
        <f t="shared" si="3"/>
        <v/>
      </c>
      <c r="S58" s="51" t="str">
        <f t="shared" si="4"/>
        <v/>
      </c>
      <c r="T58" t="str">
        <f t="shared" si="5"/>
        <v/>
      </c>
      <c r="U58" s="52" t="str">
        <f t="shared" si="6"/>
        <v/>
      </c>
    </row>
    <row r="59" spans="2:21" x14ac:dyDescent="0.25">
      <c r="B59">
        <v>56</v>
      </c>
      <c r="C59" t="s">
        <v>132</v>
      </c>
      <c r="D59" t="s">
        <v>841</v>
      </c>
      <c r="E59" t="s">
        <v>1518</v>
      </c>
      <c r="F59" t="s">
        <v>1519</v>
      </c>
      <c r="G59">
        <v>4</v>
      </c>
      <c r="H59" s="48">
        <v>0</v>
      </c>
      <c r="I59" s="48">
        <v>0</v>
      </c>
      <c r="J59" s="54">
        <v>46280</v>
      </c>
      <c r="K59" s="54">
        <v>46283</v>
      </c>
      <c r="L59" s="54">
        <v>46280</v>
      </c>
      <c r="M59" s="54">
        <v>46283</v>
      </c>
      <c r="O59" s="51" t="str">
        <f t="shared" si="0"/>
        <v/>
      </c>
      <c r="P59" s="51" t="str">
        <f t="shared" si="1"/>
        <v/>
      </c>
      <c r="Q59" s="52" t="str">
        <f t="shared" si="2"/>
        <v/>
      </c>
      <c r="R59" s="52" t="str">
        <f t="shared" si="3"/>
        <v/>
      </c>
      <c r="S59" s="51" t="str">
        <f t="shared" si="4"/>
        <v>SIM</v>
      </c>
      <c r="T59" t="str">
        <f t="shared" si="5"/>
        <v>BL1132-0001-ED-RTE-2001</v>
      </c>
      <c r="U59" s="52">
        <f t="shared" si="6"/>
        <v>46283</v>
      </c>
    </row>
    <row r="60" spans="2:21" x14ac:dyDescent="0.25">
      <c r="B60">
        <v>57</v>
      </c>
      <c r="C60" t="s">
        <v>132</v>
      </c>
      <c r="D60" t="s">
        <v>841</v>
      </c>
      <c r="E60" t="s">
        <v>1520</v>
      </c>
      <c r="F60" t="s">
        <v>1519</v>
      </c>
      <c r="G60">
        <v>6</v>
      </c>
      <c r="H60" s="48">
        <v>0</v>
      </c>
      <c r="I60" s="48">
        <v>0</v>
      </c>
      <c r="J60" s="54">
        <v>46283</v>
      </c>
      <c r="K60" s="54">
        <v>46288</v>
      </c>
      <c r="L60" s="54">
        <v>46283</v>
      </c>
      <c r="M60" s="54">
        <v>46288</v>
      </c>
      <c r="O60" s="51" t="str">
        <f t="shared" si="0"/>
        <v/>
      </c>
      <c r="P60" s="51" t="str">
        <f t="shared" si="1"/>
        <v/>
      </c>
      <c r="Q60" s="52" t="str">
        <f t="shared" si="2"/>
        <v/>
      </c>
      <c r="R60" s="52" t="str">
        <f t="shared" si="3"/>
        <v/>
      </c>
      <c r="S60" s="51" t="str">
        <f t="shared" si="4"/>
        <v/>
      </c>
      <c r="T60" t="str">
        <f t="shared" si="5"/>
        <v/>
      </c>
      <c r="U60" s="52" t="str">
        <f t="shared" si="6"/>
        <v/>
      </c>
    </row>
    <row r="61" spans="2:21" x14ac:dyDescent="0.25">
      <c r="B61">
        <v>58</v>
      </c>
      <c r="C61" t="s">
        <v>133</v>
      </c>
      <c r="D61" t="s">
        <v>846</v>
      </c>
      <c r="E61" t="s">
        <v>1537</v>
      </c>
      <c r="F61" t="s">
        <v>1538</v>
      </c>
      <c r="G61">
        <v>27</v>
      </c>
      <c r="H61" s="48">
        <v>1</v>
      </c>
      <c r="I61" s="48">
        <v>1</v>
      </c>
      <c r="J61" s="54" t="s">
        <v>1506</v>
      </c>
      <c r="K61" s="54" t="s">
        <v>1506</v>
      </c>
      <c r="L61" s="54">
        <v>46185</v>
      </c>
      <c r="M61" s="54">
        <v>46211</v>
      </c>
      <c r="O61" s="51" t="str">
        <f t="shared" si="0"/>
        <v/>
      </c>
      <c r="P61" s="51" t="str">
        <f t="shared" si="1"/>
        <v/>
      </c>
      <c r="Q61" s="52" t="str">
        <f t="shared" si="2"/>
        <v/>
      </c>
      <c r="R61" s="52" t="str">
        <f t="shared" si="3"/>
        <v/>
      </c>
      <c r="S61" s="51" t="str">
        <f t="shared" si="4"/>
        <v/>
      </c>
      <c r="T61" t="str">
        <f t="shared" si="5"/>
        <v/>
      </c>
      <c r="U61" s="52" t="str">
        <f t="shared" si="6"/>
        <v/>
      </c>
    </row>
    <row r="62" spans="2:21" x14ac:dyDescent="0.25">
      <c r="B62">
        <v>59</v>
      </c>
      <c r="C62" t="s">
        <v>133</v>
      </c>
      <c r="D62" t="s">
        <v>846</v>
      </c>
      <c r="E62" t="s">
        <v>1515</v>
      </c>
      <c r="F62" t="s">
        <v>1528</v>
      </c>
      <c r="G62">
        <v>8</v>
      </c>
      <c r="H62" s="48">
        <v>1</v>
      </c>
      <c r="I62" s="48">
        <v>1</v>
      </c>
      <c r="J62" s="54" t="s">
        <v>1506</v>
      </c>
      <c r="K62" s="54" t="s">
        <v>1506</v>
      </c>
      <c r="L62" s="54">
        <v>46185</v>
      </c>
      <c r="M62" s="54">
        <v>46192</v>
      </c>
      <c r="O62" s="51" t="str">
        <f t="shared" si="0"/>
        <v>SIM</v>
      </c>
      <c r="P62" s="51" t="str">
        <f t="shared" si="1"/>
        <v>BL1132-0001-ED-RTE-2002</v>
      </c>
      <c r="Q62" s="52">
        <f t="shared" si="2"/>
        <v>46192</v>
      </c>
      <c r="R62" s="52" t="str">
        <f t="shared" si="3"/>
        <v>ND</v>
      </c>
      <c r="S62" s="51" t="str">
        <f t="shared" si="4"/>
        <v/>
      </c>
      <c r="T62" t="str">
        <f t="shared" si="5"/>
        <v/>
      </c>
      <c r="U62" s="52" t="str">
        <f t="shared" si="6"/>
        <v/>
      </c>
    </row>
    <row r="63" spans="2:21" x14ac:dyDescent="0.25">
      <c r="B63">
        <v>60</v>
      </c>
      <c r="C63" t="s">
        <v>133</v>
      </c>
      <c r="D63" t="s">
        <v>846</v>
      </c>
      <c r="E63" t="s">
        <v>1517</v>
      </c>
      <c r="F63" t="s">
        <v>1516</v>
      </c>
      <c r="G63">
        <v>13</v>
      </c>
      <c r="H63" s="48">
        <v>1</v>
      </c>
      <c r="I63" s="48">
        <v>1</v>
      </c>
      <c r="J63" s="54" t="s">
        <v>1506</v>
      </c>
      <c r="K63" s="54" t="s">
        <v>1506</v>
      </c>
      <c r="L63" s="54">
        <v>46192</v>
      </c>
      <c r="M63" s="54">
        <v>46204</v>
      </c>
      <c r="O63" s="51" t="str">
        <f t="shared" si="0"/>
        <v/>
      </c>
      <c r="P63" s="51" t="str">
        <f t="shared" si="1"/>
        <v/>
      </c>
      <c r="Q63" s="52" t="str">
        <f t="shared" si="2"/>
        <v/>
      </c>
      <c r="R63" s="52" t="str">
        <f t="shared" si="3"/>
        <v/>
      </c>
      <c r="S63" s="51" t="str">
        <f t="shared" si="4"/>
        <v/>
      </c>
      <c r="T63" t="str">
        <f t="shared" si="5"/>
        <v/>
      </c>
      <c r="U63" s="52" t="str">
        <f t="shared" si="6"/>
        <v/>
      </c>
    </row>
    <row r="64" spans="2:21" x14ac:dyDescent="0.25">
      <c r="B64">
        <v>61</v>
      </c>
      <c r="C64" t="s">
        <v>133</v>
      </c>
      <c r="D64" t="s">
        <v>846</v>
      </c>
      <c r="E64" t="s">
        <v>1518</v>
      </c>
      <c r="F64" t="s">
        <v>1528</v>
      </c>
      <c r="G64">
        <v>8</v>
      </c>
      <c r="H64" s="48">
        <v>1</v>
      </c>
      <c r="I64" s="48">
        <v>1</v>
      </c>
      <c r="J64" s="54" t="s">
        <v>1506</v>
      </c>
      <c r="K64" s="54" t="s">
        <v>1506</v>
      </c>
      <c r="L64" s="54">
        <v>46204</v>
      </c>
      <c r="M64" s="54">
        <v>46211</v>
      </c>
      <c r="O64" s="51" t="str">
        <f t="shared" si="0"/>
        <v/>
      </c>
      <c r="P64" s="51" t="str">
        <f t="shared" si="1"/>
        <v/>
      </c>
      <c r="Q64" s="52" t="str">
        <f t="shared" si="2"/>
        <v/>
      </c>
      <c r="R64" s="52" t="str">
        <f t="shared" si="3"/>
        <v/>
      </c>
      <c r="S64" s="51" t="str">
        <f t="shared" si="4"/>
        <v>SIM</v>
      </c>
      <c r="T64" t="str">
        <f t="shared" si="5"/>
        <v>BL1132-0001-ED-RTE-2002</v>
      </c>
      <c r="U64" s="52">
        <f t="shared" si="6"/>
        <v>46211</v>
      </c>
    </row>
    <row r="65" spans="2:21" x14ac:dyDescent="0.25">
      <c r="B65">
        <v>62</v>
      </c>
      <c r="C65" t="s">
        <v>133</v>
      </c>
      <c r="D65" t="s">
        <v>846</v>
      </c>
      <c r="E65" t="s">
        <v>1520</v>
      </c>
      <c r="F65" t="s">
        <v>1519</v>
      </c>
      <c r="G65">
        <v>6</v>
      </c>
      <c r="H65" s="48">
        <v>1</v>
      </c>
      <c r="I65" s="48">
        <v>1</v>
      </c>
      <c r="J65" s="54" t="s">
        <v>1506</v>
      </c>
      <c r="K65" s="54" t="s">
        <v>1506</v>
      </c>
      <c r="L65" s="54">
        <v>46206</v>
      </c>
      <c r="M65" s="54">
        <v>46211</v>
      </c>
      <c r="O65" s="51" t="str">
        <f t="shared" si="0"/>
        <v/>
      </c>
      <c r="P65" s="51" t="str">
        <f t="shared" si="1"/>
        <v/>
      </c>
      <c r="Q65" s="52" t="str">
        <f t="shared" si="2"/>
        <v/>
      </c>
      <c r="R65" s="52" t="str">
        <f t="shared" si="3"/>
        <v/>
      </c>
      <c r="S65" s="51" t="str">
        <f t="shared" si="4"/>
        <v/>
      </c>
      <c r="T65" t="str">
        <f t="shared" si="5"/>
        <v/>
      </c>
      <c r="U65" s="52" t="str">
        <f t="shared" si="6"/>
        <v/>
      </c>
    </row>
    <row r="66" spans="2:21" x14ac:dyDescent="0.25">
      <c r="B66">
        <v>63</v>
      </c>
      <c r="C66" t="s">
        <v>130</v>
      </c>
      <c r="D66" t="s">
        <v>831</v>
      </c>
      <c r="E66" t="s">
        <v>1539</v>
      </c>
      <c r="F66" t="s">
        <v>1540</v>
      </c>
      <c r="G66">
        <v>57</v>
      </c>
      <c r="H66" s="48">
        <v>1</v>
      </c>
      <c r="I66" s="48">
        <v>0</v>
      </c>
      <c r="J66" s="54" t="s">
        <v>1506</v>
      </c>
      <c r="K66" s="54" t="s">
        <v>1506</v>
      </c>
      <c r="L66" s="54">
        <v>46213</v>
      </c>
      <c r="M66" s="54">
        <v>46269</v>
      </c>
      <c r="O66" s="51" t="str">
        <f t="shared" si="0"/>
        <v/>
      </c>
      <c r="P66" s="51" t="str">
        <f t="shared" si="1"/>
        <v/>
      </c>
      <c r="Q66" s="52" t="str">
        <f t="shared" si="2"/>
        <v/>
      </c>
      <c r="R66" s="52" t="str">
        <f t="shared" si="3"/>
        <v/>
      </c>
      <c r="S66" s="51" t="str">
        <f t="shared" si="4"/>
        <v/>
      </c>
      <c r="T66" t="str">
        <f t="shared" si="5"/>
        <v/>
      </c>
      <c r="U66" s="52" t="str">
        <f t="shared" si="6"/>
        <v/>
      </c>
    </row>
    <row r="67" spans="2:21" x14ac:dyDescent="0.25">
      <c r="B67">
        <v>64</v>
      </c>
      <c r="C67" t="s">
        <v>130</v>
      </c>
      <c r="D67" t="s">
        <v>831</v>
      </c>
      <c r="E67" t="s">
        <v>1515</v>
      </c>
      <c r="F67" t="s">
        <v>1494</v>
      </c>
      <c r="G67">
        <v>1</v>
      </c>
      <c r="H67" s="48">
        <v>1</v>
      </c>
      <c r="I67" s="48">
        <v>1</v>
      </c>
      <c r="J67" s="54" t="s">
        <v>1506</v>
      </c>
      <c r="K67" s="54" t="s">
        <v>1506</v>
      </c>
      <c r="L67" s="54">
        <v>46213</v>
      </c>
      <c r="M67" s="54">
        <v>46213</v>
      </c>
      <c r="O67" s="51" t="str">
        <f t="shared" ref="O67:O130" si="7">IF(OR(E67 = "                           1 - Emissão Inicial",E67="                  1 - Emissão após Design Review 1",E67 = "                  1 - Emissão para conhecimento",E67 = "                  1 - Emissão Final",E67 = "         Lista de Documentos",E67 = "         Elaboração do cronograma",E67 = "         Norma de Coordenação"), "SIM", "")</f>
        <v>SIM</v>
      </c>
      <c r="P67" s="51" t="str">
        <f t="shared" ref="P67:P130" si="8">IF(O67="SIM",C67,"")</f>
        <v>BL1132-0001-ED-MOD-2000</v>
      </c>
      <c r="Q67" s="52">
        <f t="shared" ref="Q67:Q130" si="9">IF(O67="SIM",M67,"")</f>
        <v>46213</v>
      </c>
      <c r="R67" s="52" t="str">
        <f t="shared" ref="R67:R130" si="10">IF(O67="SIM",K67,"")</f>
        <v>ND</v>
      </c>
      <c r="S67" s="51" t="str">
        <f t="shared" ref="S67:S130" si="11">IF(OR(E67 = "                           3 - Atendimento de Comentários",E67="                  1 - Emissão após Design Review 1",E67 = "                  1 - Emissão para conhecimento",E67 = "                  1 - Emissão Final",E67 = "         Lista de Documentos",E67 = "         Elaboração do cronograma",E67 = "         Norma de Coordenação"), "SIM", "")</f>
        <v/>
      </c>
      <c r="T67" t="str">
        <f t="shared" ref="T67:T130" si="12">IF(S67="SIM",C67,"")</f>
        <v/>
      </c>
      <c r="U67" s="52" t="str">
        <f t="shared" ref="U67:U130" si="13">IF(S67="SIM",M67,"")</f>
        <v/>
      </c>
    </row>
    <row r="68" spans="2:21" x14ac:dyDescent="0.25">
      <c r="B68">
        <v>65</v>
      </c>
      <c r="C68" t="s">
        <v>130</v>
      </c>
      <c r="D68" t="s">
        <v>831</v>
      </c>
      <c r="E68" t="s">
        <v>1520</v>
      </c>
      <c r="F68" t="s">
        <v>1494</v>
      </c>
      <c r="G68">
        <v>1</v>
      </c>
      <c r="H68" s="48">
        <v>0</v>
      </c>
      <c r="I68" s="48">
        <v>0</v>
      </c>
      <c r="J68" s="54" t="s">
        <v>1506</v>
      </c>
      <c r="K68" s="54" t="s">
        <v>1506</v>
      </c>
      <c r="L68" s="54">
        <v>46269</v>
      </c>
      <c r="M68" s="54">
        <v>46269</v>
      </c>
      <c r="O68" s="51" t="str">
        <f t="shared" si="7"/>
        <v/>
      </c>
      <c r="P68" s="51" t="str">
        <f t="shared" si="8"/>
        <v/>
      </c>
      <c r="Q68" s="52" t="str">
        <f t="shared" si="9"/>
        <v/>
      </c>
      <c r="R68" s="52" t="str">
        <f t="shared" si="10"/>
        <v/>
      </c>
      <c r="S68" s="51" t="str">
        <f t="shared" si="11"/>
        <v/>
      </c>
      <c r="T68" t="str">
        <f t="shared" si="12"/>
        <v/>
      </c>
      <c r="U68" s="52" t="str">
        <f t="shared" si="13"/>
        <v/>
      </c>
    </row>
    <row r="69" spans="2:21" x14ac:dyDescent="0.25">
      <c r="B69">
        <v>66</v>
      </c>
      <c r="E69" t="s">
        <v>1541</v>
      </c>
      <c r="F69" t="s">
        <v>1459</v>
      </c>
      <c r="G69">
        <v>125</v>
      </c>
      <c r="H69" s="48">
        <v>0</v>
      </c>
      <c r="I69" s="48">
        <v>0</v>
      </c>
      <c r="J69" s="54">
        <v>46164</v>
      </c>
      <c r="K69" s="54">
        <v>46288</v>
      </c>
      <c r="L69" s="54">
        <v>46164</v>
      </c>
      <c r="M69" s="54">
        <v>46288</v>
      </c>
      <c r="O69" s="51" t="str">
        <f t="shared" si="7"/>
        <v/>
      </c>
      <c r="P69" s="51" t="str">
        <f t="shared" si="8"/>
        <v/>
      </c>
      <c r="Q69" s="52" t="str">
        <f t="shared" si="9"/>
        <v/>
      </c>
      <c r="R69" s="52" t="str">
        <f t="shared" si="10"/>
        <v/>
      </c>
      <c r="S69" s="51" t="str">
        <f t="shared" si="11"/>
        <v/>
      </c>
      <c r="T69" t="str">
        <f t="shared" si="12"/>
        <v/>
      </c>
      <c r="U69" s="52" t="str">
        <f t="shared" si="13"/>
        <v/>
      </c>
    </row>
    <row r="70" spans="2:21" x14ac:dyDescent="0.25">
      <c r="B70">
        <v>67</v>
      </c>
      <c r="E70" t="s">
        <v>1542</v>
      </c>
      <c r="F70" t="s">
        <v>1543</v>
      </c>
      <c r="G70">
        <v>41</v>
      </c>
      <c r="H70" s="48">
        <v>0</v>
      </c>
      <c r="I70" s="48">
        <v>0</v>
      </c>
      <c r="J70" s="54">
        <v>46192</v>
      </c>
      <c r="K70" s="54">
        <v>46232</v>
      </c>
      <c r="L70" s="54">
        <v>46192</v>
      </c>
      <c r="M70" s="54">
        <v>46232</v>
      </c>
      <c r="O70" s="51" t="str">
        <f t="shared" si="7"/>
        <v/>
      </c>
      <c r="P70" s="51" t="str">
        <f t="shared" si="8"/>
        <v/>
      </c>
      <c r="Q70" s="52" t="str">
        <f t="shared" si="9"/>
        <v/>
      </c>
      <c r="R70" s="52" t="str">
        <f t="shared" si="10"/>
        <v/>
      </c>
      <c r="S70" s="51" t="str">
        <f t="shared" si="11"/>
        <v/>
      </c>
      <c r="T70" t="str">
        <f t="shared" si="12"/>
        <v/>
      </c>
      <c r="U70" s="52" t="str">
        <f t="shared" si="13"/>
        <v/>
      </c>
    </row>
    <row r="71" spans="2:21" x14ac:dyDescent="0.25">
      <c r="B71">
        <v>68</v>
      </c>
      <c r="E71" t="s">
        <v>1544</v>
      </c>
      <c r="F71" t="s">
        <v>1494</v>
      </c>
      <c r="G71">
        <v>1</v>
      </c>
      <c r="H71" s="48">
        <v>1</v>
      </c>
      <c r="I71" s="48">
        <v>1</v>
      </c>
      <c r="J71" s="54">
        <v>46192</v>
      </c>
      <c r="K71" s="54">
        <v>46192</v>
      </c>
      <c r="L71" s="54">
        <v>46192</v>
      </c>
      <c r="M71" s="54">
        <v>46192</v>
      </c>
      <c r="O71" s="51" t="str">
        <f t="shared" si="7"/>
        <v/>
      </c>
      <c r="P71" s="51" t="str">
        <f t="shared" si="8"/>
        <v/>
      </c>
      <c r="Q71" s="52" t="str">
        <f t="shared" si="9"/>
        <v/>
      </c>
      <c r="R71" s="52" t="str">
        <f t="shared" si="10"/>
        <v/>
      </c>
      <c r="S71" s="51" t="str">
        <f t="shared" si="11"/>
        <v/>
      </c>
      <c r="T71" t="str">
        <f t="shared" si="12"/>
        <v/>
      </c>
      <c r="U71" s="52" t="str">
        <f t="shared" si="13"/>
        <v/>
      </c>
    </row>
    <row r="72" spans="2:21" x14ac:dyDescent="0.25">
      <c r="B72">
        <v>69</v>
      </c>
      <c r="E72" t="s">
        <v>1545</v>
      </c>
      <c r="F72" t="s">
        <v>1494</v>
      </c>
      <c r="G72">
        <v>1</v>
      </c>
      <c r="H72" s="48">
        <v>1</v>
      </c>
      <c r="I72" s="48">
        <v>1</v>
      </c>
      <c r="J72" s="54">
        <v>46198</v>
      </c>
      <c r="K72" s="54">
        <v>46198</v>
      </c>
      <c r="L72" s="54">
        <v>46198</v>
      </c>
      <c r="M72" s="54">
        <v>46198</v>
      </c>
      <c r="O72" s="51" t="str">
        <f t="shared" si="7"/>
        <v/>
      </c>
      <c r="P72" s="51" t="str">
        <f t="shared" si="8"/>
        <v/>
      </c>
      <c r="Q72" s="52" t="str">
        <f t="shared" si="9"/>
        <v/>
      </c>
      <c r="R72" s="52" t="str">
        <f t="shared" si="10"/>
        <v/>
      </c>
      <c r="S72" s="51" t="str">
        <f t="shared" si="11"/>
        <v/>
      </c>
      <c r="T72" t="str">
        <f t="shared" si="12"/>
        <v/>
      </c>
      <c r="U72" s="52" t="str">
        <f t="shared" si="13"/>
        <v/>
      </c>
    </row>
    <row r="73" spans="2:21" x14ac:dyDescent="0.25">
      <c r="B73">
        <v>70</v>
      </c>
      <c r="E73" t="s">
        <v>1546</v>
      </c>
      <c r="F73" t="s">
        <v>1494</v>
      </c>
      <c r="G73">
        <v>1</v>
      </c>
      <c r="H73" s="48">
        <v>1</v>
      </c>
      <c r="I73" s="48">
        <v>1</v>
      </c>
      <c r="J73" s="54">
        <v>46198</v>
      </c>
      <c r="K73" s="54">
        <v>46198</v>
      </c>
      <c r="L73" s="54">
        <v>46198</v>
      </c>
      <c r="M73" s="54">
        <v>46198</v>
      </c>
      <c r="O73" s="51" t="str">
        <f t="shared" si="7"/>
        <v/>
      </c>
      <c r="P73" s="51" t="str">
        <f t="shared" si="8"/>
        <v/>
      </c>
      <c r="Q73" s="52" t="str">
        <f t="shared" si="9"/>
        <v/>
      </c>
      <c r="R73" s="52" t="str">
        <f t="shared" si="10"/>
        <v/>
      </c>
      <c r="S73" s="51" t="str">
        <f t="shared" si="11"/>
        <v/>
      </c>
      <c r="T73" t="str">
        <f t="shared" si="12"/>
        <v/>
      </c>
      <c r="U73" s="52" t="str">
        <f t="shared" si="13"/>
        <v/>
      </c>
    </row>
    <row r="74" spans="2:21" x14ac:dyDescent="0.25">
      <c r="B74">
        <v>71</v>
      </c>
      <c r="E74" t="s">
        <v>1547</v>
      </c>
      <c r="F74" t="s">
        <v>1494</v>
      </c>
      <c r="G74">
        <v>1</v>
      </c>
      <c r="H74" s="48">
        <v>1</v>
      </c>
      <c r="I74" s="48">
        <v>1</v>
      </c>
      <c r="J74" s="54">
        <v>46199</v>
      </c>
      <c r="K74" s="54">
        <v>46199</v>
      </c>
      <c r="L74" s="54">
        <v>46199</v>
      </c>
      <c r="M74" s="54">
        <v>46199</v>
      </c>
      <c r="O74" s="51" t="str">
        <f t="shared" si="7"/>
        <v/>
      </c>
      <c r="P74" s="51" t="str">
        <f t="shared" si="8"/>
        <v/>
      </c>
      <c r="Q74" s="52" t="str">
        <f t="shared" si="9"/>
        <v/>
      </c>
      <c r="R74" s="52" t="str">
        <f t="shared" si="10"/>
        <v/>
      </c>
      <c r="S74" s="51" t="str">
        <f t="shared" si="11"/>
        <v/>
      </c>
      <c r="T74" t="str">
        <f t="shared" si="12"/>
        <v/>
      </c>
      <c r="U74" s="52" t="str">
        <f t="shared" si="13"/>
        <v/>
      </c>
    </row>
    <row r="75" spans="2:21" x14ac:dyDescent="0.25">
      <c r="B75">
        <v>72</v>
      </c>
      <c r="E75" t="s">
        <v>1548</v>
      </c>
      <c r="F75" t="s">
        <v>1494</v>
      </c>
      <c r="G75">
        <v>1</v>
      </c>
      <c r="H75" s="48">
        <v>1</v>
      </c>
      <c r="I75" s="48">
        <v>1</v>
      </c>
      <c r="J75" s="54">
        <v>46198</v>
      </c>
      <c r="K75" s="54">
        <v>46198</v>
      </c>
      <c r="L75" s="54">
        <v>46198</v>
      </c>
      <c r="M75" s="54">
        <v>46198</v>
      </c>
      <c r="O75" s="51" t="str">
        <f t="shared" si="7"/>
        <v/>
      </c>
      <c r="P75" s="51" t="str">
        <f t="shared" si="8"/>
        <v/>
      </c>
      <c r="Q75" s="52" t="str">
        <f t="shared" si="9"/>
        <v/>
      </c>
      <c r="R75" s="52" t="str">
        <f t="shared" si="10"/>
        <v/>
      </c>
      <c r="S75" s="51" t="str">
        <f t="shared" si="11"/>
        <v/>
      </c>
      <c r="T75" t="str">
        <f t="shared" si="12"/>
        <v/>
      </c>
      <c r="U75" s="52" t="str">
        <f t="shared" si="13"/>
        <v/>
      </c>
    </row>
    <row r="76" spans="2:21" x14ac:dyDescent="0.25">
      <c r="B76">
        <v>73</v>
      </c>
      <c r="E76" t="s">
        <v>1549</v>
      </c>
      <c r="F76" t="s">
        <v>1494</v>
      </c>
      <c r="G76">
        <v>1</v>
      </c>
      <c r="H76" s="48">
        <v>0</v>
      </c>
      <c r="I76" s="48">
        <v>0</v>
      </c>
      <c r="J76" s="54">
        <v>46232</v>
      </c>
      <c r="K76" s="54">
        <v>46232</v>
      </c>
      <c r="L76" s="54">
        <v>46232</v>
      </c>
      <c r="M76" s="54">
        <v>46232</v>
      </c>
      <c r="O76" s="51" t="str">
        <f t="shared" si="7"/>
        <v/>
      </c>
      <c r="P76" s="51" t="str">
        <f t="shared" si="8"/>
        <v/>
      </c>
      <c r="Q76" s="52" t="str">
        <f t="shared" si="9"/>
        <v/>
      </c>
      <c r="R76" s="52" t="str">
        <f t="shared" si="10"/>
        <v/>
      </c>
      <c r="S76" s="51" t="str">
        <f t="shared" si="11"/>
        <v/>
      </c>
      <c r="T76" t="str">
        <f t="shared" si="12"/>
        <v/>
      </c>
      <c r="U76" s="52" t="str">
        <f t="shared" si="13"/>
        <v/>
      </c>
    </row>
    <row r="77" spans="2:21" x14ac:dyDescent="0.25">
      <c r="B77">
        <v>74</v>
      </c>
      <c r="E77" t="s">
        <v>1530</v>
      </c>
      <c r="F77" t="s">
        <v>1459</v>
      </c>
      <c r="G77">
        <v>125</v>
      </c>
      <c r="H77" s="48">
        <v>0</v>
      </c>
      <c r="I77" s="48">
        <v>0</v>
      </c>
      <c r="J77" s="54">
        <v>46164</v>
      </c>
      <c r="K77" s="54">
        <v>46288</v>
      </c>
      <c r="L77" s="54">
        <v>46164</v>
      </c>
      <c r="M77" s="54">
        <v>46288</v>
      </c>
      <c r="O77" s="51" t="str">
        <f t="shared" si="7"/>
        <v/>
      </c>
      <c r="P77" s="51" t="str">
        <f t="shared" si="8"/>
        <v/>
      </c>
      <c r="Q77" s="52" t="str">
        <f t="shared" si="9"/>
        <v/>
      </c>
      <c r="R77" s="52" t="str">
        <f t="shared" si="10"/>
        <v/>
      </c>
      <c r="S77" s="51" t="str">
        <f t="shared" si="11"/>
        <v/>
      </c>
      <c r="T77" t="str">
        <f t="shared" si="12"/>
        <v/>
      </c>
      <c r="U77" s="52" t="str">
        <f t="shared" si="13"/>
        <v/>
      </c>
    </row>
    <row r="78" spans="2:21" x14ac:dyDescent="0.25">
      <c r="B78">
        <v>75</v>
      </c>
      <c r="E78" t="s">
        <v>1550</v>
      </c>
      <c r="F78" t="s">
        <v>1494</v>
      </c>
      <c r="G78">
        <v>1</v>
      </c>
      <c r="H78" s="48">
        <v>1</v>
      </c>
      <c r="I78" s="48">
        <v>1</v>
      </c>
      <c r="J78" s="54">
        <v>46164</v>
      </c>
      <c r="K78" s="54">
        <v>46164</v>
      </c>
      <c r="L78" s="54">
        <v>46164</v>
      </c>
      <c r="M78" s="54">
        <v>46164</v>
      </c>
      <c r="O78" s="51" t="str">
        <f t="shared" si="7"/>
        <v/>
      </c>
      <c r="P78" s="51" t="str">
        <f t="shared" si="8"/>
        <v/>
      </c>
      <c r="Q78" s="52" t="str">
        <f t="shared" si="9"/>
        <v/>
      </c>
      <c r="R78" s="52" t="str">
        <f t="shared" si="10"/>
        <v/>
      </c>
      <c r="S78" s="51" t="str">
        <f t="shared" si="11"/>
        <v/>
      </c>
      <c r="T78" t="str">
        <f t="shared" si="12"/>
        <v/>
      </c>
      <c r="U78" s="52" t="str">
        <f t="shared" si="13"/>
        <v/>
      </c>
    </row>
    <row r="79" spans="2:21" x14ac:dyDescent="0.25">
      <c r="B79">
        <v>76</v>
      </c>
      <c r="E79" t="s">
        <v>1551</v>
      </c>
      <c r="F79" t="s">
        <v>1494</v>
      </c>
      <c r="G79">
        <v>1</v>
      </c>
      <c r="H79" s="48">
        <v>0</v>
      </c>
      <c r="I79" s="48">
        <v>0</v>
      </c>
      <c r="J79" s="54">
        <v>46288</v>
      </c>
      <c r="K79" s="54">
        <v>46288</v>
      </c>
      <c r="L79" s="54">
        <v>46288</v>
      </c>
      <c r="M79" s="54">
        <v>46288</v>
      </c>
      <c r="O79" s="51" t="str">
        <f t="shared" si="7"/>
        <v/>
      </c>
      <c r="P79" s="51" t="str">
        <f t="shared" si="8"/>
        <v/>
      </c>
      <c r="Q79" s="52" t="str">
        <f t="shared" si="9"/>
        <v/>
      </c>
      <c r="R79" s="52" t="str">
        <f t="shared" si="10"/>
        <v/>
      </c>
      <c r="S79" s="51" t="str">
        <f t="shared" si="11"/>
        <v/>
      </c>
      <c r="T79" t="str">
        <f t="shared" si="12"/>
        <v/>
      </c>
      <c r="U79" s="52" t="str">
        <f t="shared" si="13"/>
        <v/>
      </c>
    </row>
    <row r="80" spans="2:21" x14ac:dyDescent="0.25">
      <c r="B80">
        <v>77</v>
      </c>
      <c r="E80" t="s">
        <v>1461</v>
      </c>
      <c r="F80" t="s">
        <v>1459</v>
      </c>
      <c r="G80">
        <v>125</v>
      </c>
      <c r="H80" s="48">
        <v>0.25409999999999999</v>
      </c>
      <c r="I80" s="48">
        <v>0.25280000000000002</v>
      </c>
      <c r="J80" s="54">
        <v>46171</v>
      </c>
      <c r="K80" s="54">
        <v>46288</v>
      </c>
      <c r="L80" s="54">
        <v>46164</v>
      </c>
      <c r="M80" s="54">
        <v>46288</v>
      </c>
      <c r="O80" s="51" t="str">
        <f t="shared" si="7"/>
        <v/>
      </c>
      <c r="P80" s="51" t="str">
        <f t="shared" si="8"/>
        <v/>
      </c>
      <c r="Q80" s="52" t="str">
        <f t="shared" si="9"/>
        <v/>
      </c>
      <c r="R80" s="52" t="str">
        <f t="shared" si="10"/>
        <v/>
      </c>
      <c r="S80" s="51" t="str">
        <f t="shared" si="11"/>
        <v/>
      </c>
      <c r="T80" t="str">
        <f t="shared" si="12"/>
        <v/>
      </c>
      <c r="U80" s="52" t="str">
        <f t="shared" si="13"/>
        <v/>
      </c>
    </row>
    <row r="81" spans="2:21" x14ac:dyDescent="0.25">
      <c r="B81">
        <v>78</v>
      </c>
      <c r="E81" t="s">
        <v>1462</v>
      </c>
      <c r="F81" t="s">
        <v>1463</v>
      </c>
      <c r="G81">
        <v>117</v>
      </c>
      <c r="H81" s="48">
        <v>0.62450000000000006</v>
      </c>
      <c r="I81" s="48">
        <v>0.38080000000000003</v>
      </c>
      <c r="J81" s="54">
        <v>46171</v>
      </c>
      <c r="K81" s="54">
        <v>46266</v>
      </c>
      <c r="L81" s="54">
        <v>46171</v>
      </c>
      <c r="M81" s="54">
        <v>46287</v>
      </c>
      <c r="O81" s="51" t="str">
        <f t="shared" si="7"/>
        <v/>
      </c>
      <c r="P81" s="51" t="str">
        <f t="shared" si="8"/>
        <v/>
      </c>
      <c r="Q81" s="52" t="str">
        <f t="shared" si="9"/>
        <v/>
      </c>
      <c r="R81" s="52" t="str">
        <f t="shared" si="10"/>
        <v/>
      </c>
      <c r="S81" s="51" t="str">
        <f t="shared" si="11"/>
        <v/>
      </c>
      <c r="T81" t="str">
        <f t="shared" si="12"/>
        <v/>
      </c>
      <c r="U81" s="52" t="str">
        <f t="shared" si="13"/>
        <v/>
      </c>
    </row>
    <row r="82" spans="2:21" x14ac:dyDescent="0.25">
      <c r="B82">
        <v>79</v>
      </c>
      <c r="E82" t="s">
        <v>1552</v>
      </c>
      <c r="F82" t="s">
        <v>1463</v>
      </c>
      <c r="G82">
        <v>117</v>
      </c>
      <c r="H82" s="48">
        <v>0.58189999999999997</v>
      </c>
      <c r="I82" s="48">
        <v>0.38929999999999998</v>
      </c>
      <c r="J82" s="54">
        <v>46171</v>
      </c>
      <c r="K82" s="54">
        <v>46266</v>
      </c>
      <c r="L82" s="54">
        <v>46171</v>
      </c>
      <c r="M82" s="54">
        <v>46287</v>
      </c>
      <c r="O82" s="51" t="str">
        <f t="shared" si="7"/>
        <v/>
      </c>
      <c r="P82" s="51" t="str">
        <f t="shared" si="8"/>
        <v/>
      </c>
      <c r="Q82" s="52" t="str">
        <f t="shared" si="9"/>
        <v/>
      </c>
      <c r="R82" s="52" t="str">
        <f t="shared" si="10"/>
        <v/>
      </c>
      <c r="S82" s="51" t="str">
        <f t="shared" si="11"/>
        <v/>
      </c>
      <c r="T82" t="str">
        <f t="shared" si="12"/>
        <v/>
      </c>
      <c r="U82" s="52" t="str">
        <f t="shared" si="13"/>
        <v/>
      </c>
    </row>
    <row r="83" spans="2:21" x14ac:dyDescent="0.25">
      <c r="B83">
        <v>80</v>
      </c>
      <c r="E83" t="s">
        <v>1553</v>
      </c>
      <c r="F83" t="s">
        <v>1477</v>
      </c>
      <c r="G83">
        <v>106</v>
      </c>
      <c r="H83" s="48">
        <v>0.55489999999999995</v>
      </c>
      <c r="I83" s="48">
        <v>0.3498</v>
      </c>
      <c r="J83" s="54">
        <v>46182</v>
      </c>
      <c r="K83" s="54">
        <v>46266</v>
      </c>
      <c r="L83" s="54">
        <v>46182</v>
      </c>
      <c r="M83" s="54">
        <v>46287</v>
      </c>
      <c r="O83" s="51" t="str">
        <f t="shared" si="7"/>
        <v/>
      </c>
      <c r="P83" s="51" t="str">
        <f t="shared" si="8"/>
        <v/>
      </c>
      <c r="Q83" s="52" t="str">
        <f t="shared" si="9"/>
        <v/>
      </c>
      <c r="R83" s="52" t="str">
        <f t="shared" si="10"/>
        <v/>
      </c>
      <c r="S83" s="51" t="str">
        <f t="shared" si="11"/>
        <v/>
      </c>
      <c r="T83" t="str">
        <f t="shared" si="12"/>
        <v/>
      </c>
      <c r="U83" s="52" t="str">
        <f t="shared" si="13"/>
        <v/>
      </c>
    </row>
    <row r="84" spans="2:21" x14ac:dyDescent="0.25">
      <c r="B84">
        <v>81</v>
      </c>
      <c r="E84" t="s">
        <v>1554</v>
      </c>
      <c r="F84" t="s">
        <v>1477</v>
      </c>
      <c r="G84">
        <v>106</v>
      </c>
      <c r="H84" s="48">
        <v>0.71089999999999998</v>
      </c>
      <c r="I84" s="48">
        <v>0.56269999999999998</v>
      </c>
      <c r="J84" s="54">
        <v>46182</v>
      </c>
      <c r="K84" s="54">
        <v>46247</v>
      </c>
      <c r="L84" s="54">
        <v>46182</v>
      </c>
      <c r="M84" s="54">
        <v>46287</v>
      </c>
      <c r="O84" s="51" t="str">
        <f t="shared" si="7"/>
        <v/>
      </c>
      <c r="P84" s="51" t="str">
        <f t="shared" si="8"/>
        <v/>
      </c>
      <c r="Q84" s="52" t="str">
        <f t="shared" si="9"/>
        <v/>
      </c>
      <c r="R84" s="52" t="str">
        <f t="shared" si="10"/>
        <v/>
      </c>
      <c r="S84" s="51" t="str">
        <f t="shared" si="11"/>
        <v/>
      </c>
      <c r="T84" t="str">
        <f t="shared" si="12"/>
        <v/>
      </c>
      <c r="U84" s="52" t="str">
        <f t="shared" si="13"/>
        <v/>
      </c>
    </row>
    <row r="85" spans="2:21" x14ac:dyDescent="0.25">
      <c r="B85">
        <v>82</v>
      </c>
      <c r="E85" t="s">
        <v>1555</v>
      </c>
      <c r="F85" t="s">
        <v>1556</v>
      </c>
      <c r="G85">
        <v>86</v>
      </c>
      <c r="H85" s="48">
        <v>0.79890000000000005</v>
      </c>
      <c r="I85" s="48">
        <v>0.72070000000000001</v>
      </c>
      <c r="J85" s="54">
        <v>46182</v>
      </c>
      <c r="K85" s="54">
        <v>46224</v>
      </c>
      <c r="L85" s="54">
        <v>46182</v>
      </c>
      <c r="M85" s="54">
        <v>46267</v>
      </c>
      <c r="O85" s="51" t="str">
        <f t="shared" si="7"/>
        <v/>
      </c>
      <c r="P85" s="51" t="str">
        <f t="shared" si="8"/>
        <v/>
      </c>
      <c r="Q85" s="52" t="str">
        <f t="shared" si="9"/>
        <v/>
      </c>
      <c r="R85" s="52" t="str">
        <f t="shared" si="10"/>
        <v/>
      </c>
      <c r="S85" s="51" t="str">
        <f t="shared" si="11"/>
        <v/>
      </c>
      <c r="T85" t="str">
        <f t="shared" si="12"/>
        <v/>
      </c>
      <c r="U85" s="52" t="str">
        <f t="shared" si="13"/>
        <v/>
      </c>
    </row>
    <row r="86" spans="2:21" x14ac:dyDescent="0.25">
      <c r="B86">
        <v>83</v>
      </c>
      <c r="E86" t="s">
        <v>1557</v>
      </c>
      <c r="F86" t="s">
        <v>1516</v>
      </c>
      <c r="G86">
        <v>13</v>
      </c>
      <c r="H86" s="48">
        <v>0.28000000000000003</v>
      </c>
      <c r="I86" s="48">
        <v>0</v>
      </c>
      <c r="J86" s="54">
        <v>46212</v>
      </c>
      <c r="K86" s="54">
        <v>46224</v>
      </c>
      <c r="L86" s="54">
        <v>46255</v>
      </c>
      <c r="M86" s="54">
        <v>46267</v>
      </c>
      <c r="O86" s="51" t="str">
        <f t="shared" si="7"/>
        <v/>
      </c>
      <c r="P86" s="51" t="str">
        <f t="shared" si="8"/>
        <v/>
      </c>
      <c r="Q86" s="52" t="str">
        <f t="shared" si="9"/>
        <v/>
      </c>
      <c r="R86" s="52" t="str">
        <f t="shared" si="10"/>
        <v/>
      </c>
      <c r="S86" s="51" t="str">
        <f t="shared" si="11"/>
        <v/>
      </c>
      <c r="T86" t="str">
        <f t="shared" si="12"/>
        <v/>
      </c>
      <c r="U86" s="52" t="str">
        <f t="shared" si="13"/>
        <v/>
      </c>
    </row>
    <row r="87" spans="2:21" x14ac:dyDescent="0.25">
      <c r="B87">
        <v>84</v>
      </c>
      <c r="E87" t="s">
        <v>1558</v>
      </c>
      <c r="F87" t="s">
        <v>1559</v>
      </c>
      <c r="G87">
        <v>17</v>
      </c>
      <c r="H87" s="48">
        <v>1</v>
      </c>
      <c r="I87" s="48">
        <v>1</v>
      </c>
      <c r="J87" s="54">
        <v>46182</v>
      </c>
      <c r="K87" s="54">
        <v>46198</v>
      </c>
      <c r="L87" s="54">
        <v>46182</v>
      </c>
      <c r="M87" s="54">
        <v>46198</v>
      </c>
      <c r="O87" s="51" t="str">
        <f t="shared" si="7"/>
        <v/>
      </c>
      <c r="P87" s="51" t="str">
        <f t="shared" si="8"/>
        <v/>
      </c>
      <c r="Q87" s="52" t="str">
        <f t="shared" si="9"/>
        <v/>
      </c>
      <c r="R87" s="52" t="str">
        <f t="shared" si="10"/>
        <v/>
      </c>
      <c r="S87" s="51" t="str">
        <f t="shared" si="11"/>
        <v/>
      </c>
      <c r="T87" t="str">
        <f t="shared" si="12"/>
        <v/>
      </c>
      <c r="U87" s="52" t="str">
        <f t="shared" si="13"/>
        <v/>
      </c>
    </row>
    <row r="88" spans="2:21" x14ac:dyDescent="0.25">
      <c r="B88">
        <v>85</v>
      </c>
      <c r="E88" t="s">
        <v>1560</v>
      </c>
      <c r="F88" t="s">
        <v>1561</v>
      </c>
      <c r="G88">
        <v>91</v>
      </c>
      <c r="H88" s="48">
        <v>0.624</v>
      </c>
      <c r="I88" s="48">
        <v>0.40679999999999999</v>
      </c>
      <c r="J88" s="54">
        <v>46198</v>
      </c>
      <c r="K88" s="54">
        <v>46247</v>
      </c>
      <c r="L88" s="54">
        <v>46197</v>
      </c>
      <c r="M88" s="54">
        <v>46287</v>
      </c>
      <c r="O88" s="51" t="str">
        <f t="shared" si="7"/>
        <v/>
      </c>
      <c r="P88" s="51" t="str">
        <f t="shared" si="8"/>
        <v/>
      </c>
      <c r="Q88" s="52" t="str">
        <f t="shared" si="9"/>
        <v/>
      </c>
      <c r="R88" s="52" t="str">
        <f t="shared" si="10"/>
        <v/>
      </c>
      <c r="S88" s="51" t="str">
        <f t="shared" si="11"/>
        <v/>
      </c>
      <c r="T88" t="str">
        <f t="shared" si="12"/>
        <v/>
      </c>
      <c r="U88" s="52" t="str">
        <f t="shared" si="13"/>
        <v/>
      </c>
    </row>
    <row r="89" spans="2:21" x14ac:dyDescent="0.25">
      <c r="B89">
        <v>86</v>
      </c>
      <c r="E89" t="s">
        <v>1558</v>
      </c>
      <c r="F89" t="s">
        <v>1562</v>
      </c>
      <c r="G89">
        <v>43</v>
      </c>
      <c r="H89" s="48">
        <v>0.78</v>
      </c>
      <c r="I89" s="48">
        <v>0.50839999999999996</v>
      </c>
      <c r="J89" s="54">
        <v>46198</v>
      </c>
      <c r="K89" s="54">
        <v>46227</v>
      </c>
      <c r="L89" s="54">
        <v>46197</v>
      </c>
      <c r="M89" s="54">
        <v>46239</v>
      </c>
      <c r="O89" s="51" t="str">
        <f t="shared" si="7"/>
        <v/>
      </c>
      <c r="P89" s="51" t="str">
        <f t="shared" si="8"/>
        <v/>
      </c>
      <c r="Q89" s="52" t="str">
        <f t="shared" si="9"/>
        <v/>
      </c>
      <c r="R89" s="52" t="str">
        <f t="shared" si="10"/>
        <v/>
      </c>
      <c r="S89" s="51" t="str">
        <f t="shared" si="11"/>
        <v/>
      </c>
      <c r="T89" t="str">
        <f t="shared" si="12"/>
        <v/>
      </c>
      <c r="U89" s="52" t="str">
        <f t="shared" si="13"/>
        <v/>
      </c>
    </row>
    <row r="90" spans="2:21" x14ac:dyDescent="0.25">
      <c r="B90">
        <v>87</v>
      </c>
      <c r="C90" t="s">
        <v>245</v>
      </c>
      <c r="D90" t="s">
        <v>1251</v>
      </c>
      <c r="E90" t="s">
        <v>1563</v>
      </c>
      <c r="F90" t="s">
        <v>1564</v>
      </c>
      <c r="G90">
        <v>31</v>
      </c>
      <c r="H90" s="48">
        <v>0.95079999999999998</v>
      </c>
      <c r="I90" s="48">
        <v>0.69330000000000003</v>
      </c>
      <c r="J90" s="54">
        <v>46198</v>
      </c>
      <c r="K90" s="54">
        <v>46219</v>
      </c>
      <c r="L90" s="54">
        <v>46197</v>
      </c>
      <c r="M90" s="54">
        <v>46227</v>
      </c>
      <c r="O90" s="51" t="str">
        <f t="shared" si="7"/>
        <v/>
      </c>
      <c r="P90" s="51" t="str">
        <f t="shared" si="8"/>
        <v/>
      </c>
      <c r="Q90" s="52" t="str">
        <f t="shared" si="9"/>
        <v/>
      </c>
      <c r="R90" s="52" t="str">
        <f t="shared" si="10"/>
        <v/>
      </c>
      <c r="S90" s="51" t="str">
        <f t="shared" si="11"/>
        <v/>
      </c>
      <c r="T90" t="str">
        <f t="shared" si="12"/>
        <v/>
      </c>
      <c r="U90" s="52" t="str">
        <f t="shared" si="13"/>
        <v/>
      </c>
    </row>
    <row r="91" spans="2:21" x14ac:dyDescent="0.25">
      <c r="B91">
        <v>88</v>
      </c>
      <c r="C91" t="s">
        <v>245</v>
      </c>
      <c r="D91" t="s">
        <v>1251</v>
      </c>
      <c r="E91" t="s">
        <v>1515</v>
      </c>
      <c r="F91" t="s">
        <v>1516</v>
      </c>
      <c r="G91">
        <v>13</v>
      </c>
      <c r="H91" s="48">
        <v>1</v>
      </c>
      <c r="I91" s="48">
        <v>1</v>
      </c>
      <c r="J91" s="54">
        <v>46198</v>
      </c>
      <c r="K91" s="54">
        <v>46206</v>
      </c>
      <c r="L91" s="54">
        <v>46197</v>
      </c>
      <c r="M91" s="54">
        <v>46209</v>
      </c>
      <c r="O91" s="51" t="str">
        <f t="shared" si="7"/>
        <v>SIM</v>
      </c>
      <c r="P91" s="51" t="str">
        <f t="shared" si="8"/>
        <v>BL1132-0001-ME-PBC-2001</v>
      </c>
      <c r="Q91" s="52">
        <f t="shared" si="9"/>
        <v>46209</v>
      </c>
      <c r="R91" s="52">
        <f t="shared" si="10"/>
        <v>46206</v>
      </c>
      <c r="S91" s="51" t="str">
        <f t="shared" si="11"/>
        <v/>
      </c>
      <c r="T91" t="str">
        <f t="shared" si="12"/>
        <v/>
      </c>
      <c r="U91" s="52" t="str">
        <f t="shared" si="13"/>
        <v/>
      </c>
    </row>
    <row r="92" spans="2:21" x14ac:dyDescent="0.25">
      <c r="B92">
        <v>89</v>
      </c>
      <c r="C92" t="s">
        <v>245</v>
      </c>
      <c r="D92" t="s">
        <v>1251</v>
      </c>
      <c r="E92" t="s">
        <v>1517</v>
      </c>
      <c r="F92" t="s">
        <v>1516</v>
      </c>
      <c r="G92">
        <v>11</v>
      </c>
      <c r="H92" s="48">
        <v>1</v>
      </c>
      <c r="I92" s="48">
        <v>0</v>
      </c>
      <c r="J92" s="54">
        <v>46206</v>
      </c>
      <c r="K92" s="54">
        <v>46211</v>
      </c>
      <c r="L92" s="54">
        <v>46209</v>
      </c>
      <c r="M92" s="54">
        <v>46219</v>
      </c>
      <c r="O92" s="51" t="str">
        <f t="shared" si="7"/>
        <v/>
      </c>
      <c r="P92" s="51" t="str">
        <f t="shared" si="8"/>
        <v/>
      </c>
      <c r="Q92" s="52" t="str">
        <f t="shared" si="9"/>
        <v/>
      </c>
      <c r="R92" s="52" t="str">
        <f t="shared" si="10"/>
        <v/>
      </c>
      <c r="S92" s="51" t="str">
        <f t="shared" si="11"/>
        <v/>
      </c>
      <c r="T92" t="str">
        <f t="shared" si="12"/>
        <v/>
      </c>
      <c r="U92" s="52" t="str">
        <f t="shared" si="13"/>
        <v/>
      </c>
    </row>
    <row r="93" spans="2:21" x14ac:dyDescent="0.25">
      <c r="B93">
        <v>90</v>
      </c>
      <c r="C93" t="s">
        <v>245</v>
      </c>
      <c r="D93" t="s">
        <v>1251</v>
      </c>
      <c r="E93" t="s">
        <v>1518</v>
      </c>
      <c r="F93" t="s">
        <v>1519</v>
      </c>
      <c r="G93">
        <v>6</v>
      </c>
      <c r="H93" s="48">
        <v>0.87</v>
      </c>
      <c r="I93" s="48">
        <v>0</v>
      </c>
      <c r="J93" s="54">
        <v>46211</v>
      </c>
      <c r="K93" s="54">
        <v>46216</v>
      </c>
      <c r="L93" s="54">
        <v>46219</v>
      </c>
      <c r="M93" s="54">
        <v>46224</v>
      </c>
      <c r="O93" s="51" t="str">
        <f t="shared" si="7"/>
        <v/>
      </c>
      <c r="P93" s="51" t="str">
        <f t="shared" si="8"/>
        <v/>
      </c>
      <c r="Q93" s="52" t="str">
        <f t="shared" si="9"/>
        <v/>
      </c>
      <c r="R93" s="52" t="str">
        <f t="shared" si="10"/>
        <v/>
      </c>
      <c r="S93" s="51" t="str">
        <f t="shared" si="11"/>
        <v>SIM</v>
      </c>
      <c r="T93" t="str">
        <f t="shared" si="12"/>
        <v>BL1132-0001-ME-PBC-2001</v>
      </c>
      <c r="U93" s="52">
        <f t="shared" si="13"/>
        <v>46224</v>
      </c>
    </row>
    <row r="94" spans="2:21" x14ac:dyDescent="0.25">
      <c r="B94">
        <v>91</v>
      </c>
      <c r="C94" t="s">
        <v>245</v>
      </c>
      <c r="D94" t="s">
        <v>1251</v>
      </c>
      <c r="E94" t="s">
        <v>1520</v>
      </c>
      <c r="F94" t="s">
        <v>1519</v>
      </c>
      <c r="G94">
        <v>4</v>
      </c>
      <c r="H94" s="48">
        <v>0</v>
      </c>
      <c r="I94" s="48">
        <v>0</v>
      </c>
      <c r="J94" s="54">
        <v>46216</v>
      </c>
      <c r="K94" s="54">
        <v>46219</v>
      </c>
      <c r="L94" s="54">
        <v>46224</v>
      </c>
      <c r="M94" s="54">
        <v>46227</v>
      </c>
      <c r="O94" s="51" t="str">
        <f t="shared" si="7"/>
        <v/>
      </c>
      <c r="P94" s="51" t="str">
        <f t="shared" si="8"/>
        <v/>
      </c>
      <c r="Q94" s="52" t="str">
        <f t="shared" si="9"/>
        <v/>
      </c>
      <c r="R94" s="52" t="str">
        <f t="shared" si="10"/>
        <v/>
      </c>
      <c r="S94" s="51" t="str">
        <f t="shared" si="11"/>
        <v/>
      </c>
      <c r="T94" t="str">
        <f t="shared" si="12"/>
        <v/>
      </c>
      <c r="U94" s="52" t="str">
        <f t="shared" si="13"/>
        <v/>
      </c>
    </row>
    <row r="95" spans="2:21" x14ac:dyDescent="0.25">
      <c r="B95">
        <v>92</v>
      </c>
      <c r="C95" t="s">
        <v>230</v>
      </c>
      <c r="D95" t="s">
        <v>1200</v>
      </c>
      <c r="E95" t="s">
        <v>1565</v>
      </c>
      <c r="F95" t="s">
        <v>1566</v>
      </c>
      <c r="G95">
        <v>26</v>
      </c>
      <c r="H95" s="48">
        <v>0.78610000000000002</v>
      </c>
      <c r="I95" s="48">
        <v>0.41599999999999998</v>
      </c>
      <c r="J95" s="54">
        <v>46206</v>
      </c>
      <c r="K95" s="54">
        <v>46224</v>
      </c>
      <c r="L95" s="54">
        <v>46209</v>
      </c>
      <c r="M95" s="54">
        <v>46234</v>
      </c>
      <c r="O95" s="51" t="str">
        <f t="shared" si="7"/>
        <v/>
      </c>
      <c r="P95" s="51" t="str">
        <f t="shared" si="8"/>
        <v/>
      </c>
      <c r="Q95" s="52" t="str">
        <f t="shared" si="9"/>
        <v/>
      </c>
      <c r="R95" s="52" t="str">
        <f t="shared" si="10"/>
        <v/>
      </c>
      <c r="S95" s="51" t="str">
        <f t="shared" si="11"/>
        <v/>
      </c>
      <c r="T95" t="str">
        <f t="shared" si="12"/>
        <v/>
      </c>
      <c r="U95" s="52" t="str">
        <f t="shared" si="13"/>
        <v/>
      </c>
    </row>
    <row r="96" spans="2:21" x14ac:dyDescent="0.25">
      <c r="B96">
        <v>93</v>
      </c>
      <c r="C96" t="s">
        <v>230</v>
      </c>
      <c r="D96" t="s">
        <v>1200</v>
      </c>
      <c r="E96" t="s">
        <v>1515</v>
      </c>
      <c r="F96" t="s">
        <v>1519</v>
      </c>
      <c r="G96">
        <v>15</v>
      </c>
      <c r="H96" s="48">
        <v>1</v>
      </c>
      <c r="I96" s="48">
        <v>0.6</v>
      </c>
      <c r="J96" s="54">
        <v>46206</v>
      </c>
      <c r="K96" s="54">
        <v>46211</v>
      </c>
      <c r="L96" s="54">
        <v>46209</v>
      </c>
      <c r="M96" s="54">
        <v>46223</v>
      </c>
      <c r="O96" s="51" t="str">
        <f t="shared" si="7"/>
        <v>SIM</v>
      </c>
      <c r="P96" s="51" t="str">
        <f t="shared" si="8"/>
        <v>BL1132-0001-ME-ETE-2006</v>
      </c>
      <c r="Q96" s="52">
        <f t="shared" si="9"/>
        <v>46223</v>
      </c>
      <c r="R96" s="52">
        <f t="shared" si="10"/>
        <v>46211</v>
      </c>
      <c r="S96" s="51" t="str">
        <f t="shared" si="11"/>
        <v/>
      </c>
      <c r="T96" t="str">
        <f t="shared" si="12"/>
        <v/>
      </c>
      <c r="U96" s="52" t="str">
        <f t="shared" si="13"/>
        <v/>
      </c>
    </row>
    <row r="97" spans="2:21" x14ac:dyDescent="0.25">
      <c r="B97">
        <v>94</v>
      </c>
      <c r="C97" t="s">
        <v>230</v>
      </c>
      <c r="D97" t="s">
        <v>1200</v>
      </c>
      <c r="E97" t="s">
        <v>1517</v>
      </c>
      <c r="F97" t="s">
        <v>1519</v>
      </c>
      <c r="G97">
        <v>4</v>
      </c>
      <c r="H97" s="48">
        <v>0.87</v>
      </c>
      <c r="I97" s="48">
        <v>0</v>
      </c>
      <c r="J97" s="54">
        <v>46211</v>
      </c>
      <c r="K97" s="54">
        <v>46216</v>
      </c>
      <c r="L97" s="54">
        <v>46223</v>
      </c>
      <c r="M97" s="54">
        <v>46226</v>
      </c>
      <c r="O97" s="51" t="str">
        <f t="shared" si="7"/>
        <v/>
      </c>
      <c r="P97" s="51" t="str">
        <f t="shared" si="8"/>
        <v/>
      </c>
      <c r="Q97" s="52" t="str">
        <f t="shared" si="9"/>
        <v/>
      </c>
      <c r="R97" s="52" t="str">
        <f t="shared" si="10"/>
        <v/>
      </c>
      <c r="S97" s="51" t="str">
        <f t="shared" si="11"/>
        <v/>
      </c>
      <c r="T97" t="str">
        <f t="shared" si="12"/>
        <v/>
      </c>
      <c r="U97" s="52" t="str">
        <f t="shared" si="13"/>
        <v/>
      </c>
    </row>
    <row r="98" spans="2:21" x14ac:dyDescent="0.25">
      <c r="B98">
        <v>95</v>
      </c>
      <c r="C98" t="s">
        <v>230</v>
      </c>
      <c r="D98" t="s">
        <v>1200</v>
      </c>
      <c r="E98" t="s">
        <v>1518</v>
      </c>
      <c r="F98" t="s">
        <v>1519</v>
      </c>
      <c r="G98">
        <v>6</v>
      </c>
      <c r="H98" s="48">
        <v>0</v>
      </c>
      <c r="I98" s="48">
        <v>0</v>
      </c>
      <c r="J98" s="54">
        <v>46216</v>
      </c>
      <c r="K98" s="54">
        <v>46219</v>
      </c>
      <c r="L98" s="54">
        <v>46226</v>
      </c>
      <c r="M98" s="54">
        <v>46231</v>
      </c>
      <c r="O98" s="51" t="str">
        <f t="shared" si="7"/>
        <v/>
      </c>
      <c r="P98" s="51" t="str">
        <f t="shared" si="8"/>
        <v/>
      </c>
      <c r="Q98" s="52" t="str">
        <f t="shared" si="9"/>
        <v/>
      </c>
      <c r="R98" s="52" t="str">
        <f t="shared" si="10"/>
        <v/>
      </c>
      <c r="S98" s="51" t="str">
        <f t="shared" si="11"/>
        <v>SIM</v>
      </c>
      <c r="T98" t="str">
        <f t="shared" si="12"/>
        <v>BL1132-0001-ME-ETE-2006</v>
      </c>
      <c r="U98" s="52">
        <f t="shared" si="13"/>
        <v>46231</v>
      </c>
    </row>
    <row r="99" spans="2:21" x14ac:dyDescent="0.25">
      <c r="B99">
        <v>96</v>
      </c>
      <c r="C99" t="s">
        <v>230</v>
      </c>
      <c r="D99" t="s">
        <v>1200</v>
      </c>
      <c r="E99" t="s">
        <v>1520</v>
      </c>
      <c r="F99" t="s">
        <v>1519</v>
      </c>
      <c r="G99">
        <v>4</v>
      </c>
      <c r="H99" s="48">
        <v>0</v>
      </c>
      <c r="I99" s="48">
        <v>0</v>
      </c>
      <c r="J99" s="54">
        <v>46219</v>
      </c>
      <c r="K99" s="54">
        <v>46224</v>
      </c>
      <c r="L99" s="54">
        <v>46231</v>
      </c>
      <c r="M99" s="54">
        <v>46234</v>
      </c>
      <c r="O99" s="51" t="str">
        <f t="shared" si="7"/>
        <v/>
      </c>
      <c r="P99" s="51" t="str">
        <f t="shared" si="8"/>
        <v/>
      </c>
      <c r="Q99" s="52" t="str">
        <f t="shared" si="9"/>
        <v/>
      </c>
      <c r="R99" s="52" t="str">
        <f t="shared" si="10"/>
        <v/>
      </c>
      <c r="S99" s="51" t="str">
        <f t="shared" si="11"/>
        <v/>
      </c>
      <c r="T99" t="str">
        <f t="shared" si="12"/>
        <v/>
      </c>
      <c r="U99" s="52" t="str">
        <f t="shared" si="13"/>
        <v/>
      </c>
    </row>
    <row r="100" spans="2:21" x14ac:dyDescent="0.25">
      <c r="B100">
        <v>97</v>
      </c>
      <c r="C100" t="s">
        <v>233</v>
      </c>
      <c r="D100" t="s">
        <v>1209</v>
      </c>
      <c r="E100" t="s">
        <v>1567</v>
      </c>
      <c r="F100" t="s">
        <v>1559</v>
      </c>
      <c r="G100">
        <v>17</v>
      </c>
      <c r="H100" s="48">
        <v>0.60319999999999996</v>
      </c>
      <c r="I100" s="48">
        <v>0.41599999999999998</v>
      </c>
      <c r="J100" s="54">
        <v>46211</v>
      </c>
      <c r="K100" s="54">
        <v>46227</v>
      </c>
      <c r="L100" s="54">
        <v>46223</v>
      </c>
      <c r="M100" s="54">
        <v>46239</v>
      </c>
      <c r="O100" s="51" t="str">
        <f t="shared" si="7"/>
        <v/>
      </c>
      <c r="P100" s="51" t="str">
        <f t="shared" si="8"/>
        <v/>
      </c>
      <c r="Q100" s="52" t="str">
        <f t="shared" si="9"/>
        <v/>
      </c>
      <c r="R100" s="52" t="str">
        <f t="shared" si="10"/>
        <v/>
      </c>
      <c r="S100" s="51" t="str">
        <f t="shared" si="11"/>
        <v/>
      </c>
      <c r="T100" t="str">
        <f t="shared" si="12"/>
        <v/>
      </c>
      <c r="U100" s="52" t="str">
        <f t="shared" si="13"/>
        <v/>
      </c>
    </row>
    <row r="101" spans="2:21" x14ac:dyDescent="0.25">
      <c r="B101">
        <v>98</v>
      </c>
      <c r="C101" t="s">
        <v>233</v>
      </c>
      <c r="D101" t="s">
        <v>1209</v>
      </c>
      <c r="E101" t="s">
        <v>1515</v>
      </c>
      <c r="F101" t="s">
        <v>1519</v>
      </c>
      <c r="G101">
        <v>4</v>
      </c>
      <c r="H101" s="48">
        <v>0.87</v>
      </c>
      <c r="I101" s="48">
        <v>0.6</v>
      </c>
      <c r="J101" s="54">
        <v>46211</v>
      </c>
      <c r="K101" s="54">
        <v>46216</v>
      </c>
      <c r="L101" s="54">
        <v>46223</v>
      </c>
      <c r="M101" s="54">
        <v>46226</v>
      </c>
      <c r="O101" s="51" t="str">
        <f t="shared" si="7"/>
        <v>SIM</v>
      </c>
      <c r="P101" s="51" t="str">
        <f t="shared" si="8"/>
        <v>BL1132-0001-ME-FDA-2001</v>
      </c>
      <c r="Q101" s="52">
        <f t="shared" si="9"/>
        <v>46226</v>
      </c>
      <c r="R101" s="52">
        <f t="shared" si="10"/>
        <v>46216</v>
      </c>
      <c r="S101" s="51" t="str">
        <f t="shared" si="11"/>
        <v/>
      </c>
      <c r="T101" t="str">
        <f t="shared" si="12"/>
        <v/>
      </c>
      <c r="U101" s="52" t="str">
        <f t="shared" si="13"/>
        <v/>
      </c>
    </row>
    <row r="102" spans="2:21" x14ac:dyDescent="0.25">
      <c r="B102">
        <v>99</v>
      </c>
      <c r="C102" t="s">
        <v>233</v>
      </c>
      <c r="D102" t="s">
        <v>1209</v>
      </c>
      <c r="E102" t="s">
        <v>1517</v>
      </c>
      <c r="F102" t="s">
        <v>1519</v>
      </c>
      <c r="G102">
        <v>6</v>
      </c>
      <c r="H102" s="48">
        <v>0</v>
      </c>
      <c r="I102" s="48">
        <v>0</v>
      </c>
      <c r="J102" s="54">
        <v>46216</v>
      </c>
      <c r="K102" s="54">
        <v>46219</v>
      </c>
      <c r="L102" s="54">
        <v>46226</v>
      </c>
      <c r="M102" s="54">
        <v>46231</v>
      </c>
      <c r="O102" s="51" t="str">
        <f t="shared" si="7"/>
        <v/>
      </c>
      <c r="P102" s="51" t="str">
        <f t="shared" si="8"/>
        <v/>
      </c>
      <c r="Q102" s="52" t="str">
        <f t="shared" si="9"/>
        <v/>
      </c>
      <c r="R102" s="52" t="str">
        <f t="shared" si="10"/>
        <v/>
      </c>
      <c r="S102" s="51" t="str">
        <f t="shared" si="11"/>
        <v/>
      </c>
      <c r="T102" t="str">
        <f t="shared" si="12"/>
        <v/>
      </c>
      <c r="U102" s="52" t="str">
        <f t="shared" si="13"/>
        <v/>
      </c>
    </row>
    <row r="103" spans="2:21" x14ac:dyDescent="0.25">
      <c r="B103">
        <v>100</v>
      </c>
      <c r="C103" t="s">
        <v>233</v>
      </c>
      <c r="D103" t="s">
        <v>1209</v>
      </c>
      <c r="E103" t="s">
        <v>1518</v>
      </c>
      <c r="F103" t="s">
        <v>1519</v>
      </c>
      <c r="G103">
        <v>4</v>
      </c>
      <c r="H103" s="48">
        <v>0</v>
      </c>
      <c r="I103" s="48">
        <v>0</v>
      </c>
      <c r="J103" s="54">
        <v>46219</v>
      </c>
      <c r="K103" s="54">
        <v>46224</v>
      </c>
      <c r="L103" s="54">
        <v>46231</v>
      </c>
      <c r="M103" s="54">
        <v>46234</v>
      </c>
      <c r="O103" s="51" t="str">
        <f t="shared" si="7"/>
        <v/>
      </c>
      <c r="P103" s="51" t="str">
        <f t="shared" si="8"/>
        <v/>
      </c>
      <c r="Q103" s="52" t="str">
        <f t="shared" si="9"/>
        <v/>
      </c>
      <c r="R103" s="52" t="str">
        <f t="shared" si="10"/>
        <v/>
      </c>
      <c r="S103" s="51" t="str">
        <f t="shared" si="11"/>
        <v>SIM</v>
      </c>
      <c r="T103" t="str">
        <f t="shared" si="12"/>
        <v>BL1132-0001-ME-FDA-2001</v>
      </c>
      <c r="U103" s="52">
        <f t="shared" si="13"/>
        <v>46234</v>
      </c>
    </row>
    <row r="104" spans="2:21" x14ac:dyDescent="0.25">
      <c r="B104">
        <v>101</v>
      </c>
      <c r="C104" t="s">
        <v>233</v>
      </c>
      <c r="D104" t="s">
        <v>1209</v>
      </c>
      <c r="E104" t="s">
        <v>1520</v>
      </c>
      <c r="F104" t="s">
        <v>1519</v>
      </c>
      <c r="G104">
        <v>6</v>
      </c>
      <c r="H104" s="48">
        <v>0</v>
      </c>
      <c r="I104" s="48">
        <v>0</v>
      </c>
      <c r="J104" s="54">
        <v>46224</v>
      </c>
      <c r="K104" s="54">
        <v>46227</v>
      </c>
      <c r="L104" s="54">
        <v>46234</v>
      </c>
      <c r="M104" s="54">
        <v>46239</v>
      </c>
      <c r="O104" s="51" t="str">
        <f t="shared" si="7"/>
        <v/>
      </c>
      <c r="P104" s="51" t="str">
        <f t="shared" si="8"/>
        <v/>
      </c>
      <c r="Q104" s="52" t="str">
        <f t="shared" si="9"/>
        <v/>
      </c>
      <c r="R104" s="52" t="str">
        <f t="shared" si="10"/>
        <v/>
      </c>
      <c r="S104" s="51" t="str">
        <f t="shared" si="11"/>
        <v/>
      </c>
      <c r="T104" t="str">
        <f t="shared" si="12"/>
        <v/>
      </c>
      <c r="U104" s="52" t="str">
        <f t="shared" si="13"/>
        <v/>
      </c>
    </row>
    <row r="105" spans="2:21" x14ac:dyDescent="0.25">
      <c r="B105">
        <v>102</v>
      </c>
      <c r="E105" t="s">
        <v>1557</v>
      </c>
      <c r="F105" t="s">
        <v>1535</v>
      </c>
      <c r="G105">
        <v>21</v>
      </c>
      <c r="H105" s="48">
        <v>0</v>
      </c>
      <c r="I105" s="48">
        <v>0</v>
      </c>
      <c r="J105" s="54">
        <v>46230</v>
      </c>
      <c r="K105" s="54">
        <v>46247</v>
      </c>
      <c r="L105" s="54">
        <v>46267</v>
      </c>
      <c r="M105" s="54">
        <v>46287</v>
      </c>
      <c r="O105" s="51" t="str">
        <f t="shared" si="7"/>
        <v/>
      </c>
      <c r="P105" s="51" t="str">
        <f t="shared" si="8"/>
        <v/>
      </c>
      <c r="Q105" s="52" t="str">
        <f t="shared" si="9"/>
        <v/>
      </c>
      <c r="R105" s="52" t="str">
        <f t="shared" si="10"/>
        <v/>
      </c>
      <c r="S105" s="51" t="str">
        <f t="shared" si="11"/>
        <v/>
      </c>
      <c r="T105" t="str">
        <f t="shared" si="12"/>
        <v/>
      </c>
      <c r="U105" s="52" t="str">
        <f t="shared" si="13"/>
        <v/>
      </c>
    </row>
    <row r="106" spans="2:21" x14ac:dyDescent="0.25">
      <c r="B106">
        <v>103</v>
      </c>
      <c r="C106" t="s">
        <v>197</v>
      </c>
      <c r="D106" t="s">
        <v>1100</v>
      </c>
      <c r="E106" t="s">
        <v>1568</v>
      </c>
      <c r="F106" t="s">
        <v>1535</v>
      </c>
      <c r="G106">
        <v>21</v>
      </c>
      <c r="H106" s="48">
        <v>0</v>
      </c>
      <c r="I106" s="48">
        <v>0</v>
      </c>
      <c r="J106" s="54">
        <v>46230</v>
      </c>
      <c r="K106" s="54">
        <v>46247</v>
      </c>
      <c r="L106" s="54">
        <v>46267</v>
      </c>
      <c r="M106" s="54">
        <v>46287</v>
      </c>
      <c r="O106" s="51" t="str">
        <f t="shared" si="7"/>
        <v/>
      </c>
      <c r="P106" s="51" t="str">
        <f t="shared" si="8"/>
        <v/>
      </c>
      <c r="Q106" s="52" t="str">
        <f t="shared" si="9"/>
        <v/>
      </c>
      <c r="R106" s="52" t="str">
        <f t="shared" si="10"/>
        <v/>
      </c>
      <c r="S106" s="51" t="str">
        <f t="shared" si="11"/>
        <v/>
      </c>
      <c r="T106" t="str">
        <f t="shared" si="12"/>
        <v/>
      </c>
      <c r="U106" s="52" t="str">
        <f t="shared" si="13"/>
        <v/>
      </c>
    </row>
    <row r="107" spans="2:21" x14ac:dyDescent="0.25">
      <c r="B107">
        <v>104</v>
      </c>
      <c r="C107" t="s">
        <v>197</v>
      </c>
      <c r="D107" t="s">
        <v>1100</v>
      </c>
      <c r="E107" t="s">
        <v>1515</v>
      </c>
      <c r="F107" t="s">
        <v>1525</v>
      </c>
      <c r="G107">
        <v>8</v>
      </c>
      <c r="H107" s="48">
        <v>0</v>
      </c>
      <c r="I107" s="48">
        <v>0</v>
      </c>
      <c r="J107" s="54">
        <v>46230</v>
      </c>
      <c r="K107" s="54">
        <v>46234</v>
      </c>
      <c r="L107" s="54">
        <v>46267</v>
      </c>
      <c r="M107" s="54">
        <v>46274</v>
      </c>
      <c r="O107" s="51" t="str">
        <f t="shared" si="7"/>
        <v>SIM</v>
      </c>
      <c r="P107" s="51" t="str">
        <f t="shared" si="8"/>
        <v>BL1132-0001-EM-PQU-2000</v>
      </c>
      <c r="Q107" s="52">
        <f t="shared" si="9"/>
        <v>46274</v>
      </c>
      <c r="R107" s="52">
        <f t="shared" si="10"/>
        <v>46234</v>
      </c>
      <c r="S107" s="51" t="str">
        <f t="shared" si="11"/>
        <v/>
      </c>
      <c r="T107" t="str">
        <f t="shared" si="12"/>
        <v/>
      </c>
      <c r="U107" s="52" t="str">
        <f t="shared" si="13"/>
        <v/>
      </c>
    </row>
    <row r="108" spans="2:21" x14ac:dyDescent="0.25">
      <c r="B108">
        <v>105</v>
      </c>
      <c r="C108" t="s">
        <v>197</v>
      </c>
      <c r="D108" t="s">
        <v>1100</v>
      </c>
      <c r="E108" t="s">
        <v>1517</v>
      </c>
      <c r="F108" t="s">
        <v>1519</v>
      </c>
      <c r="G108">
        <v>6</v>
      </c>
      <c r="H108" s="48">
        <v>0</v>
      </c>
      <c r="I108" s="48">
        <v>0</v>
      </c>
      <c r="J108" s="54">
        <v>46234</v>
      </c>
      <c r="K108" s="54">
        <v>46239</v>
      </c>
      <c r="L108" s="54">
        <v>46274</v>
      </c>
      <c r="M108" s="54">
        <v>46279</v>
      </c>
      <c r="O108" s="51" t="str">
        <f t="shared" si="7"/>
        <v/>
      </c>
      <c r="P108" s="51" t="str">
        <f t="shared" si="8"/>
        <v/>
      </c>
      <c r="Q108" s="52" t="str">
        <f t="shared" si="9"/>
        <v/>
      </c>
      <c r="R108" s="52" t="str">
        <f t="shared" si="10"/>
        <v/>
      </c>
      <c r="S108" s="51" t="str">
        <f t="shared" si="11"/>
        <v/>
      </c>
      <c r="T108" t="str">
        <f t="shared" si="12"/>
        <v/>
      </c>
      <c r="U108" s="52" t="str">
        <f t="shared" si="13"/>
        <v/>
      </c>
    </row>
    <row r="109" spans="2:21" x14ac:dyDescent="0.25">
      <c r="B109">
        <v>106</v>
      </c>
      <c r="C109" t="s">
        <v>197</v>
      </c>
      <c r="D109" t="s">
        <v>1100</v>
      </c>
      <c r="E109" t="s">
        <v>1518</v>
      </c>
      <c r="F109" t="s">
        <v>1519</v>
      </c>
      <c r="G109">
        <v>4</v>
      </c>
      <c r="H109" s="48">
        <v>0</v>
      </c>
      <c r="I109" s="48">
        <v>0</v>
      </c>
      <c r="J109" s="54">
        <v>46239</v>
      </c>
      <c r="K109" s="54">
        <v>46244</v>
      </c>
      <c r="L109" s="54">
        <v>46279</v>
      </c>
      <c r="M109" s="54">
        <v>46282</v>
      </c>
      <c r="O109" s="51" t="str">
        <f t="shared" si="7"/>
        <v/>
      </c>
      <c r="P109" s="51" t="str">
        <f t="shared" si="8"/>
        <v/>
      </c>
      <c r="Q109" s="52" t="str">
        <f t="shared" si="9"/>
        <v/>
      </c>
      <c r="R109" s="52" t="str">
        <f t="shared" si="10"/>
        <v/>
      </c>
      <c r="S109" s="51" t="str">
        <f t="shared" si="11"/>
        <v>SIM</v>
      </c>
      <c r="T109" t="str">
        <f t="shared" si="12"/>
        <v>BL1132-0001-EM-PQU-2000</v>
      </c>
      <c r="U109" s="52">
        <f t="shared" si="13"/>
        <v>46282</v>
      </c>
    </row>
    <row r="110" spans="2:21" x14ac:dyDescent="0.25">
      <c r="B110">
        <v>107</v>
      </c>
      <c r="C110" t="s">
        <v>197</v>
      </c>
      <c r="D110" t="s">
        <v>1100</v>
      </c>
      <c r="E110" t="s">
        <v>1520</v>
      </c>
      <c r="F110" t="s">
        <v>1519</v>
      </c>
      <c r="G110">
        <v>6</v>
      </c>
      <c r="H110" s="48">
        <v>0</v>
      </c>
      <c r="I110" s="48">
        <v>0</v>
      </c>
      <c r="J110" s="54">
        <v>46244</v>
      </c>
      <c r="K110" s="54">
        <v>46247</v>
      </c>
      <c r="L110" s="54">
        <v>46282</v>
      </c>
      <c r="M110" s="54">
        <v>46287</v>
      </c>
      <c r="O110" s="51" t="str">
        <f t="shared" si="7"/>
        <v/>
      </c>
      <c r="P110" s="51" t="str">
        <f t="shared" si="8"/>
        <v/>
      </c>
      <c r="Q110" s="52" t="str">
        <f t="shared" si="9"/>
        <v/>
      </c>
      <c r="R110" s="52" t="str">
        <f t="shared" si="10"/>
        <v/>
      </c>
      <c r="S110" s="51" t="str">
        <f t="shared" si="11"/>
        <v/>
      </c>
      <c r="T110" t="str">
        <f t="shared" si="12"/>
        <v/>
      </c>
      <c r="U110" s="52" t="str">
        <f t="shared" si="13"/>
        <v/>
      </c>
    </row>
    <row r="111" spans="2:21" x14ac:dyDescent="0.25">
      <c r="B111">
        <v>108</v>
      </c>
      <c r="E111" t="s">
        <v>1569</v>
      </c>
      <c r="F111" t="s">
        <v>1570</v>
      </c>
      <c r="G111">
        <v>64</v>
      </c>
      <c r="H111" s="48">
        <v>0.50049999999999994</v>
      </c>
      <c r="I111" s="48">
        <v>0.2757</v>
      </c>
      <c r="J111" s="54">
        <v>46198</v>
      </c>
      <c r="K111" s="54">
        <v>46266</v>
      </c>
      <c r="L111" s="54">
        <v>46198</v>
      </c>
      <c r="M111" s="54">
        <v>46261</v>
      </c>
      <c r="O111" s="51" t="str">
        <f t="shared" si="7"/>
        <v/>
      </c>
      <c r="P111" s="51" t="str">
        <f t="shared" si="8"/>
        <v/>
      </c>
      <c r="Q111" s="52" t="str">
        <f t="shared" si="9"/>
        <v/>
      </c>
      <c r="R111" s="52" t="str">
        <f t="shared" si="10"/>
        <v/>
      </c>
      <c r="S111" s="51" t="str">
        <f t="shared" si="11"/>
        <v/>
      </c>
      <c r="T111" t="str">
        <f t="shared" si="12"/>
        <v/>
      </c>
      <c r="U111" s="52" t="str">
        <f t="shared" si="13"/>
        <v/>
      </c>
    </row>
    <row r="112" spans="2:21" x14ac:dyDescent="0.25">
      <c r="B112">
        <v>109</v>
      </c>
      <c r="E112" t="s">
        <v>1555</v>
      </c>
      <c r="F112" t="s">
        <v>1571</v>
      </c>
      <c r="G112">
        <v>63</v>
      </c>
      <c r="H112" s="48">
        <v>0.64829999999999999</v>
      </c>
      <c r="I112" s="48">
        <v>0.60609999999999997</v>
      </c>
      <c r="J112" s="54">
        <v>46198</v>
      </c>
      <c r="K112" s="54">
        <v>46234</v>
      </c>
      <c r="L112" s="54">
        <v>46198</v>
      </c>
      <c r="M112" s="54">
        <v>46260</v>
      </c>
      <c r="O112" s="51" t="str">
        <f t="shared" si="7"/>
        <v/>
      </c>
      <c r="P112" s="51" t="str">
        <f t="shared" si="8"/>
        <v/>
      </c>
      <c r="Q112" s="52" t="str">
        <f t="shared" si="9"/>
        <v/>
      </c>
      <c r="R112" s="52" t="str">
        <f t="shared" si="10"/>
        <v/>
      </c>
      <c r="S112" s="51" t="str">
        <f t="shared" si="11"/>
        <v/>
      </c>
      <c r="T112" t="str">
        <f t="shared" si="12"/>
        <v/>
      </c>
      <c r="U112" s="52" t="str">
        <f t="shared" si="13"/>
        <v/>
      </c>
    </row>
    <row r="113" spans="2:21" x14ac:dyDescent="0.25">
      <c r="B113">
        <v>110</v>
      </c>
      <c r="E113" t="s">
        <v>1572</v>
      </c>
      <c r="F113" t="s">
        <v>1516</v>
      </c>
      <c r="G113">
        <v>13</v>
      </c>
      <c r="H113" s="48">
        <v>0</v>
      </c>
      <c r="I113" s="48">
        <v>0</v>
      </c>
      <c r="J113" s="54">
        <v>46224</v>
      </c>
      <c r="K113" s="54">
        <v>46234</v>
      </c>
      <c r="L113" s="54">
        <v>46248</v>
      </c>
      <c r="M113" s="54">
        <v>46260</v>
      </c>
      <c r="O113" s="51" t="str">
        <f t="shared" si="7"/>
        <v/>
      </c>
      <c r="P113" s="51" t="str">
        <f t="shared" si="8"/>
        <v/>
      </c>
      <c r="Q113" s="52" t="str">
        <f t="shared" si="9"/>
        <v/>
      </c>
      <c r="R113" s="52" t="str">
        <f t="shared" si="10"/>
        <v/>
      </c>
      <c r="S113" s="51" t="str">
        <f t="shared" si="11"/>
        <v/>
      </c>
      <c r="T113" t="str">
        <f t="shared" si="12"/>
        <v/>
      </c>
      <c r="U113" s="52" t="str">
        <f t="shared" si="13"/>
        <v/>
      </c>
    </row>
    <row r="114" spans="2:21" x14ac:dyDescent="0.25">
      <c r="B114">
        <v>111</v>
      </c>
      <c r="E114" t="s">
        <v>1557</v>
      </c>
      <c r="F114" t="s">
        <v>1559</v>
      </c>
      <c r="G114">
        <v>17</v>
      </c>
      <c r="H114" s="48">
        <v>0.18</v>
      </c>
      <c r="I114" s="48">
        <v>0</v>
      </c>
      <c r="J114" s="54">
        <v>46212</v>
      </c>
      <c r="K114" s="54">
        <v>46230</v>
      </c>
      <c r="L114" s="54">
        <v>46237</v>
      </c>
      <c r="M114" s="54">
        <v>46253</v>
      </c>
      <c r="O114" s="51" t="str">
        <f t="shared" si="7"/>
        <v/>
      </c>
      <c r="P114" s="51" t="str">
        <f t="shared" si="8"/>
        <v/>
      </c>
      <c r="Q114" s="52" t="str">
        <f t="shared" si="9"/>
        <v/>
      </c>
      <c r="R114" s="52" t="str">
        <f t="shared" si="10"/>
        <v/>
      </c>
      <c r="S114" s="51" t="str">
        <f t="shared" si="11"/>
        <v/>
      </c>
      <c r="T114" t="str">
        <f t="shared" si="12"/>
        <v/>
      </c>
      <c r="U114" s="52" t="str">
        <f t="shared" si="13"/>
        <v/>
      </c>
    </row>
    <row r="115" spans="2:21" x14ac:dyDescent="0.25">
      <c r="B115">
        <v>112</v>
      </c>
      <c r="E115" t="s">
        <v>1558</v>
      </c>
      <c r="F115" t="s">
        <v>1523</v>
      </c>
      <c r="G115">
        <v>12</v>
      </c>
      <c r="H115" s="48">
        <v>1</v>
      </c>
      <c r="I115" s="48">
        <v>1</v>
      </c>
      <c r="J115" s="54">
        <v>46198</v>
      </c>
      <c r="K115" s="54">
        <v>46209</v>
      </c>
      <c r="L115" s="54">
        <v>46198</v>
      </c>
      <c r="M115" s="54">
        <v>46209</v>
      </c>
      <c r="O115" s="51" t="str">
        <f t="shared" si="7"/>
        <v/>
      </c>
      <c r="P115" s="51" t="str">
        <f t="shared" si="8"/>
        <v/>
      </c>
      <c r="Q115" s="52" t="str">
        <f t="shared" si="9"/>
        <v/>
      </c>
      <c r="R115" s="52" t="str">
        <f t="shared" si="10"/>
        <v/>
      </c>
      <c r="S115" s="51" t="str">
        <f t="shared" si="11"/>
        <v/>
      </c>
      <c r="T115" t="str">
        <f t="shared" si="12"/>
        <v/>
      </c>
      <c r="U115" s="52" t="str">
        <f t="shared" si="13"/>
        <v/>
      </c>
    </row>
    <row r="116" spans="2:21" x14ac:dyDescent="0.25">
      <c r="B116">
        <v>113</v>
      </c>
      <c r="E116" t="s">
        <v>1560</v>
      </c>
      <c r="F116" t="s">
        <v>1570</v>
      </c>
      <c r="G116">
        <v>64</v>
      </c>
      <c r="H116" s="48">
        <v>0.46229999999999999</v>
      </c>
      <c r="I116" s="48">
        <v>0.19020000000000001</v>
      </c>
      <c r="J116" s="54">
        <v>46198</v>
      </c>
      <c r="K116" s="54">
        <v>46266</v>
      </c>
      <c r="L116" s="54">
        <v>46198</v>
      </c>
      <c r="M116" s="54">
        <v>46261</v>
      </c>
      <c r="O116" s="51" t="str">
        <f t="shared" si="7"/>
        <v/>
      </c>
      <c r="P116" s="51" t="str">
        <f t="shared" si="8"/>
        <v/>
      </c>
      <c r="Q116" s="52" t="str">
        <f t="shared" si="9"/>
        <v/>
      </c>
      <c r="R116" s="52" t="str">
        <f t="shared" si="10"/>
        <v/>
      </c>
      <c r="S116" s="51" t="str">
        <f t="shared" si="11"/>
        <v/>
      </c>
      <c r="T116" t="str">
        <f t="shared" si="12"/>
        <v/>
      </c>
      <c r="U116" s="52" t="str">
        <f t="shared" si="13"/>
        <v/>
      </c>
    </row>
    <row r="117" spans="2:21" x14ac:dyDescent="0.25">
      <c r="B117">
        <v>114</v>
      </c>
      <c r="E117" t="s">
        <v>1558</v>
      </c>
      <c r="F117" t="s">
        <v>1573</v>
      </c>
      <c r="G117">
        <v>48</v>
      </c>
      <c r="H117" s="48">
        <v>0.95989999999999998</v>
      </c>
      <c r="I117" s="48">
        <v>0.4304</v>
      </c>
      <c r="J117" s="54">
        <v>46198</v>
      </c>
      <c r="K117" s="54">
        <v>46219</v>
      </c>
      <c r="L117" s="54">
        <v>46198</v>
      </c>
      <c r="M117" s="54">
        <v>46245</v>
      </c>
      <c r="O117" s="51" t="str">
        <f t="shared" si="7"/>
        <v/>
      </c>
      <c r="P117" s="51" t="str">
        <f t="shared" si="8"/>
        <v/>
      </c>
      <c r="Q117" s="52" t="str">
        <f t="shared" si="9"/>
        <v/>
      </c>
      <c r="R117" s="52" t="str">
        <f t="shared" si="10"/>
        <v/>
      </c>
      <c r="S117" s="51" t="str">
        <f t="shared" si="11"/>
        <v/>
      </c>
      <c r="T117" t="str">
        <f t="shared" si="12"/>
        <v/>
      </c>
      <c r="U117" s="52" t="str">
        <f t="shared" si="13"/>
        <v/>
      </c>
    </row>
    <row r="118" spans="2:21" x14ac:dyDescent="0.25">
      <c r="B118">
        <v>115</v>
      </c>
      <c r="C118" t="s">
        <v>235</v>
      </c>
      <c r="D118" t="s">
        <v>1212</v>
      </c>
      <c r="E118" t="s">
        <v>1574</v>
      </c>
      <c r="F118" t="s">
        <v>1559</v>
      </c>
      <c r="G118">
        <v>17</v>
      </c>
      <c r="H118" s="48">
        <v>0.99650000000000005</v>
      </c>
      <c r="I118" s="48">
        <v>0.41599999999999998</v>
      </c>
      <c r="J118" s="54">
        <v>46198</v>
      </c>
      <c r="K118" s="54">
        <v>46216</v>
      </c>
      <c r="L118" s="54">
        <v>46218</v>
      </c>
      <c r="M118" s="54">
        <v>46234</v>
      </c>
      <c r="O118" s="51" t="str">
        <f t="shared" si="7"/>
        <v/>
      </c>
      <c r="P118" s="51" t="str">
        <f t="shared" si="8"/>
        <v/>
      </c>
      <c r="Q118" s="52" t="str">
        <f t="shared" si="9"/>
        <v/>
      </c>
      <c r="R118" s="52" t="str">
        <f t="shared" si="10"/>
        <v/>
      </c>
      <c r="S118" s="51" t="str">
        <f t="shared" si="11"/>
        <v/>
      </c>
      <c r="T118" t="str">
        <f t="shared" si="12"/>
        <v/>
      </c>
      <c r="U118" s="52" t="str">
        <f t="shared" si="13"/>
        <v/>
      </c>
    </row>
    <row r="119" spans="2:21" x14ac:dyDescent="0.25">
      <c r="B119">
        <v>116</v>
      </c>
      <c r="C119" t="s">
        <v>235</v>
      </c>
      <c r="D119" t="s">
        <v>1212</v>
      </c>
      <c r="E119" t="s">
        <v>1515</v>
      </c>
      <c r="F119" t="s">
        <v>1519</v>
      </c>
      <c r="G119">
        <v>6</v>
      </c>
      <c r="H119" s="48">
        <v>1</v>
      </c>
      <c r="I119" s="48">
        <v>0.6</v>
      </c>
      <c r="J119" s="54">
        <v>46198</v>
      </c>
      <c r="K119" s="54">
        <v>46203</v>
      </c>
      <c r="L119" s="54">
        <v>46218</v>
      </c>
      <c r="M119" s="54">
        <v>46223</v>
      </c>
      <c r="O119" s="51" t="str">
        <f t="shared" si="7"/>
        <v>SIM</v>
      </c>
      <c r="P119" s="51" t="str">
        <f t="shared" si="8"/>
        <v>BL1132-0001-ME-FDA-2003</v>
      </c>
      <c r="Q119" s="52">
        <f t="shared" si="9"/>
        <v>46223</v>
      </c>
      <c r="R119" s="52">
        <f t="shared" si="10"/>
        <v>46203</v>
      </c>
      <c r="S119" s="51" t="str">
        <f t="shared" si="11"/>
        <v/>
      </c>
      <c r="T119" t="str">
        <f t="shared" si="12"/>
        <v/>
      </c>
      <c r="U119" s="52" t="str">
        <f t="shared" si="13"/>
        <v/>
      </c>
    </row>
    <row r="120" spans="2:21" x14ac:dyDescent="0.25">
      <c r="B120">
        <v>117</v>
      </c>
      <c r="C120" t="s">
        <v>235</v>
      </c>
      <c r="D120" t="s">
        <v>1212</v>
      </c>
      <c r="E120" t="s">
        <v>1517</v>
      </c>
      <c r="F120" t="s">
        <v>1519</v>
      </c>
      <c r="G120">
        <v>4</v>
      </c>
      <c r="H120" s="48">
        <v>1</v>
      </c>
      <c r="I120" s="48">
        <v>0</v>
      </c>
      <c r="J120" s="54">
        <v>46203</v>
      </c>
      <c r="K120" s="54">
        <v>46206</v>
      </c>
      <c r="L120" s="54">
        <v>46223</v>
      </c>
      <c r="M120" s="54">
        <v>46226</v>
      </c>
      <c r="O120" s="51" t="str">
        <f t="shared" si="7"/>
        <v/>
      </c>
      <c r="P120" s="51" t="str">
        <f t="shared" si="8"/>
        <v/>
      </c>
      <c r="Q120" s="52" t="str">
        <f t="shared" si="9"/>
        <v/>
      </c>
      <c r="R120" s="52" t="str">
        <f t="shared" si="10"/>
        <v/>
      </c>
      <c r="S120" s="51" t="str">
        <f t="shared" si="11"/>
        <v/>
      </c>
      <c r="T120" t="str">
        <f t="shared" si="12"/>
        <v/>
      </c>
      <c r="U120" s="52" t="str">
        <f t="shared" si="13"/>
        <v/>
      </c>
    </row>
    <row r="121" spans="2:21" x14ac:dyDescent="0.25">
      <c r="B121">
        <v>118</v>
      </c>
      <c r="C121" t="s">
        <v>235</v>
      </c>
      <c r="D121" t="s">
        <v>1212</v>
      </c>
      <c r="E121" t="s">
        <v>1518</v>
      </c>
      <c r="F121" t="s">
        <v>1519</v>
      </c>
      <c r="G121">
        <v>6</v>
      </c>
      <c r="H121" s="48">
        <v>1</v>
      </c>
      <c r="I121" s="48">
        <v>0</v>
      </c>
      <c r="J121" s="54">
        <v>46206</v>
      </c>
      <c r="K121" s="54">
        <v>46211</v>
      </c>
      <c r="L121" s="54">
        <v>46226</v>
      </c>
      <c r="M121" s="54">
        <v>46231</v>
      </c>
      <c r="O121" s="51" t="str">
        <f t="shared" si="7"/>
        <v/>
      </c>
      <c r="P121" s="51" t="str">
        <f t="shared" si="8"/>
        <v/>
      </c>
      <c r="Q121" s="52" t="str">
        <f t="shared" si="9"/>
        <v/>
      </c>
      <c r="R121" s="52" t="str">
        <f t="shared" si="10"/>
        <v/>
      </c>
      <c r="S121" s="51" t="str">
        <f t="shared" si="11"/>
        <v>SIM</v>
      </c>
      <c r="T121" t="str">
        <f t="shared" si="12"/>
        <v>BL1132-0001-ME-FDA-2003</v>
      </c>
      <c r="U121" s="52">
        <f t="shared" si="13"/>
        <v>46231</v>
      </c>
    </row>
    <row r="122" spans="2:21" x14ac:dyDescent="0.25">
      <c r="B122">
        <v>119</v>
      </c>
      <c r="C122" t="s">
        <v>235</v>
      </c>
      <c r="D122" t="s">
        <v>1212</v>
      </c>
      <c r="E122" t="s">
        <v>1520</v>
      </c>
      <c r="F122" t="s">
        <v>1519</v>
      </c>
      <c r="G122">
        <v>4</v>
      </c>
      <c r="H122" s="48">
        <v>0.87</v>
      </c>
      <c r="I122" s="48">
        <v>0</v>
      </c>
      <c r="J122" s="54">
        <v>46211</v>
      </c>
      <c r="K122" s="54">
        <v>46216</v>
      </c>
      <c r="L122" s="54">
        <v>46231</v>
      </c>
      <c r="M122" s="54">
        <v>46234</v>
      </c>
      <c r="O122" s="51" t="str">
        <f t="shared" si="7"/>
        <v/>
      </c>
      <c r="P122" s="51" t="str">
        <f t="shared" si="8"/>
        <v/>
      </c>
      <c r="Q122" s="52" t="str">
        <f t="shared" si="9"/>
        <v/>
      </c>
      <c r="R122" s="52" t="str">
        <f t="shared" si="10"/>
        <v/>
      </c>
      <c r="S122" s="51" t="str">
        <f t="shared" si="11"/>
        <v/>
      </c>
      <c r="T122" t="str">
        <f t="shared" si="12"/>
        <v/>
      </c>
      <c r="U122" s="52" t="str">
        <f t="shared" si="13"/>
        <v/>
      </c>
    </row>
    <row r="123" spans="2:21" x14ac:dyDescent="0.25">
      <c r="B123">
        <v>120</v>
      </c>
      <c r="C123" t="s">
        <v>243</v>
      </c>
      <c r="D123" t="s">
        <v>1240</v>
      </c>
      <c r="E123" t="s">
        <v>1575</v>
      </c>
      <c r="F123" t="s">
        <v>1576</v>
      </c>
      <c r="G123">
        <v>42</v>
      </c>
      <c r="H123" s="48">
        <v>0.95079999999999998</v>
      </c>
      <c r="I123" s="48">
        <v>0.312</v>
      </c>
      <c r="J123" s="54">
        <v>46203</v>
      </c>
      <c r="K123" s="54">
        <v>46219</v>
      </c>
      <c r="L123" s="54">
        <v>46204</v>
      </c>
      <c r="M123" s="54">
        <v>46245</v>
      </c>
      <c r="O123" s="51" t="str">
        <f t="shared" si="7"/>
        <v/>
      </c>
      <c r="P123" s="51" t="str">
        <f t="shared" si="8"/>
        <v/>
      </c>
      <c r="Q123" s="52" t="str">
        <f t="shared" si="9"/>
        <v/>
      </c>
      <c r="R123" s="52" t="str">
        <f t="shared" si="10"/>
        <v/>
      </c>
      <c r="S123" s="51" t="str">
        <f t="shared" si="11"/>
        <v/>
      </c>
      <c r="T123" t="str">
        <f t="shared" si="12"/>
        <v/>
      </c>
      <c r="U123" s="52" t="str">
        <f t="shared" si="13"/>
        <v/>
      </c>
    </row>
    <row r="124" spans="2:21" x14ac:dyDescent="0.25">
      <c r="B124">
        <v>121</v>
      </c>
      <c r="C124" t="s">
        <v>243</v>
      </c>
      <c r="D124" t="s">
        <v>1240</v>
      </c>
      <c r="E124" t="s">
        <v>1515</v>
      </c>
      <c r="F124" t="s">
        <v>1509</v>
      </c>
      <c r="G124">
        <v>29</v>
      </c>
      <c r="H124" s="48">
        <v>1</v>
      </c>
      <c r="I124" s="48">
        <v>0.45</v>
      </c>
      <c r="J124" s="54">
        <v>46203</v>
      </c>
      <c r="K124" s="54">
        <v>46206</v>
      </c>
      <c r="L124" s="54">
        <v>46204</v>
      </c>
      <c r="M124" s="54">
        <v>46232</v>
      </c>
      <c r="O124" s="51" t="str">
        <f t="shared" si="7"/>
        <v>SIM</v>
      </c>
      <c r="P124" s="51" t="str">
        <f t="shared" si="8"/>
        <v>BL1132-0001-ME-MCA-2007</v>
      </c>
      <c r="Q124" s="52">
        <f t="shared" si="9"/>
        <v>46232</v>
      </c>
      <c r="R124" s="52">
        <f t="shared" si="10"/>
        <v>46206</v>
      </c>
      <c r="S124" s="51" t="str">
        <f t="shared" si="11"/>
        <v/>
      </c>
      <c r="T124" t="str">
        <f t="shared" si="12"/>
        <v/>
      </c>
      <c r="U124" s="52" t="str">
        <f t="shared" si="13"/>
        <v/>
      </c>
    </row>
    <row r="125" spans="2:21" x14ac:dyDescent="0.25">
      <c r="B125">
        <v>122</v>
      </c>
      <c r="C125" t="s">
        <v>243</v>
      </c>
      <c r="D125" t="s">
        <v>1240</v>
      </c>
      <c r="E125" t="s">
        <v>1517</v>
      </c>
      <c r="F125" t="s">
        <v>1519</v>
      </c>
      <c r="G125">
        <v>6</v>
      </c>
      <c r="H125" s="48">
        <v>1</v>
      </c>
      <c r="I125" s="48">
        <v>0</v>
      </c>
      <c r="J125" s="54">
        <v>46206</v>
      </c>
      <c r="K125" s="54">
        <v>46211</v>
      </c>
      <c r="L125" s="54">
        <v>46232</v>
      </c>
      <c r="M125" s="54">
        <v>46237</v>
      </c>
      <c r="O125" s="51" t="str">
        <f t="shared" si="7"/>
        <v/>
      </c>
      <c r="P125" s="51" t="str">
        <f t="shared" si="8"/>
        <v/>
      </c>
      <c r="Q125" s="52" t="str">
        <f t="shared" si="9"/>
        <v/>
      </c>
      <c r="R125" s="52" t="str">
        <f t="shared" si="10"/>
        <v/>
      </c>
      <c r="S125" s="51" t="str">
        <f t="shared" si="11"/>
        <v/>
      </c>
      <c r="T125" t="str">
        <f t="shared" si="12"/>
        <v/>
      </c>
      <c r="U125" s="52" t="str">
        <f t="shared" si="13"/>
        <v/>
      </c>
    </row>
    <row r="126" spans="2:21" x14ac:dyDescent="0.25">
      <c r="B126">
        <v>123</v>
      </c>
      <c r="C126" t="s">
        <v>243</v>
      </c>
      <c r="D126" t="s">
        <v>1240</v>
      </c>
      <c r="E126" t="s">
        <v>1518</v>
      </c>
      <c r="F126" t="s">
        <v>1519</v>
      </c>
      <c r="G126">
        <v>4</v>
      </c>
      <c r="H126" s="48">
        <v>0.87</v>
      </c>
      <c r="I126" s="48">
        <v>0</v>
      </c>
      <c r="J126" s="54">
        <v>46211</v>
      </c>
      <c r="K126" s="54">
        <v>46216</v>
      </c>
      <c r="L126" s="54">
        <v>46237</v>
      </c>
      <c r="M126" s="54">
        <v>46240</v>
      </c>
      <c r="O126" s="51" t="str">
        <f t="shared" si="7"/>
        <v/>
      </c>
      <c r="P126" s="51" t="str">
        <f t="shared" si="8"/>
        <v/>
      </c>
      <c r="Q126" s="52" t="str">
        <f t="shared" si="9"/>
        <v/>
      </c>
      <c r="R126" s="52" t="str">
        <f t="shared" si="10"/>
        <v/>
      </c>
      <c r="S126" s="51" t="str">
        <f t="shared" si="11"/>
        <v>SIM</v>
      </c>
      <c r="T126" t="str">
        <f t="shared" si="12"/>
        <v>BL1132-0001-ME-MCA-2007</v>
      </c>
      <c r="U126" s="52">
        <f t="shared" si="13"/>
        <v>46240</v>
      </c>
    </row>
    <row r="127" spans="2:21" x14ac:dyDescent="0.25">
      <c r="B127">
        <v>124</v>
      </c>
      <c r="C127" t="s">
        <v>243</v>
      </c>
      <c r="D127" t="s">
        <v>1240</v>
      </c>
      <c r="E127" t="s">
        <v>1520</v>
      </c>
      <c r="F127" t="s">
        <v>1519</v>
      </c>
      <c r="G127">
        <v>6</v>
      </c>
      <c r="H127" s="48">
        <v>0</v>
      </c>
      <c r="I127" s="48">
        <v>0</v>
      </c>
      <c r="J127" s="54">
        <v>46216</v>
      </c>
      <c r="K127" s="54">
        <v>46219</v>
      </c>
      <c r="L127" s="54">
        <v>46240</v>
      </c>
      <c r="M127" s="54">
        <v>46245</v>
      </c>
      <c r="O127" s="51" t="str">
        <f t="shared" si="7"/>
        <v/>
      </c>
      <c r="P127" s="51" t="str">
        <f t="shared" si="8"/>
        <v/>
      </c>
      <c r="Q127" s="52" t="str">
        <f t="shared" si="9"/>
        <v/>
      </c>
      <c r="R127" s="52" t="str">
        <f t="shared" si="10"/>
        <v/>
      </c>
      <c r="S127" s="51" t="str">
        <f t="shared" si="11"/>
        <v/>
      </c>
      <c r="T127" t="str">
        <f t="shared" si="12"/>
        <v/>
      </c>
      <c r="U127" s="52" t="str">
        <f t="shared" si="13"/>
        <v/>
      </c>
    </row>
    <row r="128" spans="2:21" x14ac:dyDescent="0.25">
      <c r="B128">
        <v>125</v>
      </c>
      <c r="C128" t="s">
        <v>244</v>
      </c>
      <c r="D128" t="s">
        <v>1245</v>
      </c>
      <c r="E128" t="s">
        <v>1577</v>
      </c>
      <c r="F128" t="s">
        <v>1578</v>
      </c>
      <c r="G128">
        <v>23</v>
      </c>
      <c r="H128" s="48">
        <v>0.95079999999999998</v>
      </c>
      <c r="I128" s="48">
        <v>0.8</v>
      </c>
      <c r="J128" s="54">
        <v>46198</v>
      </c>
      <c r="K128" s="54">
        <v>46219</v>
      </c>
      <c r="L128" s="54">
        <v>46198</v>
      </c>
      <c r="M128" s="54">
        <v>46220</v>
      </c>
      <c r="O128" s="51" t="str">
        <f t="shared" si="7"/>
        <v/>
      </c>
      <c r="P128" s="51" t="str">
        <f t="shared" si="8"/>
        <v/>
      </c>
      <c r="Q128" s="52" t="str">
        <f t="shared" si="9"/>
        <v/>
      </c>
      <c r="R128" s="52" t="str">
        <f t="shared" si="10"/>
        <v/>
      </c>
      <c r="S128" s="51" t="str">
        <f t="shared" si="11"/>
        <v/>
      </c>
      <c r="T128" t="str">
        <f t="shared" si="12"/>
        <v/>
      </c>
      <c r="U128" s="52" t="str">
        <f t="shared" si="13"/>
        <v/>
      </c>
    </row>
    <row r="129" spans="2:21" x14ac:dyDescent="0.25">
      <c r="B129">
        <v>126</v>
      </c>
      <c r="C129" t="s">
        <v>244</v>
      </c>
      <c r="D129" t="s">
        <v>1245</v>
      </c>
      <c r="E129" t="s">
        <v>1515</v>
      </c>
      <c r="F129" t="s">
        <v>1523</v>
      </c>
      <c r="G129">
        <v>12</v>
      </c>
      <c r="H129" s="48">
        <v>1</v>
      </c>
      <c r="I129" s="48">
        <v>1</v>
      </c>
      <c r="J129" s="54">
        <v>46198</v>
      </c>
      <c r="K129" s="54">
        <v>46206</v>
      </c>
      <c r="L129" s="54">
        <v>46198</v>
      </c>
      <c r="M129" s="54">
        <v>46209</v>
      </c>
      <c r="O129" s="51" t="str">
        <f t="shared" si="7"/>
        <v>SIM</v>
      </c>
      <c r="P129" s="51" t="str">
        <f t="shared" si="8"/>
        <v>BL1132-0001-ME-PBC-2000</v>
      </c>
      <c r="Q129" s="52">
        <f t="shared" si="9"/>
        <v>46209</v>
      </c>
      <c r="R129" s="52">
        <f t="shared" si="10"/>
        <v>46206</v>
      </c>
      <c r="S129" s="51" t="str">
        <f t="shared" si="11"/>
        <v/>
      </c>
      <c r="T129" t="str">
        <f t="shared" si="12"/>
        <v/>
      </c>
      <c r="U129" s="52" t="str">
        <f t="shared" si="13"/>
        <v/>
      </c>
    </row>
    <row r="130" spans="2:21" x14ac:dyDescent="0.25">
      <c r="B130">
        <v>127</v>
      </c>
      <c r="C130" t="s">
        <v>244</v>
      </c>
      <c r="D130" t="s">
        <v>1245</v>
      </c>
      <c r="E130" t="s">
        <v>1517</v>
      </c>
      <c r="F130" t="s">
        <v>1519</v>
      </c>
      <c r="G130">
        <v>4</v>
      </c>
      <c r="H130" s="48">
        <v>1</v>
      </c>
      <c r="I130" s="48">
        <v>1</v>
      </c>
      <c r="J130" s="54">
        <v>46206</v>
      </c>
      <c r="K130" s="54">
        <v>46211</v>
      </c>
      <c r="L130" s="54">
        <v>46209</v>
      </c>
      <c r="M130" s="54">
        <v>46212</v>
      </c>
      <c r="O130" s="51" t="str">
        <f t="shared" si="7"/>
        <v/>
      </c>
      <c r="P130" s="51" t="str">
        <f t="shared" si="8"/>
        <v/>
      </c>
      <c r="Q130" s="52" t="str">
        <f t="shared" si="9"/>
        <v/>
      </c>
      <c r="R130" s="52" t="str">
        <f t="shared" si="10"/>
        <v/>
      </c>
      <c r="S130" s="51" t="str">
        <f t="shared" si="11"/>
        <v/>
      </c>
      <c r="T130" t="str">
        <f t="shared" si="12"/>
        <v/>
      </c>
      <c r="U130" s="52" t="str">
        <f t="shared" si="13"/>
        <v/>
      </c>
    </row>
    <row r="131" spans="2:21" x14ac:dyDescent="0.25">
      <c r="B131">
        <v>128</v>
      </c>
      <c r="C131" t="s">
        <v>244</v>
      </c>
      <c r="D131" t="s">
        <v>1245</v>
      </c>
      <c r="E131" t="s">
        <v>1518</v>
      </c>
      <c r="F131" t="s">
        <v>1519</v>
      </c>
      <c r="G131">
        <v>6</v>
      </c>
      <c r="H131" s="48">
        <v>0.87</v>
      </c>
      <c r="I131" s="48">
        <v>0</v>
      </c>
      <c r="J131" s="54">
        <v>46211</v>
      </c>
      <c r="K131" s="54">
        <v>46216</v>
      </c>
      <c r="L131" s="54">
        <v>46212</v>
      </c>
      <c r="M131" s="54">
        <v>46217</v>
      </c>
      <c r="O131" s="51" t="str">
        <f t="shared" ref="O131:O194" si="14">IF(OR(E131 = "                           1 - Emissão Inicial",E131="                  1 - Emissão após Design Review 1",E131 = "                  1 - Emissão para conhecimento",E131 = "                  1 - Emissão Final",E131 = "         Lista de Documentos",E131 = "         Elaboração do cronograma",E131 = "         Norma de Coordenação"), "SIM", "")</f>
        <v/>
      </c>
      <c r="P131" s="51" t="str">
        <f t="shared" ref="P131:P194" si="15">IF(O131="SIM",C131,"")</f>
        <v/>
      </c>
      <c r="Q131" s="52" t="str">
        <f t="shared" ref="Q131:Q194" si="16">IF(O131="SIM",M131,"")</f>
        <v/>
      </c>
      <c r="R131" s="52" t="str">
        <f t="shared" ref="R131:R194" si="17">IF(O131="SIM",K131,"")</f>
        <v/>
      </c>
      <c r="S131" s="51" t="str">
        <f t="shared" ref="S131:S194" si="18">IF(OR(E131 = "                           3 - Atendimento de Comentários",E131="                  1 - Emissão após Design Review 1",E131 = "                  1 - Emissão para conhecimento",E131 = "                  1 - Emissão Final",E131 = "         Lista de Documentos",E131 = "         Elaboração do cronograma",E131 = "         Norma de Coordenação"), "SIM", "")</f>
        <v>SIM</v>
      </c>
      <c r="T131" t="str">
        <f t="shared" ref="T131:T194" si="19">IF(S131="SIM",C131,"")</f>
        <v>BL1132-0001-ME-PBC-2000</v>
      </c>
      <c r="U131" s="52">
        <f t="shared" ref="U131:U194" si="20">IF(S131="SIM",M131,"")</f>
        <v>46217</v>
      </c>
    </row>
    <row r="132" spans="2:21" x14ac:dyDescent="0.25">
      <c r="B132">
        <v>129</v>
      </c>
      <c r="C132" t="s">
        <v>244</v>
      </c>
      <c r="D132" t="s">
        <v>1245</v>
      </c>
      <c r="E132" t="s">
        <v>1520</v>
      </c>
      <c r="F132" t="s">
        <v>1519</v>
      </c>
      <c r="G132">
        <v>4</v>
      </c>
      <c r="H132" s="48">
        <v>0</v>
      </c>
      <c r="I132" s="48">
        <v>0</v>
      </c>
      <c r="J132" s="54">
        <v>46216</v>
      </c>
      <c r="K132" s="54">
        <v>46219</v>
      </c>
      <c r="L132" s="54">
        <v>46217</v>
      </c>
      <c r="M132" s="54">
        <v>46220</v>
      </c>
      <c r="O132" s="51" t="str">
        <f t="shared" si="14"/>
        <v/>
      </c>
      <c r="P132" s="51" t="str">
        <f t="shared" si="15"/>
        <v/>
      </c>
      <c r="Q132" s="52" t="str">
        <f t="shared" si="16"/>
        <v/>
      </c>
      <c r="R132" s="52" t="str">
        <f t="shared" si="17"/>
        <v/>
      </c>
      <c r="S132" s="51" t="str">
        <f t="shared" si="18"/>
        <v/>
      </c>
      <c r="T132" t="str">
        <f t="shared" si="19"/>
        <v/>
      </c>
      <c r="U132" s="52" t="str">
        <f t="shared" si="20"/>
        <v/>
      </c>
    </row>
    <row r="133" spans="2:21" x14ac:dyDescent="0.25">
      <c r="B133">
        <v>130</v>
      </c>
      <c r="E133" t="s">
        <v>1557</v>
      </c>
      <c r="F133" t="s">
        <v>1579</v>
      </c>
      <c r="G133">
        <v>40</v>
      </c>
      <c r="H133" s="48">
        <v>0.76480000000000004</v>
      </c>
      <c r="I133" s="48">
        <v>0.27039999999999997</v>
      </c>
      <c r="J133" s="54">
        <v>46206</v>
      </c>
      <c r="K133" s="54">
        <v>46225</v>
      </c>
      <c r="L133" s="54">
        <v>46209</v>
      </c>
      <c r="M133" s="54">
        <v>46248</v>
      </c>
      <c r="O133" s="51" t="str">
        <f t="shared" si="14"/>
        <v/>
      </c>
      <c r="P133" s="51" t="str">
        <f t="shared" si="15"/>
        <v/>
      </c>
      <c r="Q133" s="52" t="str">
        <f t="shared" si="16"/>
        <v/>
      </c>
      <c r="R133" s="52" t="str">
        <f t="shared" si="17"/>
        <v/>
      </c>
      <c r="S133" s="51" t="str">
        <f t="shared" si="18"/>
        <v/>
      </c>
      <c r="T133" t="str">
        <f t="shared" si="19"/>
        <v/>
      </c>
      <c r="U133" s="52" t="str">
        <f t="shared" si="20"/>
        <v/>
      </c>
    </row>
    <row r="134" spans="2:21" x14ac:dyDescent="0.25">
      <c r="B134">
        <v>131</v>
      </c>
      <c r="C134" t="s">
        <v>190</v>
      </c>
      <c r="D134" t="s">
        <v>1069</v>
      </c>
      <c r="E134" t="s">
        <v>1580</v>
      </c>
      <c r="F134" t="s">
        <v>1579</v>
      </c>
      <c r="G134">
        <v>40</v>
      </c>
      <c r="H134" s="48">
        <v>0.76480000000000004</v>
      </c>
      <c r="I134" s="48">
        <v>0.27039999999999997</v>
      </c>
      <c r="J134" s="54">
        <v>46206</v>
      </c>
      <c r="K134" s="54">
        <v>46225</v>
      </c>
      <c r="L134" s="54">
        <v>46209</v>
      </c>
      <c r="M134" s="54">
        <v>46248</v>
      </c>
      <c r="O134" s="51" t="str">
        <f t="shared" si="14"/>
        <v/>
      </c>
      <c r="P134" s="51" t="str">
        <f t="shared" si="15"/>
        <v/>
      </c>
      <c r="Q134" s="52" t="str">
        <f t="shared" si="16"/>
        <v/>
      </c>
      <c r="R134" s="52" t="str">
        <f t="shared" si="17"/>
        <v/>
      </c>
      <c r="S134" s="51" t="str">
        <f t="shared" si="18"/>
        <v/>
      </c>
      <c r="T134" t="str">
        <f t="shared" si="19"/>
        <v/>
      </c>
      <c r="U134" s="52" t="str">
        <f t="shared" si="20"/>
        <v/>
      </c>
    </row>
    <row r="135" spans="2:21" x14ac:dyDescent="0.25">
      <c r="B135">
        <v>132</v>
      </c>
      <c r="C135" t="s">
        <v>190</v>
      </c>
      <c r="D135" t="s">
        <v>1069</v>
      </c>
      <c r="E135" t="s">
        <v>1515</v>
      </c>
      <c r="F135" t="s">
        <v>1528</v>
      </c>
      <c r="G135">
        <v>29</v>
      </c>
      <c r="H135" s="48">
        <v>1</v>
      </c>
      <c r="I135" s="48">
        <v>0.39</v>
      </c>
      <c r="J135" s="54">
        <v>46206</v>
      </c>
      <c r="K135" s="54">
        <v>46212</v>
      </c>
      <c r="L135" s="54">
        <v>46209</v>
      </c>
      <c r="M135" s="54">
        <v>46237</v>
      </c>
      <c r="O135" s="51" t="str">
        <f t="shared" si="14"/>
        <v>SIM</v>
      </c>
      <c r="P135" s="51" t="str">
        <f t="shared" si="15"/>
        <v>BL1132-0001-EM-MCA-2013</v>
      </c>
      <c r="Q135" s="52">
        <f t="shared" si="16"/>
        <v>46237</v>
      </c>
      <c r="R135" s="52">
        <f t="shared" si="17"/>
        <v>46212</v>
      </c>
      <c r="S135" s="51" t="str">
        <f t="shared" si="18"/>
        <v/>
      </c>
      <c r="T135" t="str">
        <f t="shared" si="19"/>
        <v/>
      </c>
      <c r="U135" s="52" t="str">
        <f t="shared" si="20"/>
        <v/>
      </c>
    </row>
    <row r="136" spans="2:21" x14ac:dyDescent="0.25">
      <c r="B136">
        <v>133</v>
      </c>
      <c r="C136" t="s">
        <v>190</v>
      </c>
      <c r="D136" t="s">
        <v>1069</v>
      </c>
      <c r="E136" t="s">
        <v>1517</v>
      </c>
      <c r="F136" t="s">
        <v>1519</v>
      </c>
      <c r="G136">
        <v>4</v>
      </c>
      <c r="H136" s="48">
        <v>0.67</v>
      </c>
      <c r="I136" s="48">
        <v>0</v>
      </c>
      <c r="J136" s="54">
        <v>46212</v>
      </c>
      <c r="K136" s="54">
        <v>46217</v>
      </c>
      <c r="L136" s="54">
        <v>46237</v>
      </c>
      <c r="M136" s="54">
        <v>46240</v>
      </c>
      <c r="O136" s="51" t="str">
        <f t="shared" si="14"/>
        <v/>
      </c>
      <c r="P136" s="51" t="str">
        <f t="shared" si="15"/>
        <v/>
      </c>
      <c r="Q136" s="52" t="str">
        <f t="shared" si="16"/>
        <v/>
      </c>
      <c r="R136" s="52" t="str">
        <f t="shared" si="17"/>
        <v/>
      </c>
      <c r="S136" s="51" t="str">
        <f t="shared" si="18"/>
        <v/>
      </c>
      <c r="T136" t="str">
        <f t="shared" si="19"/>
        <v/>
      </c>
      <c r="U136" s="52" t="str">
        <f t="shared" si="20"/>
        <v/>
      </c>
    </row>
    <row r="137" spans="2:21" x14ac:dyDescent="0.25">
      <c r="B137">
        <v>134</v>
      </c>
      <c r="C137" t="s">
        <v>190</v>
      </c>
      <c r="D137" t="s">
        <v>1069</v>
      </c>
      <c r="E137" t="s">
        <v>1518</v>
      </c>
      <c r="F137" t="s">
        <v>1519</v>
      </c>
      <c r="G137">
        <v>6</v>
      </c>
      <c r="H137" s="48">
        <v>0</v>
      </c>
      <c r="I137" s="48">
        <v>0</v>
      </c>
      <c r="J137" s="54">
        <v>46217</v>
      </c>
      <c r="K137" s="54">
        <v>46220</v>
      </c>
      <c r="L137" s="54">
        <v>46240</v>
      </c>
      <c r="M137" s="54">
        <v>46245</v>
      </c>
      <c r="O137" s="51" t="str">
        <f t="shared" si="14"/>
        <v/>
      </c>
      <c r="P137" s="51" t="str">
        <f t="shared" si="15"/>
        <v/>
      </c>
      <c r="Q137" s="52" t="str">
        <f t="shared" si="16"/>
        <v/>
      </c>
      <c r="R137" s="52" t="str">
        <f t="shared" si="17"/>
        <v/>
      </c>
      <c r="S137" s="51" t="str">
        <f t="shared" si="18"/>
        <v>SIM</v>
      </c>
      <c r="T137" t="str">
        <f t="shared" si="19"/>
        <v>BL1132-0001-EM-MCA-2013</v>
      </c>
      <c r="U137" s="52">
        <f t="shared" si="20"/>
        <v>46245</v>
      </c>
    </row>
    <row r="138" spans="2:21" x14ac:dyDescent="0.25">
      <c r="B138">
        <v>135</v>
      </c>
      <c r="C138" t="s">
        <v>190</v>
      </c>
      <c r="D138" t="s">
        <v>1069</v>
      </c>
      <c r="E138" t="s">
        <v>1520</v>
      </c>
      <c r="F138" t="s">
        <v>1519</v>
      </c>
      <c r="G138">
        <v>4</v>
      </c>
      <c r="H138" s="48">
        <v>0</v>
      </c>
      <c r="I138" s="48">
        <v>0</v>
      </c>
      <c r="J138" s="54">
        <v>46220</v>
      </c>
      <c r="K138" s="54">
        <v>46225</v>
      </c>
      <c r="L138" s="54">
        <v>46245</v>
      </c>
      <c r="M138" s="54">
        <v>46248</v>
      </c>
      <c r="O138" s="51" t="str">
        <f t="shared" si="14"/>
        <v/>
      </c>
      <c r="P138" s="51" t="str">
        <f t="shared" si="15"/>
        <v/>
      </c>
      <c r="Q138" s="52" t="str">
        <f t="shared" si="16"/>
        <v/>
      </c>
      <c r="R138" s="52" t="str">
        <f t="shared" si="17"/>
        <v/>
      </c>
      <c r="S138" s="51" t="str">
        <f t="shared" si="18"/>
        <v/>
      </c>
      <c r="T138" t="str">
        <f t="shared" si="19"/>
        <v/>
      </c>
      <c r="U138" s="52" t="str">
        <f t="shared" si="20"/>
        <v/>
      </c>
    </row>
    <row r="139" spans="2:21" x14ac:dyDescent="0.25">
      <c r="B139">
        <v>136</v>
      </c>
      <c r="E139" t="s">
        <v>1572</v>
      </c>
      <c r="F139" t="s">
        <v>1538</v>
      </c>
      <c r="G139">
        <v>25</v>
      </c>
      <c r="H139" s="48">
        <v>0</v>
      </c>
      <c r="I139" s="48">
        <v>0</v>
      </c>
      <c r="J139" s="54">
        <v>46217</v>
      </c>
      <c r="K139" s="54">
        <v>46266</v>
      </c>
      <c r="L139" s="54">
        <v>46237</v>
      </c>
      <c r="M139" s="54">
        <v>46261</v>
      </c>
      <c r="O139" s="51" t="str">
        <f t="shared" si="14"/>
        <v/>
      </c>
      <c r="P139" s="51" t="str">
        <f t="shared" si="15"/>
        <v/>
      </c>
      <c r="Q139" s="52" t="str">
        <f t="shared" si="16"/>
        <v/>
      </c>
      <c r="R139" s="52" t="str">
        <f t="shared" si="17"/>
        <v/>
      </c>
      <c r="S139" s="51" t="str">
        <f t="shared" si="18"/>
        <v/>
      </c>
      <c r="T139" t="str">
        <f t="shared" si="19"/>
        <v/>
      </c>
      <c r="U139" s="52" t="str">
        <f t="shared" si="20"/>
        <v/>
      </c>
    </row>
    <row r="140" spans="2:21" x14ac:dyDescent="0.25">
      <c r="B140">
        <v>137</v>
      </c>
      <c r="C140" t="s">
        <v>108</v>
      </c>
      <c r="D140" t="s">
        <v>728</v>
      </c>
      <c r="E140" t="s">
        <v>1581</v>
      </c>
      <c r="F140" t="s">
        <v>1527</v>
      </c>
      <c r="G140">
        <v>19</v>
      </c>
      <c r="H140" s="48">
        <v>0</v>
      </c>
      <c r="I140" s="48">
        <v>0</v>
      </c>
      <c r="J140" s="54">
        <v>46217</v>
      </c>
      <c r="K140" s="54">
        <v>46237</v>
      </c>
      <c r="L140" s="54">
        <v>46237</v>
      </c>
      <c r="M140" s="54">
        <v>46255</v>
      </c>
      <c r="O140" s="51" t="str">
        <f t="shared" si="14"/>
        <v/>
      </c>
      <c r="P140" s="51" t="str">
        <f t="shared" si="15"/>
        <v/>
      </c>
      <c r="Q140" s="52" t="str">
        <f t="shared" si="16"/>
        <v/>
      </c>
      <c r="R140" s="52" t="str">
        <f t="shared" si="17"/>
        <v/>
      </c>
      <c r="S140" s="51" t="str">
        <f t="shared" si="18"/>
        <v/>
      </c>
      <c r="T140" t="str">
        <f t="shared" si="19"/>
        <v/>
      </c>
      <c r="U140" s="52" t="str">
        <f t="shared" si="20"/>
        <v/>
      </c>
    </row>
    <row r="141" spans="2:21" x14ac:dyDescent="0.25">
      <c r="B141">
        <v>138</v>
      </c>
      <c r="C141" t="s">
        <v>108</v>
      </c>
      <c r="D141" t="s">
        <v>728</v>
      </c>
      <c r="E141" t="s">
        <v>1515</v>
      </c>
      <c r="F141" t="s">
        <v>1528</v>
      </c>
      <c r="G141">
        <v>8</v>
      </c>
      <c r="H141" s="48">
        <v>0</v>
      </c>
      <c r="I141" s="48">
        <v>0</v>
      </c>
      <c r="J141" s="54">
        <v>46217</v>
      </c>
      <c r="K141" s="54">
        <v>46224</v>
      </c>
      <c r="L141" s="54">
        <v>46237</v>
      </c>
      <c r="M141" s="54">
        <v>46244</v>
      </c>
      <c r="O141" s="51" t="str">
        <f t="shared" si="14"/>
        <v>SIM</v>
      </c>
      <c r="P141" s="51" t="str">
        <f t="shared" si="15"/>
        <v>BL1132-0001-CC-MCA-2114</v>
      </c>
      <c r="Q141" s="52">
        <f t="shared" si="16"/>
        <v>46244</v>
      </c>
      <c r="R141" s="52">
        <f t="shared" si="17"/>
        <v>46224</v>
      </c>
      <c r="S141" s="51" t="str">
        <f t="shared" si="18"/>
        <v/>
      </c>
      <c r="T141" t="str">
        <f t="shared" si="19"/>
        <v/>
      </c>
      <c r="U141" s="52" t="str">
        <f t="shared" si="20"/>
        <v/>
      </c>
    </row>
    <row r="142" spans="2:21" x14ac:dyDescent="0.25">
      <c r="B142">
        <v>139</v>
      </c>
      <c r="C142" t="s">
        <v>108</v>
      </c>
      <c r="D142" t="s">
        <v>728</v>
      </c>
      <c r="E142" t="s">
        <v>1517</v>
      </c>
      <c r="F142" t="s">
        <v>1519</v>
      </c>
      <c r="G142">
        <v>4</v>
      </c>
      <c r="H142" s="48">
        <v>0</v>
      </c>
      <c r="I142" s="48">
        <v>0</v>
      </c>
      <c r="J142" s="54">
        <v>46224</v>
      </c>
      <c r="K142" s="54">
        <v>46227</v>
      </c>
      <c r="L142" s="54">
        <v>46244</v>
      </c>
      <c r="M142" s="54">
        <v>46247</v>
      </c>
      <c r="O142" s="51" t="str">
        <f t="shared" si="14"/>
        <v/>
      </c>
      <c r="P142" s="51" t="str">
        <f t="shared" si="15"/>
        <v/>
      </c>
      <c r="Q142" s="52" t="str">
        <f t="shared" si="16"/>
        <v/>
      </c>
      <c r="R142" s="52" t="str">
        <f t="shared" si="17"/>
        <v/>
      </c>
      <c r="S142" s="51" t="str">
        <f t="shared" si="18"/>
        <v/>
      </c>
      <c r="T142" t="str">
        <f t="shared" si="19"/>
        <v/>
      </c>
      <c r="U142" s="52" t="str">
        <f t="shared" si="20"/>
        <v/>
      </c>
    </row>
    <row r="143" spans="2:21" x14ac:dyDescent="0.25">
      <c r="B143">
        <v>140</v>
      </c>
      <c r="C143" t="s">
        <v>108</v>
      </c>
      <c r="D143" t="s">
        <v>728</v>
      </c>
      <c r="E143" t="s">
        <v>1518</v>
      </c>
      <c r="F143" t="s">
        <v>1519</v>
      </c>
      <c r="G143">
        <v>6</v>
      </c>
      <c r="H143" s="48">
        <v>0</v>
      </c>
      <c r="I143" s="48">
        <v>0</v>
      </c>
      <c r="J143" s="54">
        <v>46227</v>
      </c>
      <c r="K143" s="54">
        <v>46232</v>
      </c>
      <c r="L143" s="54">
        <v>46247</v>
      </c>
      <c r="M143" s="54">
        <v>46252</v>
      </c>
      <c r="O143" s="51" t="str">
        <f t="shared" si="14"/>
        <v/>
      </c>
      <c r="P143" s="51" t="str">
        <f t="shared" si="15"/>
        <v/>
      </c>
      <c r="Q143" s="52" t="str">
        <f t="shared" si="16"/>
        <v/>
      </c>
      <c r="R143" s="52" t="str">
        <f t="shared" si="17"/>
        <v/>
      </c>
      <c r="S143" s="51" t="str">
        <f t="shared" si="18"/>
        <v>SIM</v>
      </c>
      <c r="T143" t="str">
        <f t="shared" si="19"/>
        <v>BL1132-0001-CC-MCA-2114</v>
      </c>
      <c r="U143" s="52">
        <f t="shared" si="20"/>
        <v>46252</v>
      </c>
    </row>
    <row r="144" spans="2:21" x14ac:dyDescent="0.25">
      <c r="B144">
        <v>141</v>
      </c>
      <c r="C144" t="s">
        <v>108</v>
      </c>
      <c r="D144" t="s">
        <v>728</v>
      </c>
      <c r="E144" t="s">
        <v>1520</v>
      </c>
      <c r="F144" t="s">
        <v>1519</v>
      </c>
      <c r="G144">
        <v>4</v>
      </c>
      <c r="H144" s="48">
        <v>0</v>
      </c>
      <c r="I144" s="48">
        <v>0</v>
      </c>
      <c r="J144" s="54">
        <v>46232</v>
      </c>
      <c r="K144" s="54">
        <v>46237</v>
      </c>
      <c r="L144" s="54">
        <v>46252</v>
      </c>
      <c r="M144" s="54">
        <v>46255</v>
      </c>
      <c r="O144" s="51" t="str">
        <f t="shared" si="14"/>
        <v/>
      </c>
      <c r="P144" s="51" t="str">
        <f t="shared" si="15"/>
        <v/>
      </c>
      <c r="Q144" s="52" t="str">
        <f t="shared" si="16"/>
        <v/>
      </c>
      <c r="R144" s="52" t="str">
        <f t="shared" si="17"/>
        <v/>
      </c>
      <c r="S144" s="51" t="str">
        <f t="shared" si="18"/>
        <v/>
      </c>
      <c r="T144" t="str">
        <f t="shared" si="19"/>
        <v/>
      </c>
      <c r="U144" s="52" t="str">
        <f t="shared" si="20"/>
        <v/>
      </c>
    </row>
    <row r="145" spans="2:21" x14ac:dyDescent="0.25">
      <c r="B145">
        <v>142</v>
      </c>
      <c r="C145" t="s">
        <v>98</v>
      </c>
      <c r="D145" t="s">
        <v>683</v>
      </c>
      <c r="E145" t="s">
        <v>1582</v>
      </c>
      <c r="F145" t="s">
        <v>1535</v>
      </c>
      <c r="G145">
        <v>18</v>
      </c>
      <c r="H145" s="48">
        <v>0</v>
      </c>
      <c r="I145" s="48">
        <v>0</v>
      </c>
      <c r="J145" s="54">
        <v>46247</v>
      </c>
      <c r="K145" s="54">
        <v>46266</v>
      </c>
      <c r="L145" s="54">
        <v>46244</v>
      </c>
      <c r="M145" s="54">
        <v>46261</v>
      </c>
      <c r="O145" s="51" t="str">
        <f t="shared" si="14"/>
        <v/>
      </c>
      <c r="P145" s="51" t="str">
        <f t="shared" si="15"/>
        <v/>
      </c>
      <c r="Q145" s="52" t="str">
        <f t="shared" si="16"/>
        <v/>
      </c>
      <c r="R145" s="52" t="str">
        <f t="shared" si="17"/>
        <v/>
      </c>
      <c r="S145" s="51" t="str">
        <f t="shared" si="18"/>
        <v/>
      </c>
      <c r="T145" t="str">
        <f t="shared" si="19"/>
        <v/>
      </c>
      <c r="U145" s="52" t="str">
        <f t="shared" si="20"/>
        <v/>
      </c>
    </row>
    <row r="146" spans="2:21" x14ac:dyDescent="0.25">
      <c r="B146">
        <v>143</v>
      </c>
      <c r="C146" t="s">
        <v>98</v>
      </c>
      <c r="D146" t="s">
        <v>683</v>
      </c>
      <c r="E146" t="s">
        <v>1515</v>
      </c>
      <c r="F146" t="s">
        <v>1525</v>
      </c>
      <c r="G146">
        <v>5</v>
      </c>
      <c r="H146" s="48">
        <v>0</v>
      </c>
      <c r="I146" s="48">
        <v>0</v>
      </c>
      <c r="J146" s="54">
        <v>46247</v>
      </c>
      <c r="K146" s="54">
        <v>46253</v>
      </c>
      <c r="L146" s="54">
        <v>46244</v>
      </c>
      <c r="M146" s="54">
        <v>46248</v>
      </c>
      <c r="O146" s="51" t="str">
        <f t="shared" si="14"/>
        <v>SIM</v>
      </c>
      <c r="P146" s="51" t="str">
        <f t="shared" si="15"/>
        <v>BL1132-0001-CC-MCA-2009</v>
      </c>
      <c r="Q146" s="52">
        <f t="shared" si="16"/>
        <v>46248</v>
      </c>
      <c r="R146" s="52">
        <f t="shared" si="17"/>
        <v>46253</v>
      </c>
      <c r="S146" s="51" t="str">
        <f t="shared" si="18"/>
        <v/>
      </c>
      <c r="T146" t="str">
        <f t="shared" si="19"/>
        <v/>
      </c>
      <c r="U146" s="52" t="str">
        <f t="shared" si="20"/>
        <v/>
      </c>
    </row>
    <row r="147" spans="2:21" x14ac:dyDescent="0.25">
      <c r="B147">
        <v>144</v>
      </c>
      <c r="C147" t="s">
        <v>98</v>
      </c>
      <c r="D147" t="s">
        <v>683</v>
      </c>
      <c r="E147" t="s">
        <v>1517</v>
      </c>
      <c r="F147" t="s">
        <v>1519</v>
      </c>
      <c r="G147">
        <v>6</v>
      </c>
      <c r="H147" s="48">
        <v>0</v>
      </c>
      <c r="I147" s="48">
        <v>0</v>
      </c>
      <c r="J147" s="54">
        <v>46253</v>
      </c>
      <c r="K147" s="54">
        <v>46258</v>
      </c>
      <c r="L147" s="54">
        <v>46248</v>
      </c>
      <c r="M147" s="54">
        <v>46253</v>
      </c>
      <c r="O147" s="51" t="str">
        <f t="shared" si="14"/>
        <v/>
      </c>
      <c r="P147" s="51" t="str">
        <f t="shared" si="15"/>
        <v/>
      </c>
      <c r="Q147" s="52" t="str">
        <f t="shared" si="16"/>
        <v/>
      </c>
      <c r="R147" s="52" t="str">
        <f t="shared" si="17"/>
        <v/>
      </c>
      <c r="S147" s="51" t="str">
        <f t="shared" si="18"/>
        <v/>
      </c>
      <c r="T147" t="str">
        <f t="shared" si="19"/>
        <v/>
      </c>
      <c r="U147" s="52" t="str">
        <f t="shared" si="20"/>
        <v/>
      </c>
    </row>
    <row r="148" spans="2:21" x14ac:dyDescent="0.25">
      <c r="B148">
        <v>145</v>
      </c>
      <c r="C148" t="s">
        <v>98</v>
      </c>
      <c r="D148" t="s">
        <v>683</v>
      </c>
      <c r="E148" t="s">
        <v>1518</v>
      </c>
      <c r="F148" t="s">
        <v>1519</v>
      </c>
      <c r="G148">
        <v>6</v>
      </c>
      <c r="H148" s="48">
        <v>0</v>
      </c>
      <c r="I148" s="48">
        <v>0</v>
      </c>
      <c r="J148" s="54">
        <v>46258</v>
      </c>
      <c r="K148" s="54">
        <v>46261</v>
      </c>
      <c r="L148" s="54">
        <v>46253</v>
      </c>
      <c r="M148" s="54">
        <v>46258</v>
      </c>
      <c r="O148" s="51" t="str">
        <f t="shared" si="14"/>
        <v/>
      </c>
      <c r="P148" s="51" t="str">
        <f t="shared" si="15"/>
        <v/>
      </c>
      <c r="Q148" s="52" t="str">
        <f t="shared" si="16"/>
        <v/>
      </c>
      <c r="R148" s="52" t="str">
        <f t="shared" si="17"/>
        <v/>
      </c>
      <c r="S148" s="51" t="str">
        <f t="shared" si="18"/>
        <v>SIM</v>
      </c>
      <c r="T148" t="str">
        <f t="shared" si="19"/>
        <v>BL1132-0001-CC-MCA-2009</v>
      </c>
      <c r="U148" s="52">
        <f t="shared" si="20"/>
        <v>46258</v>
      </c>
    </row>
    <row r="149" spans="2:21" x14ac:dyDescent="0.25">
      <c r="B149">
        <v>146</v>
      </c>
      <c r="C149" t="s">
        <v>98</v>
      </c>
      <c r="D149" t="s">
        <v>683</v>
      </c>
      <c r="E149" t="s">
        <v>1520</v>
      </c>
      <c r="F149" t="s">
        <v>1519</v>
      </c>
      <c r="G149">
        <v>4</v>
      </c>
      <c r="H149" s="48">
        <v>0</v>
      </c>
      <c r="I149" s="48">
        <v>0</v>
      </c>
      <c r="J149" s="54">
        <v>46261</v>
      </c>
      <c r="K149" s="54">
        <v>46266</v>
      </c>
      <c r="L149" s="54">
        <v>46258</v>
      </c>
      <c r="M149" s="54">
        <v>46261</v>
      </c>
      <c r="O149" s="51" t="str">
        <f t="shared" si="14"/>
        <v/>
      </c>
      <c r="P149" s="51" t="str">
        <f t="shared" si="15"/>
        <v/>
      </c>
      <c r="Q149" s="52" t="str">
        <f t="shared" si="16"/>
        <v/>
      </c>
      <c r="R149" s="52" t="str">
        <f t="shared" si="17"/>
        <v/>
      </c>
      <c r="S149" s="51" t="str">
        <f t="shared" si="18"/>
        <v/>
      </c>
      <c r="T149" t="str">
        <f t="shared" si="19"/>
        <v/>
      </c>
      <c r="U149" s="52" t="str">
        <f t="shared" si="20"/>
        <v/>
      </c>
    </row>
    <row r="150" spans="2:21" x14ac:dyDescent="0.25">
      <c r="B150">
        <v>147</v>
      </c>
      <c r="E150" t="s">
        <v>1583</v>
      </c>
      <c r="F150" t="s">
        <v>1528</v>
      </c>
      <c r="G150">
        <v>12</v>
      </c>
      <c r="H150" s="48">
        <v>1</v>
      </c>
      <c r="I150" s="48">
        <v>1</v>
      </c>
      <c r="J150" s="54">
        <v>46171</v>
      </c>
      <c r="K150" s="54">
        <v>46182</v>
      </c>
      <c r="L150" s="54">
        <v>46171</v>
      </c>
      <c r="M150" s="54">
        <v>46182</v>
      </c>
      <c r="O150" s="51" t="str">
        <f t="shared" si="14"/>
        <v/>
      </c>
      <c r="P150" s="51" t="str">
        <f t="shared" si="15"/>
        <v/>
      </c>
      <c r="Q150" s="52" t="str">
        <f t="shared" si="16"/>
        <v/>
      </c>
      <c r="R150" s="52" t="str">
        <f t="shared" si="17"/>
        <v/>
      </c>
      <c r="S150" s="51" t="str">
        <f t="shared" si="18"/>
        <v/>
      </c>
      <c r="T150" t="str">
        <f t="shared" si="19"/>
        <v/>
      </c>
      <c r="U150" s="52" t="str">
        <f t="shared" si="20"/>
        <v/>
      </c>
    </row>
    <row r="151" spans="2:21" x14ac:dyDescent="0.25">
      <c r="B151">
        <v>148</v>
      </c>
      <c r="E151" t="s">
        <v>1554</v>
      </c>
      <c r="F151" t="s">
        <v>1528</v>
      </c>
      <c r="G151">
        <v>12</v>
      </c>
      <c r="H151" s="48">
        <v>1</v>
      </c>
      <c r="I151" s="48">
        <v>1</v>
      </c>
      <c r="J151" s="54">
        <v>46171</v>
      </c>
      <c r="K151" s="54">
        <v>46182</v>
      </c>
      <c r="L151" s="54">
        <v>46171</v>
      </c>
      <c r="M151" s="54">
        <v>46182</v>
      </c>
      <c r="O151" s="51" t="str">
        <f t="shared" si="14"/>
        <v/>
      </c>
      <c r="P151" s="51" t="str">
        <f t="shared" si="15"/>
        <v/>
      </c>
      <c r="Q151" s="52" t="str">
        <f t="shared" si="16"/>
        <v/>
      </c>
      <c r="R151" s="52" t="str">
        <f t="shared" si="17"/>
        <v/>
      </c>
      <c r="S151" s="51" t="str">
        <f t="shared" si="18"/>
        <v/>
      </c>
      <c r="T151" t="str">
        <f t="shared" si="19"/>
        <v/>
      </c>
      <c r="U151" s="52" t="str">
        <f t="shared" si="20"/>
        <v/>
      </c>
    </row>
    <row r="152" spans="2:21" x14ac:dyDescent="0.25">
      <c r="B152">
        <v>149</v>
      </c>
      <c r="E152" t="s">
        <v>1555</v>
      </c>
      <c r="F152" t="s">
        <v>1528</v>
      </c>
      <c r="G152">
        <v>12</v>
      </c>
      <c r="H152" s="48">
        <v>1</v>
      </c>
      <c r="I152" s="48">
        <v>1</v>
      </c>
      <c r="J152" s="54">
        <v>46171</v>
      </c>
      <c r="K152" s="54">
        <v>46182</v>
      </c>
      <c r="L152" s="54">
        <v>46171</v>
      </c>
      <c r="M152" s="54">
        <v>46182</v>
      </c>
      <c r="O152" s="51" t="str">
        <f t="shared" si="14"/>
        <v/>
      </c>
      <c r="P152" s="51" t="str">
        <f t="shared" si="15"/>
        <v/>
      </c>
      <c r="Q152" s="52" t="str">
        <f t="shared" si="16"/>
        <v/>
      </c>
      <c r="R152" s="52" t="str">
        <f t="shared" si="17"/>
        <v/>
      </c>
      <c r="S152" s="51" t="str">
        <f t="shared" si="18"/>
        <v/>
      </c>
      <c r="T152" t="str">
        <f t="shared" si="19"/>
        <v/>
      </c>
      <c r="U152" s="52" t="str">
        <f t="shared" si="20"/>
        <v/>
      </c>
    </row>
    <row r="153" spans="2:21" x14ac:dyDescent="0.25">
      <c r="B153">
        <v>150</v>
      </c>
      <c r="E153" t="s">
        <v>1558</v>
      </c>
      <c r="F153" t="s">
        <v>1528</v>
      </c>
      <c r="G153">
        <v>12</v>
      </c>
      <c r="H153" s="48">
        <v>1</v>
      </c>
      <c r="I153" s="48">
        <v>1</v>
      </c>
      <c r="J153" s="54">
        <v>46171</v>
      </c>
      <c r="K153" s="54">
        <v>46182</v>
      </c>
      <c r="L153" s="54">
        <v>46171</v>
      </c>
      <c r="M153" s="54">
        <v>46182</v>
      </c>
      <c r="O153" s="51" t="str">
        <f t="shared" si="14"/>
        <v/>
      </c>
      <c r="P153" s="51" t="str">
        <f t="shared" si="15"/>
        <v/>
      </c>
      <c r="Q153" s="52" t="str">
        <f t="shared" si="16"/>
        <v/>
      </c>
      <c r="R153" s="52" t="str">
        <f t="shared" si="17"/>
        <v/>
      </c>
      <c r="S153" s="51" t="str">
        <f t="shared" si="18"/>
        <v/>
      </c>
      <c r="T153" t="str">
        <f t="shared" si="19"/>
        <v/>
      </c>
      <c r="U153" s="52" t="str">
        <f t="shared" si="20"/>
        <v/>
      </c>
    </row>
    <row r="154" spans="2:21" x14ac:dyDescent="0.25">
      <c r="B154">
        <v>151</v>
      </c>
      <c r="E154" t="s">
        <v>1584</v>
      </c>
      <c r="F154" t="s">
        <v>1585</v>
      </c>
      <c r="G154">
        <v>83</v>
      </c>
      <c r="H154" s="48">
        <v>0.67710000000000004</v>
      </c>
      <c r="I154" s="48">
        <v>0.37030000000000002</v>
      </c>
      <c r="J154" s="54">
        <v>46171</v>
      </c>
      <c r="K154" s="54">
        <v>46253</v>
      </c>
      <c r="L154" s="54">
        <v>46171</v>
      </c>
      <c r="M154" s="54">
        <v>46253</v>
      </c>
      <c r="O154" s="51" t="str">
        <f t="shared" si="14"/>
        <v/>
      </c>
      <c r="P154" s="51" t="str">
        <f t="shared" si="15"/>
        <v/>
      </c>
      <c r="Q154" s="52" t="str">
        <f t="shared" si="16"/>
        <v/>
      </c>
      <c r="R154" s="52" t="str">
        <f t="shared" si="17"/>
        <v/>
      </c>
      <c r="S154" s="51" t="str">
        <f t="shared" si="18"/>
        <v/>
      </c>
      <c r="T154" t="str">
        <f t="shared" si="19"/>
        <v/>
      </c>
      <c r="U154" s="52" t="str">
        <f t="shared" si="20"/>
        <v/>
      </c>
    </row>
    <row r="155" spans="2:21" x14ac:dyDescent="0.25">
      <c r="B155">
        <v>152</v>
      </c>
      <c r="E155" t="s">
        <v>1586</v>
      </c>
      <c r="F155" t="s">
        <v>1585</v>
      </c>
      <c r="G155">
        <v>83</v>
      </c>
      <c r="H155" s="48">
        <v>0.67710000000000004</v>
      </c>
      <c r="I155" s="48">
        <v>0.37030000000000002</v>
      </c>
      <c r="J155" s="54">
        <v>46171</v>
      </c>
      <c r="K155" s="54">
        <v>46253</v>
      </c>
      <c r="L155" s="54">
        <v>46171</v>
      </c>
      <c r="M155" s="54">
        <v>46253</v>
      </c>
      <c r="O155" s="51" t="str">
        <f t="shared" si="14"/>
        <v/>
      </c>
      <c r="P155" s="51" t="str">
        <f t="shared" si="15"/>
        <v/>
      </c>
      <c r="Q155" s="52" t="str">
        <f t="shared" si="16"/>
        <v/>
      </c>
      <c r="R155" s="52" t="str">
        <f t="shared" si="17"/>
        <v/>
      </c>
      <c r="S155" s="51" t="str">
        <f t="shared" si="18"/>
        <v/>
      </c>
      <c r="T155" t="str">
        <f t="shared" si="19"/>
        <v/>
      </c>
      <c r="U155" s="52" t="str">
        <f t="shared" si="20"/>
        <v/>
      </c>
    </row>
    <row r="156" spans="2:21" x14ac:dyDescent="0.25">
      <c r="B156">
        <v>153</v>
      </c>
      <c r="E156" t="s">
        <v>1587</v>
      </c>
      <c r="F156" t="s">
        <v>1585</v>
      </c>
      <c r="G156">
        <v>83</v>
      </c>
      <c r="H156" s="48">
        <v>0.67710000000000004</v>
      </c>
      <c r="I156" s="48">
        <v>0.37030000000000002</v>
      </c>
      <c r="J156" s="54">
        <v>46171</v>
      </c>
      <c r="K156" s="54">
        <v>46253</v>
      </c>
      <c r="L156" s="54">
        <v>46171</v>
      </c>
      <c r="M156" s="54">
        <v>46253</v>
      </c>
      <c r="O156" s="51" t="str">
        <f t="shared" si="14"/>
        <v/>
      </c>
      <c r="P156" s="51" t="str">
        <f t="shared" si="15"/>
        <v/>
      </c>
      <c r="Q156" s="52" t="str">
        <f t="shared" si="16"/>
        <v/>
      </c>
      <c r="R156" s="52" t="str">
        <f t="shared" si="17"/>
        <v/>
      </c>
      <c r="S156" s="51" t="str">
        <f t="shared" si="18"/>
        <v/>
      </c>
      <c r="T156" t="str">
        <f t="shared" si="19"/>
        <v/>
      </c>
      <c r="U156" s="52" t="str">
        <f t="shared" si="20"/>
        <v/>
      </c>
    </row>
    <row r="157" spans="2:21" x14ac:dyDescent="0.25">
      <c r="B157">
        <v>154</v>
      </c>
      <c r="E157" t="s">
        <v>1555</v>
      </c>
      <c r="F157" t="s">
        <v>1469</v>
      </c>
      <c r="G157">
        <v>68</v>
      </c>
      <c r="H157" s="48">
        <v>0.70740000000000003</v>
      </c>
      <c r="I157" s="48">
        <v>0.76500000000000001</v>
      </c>
      <c r="J157" s="54">
        <v>46171</v>
      </c>
      <c r="K157" s="54">
        <v>46230</v>
      </c>
      <c r="L157" s="54">
        <v>46171</v>
      </c>
      <c r="M157" s="54">
        <v>46238</v>
      </c>
      <c r="O157" s="51" t="str">
        <f t="shared" si="14"/>
        <v/>
      </c>
      <c r="P157" s="51" t="str">
        <f t="shared" si="15"/>
        <v/>
      </c>
      <c r="Q157" s="52" t="str">
        <f t="shared" si="16"/>
        <v/>
      </c>
      <c r="R157" s="52" t="str">
        <f t="shared" si="17"/>
        <v/>
      </c>
      <c r="S157" s="51" t="str">
        <f t="shared" si="18"/>
        <v/>
      </c>
      <c r="T157" t="str">
        <f t="shared" si="19"/>
        <v/>
      </c>
      <c r="U157" s="52" t="str">
        <f t="shared" si="20"/>
        <v/>
      </c>
    </row>
    <row r="158" spans="2:21" x14ac:dyDescent="0.25">
      <c r="B158">
        <v>155</v>
      </c>
      <c r="E158" t="s">
        <v>1572</v>
      </c>
      <c r="F158" t="s">
        <v>1588</v>
      </c>
      <c r="G158">
        <v>22</v>
      </c>
      <c r="H158" s="48">
        <v>0.3</v>
      </c>
      <c r="I158" s="48">
        <v>0.2</v>
      </c>
      <c r="J158" s="54">
        <v>46209</v>
      </c>
      <c r="K158" s="54">
        <v>46230</v>
      </c>
      <c r="L158" s="54">
        <v>46217</v>
      </c>
      <c r="M158" s="54">
        <v>46238</v>
      </c>
      <c r="O158" s="51" t="str">
        <f t="shared" si="14"/>
        <v/>
      </c>
      <c r="P158" s="51" t="str">
        <f t="shared" si="15"/>
        <v/>
      </c>
      <c r="Q158" s="52" t="str">
        <f t="shared" si="16"/>
        <v/>
      </c>
      <c r="R158" s="52" t="str">
        <f t="shared" si="17"/>
        <v/>
      </c>
      <c r="S158" s="51" t="str">
        <f t="shared" si="18"/>
        <v/>
      </c>
      <c r="T158" t="str">
        <f t="shared" si="19"/>
        <v/>
      </c>
      <c r="U158" s="52" t="str">
        <f t="shared" si="20"/>
        <v/>
      </c>
    </row>
    <row r="159" spans="2:21" x14ac:dyDescent="0.25">
      <c r="B159">
        <v>156</v>
      </c>
      <c r="E159" t="s">
        <v>1557</v>
      </c>
      <c r="F159" t="s">
        <v>1588</v>
      </c>
      <c r="G159">
        <v>22</v>
      </c>
      <c r="H159" s="48">
        <v>0.49</v>
      </c>
      <c r="I159" s="48">
        <v>0.65</v>
      </c>
      <c r="J159" s="54">
        <v>46205</v>
      </c>
      <c r="K159" s="54">
        <v>46226</v>
      </c>
      <c r="L159" s="54">
        <v>46213</v>
      </c>
      <c r="M159" s="54">
        <v>46234</v>
      </c>
      <c r="O159" s="51" t="str">
        <f t="shared" si="14"/>
        <v/>
      </c>
      <c r="P159" s="51" t="str">
        <f t="shared" si="15"/>
        <v/>
      </c>
      <c r="Q159" s="52" t="str">
        <f t="shared" si="16"/>
        <v/>
      </c>
      <c r="R159" s="52" t="str">
        <f t="shared" si="17"/>
        <v/>
      </c>
      <c r="S159" s="51" t="str">
        <f t="shared" si="18"/>
        <v/>
      </c>
      <c r="T159" t="str">
        <f t="shared" si="19"/>
        <v/>
      </c>
      <c r="U159" s="52" t="str">
        <f t="shared" si="20"/>
        <v/>
      </c>
    </row>
    <row r="160" spans="2:21" x14ac:dyDescent="0.25">
      <c r="B160">
        <v>157</v>
      </c>
      <c r="E160" t="s">
        <v>1558</v>
      </c>
      <c r="F160" t="s">
        <v>1527</v>
      </c>
      <c r="G160">
        <v>23</v>
      </c>
      <c r="H160" s="48">
        <v>1</v>
      </c>
      <c r="I160" s="48">
        <v>1</v>
      </c>
      <c r="J160" s="54">
        <v>46176</v>
      </c>
      <c r="K160" s="54">
        <v>46198</v>
      </c>
      <c r="L160" s="54">
        <v>46176</v>
      </c>
      <c r="M160" s="54">
        <v>46198</v>
      </c>
      <c r="O160" s="51" t="str">
        <f t="shared" si="14"/>
        <v/>
      </c>
      <c r="P160" s="51" t="str">
        <f t="shared" si="15"/>
        <v/>
      </c>
      <c r="Q160" s="52" t="str">
        <f t="shared" si="16"/>
        <v/>
      </c>
      <c r="R160" s="52" t="str">
        <f t="shared" si="17"/>
        <v/>
      </c>
      <c r="S160" s="51" t="str">
        <f t="shared" si="18"/>
        <v/>
      </c>
      <c r="T160" t="str">
        <f t="shared" si="19"/>
        <v/>
      </c>
      <c r="U160" s="52" t="str">
        <f t="shared" si="20"/>
        <v/>
      </c>
    </row>
    <row r="161" spans="2:21" x14ac:dyDescent="0.25">
      <c r="B161">
        <v>158</v>
      </c>
      <c r="E161" t="s">
        <v>1589</v>
      </c>
      <c r="F161" t="s">
        <v>1509</v>
      </c>
      <c r="G161">
        <v>19</v>
      </c>
      <c r="H161" s="48">
        <v>1</v>
      </c>
      <c r="I161" s="48">
        <v>1</v>
      </c>
      <c r="J161" s="54">
        <v>46171</v>
      </c>
      <c r="K161" s="54">
        <v>46189</v>
      </c>
      <c r="L161" s="54">
        <v>46171</v>
      </c>
      <c r="M161" s="54">
        <v>46189</v>
      </c>
      <c r="O161" s="51" t="str">
        <f t="shared" si="14"/>
        <v/>
      </c>
      <c r="P161" s="51" t="str">
        <f t="shared" si="15"/>
        <v/>
      </c>
      <c r="Q161" s="52" t="str">
        <f t="shared" si="16"/>
        <v/>
      </c>
      <c r="R161" s="52" t="str">
        <f t="shared" si="17"/>
        <v/>
      </c>
      <c r="S161" s="51" t="str">
        <f t="shared" si="18"/>
        <v/>
      </c>
      <c r="T161" t="str">
        <f t="shared" si="19"/>
        <v/>
      </c>
      <c r="U161" s="52" t="str">
        <f t="shared" si="20"/>
        <v/>
      </c>
    </row>
    <row r="162" spans="2:21" x14ac:dyDescent="0.25">
      <c r="B162">
        <v>159</v>
      </c>
      <c r="E162" t="s">
        <v>1560</v>
      </c>
      <c r="F162" t="s">
        <v>1590</v>
      </c>
      <c r="G162">
        <v>56</v>
      </c>
      <c r="H162" s="48">
        <v>0.66559999999999997</v>
      </c>
      <c r="I162" s="48">
        <v>0.21970000000000001</v>
      </c>
      <c r="J162" s="54">
        <v>46198</v>
      </c>
      <c r="K162" s="54">
        <v>46253</v>
      </c>
      <c r="L162" s="54">
        <v>46198</v>
      </c>
      <c r="M162" s="54">
        <v>46253</v>
      </c>
      <c r="O162" s="51" t="str">
        <f t="shared" si="14"/>
        <v/>
      </c>
      <c r="P162" s="51" t="str">
        <f t="shared" si="15"/>
        <v/>
      </c>
      <c r="Q162" s="52" t="str">
        <f t="shared" si="16"/>
        <v/>
      </c>
      <c r="R162" s="52" t="str">
        <f t="shared" si="17"/>
        <v/>
      </c>
      <c r="S162" s="51" t="str">
        <f t="shared" si="18"/>
        <v/>
      </c>
      <c r="T162" t="str">
        <f t="shared" si="19"/>
        <v/>
      </c>
      <c r="U162" s="52" t="str">
        <f t="shared" si="20"/>
        <v/>
      </c>
    </row>
    <row r="163" spans="2:21" x14ac:dyDescent="0.25">
      <c r="B163">
        <v>160</v>
      </c>
      <c r="E163" t="s">
        <v>1558</v>
      </c>
      <c r="F163" t="s">
        <v>1591</v>
      </c>
      <c r="G163">
        <v>35</v>
      </c>
      <c r="H163" s="48">
        <v>0.82679999999999998</v>
      </c>
      <c r="I163" s="48">
        <v>0.59019999999999995</v>
      </c>
      <c r="J163" s="54">
        <v>46198</v>
      </c>
      <c r="K163" s="54">
        <v>46231</v>
      </c>
      <c r="L163" s="54">
        <v>46198</v>
      </c>
      <c r="M163" s="54">
        <v>46232</v>
      </c>
      <c r="O163" s="51" t="str">
        <f t="shared" si="14"/>
        <v/>
      </c>
      <c r="P163" s="51" t="str">
        <f t="shared" si="15"/>
        <v/>
      </c>
      <c r="Q163" s="52" t="str">
        <f t="shared" si="16"/>
        <v/>
      </c>
      <c r="R163" s="52" t="str">
        <f t="shared" si="17"/>
        <v/>
      </c>
      <c r="S163" s="51" t="str">
        <f t="shared" si="18"/>
        <v/>
      </c>
      <c r="T163" t="str">
        <f t="shared" si="19"/>
        <v/>
      </c>
      <c r="U163" s="52" t="str">
        <f t="shared" si="20"/>
        <v/>
      </c>
    </row>
    <row r="164" spans="2:21" x14ac:dyDescent="0.25">
      <c r="B164">
        <v>161</v>
      </c>
      <c r="C164" t="s">
        <v>253</v>
      </c>
      <c r="D164" t="s">
        <v>1274</v>
      </c>
      <c r="E164" t="s">
        <v>1592</v>
      </c>
      <c r="F164" t="s">
        <v>1578</v>
      </c>
      <c r="G164">
        <v>23</v>
      </c>
      <c r="H164" s="48">
        <v>0.95079999999999998</v>
      </c>
      <c r="I164" s="48">
        <v>0.8</v>
      </c>
      <c r="J164" s="54">
        <v>46198</v>
      </c>
      <c r="K164" s="54">
        <v>46219</v>
      </c>
      <c r="L164" s="54">
        <v>46198</v>
      </c>
      <c r="M164" s="54">
        <v>46220</v>
      </c>
      <c r="O164" s="51" t="str">
        <f t="shared" si="14"/>
        <v/>
      </c>
      <c r="P164" s="51" t="str">
        <f t="shared" si="15"/>
        <v/>
      </c>
      <c r="Q164" s="52" t="str">
        <f t="shared" si="16"/>
        <v/>
      </c>
      <c r="R164" s="52" t="str">
        <f t="shared" si="17"/>
        <v/>
      </c>
      <c r="S164" s="51" t="str">
        <f t="shared" si="18"/>
        <v/>
      </c>
      <c r="T164" t="str">
        <f t="shared" si="19"/>
        <v/>
      </c>
      <c r="U164" s="52" t="str">
        <f t="shared" si="20"/>
        <v/>
      </c>
    </row>
    <row r="165" spans="2:21" x14ac:dyDescent="0.25">
      <c r="B165">
        <v>162</v>
      </c>
      <c r="C165" t="s">
        <v>253</v>
      </c>
      <c r="D165" t="s">
        <v>1274</v>
      </c>
      <c r="E165" t="s">
        <v>1515</v>
      </c>
      <c r="F165" t="s">
        <v>1523</v>
      </c>
      <c r="G165">
        <v>12</v>
      </c>
      <c r="H165" s="48">
        <v>1</v>
      </c>
      <c r="I165" s="48">
        <v>1</v>
      </c>
      <c r="J165" s="54">
        <v>46198</v>
      </c>
      <c r="K165" s="54">
        <v>46206</v>
      </c>
      <c r="L165" s="54">
        <v>46198</v>
      </c>
      <c r="M165" s="54">
        <v>46209</v>
      </c>
      <c r="O165" s="51" t="str">
        <f t="shared" si="14"/>
        <v>SIM</v>
      </c>
      <c r="P165" s="51" t="str">
        <f t="shared" si="15"/>
        <v>BL1132-0001-ME-PBC-2009</v>
      </c>
      <c r="Q165" s="52">
        <f t="shared" si="16"/>
        <v>46209</v>
      </c>
      <c r="R165" s="52">
        <f t="shared" si="17"/>
        <v>46206</v>
      </c>
      <c r="S165" s="51" t="str">
        <f t="shared" si="18"/>
        <v/>
      </c>
      <c r="T165" t="str">
        <f t="shared" si="19"/>
        <v/>
      </c>
      <c r="U165" s="52" t="str">
        <f t="shared" si="20"/>
        <v/>
      </c>
    </row>
    <row r="166" spans="2:21" x14ac:dyDescent="0.25">
      <c r="B166">
        <v>163</v>
      </c>
      <c r="C166" t="s">
        <v>253</v>
      </c>
      <c r="D166" t="s">
        <v>1274</v>
      </c>
      <c r="E166" t="s">
        <v>1517</v>
      </c>
      <c r="F166" t="s">
        <v>1519</v>
      </c>
      <c r="G166">
        <v>4</v>
      </c>
      <c r="H166" s="48">
        <v>1</v>
      </c>
      <c r="I166" s="48">
        <v>1</v>
      </c>
      <c r="J166" s="54">
        <v>46206</v>
      </c>
      <c r="K166" s="54">
        <v>46211</v>
      </c>
      <c r="L166" s="54">
        <v>46209</v>
      </c>
      <c r="M166" s="54">
        <v>46212</v>
      </c>
      <c r="O166" s="51" t="str">
        <f t="shared" si="14"/>
        <v/>
      </c>
      <c r="P166" s="51" t="str">
        <f t="shared" si="15"/>
        <v/>
      </c>
      <c r="Q166" s="52" t="str">
        <f t="shared" si="16"/>
        <v/>
      </c>
      <c r="R166" s="52" t="str">
        <f t="shared" si="17"/>
        <v/>
      </c>
      <c r="S166" s="51" t="str">
        <f t="shared" si="18"/>
        <v/>
      </c>
      <c r="T166" t="str">
        <f t="shared" si="19"/>
        <v/>
      </c>
      <c r="U166" s="52" t="str">
        <f t="shared" si="20"/>
        <v/>
      </c>
    </row>
    <row r="167" spans="2:21" x14ac:dyDescent="0.25">
      <c r="B167">
        <v>164</v>
      </c>
      <c r="C167" t="s">
        <v>253</v>
      </c>
      <c r="D167" t="s">
        <v>1274</v>
      </c>
      <c r="E167" t="s">
        <v>1518</v>
      </c>
      <c r="F167" t="s">
        <v>1519</v>
      </c>
      <c r="G167">
        <v>6</v>
      </c>
      <c r="H167" s="48">
        <v>0.87</v>
      </c>
      <c r="I167" s="48">
        <v>0</v>
      </c>
      <c r="J167" s="54">
        <v>46211</v>
      </c>
      <c r="K167" s="54">
        <v>46216</v>
      </c>
      <c r="L167" s="54">
        <v>46212</v>
      </c>
      <c r="M167" s="54">
        <v>46217</v>
      </c>
      <c r="O167" s="51" t="str">
        <f t="shared" si="14"/>
        <v/>
      </c>
      <c r="P167" s="51" t="str">
        <f t="shared" si="15"/>
        <v/>
      </c>
      <c r="Q167" s="52" t="str">
        <f t="shared" si="16"/>
        <v/>
      </c>
      <c r="R167" s="52" t="str">
        <f t="shared" si="17"/>
        <v/>
      </c>
      <c r="S167" s="51" t="str">
        <f t="shared" si="18"/>
        <v>SIM</v>
      </c>
      <c r="T167" t="str">
        <f t="shared" si="19"/>
        <v>BL1132-0001-ME-PBC-2009</v>
      </c>
      <c r="U167" s="52">
        <f t="shared" si="20"/>
        <v>46217</v>
      </c>
    </row>
    <row r="168" spans="2:21" x14ac:dyDescent="0.25">
      <c r="B168">
        <v>165</v>
      </c>
      <c r="C168" t="s">
        <v>253</v>
      </c>
      <c r="D168" t="s">
        <v>1274</v>
      </c>
      <c r="E168" t="s">
        <v>1520</v>
      </c>
      <c r="F168" t="s">
        <v>1519</v>
      </c>
      <c r="G168">
        <v>4</v>
      </c>
      <c r="H168" s="48">
        <v>0</v>
      </c>
      <c r="I168" s="48">
        <v>0</v>
      </c>
      <c r="J168" s="54">
        <v>46216</v>
      </c>
      <c r="K168" s="54">
        <v>46219</v>
      </c>
      <c r="L168" s="54">
        <v>46217</v>
      </c>
      <c r="M168" s="54">
        <v>46220</v>
      </c>
      <c r="O168" s="51" t="str">
        <f t="shared" si="14"/>
        <v/>
      </c>
      <c r="P168" s="51" t="str">
        <f t="shared" si="15"/>
        <v/>
      </c>
      <c r="Q168" s="52" t="str">
        <f t="shared" si="16"/>
        <v/>
      </c>
      <c r="R168" s="52" t="str">
        <f t="shared" si="17"/>
        <v/>
      </c>
      <c r="S168" s="51" t="str">
        <f t="shared" si="18"/>
        <v/>
      </c>
      <c r="T168" t="str">
        <f t="shared" si="19"/>
        <v/>
      </c>
      <c r="U168" s="52" t="str">
        <f t="shared" si="20"/>
        <v/>
      </c>
    </row>
    <row r="169" spans="2:21" x14ac:dyDescent="0.25">
      <c r="B169">
        <v>166</v>
      </c>
      <c r="C169" t="s">
        <v>227</v>
      </c>
      <c r="D169" t="s">
        <v>1186</v>
      </c>
      <c r="E169" t="s">
        <v>1593</v>
      </c>
      <c r="F169" t="s">
        <v>1538</v>
      </c>
      <c r="G169">
        <v>27</v>
      </c>
      <c r="H169" s="48">
        <v>0.76480000000000004</v>
      </c>
      <c r="I169" s="48">
        <v>0.48530000000000001</v>
      </c>
      <c r="J169" s="54">
        <v>46206</v>
      </c>
      <c r="K169" s="54">
        <v>46225</v>
      </c>
      <c r="L169" s="54">
        <v>46206</v>
      </c>
      <c r="M169" s="54">
        <v>46232</v>
      </c>
      <c r="O169" s="51" t="str">
        <f t="shared" si="14"/>
        <v/>
      </c>
      <c r="P169" s="51" t="str">
        <f t="shared" si="15"/>
        <v/>
      </c>
      <c r="Q169" s="52" t="str">
        <f t="shared" si="16"/>
        <v/>
      </c>
      <c r="R169" s="52" t="str">
        <f t="shared" si="17"/>
        <v/>
      </c>
      <c r="S169" s="51" t="str">
        <f t="shared" si="18"/>
        <v/>
      </c>
      <c r="T169" t="str">
        <f t="shared" si="19"/>
        <v/>
      </c>
      <c r="U169" s="52" t="str">
        <f t="shared" si="20"/>
        <v/>
      </c>
    </row>
    <row r="170" spans="2:21" x14ac:dyDescent="0.25">
      <c r="B170">
        <v>167</v>
      </c>
      <c r="C170" t="s">
        <v>227</v>
      </c>
      <c r="D170" t="s">
        <v>1186</v>
      </c>
      <c r="E170" t="s">
        <v>1515</v>
      </c>
      <c r="F170" t="s">
        <v>1594</v>
      </c>
      <c r="G170">
        <v>14</v>
      </c>
      <c r="H170" s="48">
        <v>1</v>
      </c>
      <c r="I170" s="48">
        <v>0.7</v>
      </c>
      <c r="J170" s="54">
        <v>46206</v>
      </c>
      <c r="K170" s="54">
        <v>46212</v>
      </c>
      <c r="L170" s="54">
        <v>46206</v>
      </c>
      <c r="M170" s="54">
        <v>46219</v>
      </c>
      <c r="O170" s="51" t="str">
        <f t="shared" si="14"/>
        <v>SIM</v>
      </c>
      <c r="P170" s="51" t="str">
        <f t="shared" si="15"/>
        <v>BL1132-0001-ME-ETE-2000</v>
      </c>
      <c r="Q170" s="52">
        <f t="shared" si="16"/>
        <v>46219</v>
      </c>
      <c r="R170" s="52">
        <f t="shared" si="17"/>
        <v>46212</v>
      </c>
      <c r="S170" s="51" t="str">
        <f t="shared" si="18"/>
        <v/>
      </c>
      <c r="T170" t="str">
        <f t="shared" si="19"/>
        <v/>
      </c>
      <c r="U170" s="52" t="str">
        <f t="shared" si="20"/>
        <v/>
      </c>
    </row>
    <row r="171" spans="2:21" x14ac:dyDescent="0.25">
      <c r="B171">
        <v>168</v>
      </c>
      <c r="C171" t="s">
        <v>227</v>
      </c>
      <c r="D171" t="s">
        <v>1186</v>
      </c>
      <c r="E171" t="s">
        <v>1517</v>
      </c>
      <c r="F171" t="s">
        <v>1519</v>
      </c>
      <c r="G171">
        <v>6</v>
      </c>
      <c r="H171" s="48">
        <v>0.67</v>
      </c>
      <c r="I171" s="48">
        <v>0</v>
      </c>
      <c r="J171" s="54">
        <v>46212</v>
      </c>
      <c r="K171" s="54">
        <v>46217</v>
      </c>
      <c r="L171" s="54">
        <v>46219</v>
      </c>
      <c r="M171" s="54">
        <v>46224</v>
      </c>
      <c r="O171" s="51" t="str">
        <f t="shared" si="14"/>
        <v/>
      </c>
      <c r="P171" s="51" t="str">
        <f t="shared" si="15"/>
        <v/>
      </c>
      <c r="Q171" s="52" t="str">
        <f t="shared" si="16"/>
        <v/>
      </c>
      <c r="R171" s="52" t="str">
        <f t="shared" si="17"/>
        <v/>
      </c>
      <c r="S171" s="51" t="str">
        <f t="shared" si="18"/>
        <v/>
      </c>
      <c r="T171" t="str">
        <f t="shared" si="19"/>
        <v/>
      </c>
      <c r="U171" s="52" t="str">
        <f t="shared" si="20"/>
        <v/>
      </c>
    </row>
    <row r="172" spans="2:21" x14ac:dyDescent="0.25">
      <c r="B172">
        <v>169</v>
      </c>
      <c r="C172" t="s">
        <v>227</v>
      </c>
      <c r="D172" t="s">
        <v>1186</v>
      </c>
      <c r="E172" t="s">
        <v>1518</v>
      </c>
      <c r="F172" t="s">
        <v>1519</v>
      </c>
      <c r="G172">
        <v>4</v>
      </c>
      <c r="H172" s="48">
        <v>0</v>
      </c>
      <c r="I172" s="48">
        <v>0</v>
      </c>
      <c r="J172" s="54">
        <v>46217</v>
      </c>
      <c r="K172" s="54">
        <v>46220</v>
      </c>
      <c r="L172" s="54">
        <v>46224</v>
      </c>
      <c r="M172" s="54">
        <v>46227</v>
      </c>
      <c r="O172" s="51" t="str">
        <f t="shared" si="14"/>
        <v/>
      </c>
      <c r="P172" s="51" t="str">
        <f t="shared" si="15"/>
        <v/>
      </c>
      <c r="Q172" s="52" t="str">
        <f t="shared" si="16"/>
        <v/>
      </c>
      <c r="R172" s="52" t="str">
        <f t="shared" si="17"/>
        <v/>
      </c>
      <c r="S172" s="51" t="str">
        <f t="shared" si="18"/>
        <v>SIM</v>
      </c>
      <c r="T172" t="str">
        <f t="shared" si="19"/>
        <v>BL1132-0001-ME-ETE-2000</v>
      </c>
      <c r="U172" s="52">
        <f t="shared" si="20"/>
        <v>46227</v>
      </c>
    </row>
    <row r="173" spans="2:21" x14ac:dyDescent="0.25">
      <c r="B173">
        <v>170</v>
      </c>
      <c r="C173" t="s">
        <v>227</v>
      </c>
      <c r="D173" t="s">
        <v>1186</v>
      </c>
      <c r="E173" t="s">
        <v>1520</v>
      </c>
      <c r="F173" t="s">
        <v>1519</v>
      </c>
      <c r="G173">
        <v>6</v>
      </c>
      <c r="H173" s="48">
        <v>0</v>
      </c>
      <c r="I173" s="48">
        <v>0</v>
      </c>
      <c r="J173" s="54">
        <v>46220</v>
      </c>
      <c r="K173" s="54">
        <v>46225</v>
      </c>
      <c r="L173" s="54">
        <v>46227</v>
      </c>
      <c r="M173" s="54">
        <v>46232</v>
      </c>
      <c r="O173" s="51" t="str">
        <f t="shared" si="14"/>
        <v/>
      </c>
      <c r="P173" s="51" t="str">
        <f t="shared" si="15"/>
        <v/>
      </c>
      <c r="Q173" s="52" t="str">
        <f t="shared" si="16"/>
        <v/>
      </c>
      <c r="R173" s="52" t="str">
        <f t="shared" si="17"/>
        <v/>
      </c>
      <c r="S173" s="51" t="str">
        <f t="shared" si="18"/>
        <v/>
      </c>
      <c r="T173" t="str">
        <f t="shared" si="19"/>
        <v/>
      </c>
      <c r="U173" s="52" t="str">
        <f t="shared" si="20"/>
        <v/>
      </c>
    </row>
    <row r="174" spans="2:21" x14ac:dyDescent="0.25">
      <c r="B174">
        <v>171</v>
      </c>
      <c r="C174" t="s">
        <v>236</v>
      </c>
      <c r="D174" t="s">
        <v>1216</v>
      </c>
      <c r="E174" t="s">
        <v>1595</v>
      </c>
      <c r="F174" t="s">
        <v>1538</v>
      </c>
      <c r="G174">
        <v>27</v>
      </c>
      <c r="H174" s="48">
        <v>0.76480000000000004</v>
      </c>
      <c r="I174" s="48">
        <v>0.48530000000000001</v>
      </c>
      <c r="J174" s="54">
        <v>46206</v>
      </c>
      <c r="K174" s="54">
        <v>46225</v>
      </c>
      <c r="L174" s="54">
        <v>46206</v>
      </c>
      <c r="M174" s="54">
        <v>46232</v>
      </c>
      <c r="O174" s="51" t="str">
        <f t="shared" si="14"/>
        <v/>
      </c>
      <c r="P174" s="51" t="str">
        <f t="shared" si="15"/>
        <v/>
      </c>
      <c r="Q174" s="52" t="str">
        <f t="shared" si="16"/>
        <v/>
      </c>
      <c r="R174" s="52" t="str">
        <f t="shared" si="17"/>
        <v/>
      </c>
      <c r="S174" s="51" t="str">
        <f t="shared" si="18"/>
        <v/>
      </c>
      <c r="T174" t="str">
        <f t="shared" si="19"/>
        <v/>
      </c>
      <c r="U174" s="52" t="str">
        <f t="shared" si="20"/>
        <v/>
      </c>
    </row>
    <row r="175" spans="2:21" x14ac:dyDescent="0.25">
      <c r="B175">
        <v>172</v>
      </c>
      <c r="C175" t="s">
        <v>236</v>
      </c>
      <c r="D175" t="s">
        <v>1216</v>
      </c>
      <c r="E175" t="s">
        <v>1515</v>
      </c>
      <c r="F175" t="s">
        <v>1516</v>
      </c>
      <c r="G175">
        <v>14</v>
      </c>
      <c r="H175" s="48">
        <v>1</v>
      </c>
      <c r="I175" s="48">
        <v>0.7</v>
      </c>
      <c r="J175" s="54">
        <v>46206</v>
      </c>
      <c r="K175" s="54">
        <v>46212</v>
      </c>
      <c r="L175" s="54">
        <v>46206</v>
      </c>
      <c r="M175" s="54">
        <v>46219</v>
      </c>
      <c r="O175" s="51" t="str">
        <f t="shared" si="14"/>
        <v>SIM</v>
      </c>
      <c r="P175" s="51" t="str">
        <f t="shared" si="15"/>
        <v>BL1132-0001-ME-FDA-2004</v>
      </c>
      <c r="Q175" s="52">
        <f t="shared" si="16"/>
        <v>46219</v>
      </c>
      <c r="R175" s="52">
        <f t="shared" si="17"/>
        <v>46212</v>
      </c>
      <c r="S175" s="51" t="str">
        <f t="shared" si="18"/>
        <v/>
      </c>
      <c r="T175" t="str">
        <f t="shared" si="19"/>
        <v/>
      </c>
      <c r="U175" s="52" t="str">
        <f t="shared" si="20"/>
        <v/>
      </c>
    </row>
    <row r="176" spans="2:21" x14ac:dyDescent="0.25">
      <c r="B176">
        <v>173</v>
      </c>
      <c r="C176" t="s">
        <v>236</v>
      </c>
      <c r="D176" t="s">
        <v>1216</v>
      </c>
      <c r="E176" t="s">
        <v>1517</v>
      </c>
      <c r="F176" t="s">
        <v>1519</v>
      </c>
      <c r="G176">
        <v>6</v>
      </c>
      <c r="H176" s="48">
        <v>0.67</v>
      </c>
      <c r="I176" s="48">
        <v>0</v>
      </c>
      <c r="J176" s="54">
        <v>46212</v>
      </c>
      <c r="K176" s="54">
        <v>46217</v>
      </c>
      <c r="L176" s="54">
        <v>46219</v>
      </c>
      <c r="M176" s="54">
        <v>46224</v>
      </c>
      <c r="O176" s="51" t="str">
        <f t="shared" si="14"/>
        <v/>
      </c>
      <c r="P176" s="51" t="str">
        <f t="shared" si="15"/>
        <v/>
      </c>
      <c r="Q176" s="52" t="str">
        <f t="shared" si="16"/>
        <v/>
      </c>
      <c r="R176" s="52" t="str">
        <f t="shared" si="17"/>
        <v/>
      </c>
      <c r="S176" s="51" t="str">
        <f t="shared" si="18"/>
        <v/>
      </c>
      <c r="T176" t="str">
        <f t="shared" si="19"/>
        <v/>
      </c>
      <c r="U176" s="52" t="str">
        <f t="shared" si="20"/>
        <v/>
      </c>
    </row>
    <row r="177" spans="2:21" x14ac:dyDescent="0.25">
      <c r="B177">
        <v>174</v>
      </c>
      <c r="C177" t="s">
        <v>236</v>
      </c>
      <c r="D177" t="s">
        <v>1216</v>
      </c>
      <c r="E177" t="s">
        <v>1518</v>
      </c>
      <c r="F177" t="s">
        <v>1519</v>
      </c>
      <c r="G177">
        <v>4</v>
      </c>
      <c r="H177" s="48">
        <v>0</v>
      </c>
      <c r="I177" s="48">
        <v>0</v>
      </c>
      <c r="J177" s="54">
        <v>46217</v>
      </c>
      <c r="K177" s="54">
        <v>46220</v>
      </c>
      <c r="L177" s="54">
        <v>46224</v>
      </c>
      <c r="M177" s="54">
        <v>46227</v>
      </c>
      <c r="O177" s="51" t="str">
        <f t="shared" si="14"/>
        <v/>
      </c>
      <c r="P177" s="51" t="str">
        <f t="shared" si="15"/>
        <v/>
      </c>
      <c r="Q177" s="52" t="str">
        <f t="shared" si="16"/>
        <v/>
      </c>
      <c r="R177" s="52" t="str">
        <f t="shared" si="17"/>
        <v/>
      </c>
      <c r="S177" s="51" t="str">
        <f t="shared" si="18"/>
        <v>SIM</v>
      </c>
      <c r="T177" t="str">
        <f t="shared" si="19"/>
        <v>BL1132-0001-ME-FDA-2004</v>
      </c>
      <c r="U177" s="52">
        <f t="shared" si="20"/>
        <v>46227</v>
      </c>
    </row>
    <row r="178" spans="2:21" x14ac:dyDescent="0.25">
      <c r="B178">
        <v>175</v>
      </c>
      <c r="C178" t="s">
        <v>236</v>
      </c>
      <c r="D178" t="s">
        <v>1216</v>
      </c>
      <c r="E178" t="s">
        <v>1520</v>
      </c>
      <c r="F178" t="s">
        <v>1519</v>
      </c>
      <c r="G178">
        <v>6</v>
      </c>
      <c r="H178" s="48">
        <v>0</v>
      </c>
      <c r="I178" s="48">
        <v>0</v>
      </c>
      <c r="J178" s="54">
        <v>46220</v>
      </c>
      <c r="K178" s="54">
        <v>46225</v>
      </c>
      <c r="L178" s="54">
        <v>46227</v>
      </c>
      <c r="M178" s="54">
        <v>46232</v>
      </c>
      <c r="O178" s="51" t="str">
        <f t="shared" si="14"/>
        <v/>
      </c>
      <c r="P178" s="51" t="str">
        <f t="shared" si="15"/>
        <v/>
      </c>
      <c r="Q178" s="52" t="str">
        <f t="shared" si="16"/>
        <v/>
      </c>
      <c r="R178" s="52" t="str">
        <f t="shared" si="17"/>
        <v/>
      </c>
      <c r="S178" s="51" t="str">
        <f t="shared" si="18"/>
        <v/>
      </c>
      <c r="T178" t="str">
        <f t="shared" si="19"/>
        <v/>
      </c>
      <c r="U178" s="52" t="str">
        <f t="shared" si="20"/>
        <v/>
      </c>
    </row>
    <row r="179" spans="2:21" x14ac:dyDescent="0.25">
      <c r="B179">
        <v>186</v>
      </c>
      <c r="E179" t="s">
        <v>1572</v>
      </c>
      <c r="F179" t="s">
        <v>1596</v>
      </c>
      <c r="G179">
        <v>32</v>
      </c>
      <c r="H179" s="48">
        <v>0.64270000000000005</v>
      </c>
      <c r="I179" s="48">
        <v>8.6699999999999999E-2</v>
      </c>
      <c r="J179" s="54">
        <v>46205</v>
      </c>
      <c r="K179" s="54">
        <v>46230</v>
      </c>
      <c r="L179" s="54">
        <v>46213</v>
      </c>
      <c r="M179" s="54">
        <v>46244</v>
      </c>
      <c r="O179" s="51" t="str">
        <f t="shared" si="14"/>
        <v/>
      </c>
      <c r="P179" s="51" t="str">
        <f t="shared" si="15"/>
        <v/>
      </c>
      <c r="Q179" s="52" t="str">
        <f t="shared" si="16"/>
        <v/>
      </c>
      <c r="R179" s="52" t="str">
        <f t="shared" si="17"/>
        <v/>
      </c>
      <c r="S179" s="51" t="str">
        <f t="shared" si="18"/>
        <v/>
      </c>
      <c r="T179" t="str">
        <f t="shared" si="19"/>
        <v/>
      </c>
      <c r="U179" s="52" t="str">
        <f t="shared" si="20"/>
        <v/>
      </c>
    </row>
    <row r="180" spans="2:21" x14ac:dyDescent="0.25">
      <c r="B180">
        <v>187</v>
      </c>
      <c r="C180" t="s">
        <v>101</v>
      </c>
      <c r="D180" t="s">
        <v>695</v>
      </c>
      <c r="E180" t="s">
        <v>1597</v>
      </c>
      <c r="F180" t="s">
        <v>1598</v>
      </c>
      <c r="G180">
        <v>26</v>
      </c>
      <c r="H180" s="48">
        <v>0.78610000000000002</v>
      </c>
      <c r="I180" s="50">
        <v>0.17330000000000001</v>
      </c>
      <c r="J180" s="50">
        <v>46205</v>
      </c>
      <c r="K180" s="54">
        <v>46224</v>
      </c>
      <c r="L180" s="54">
        <v>46213</v>
      </c>
      <c r="M180" s="54">
        <v>46238</v>
      </c>
      <c r="O180" s="51" t="str">
        <f t="shared" si="14"/>
        <v/>
      </c>
      <c r="P180" s="51" t="str">
        <f t="shared" si="15"/>
        <v/>
      </c>
      <c r="Q180" s="52" t="str">
        <f t="shared" si="16"/>
        <v/>
      </c>
      <c r="R180" s="52" t="str">
        <f t="shared" si="17"/>
        <v/>
      </c>
      <c r="S180" s="51" t="str">
        <f t="shared" si="18"/>
        <v/>
      </c>
      <c r="T180" t="str">
        <f t="shared" si="19"/>
        <v/>
      </c>
      <c r="U180" s="52" t="str">
        <f t="shared" si="20"/>
        <v/>
      </c>
    </row>
    <row r="181" spans="2:21" x14ac:dyDescent="0.25">
      <c r="B181">
        <v>188</v>
      </c>
      <c r="C181" t="s">
        <v>101</v>
      </c>
      <c r="D181" t="s">
        <v>695</v>
      </c>
      <c r="E181" t="s">
        <v>1515</v>
      </c>
      <c r="F181" t="s">
        <v>1525</v>
      </c>
      <c r="G181">
        <v>13</v>
      </c>
      <c r="H181" s="48">
        <v>1</v>
      </c>
      <c r="I181" s="50">
        <v>0.25</v>
      </c>
      <c r="J181" s="50">
        <v>46205</v>
      </c>
      <c r="K181" s="54">
        <v>46211</v>
      </c>
      <c r="L181" s="54">
        <v>46213</v>
      </c>
      <c r="M181" s="54">
        <v>46225</v>
      </c>
      <c r="O181" s="51" t="str">
        <f t="shared" si="14"/>
        <v>SIM</v>
      </c>
      <c r="P181" s="51" t="str">
        <f t="shared" si="15"/>
        <v>BL1132-0001-CC-MCA-2012</v>
      </c>
      <c r="Q181" s="52">
        <f t="shared" si="16"/>
        <v>46225</v>
      </c>
      <c r="R181" s="52">
        <f t="shared" si="17"/>
        <v>46211</v>
      </c>
      <c r="S181" s="51" t="str">
        <f t="shared" si="18"/>
        <v/>
      </c>
      <c r="T181" t="str">
        <f t="shared" si="19"/>
        <v/>
      </c>
      <c r="U181" s="52" t="str">
        <f t="shared" si="20"/>
        <v/>
      </c>
    </row>
    <row r="182" spans="2:21" x14ac:dyDescent="0.25">
      <c r="B182">
        <v>189</v>
      </c>
      <c r="C182" t="s">
        <v>101</v>
      </c>
      <c r="D182" t="s">
        <v>695</v>
      </c>
      <c r="E182" t="s">
        <v>1517</v>
      </c>
      <c r="F182" t="s">
        <v>1519</v>
      </c>
      <c r="G182">
        <v>6</v>
      </c>
      <c r="H182" s="48">
        <v>0.87</v>
      </c>
      <c r="I182" s="50">
        <v>0</v>
      </c>
      <c r="J182" s="50">
        <v>46211</v>
      </c>
      <c r="K182" s="54">
        <v>46216</v>
      </c>
      <c r="L182" s="54">
        <v>46225</v>
      </c>
      <c r="M182" s="54">
        <v>46230</v>
      </c>
      <c r="O182" s="51" t="str">
        <f t="shared" si="14"/>
        <v/>
      </c>
      <c r="P182" s="51" t="str">
        <f t="shared" si="15"/>
        <v/>
      </c>
      <c r="Q182" s="52" t="str">
        <f t="shared" si="16"/>
        <v/>
      </c>
      <c r="R182" s="52" t="str">
        <f t="shared" si="17"/>
        <v/>
      </c>
      <c r="S182" s="51" t="str">
        <f t="shared" si="18"/>
        <v/>
      </c>
      <c r="T182" t="str">
        <f t="shared" si="19"/>
        <v/>
      </c>
      <c r="U182" s="52" t="str">
        <f t="shared" si="20"/>
        <v/>
      </c>
    </row>
    <row r="183" spans="2:21" x14ac:dyDescent="0.25">
      <c r="B183">
        <v>190</v>
      </c>
      <c r="C183" t="s">
        <v>101</v>
      </c>
      <c r="D183" t="s">
        <v>695</v>
      </c>
      <c r="E183" t="s">
        <v>1518</v>
      </c>
      <c r="F183" t="s">
        <v>1519</v>
      </c>
      <c r="G183">
        <v>4</v>
      </c>
      <c r="H183" s="48">
        <v>0</v>
      </c>
      <c r="I183" s="50">
        <v>0</v>
      </c>
      <c r="J183" s="50">
        <v>46216</v>
      </c>
      <c r="K183" s="54">
        <v>46219</v>
      </c>
      <c r="L183" s="54">
        <v>46230</v>
      </c>
      <c r="M183" s="54">
        <v>46233</v>
      </c>
      <c r="O183" s="51" t="str">
        <f t="shared" si="14"/>
        <v/>
      </c>
      <c r="P183" s="51" t="str">
        <f t="shared" si="15"/>
        <v/>
      </c>
      <c r="Q183" s="52" t="str">
        <f t="shared" si="16"/>
        <v/>
      </c>
      <c r="R183" s="52" t="str">
        <f t="shared" si="17"/>
        <v/>
      </c>
      <c r="S183" s="51" t="str">
        <f t="shared" si="18"/>
        <v>SIM</v>
      </c>
      <c r="T183" t="str">
        <f t="shared" si="19"/>
        <v>BL1132-0001-CC-MCA-2012</v>
      </c>
      <c r="U183" s="52">
        <f t="shared" si="20"/>
        <v>46233</v>
      </c>
    </row>
    <row r="184" spans="2:21" x14ac:dyDescent="0.25">
      <c r="B184">
        <v>191</v>
      </c>
      <c r="C184" t="s">
        <v>101</v>
      </c>
      <c r="D184" t="s">
        <v>695</v>
      </c>
      <c r="E184" t="s">
        <v>1520</v>
      </c>
      <c r="F184" t="s">
        <v>1519</v>
      </c>
      <c r="G184">
        <v>6</v>
      </c>
      <c r="H184" s="48">
        <v>0</v>
      </c>
      <c r="I184" s="50">
        <v>0</v>
      </c>
      <c r="J184" s="50">
        <v>46219</v>
      </c>
      <c r="K184" s="54">
        <v>46224</v>
      </c>
      <c r="L184" s="54">
        <v>46233</v>
      </c>
      <c r="M184" s="54">
        <v>46238</v>
      </c>
      <c r="O184" s="51" t="str">
        <f t="shared" si="14"/>
        <v/>
      </c>
      <c r="P184" s="51" t="str">
        <f t="shared" si="15"/>
        <v/>
      </c>
      <c r="Q184" s="52" t="str">
        <f t="shared" si="16"/>
        <v/>
      </c>
      <c r="R184" s="52" t="str">
        <f t="shared" si="17"/>
        <v/>
      </c>
      <c r="S184" s="51" t="str">
        <f t="shared" si="18"/>
        <v/>
      </c>
      <c r="T184" t="str">
        <f t="shared" si="19"/>
        <v/>
      </c>
      <c r="U184" s="52" t="str">
        <f t="shared" si="20"/>
        <v/>
      </c>
    </row>
    <row r="185" spans="2:21" x14ac:dyDescent="0.25">
      <c r="B185">
        <v>192</v>
      </c>
      <c r="C185" t="s">
        <v>102</v>
      </c>
      <c r="D185" t="s">
        <v>700</v>
      </c>
      <c r="E185" t="s">
        <v>1599</v>
      </c>
      <c r="F185" t="s">
        <v>1535</v>
      </c>
      <c r="G185">
        <v>20</v>
      </c>
      <c r="H185" s="48">
        <v>0.49919999999999998</v>
      </c>
      <c r="I185" s="50">
        <v>0</v>
      </c>
      <c r="J185" s="50">
        <v>46211</v>
      </c>
      <c r="K185" s="54">
        <v>46230</v>
      </c>
      <c r="L185" s="54">
        <v>46225</v>
      </c>
      <c r="M185" s="54">
        <v>46244</v>
      </c>
      <c r="O185" s="51" t="str">
        <f t="shared" si="14"/>
        <v/>
      </c>
      <c r="P185" s="51" t="str">
        <f t="shared" si="15"/>
        <v/>
      </c>
      <c r="Q185" s="52" t="str">
        <f t="shared" si="16"/>
        <v/>
      </c>
      <c r="R185" s="52" t="str">
        <f t="shared" si="17"/>
        <v/>
      </c>
      <c r="S185" s="51" t="str">
        <f t="shared" si="18"/>
        <v/>
      </c>
      <c r="T185" t="str">
        <f t="shared" si="19"/>
        <v/>
      </c>
      <c r="U185" s="52" t="str">
        <f t="shared" si="20"/>
        <v/>
      </c>
    </row>
    <row r="186" spans="2:21" x14ac:dyDescent="0.25">
      <c r="B186">
        <v>193</v>
      </c>
      <c r="C186" t="s">
        <v>102</v>
      </c>
      <c r="D186" t="s">
        <v>700</v>
      </c>
      <c r="E186" t="s">
        <v>1515</v>
      </c>
      <c r="F186" t="s">
        <v>1525</v>
      </c>
      <c r="G186">
        <v>7</v>
      </c>
      <c r="H186" s="48">
        <v>0.72</v>
      </c>
      <c r="I186" s="50">
        <v>0</v>
      </c>
      <c r="J186" s="50">
        <v>46211</v>
      </c>
      <c r="K186" s="54">
        <v>46217</v>
      </c>
      <c r="L186" s="54">
        <v>46225</v>
      </c>
      <c r="M186" s="54">
        <v>46231</v>
      </c>
      <c r="O186" s="51" t="str">
        <f t="shared" si="14"/>
        <v>SIM</v>
      </c>
      <c r="P186" s="51" t="str">
        <f t="shared" si="15"/>
        <v>BL1132-0001-CC-MCA-2108</v>
      </c>
      <c r="Q186" s="52">
        <f t="shared" si="16"/>
        <v>46231</v>
      </c>
      <c r="R186" s="52">
        <f t="shared" si="17"/>
        <v>46217</v>
      </c>
      <c r="S186" s="51" t="str">
        <f t="shared" si="18"/>
        <v/>
      </c>
      <c r="T186" t="str">
        <f t="shared" si="19"/>
        <v/>
      </c>
      <c r="U186" s="52" t="str">
        <f t="shared" si="20"/>
        <v/>
      </c>
    </row>
    <row r="187" spans="2:21" x14ac:dyDescent="0.25">
      <c r="B187">
        <v>194</v>
      </c>
      <c r="C187" t="s">
        <v>102</v>
      </c>
      <c r="D187" t="s">
        <v>700</v>
      </c>
      <c r="E187" t="s">
        <v>1517</v>
      </c>
      <c r="F187" t="s">
        <v>1519</v>
      </c>
      <c r="G187">
        <v>4</v>
      </c>
      <c r="H187" s="48">
        <v>0</v>
      </c>
      <c r="I187" s="50">
        <v>0</v>
      </c>
      <c r="J187" s="50">
        <v>46217</v>
      </c>
      <c r="K187" s="54">
        <v>46220</v>
      </c>
      <c r="L187" s="54">
        <v>46231</v>
      </c>
      <c r="M187" s="54">
        <v>46234</v>
      </c>
      <c r="O187" s="51" t="str">
        <f t="shared" si="14"/>
        <v/>
      </c>
      <c r="P187" s="51" t="str">
        <f t="shared" si="15"/>
        <v/>
      </c>
      <c r="Q187" s="52" t="str">
        <f t="shared" si="16"/>
        <v/>
      </c>
      <c r="R187" s="52" t="str">
        <f t="shared" si="17"/>
        <v/>
      </c>
      <c r="S187" s="51" t="str">
        <f t="shared" si="18"/>
        <v/>
      </c>
      <c r="T187" t="str">
        <f t="shared" si="19"/>
        <v/>
      </c>
      <c r="U187" s="52" t="str">
        <f t="shared" si="20"/>
        <v/>
      </c>
    </row>
    <row r="188" spans="2:21" x14ac:dyDescent="0.25">
      <c r="B188">
        <v>195</v>
      </c>
      <c r="C188" t="s">
        <v>102</v>
      </c>
      <c r="D188" t="s">
        <v>700</v>
      </c>
      <c r="E188" t="s">
        <v>1518</v>
      </c>
      <c r="F188" t="s">
        <v>1519</v>
      </c>
      <c r="G188">
        <v>6</v>
      </c>
      <c r="H188" s="48">
        <v>0</v>
      </c>
      <c r="I188" s="50">
        <v>0</v>
      </c>
      <c r="J188" s="50">
        <v>46220</v>
      </c>
      <c r="K188" s="54">
        <v>46225</v>
      </c>
      <c r="L188" s="54">
        <v>46234</v>
      </c>
      <c r="M188" s="54">
        <v>46239</v>
      </c>
      <c r="O188" s="51" t="str">
        <f t="shared" si="14"/>
        <v/>
      </c>
      <c r="P188" s="51" t="str">
        <f t="shared" si="15"/>
        <v/>
      </c>
      <c r="Q188" s="52" t="str">
        <f t="shared" si="16"/>
        <v/>
      </c>
      <c r="R188" s="52" t="str">
        <f t="shared" si="17"/>
        <v/>
      </c>
      <c r="S188" s="51" t="str">
        <f t="shared" si="18"/>
        <v>SIM</v>
      </c>
      <c r="T188" t="str">
        <f t="shared" si="19"/>
        <v>BL1132-0001-CC-MCA-2108</v>
      </c>
      <c r="U188" s="52">
        <f t="shared" si="20"/>
        <v>46239</v>
      </c>
    </row>
    <row r="189" spans="2:21" x14ac:dyDescent="0.25">
      <c r="B189">
        <v>196</v>
      </c>
      <c r="C189" t="s">
        <v>102</v>
      </c>
      <c r="D189" t="s">
        <v>700</v>
      </c>
      <c r="E189" t="s">
        <v>1520</v>
      </c>
      <c r="F189" t="s">
        <v>1519</v>
      </c>
      <c r="G189">
        <v>6</v>
      </c>
      <c r="H189" s="48">
        <v>0</v>
      </c>
      <c r="I189" s="50">
        <v>0</v>
      </c>
      <c r="J189" s="50">
        <v>46225</v>
      </c>
      <c r="K189" s="54">
        <v>46230</v>
      </c>
      <c r="L189" s="54">
        <v>46239</v>
      </c>
      <c r="M189" s="54">
        <v>46244</v>
      </c>
      <c r="O189" s="51" t="str">
        <f t="shared" si="14"/>
        <v/>
      </c>
      <c r="P189" s="51" t="str">
        <f t="shared" si="15"/>
        <v/>
      </c>
      <c r="Q189" s="52" t="str">
        <f t="shared" si="16"/>
        <v/>
      </c>
      <c r="R189" s="52" t="str">
        <f t="shared" si="17"/>
        <v/>
      </c>
      <c r="S189" s="51" t="str">
        <f t="shared" si="18"/>
        <v/>
      </c>
      <c r="T189" t="str">
        <f t="shared" si="19"/>
        <v/>
      </c>
      <c r="U189" s="52" t="str">
        <f t="shared" si="20"/>
        <v/>
      </c>
    </row>
    <row r="190" spans="2:21" x14ac:dyDescent="0.25">
      <c r="B190">
        <v>197</v>
      </c>
      <c r="E190" t="s">
        <v>1557</v>
      </c>
      <c r="F190" t="s">
        <v>1600</v>
      </c>
      <c r="G190">
        <v>32</v>
      </c>
      <c r="H190" s="48">
        <v>0.94069999999999998</v>
      </c>
      <c r="I190" s="50">
        <v>0.27729999999999999</v>
      </c>
      <c r="J190" s="50">
        <v>46198</v>
      </c>
      <c r="K190" s="54">
        <v>46223</v>
      </c>
      <c r="L190" s="54">
        <v>46206</v>
      </c>
      <c r="M190" s="54">
        <v>46237</v>
      </c>
      <c r="O190" s="51" t="str">
        <f t="shared" si="14"/>
        <v/>
      </c>
      <c r="P190" s="51" t="str">
        <f t="shared" si="15"/>
        <v/>
      </c>
      <c r="Q190" s="52" t="str">
        <f t="shared" si="16"/>
        <v/>
      </c>
      <c r="R190" s="52" t="str">
        <f t="shared" si="17"/>
        <v/>
      </c>
      <c r="S190" s="51" t="str">
        <f t="shared" si="18"/>
        <v/>
      </c>
      <c r="T190" t="str">
        <f t="shared" si="19"/>
        <v/>
      </c>
      <c r="U190" s="52" t="str">
        <f t="shared" si="20"/>
        <v/>
      </c>
    </row>
    <row r="191" spans="2:21" x14ac:dyDescent="0.25">
      <c r="B191">
        <v>198</v>
      </c>
      <c r="C191" t="s">
        <v>184</v>
      </c>
      <c r="D191" t="s">
        <v>1050</v>
      </c>
      <c r="E191" t="s">
        <v>1601</v>
      </c>
      <c r="F191" t="s">
        <v>1514</v>
      </c>
      <c r="G191">
        <v>28</v>
      </c>
      <c r="H191" s="48">
        <v>1</v>
      </c>
      <c r="I191" s="50">
        <v>0.27729999999999999</v>
      </c>
      <c r="J191" s="50">
        <v>46198</v>
      </c>
      <c r="K191" s="54">
        <v>46211</v>
      </c>
      <c r="L191" s="54">
        <v>46206</v>
      </c>
      <c r="M191" s="54">
        <v>46233</v>
      </c>
      <c r="O191" s="51" t="str">
        <f t="shared" si="14"/>
        <v/>
      </c>
      <c r="P191" s="51" t="str">
        <f t="shared" si="15"/>
        <v/>
      </c>
      <c r="Q191" s="52" t="str">
        <f t="shared" si="16"/>
        <v/>
      </c>
      <c r="R191" s="52" t="str">
        <f t="shared" si="17"/>
        <v/>
      </c>
      <c r="S191" s="51" t="str">
        <f t="shared" si="18"/>
        <v/>
      </c>
      <c r="T191" t="str">
        <f t="shared" si="19"/>
        <v/>
      </c>
      <c r="U191" s="52" t="str">
        <f t="shared" si="20"/>
        <v/>
      </c>
    </row>
    <row r="192" spans="2:21" x14ac:dyDescent="0.25">
      <c r="B192">
        <v>199</v>
      </c>
      <c r="C192" t="s">
        <v>184</v>
      </c>
      <c r="D192" t="s">
        <v>1050</v>
      </c>
      <c r="E192" t="s">
        <v>1515</v>
      </c>
      <c r="F192" t="s">
        <v>1509</v>
      </c>
      <c r="G192">
        <v>15</v>
      </c>
      <c r="H192" s="48">
        <v>1</v>
      </c>
      <c r="I192" s="50">
        <v>0.4</v>
      </c>
      <c r="J192" s="50">
        <v>46198</v>
      </c>
      <c r="K192" s="54">
        <v>46205</v>
      </c>
      <c r="L192" s="54">
        <v>46206</v>
      </c>
      <c r="M192" s="54">
        <v>46220</v>
      </c>
      <c r="O192" s="51" t="str">
        <f t="shared" si="14"/>
        <v>SIM</v>
      </c>
      <c r="P192" s="51" t="str">
        <f t="shared" si="15"/>
        <v>BL1132-0001-EM-MCA-2007</v>
      </c>
      <c r="Q192" s="52">
        <f t="shared" si="16"/>
        <v>46220</v>
      </c>
      <c r="R192" s="52">
        <f t="shared" si="17"/>
        <v>46205</v>
      </c>
      <c r="S192" s="51" t="str">
        <f t="shared" si="18"/>
        <v/>
      </c>
      <c r="T192" t="str">
        <f t="shared" si="19"/>
        <v/>
      </c>
      <c r="U192" s="52" t="str">
        <f t="shared" si="20"/>
        <v/>
      </c>
    </row>
    <row r="193" spans="2:21" x14ac:dyDescent="0.25">
      <c r="B193">
        <v>200</v>
      </c>
      <c r="C193" t="s">
        <v>184</v>
      </c>
      <c r="D193" t="s">
        <v>1050</v>
      </c>
      <c r="E193" t="s">
        <v>1517</v>
      </c>
      <c r="F193" t="s">
        <v>1519</v>
      </c>
      <c r="G193">
        <v>6</v>
      </c>
      <c r="H193" s="48">
        <v>1</v>
      </c>
      <c r="I193" s="50">
        <v>0</v>
      </c>
      <c r="J193" s="50">
        <v>46198</v>
      </c>
      <c r="K193" s="54">
        <v>46203</v>
      </c>
      <c r="L193" s="54">
        <v>46220</v>
      </c>
      <c r="M193" s="54">
        <v>46225</v>
      </c>
      <c r="O193" s="51" t="str">
        <f t="shared" si="14"/>
        <v/>
      </c>
      <c r="P193" s="51" t="str">
        <f t="shared" si="15"/>
        <v/>
      </c>
      <c r="Q193" s="52" t="str">
        <f t="shared" si="16"/>
        <v/>
      </c>
      <c r="R193" s="52" t="str">
        <f t="shared" si="17"/>
        <v/>
      </c>
      <c r="S193" s="51" t="str">
        <f t="shared" si="18"/>
        <v/>
      </c>
      <c r="T193" t="str">
        <f t="shared" si="19"/>
        <v/>
      </c>
      <c r="U193" s="52" t="str">
        <f t="shared" si="20"/>
        <v/>
      </c>
    </row>
    <row r="194" spans="2:21" x14ac:dyDescent="0.25">
      <c r="B194">
        <v>201</v>
      </c>
      <c r="C194" t="s">
        <v>184</v>
      </c>
      <c r="D194" t="s">
        <v>1050</v>
      </c>
      <c r="E194" t="s">
        <v>1518</v>
      </c>
      <c r="F194" t="s">
        <v>1519</v>
      </c>
      <c r="G194">
        <v>6</v>
      </c>
      <c r="H194" s="48">
        <v>1</v>
      </c>
      <c r="I194" s="50">
        <v>0</v>
      </c>
      <c r="J194" s="50">
        <v>46203</v>
      </c>
      <c r="K194" s="54">
        <v>46206</v>
      </c>
      <c r="L194" s="54">
        <v>46225</v>
      </c>
      <c r="M194" s="54">
        <v>46230</v>
      </c>
      <c r="O194" s="51" t="str">
        <f t="shared" si="14"/>
        <v/>
      </c>
      <c r="P194" s="51" t="str">
        <f t="shared" si="15"/>
        <v/>
      </c>
      <c r="Q194" s="52" t="str">
        <f t="shared" si="16"/>
        <v/>
      </c>
      <c r="R194" s="52" t="str">
        <f t="shared" si="17"/>
        <v/>
      </c>
      <c r="S194" s="51" t="str">
        <f t="shared" si="18"/>
        <v>SIM</v>
      </c>
      <c r="T194" t="str">
        <f t="shared" si="19"/>
        <v>BL1132-0001-EM-MCA-2007</v>
      </c>
      <c r="U194" s="52">
        <f t="shared" si="20"/>
        <v>46230</v>
      </c>
    </row>
    <row r="195" spans="2:21" x14ac:dyDescent="0.25">
      <c r="B195">
        <v>202</v>
      </c>
      <c r="C195" t="s">
        <v>184</v>
      </c>
      <c r="D195" t="s">
        <v>1050</v>
      </c>
      <c r="E195" t="s">
        <v>1520</v>
      </c>
      <c r="F195" t="s">
        <v>1519</v>
      </c>
      <c r="G195">
        <v>4</v>
      </c>
      <c r="H195" s="48">
        <v>1</v>
      </c>
      <c r="I195" s="50">
        <v>0</v>
      </c>
      <c r="J195" s="50">
        <v>46206</v>
      </c>
      <c r="K195" s="54">
        <v>46211</v>
      </c>
      <c r="L195" s="54">
        <v>46230</v>
      </c>
      <c r="M195" s="54">
        <v>46233</v>
      </c>
      <c r="O195" s="51" t="str">
        <f t="shared" ref="O195:O258" si="21">IF(OR(E195 = "                           1 - Emissão Inicial",E195="                  1 - Emissão após Design Review 1",E195 = "                  1 - Emissão para conhecimento",E195 = "                  1 - Emissão Final",E195 = "         Lista de Documentos",E195 = "         Elaboração do cronograma",E195 = "         Norma de Coordenação"), "SIM", "")</f>
        <v/>
      </c>
      <c r="P195" s="51" t="str">
        <f t="shared" ref="P195:P258" si="22">IF(O195="SIM",C195,"")</f>
        <v/>
      </c>
      <c r="Q195" s="52" t="str">
        <f t="shared" ref="Q195:Q258" si="23">IF(O195="SIM",M195,"")</f>
        <v/>
      </c>
      <c r="R195" s="52" t="str">
        <f t="shared" ref="R195:R258" si="24">IF(O195="SIM",K195,"")</f>
        <v/>
      </c>
      <c r="S195" s="51" t="str">
        <f t="shared" ref="S195:S258" si="25">IF(OR(E195 = "                           3 - Atendimento de Comentários",E195="                  1 - Emissão após Design Review 1",E195 = "                  1 - Emissão para conhecimento",E195 = "                  1 - Emissão Final",E195 = "         Lista de Documentos",E195 = "         Elaboração do cronograma",E195 = "         Norma de Coordenação"), "SIM", "")</f>
        <v/>
      </c>
      <c r="T195" t="str">
        <f t="shared" ref="T195:T258" si="26">IF(S195="SIM",C195,"")</f>
        <v/>
      </c>
      <c r="U195" s="52" t="str">
        <f t="shared" ref="U195:U258" si="27">IF(S195="SIM",M195,"")</f>
        <v/>
      </c>
    </row>
    <row r="196" spans="2:21" x14ac:dyDescent="0.25">
      <c r="B196">
        <v>203</v>
      </c>
      <c r="C196" t="s">
        <v>185</v>
      </c>
      <c r="D196" t="s">
        <v>1054</v>
      </c>
      <c r="E196" t="s">
        <v>1602</v>
      </c>
      <c r="F196" t="s">
        <v>1603</v>
      </c>
      <c r="G196">
        <v>25</v>
      </c>
      <c r="H196" s="48">
        <v>0.88149999999999995</v>
      </c>
      <c r="I196" s="50">
        <v>0.27729999999999999</v>
      </c>
      <c r="J196" s="50">
        <v>46205</v>
      </c>
      <c r="K196" s="54">
        <v>46223</v>
      </c>
      <c r="L196" s="54">
        <v>46213</v>
      </c>
      <c r="M196" s="54">
        <v>46237</v>
      </c>
      <c r="O196" s="51" t="str">
        <f t="shared" si="21"/>
        <v/>
      </c>
      <c r="P196" s="51" t="str">
        <f t="shared" si="22"/>
        <v/>
      </c>
      <c r="Q196" s="52" t="str">
        <f t="shared" si="23"/>
        <v/>
      </c>
      <c r="R196" s="52" t="str">
        <f t="shared" si="24"/>
        <v/>
      </c>
      <c r="S196" s="51" t="str">
        <f t="shared" si="25"/>
        <v/>
      </c>
      <c r="T196" t="str">
        <f t="shared" si="26"/>
        <v/>
      </c>
      <c r="U196" s="52" t="str">
        <f t="shared" si="27"/>
        <v/>
      </c>
    </row>
    <row r="197" spans="2:21" x14ac:dyDescent="0.25">
      <c r="B197">
        <v>204</v>
      </c>
      <c r="C197" t="s">
        <v>185</v>
      </c>
      <c r="D197" t="s">
        <v>1054</v>
      </c>
      <c r="E197" t="s">
        <v>1515</v>
      </c>
      <c r="F197" t="s">
        <v>1519</v>
      </c>
      <c r="G197">
        <v>12</v>
      </c>
      <c r="H197" s="48">
        <v>1</v>
      </c>
      <c r="I197" s="50">
        <v>0.4</v>
      </c>
      <c r="J197" s="50">
        <v>46205</v>
      </c>
      <c r="K197" s="54">
        <v>46210</v>
      </c>
      <c r="L197" s="54">
        <v>46213</v>
      </c>
      <c r="M197" s="54">
        <v>46224</v>
      </c>
      <c r="O197" s="51" t="str">
        <f t="shared" si="21"/>
        <v>SIM</v>
      </c>
      <c r="P197" s="51" t="str">
        <f t="shared" si="22"/>
        <v>BL1132-0001-EM-MCA-2008</v>
      </c>
      <c r="Q197" s="52">
        <f t="shared" si="23"/>
        <v>46224</v>
      </c>
      <c r="R197" s="52">
        <f t="shared" si="24"/>
        <v>46210</v>
      </c>
      <c r="S197" s="51" t="str">
        <f t="shared" si="25"/>
        <v/>
      </c>
      <c r="T197" t="str">
        <f t="shared" si="26"/>
        <v/>
      </c>
      <c r="U197" s="52" t="str">
        <f t="shared" si="27"/>
        <v/>
      </c>
    </row>
    <row r="198" spans="2:21" x14ac:dyDescent="0.25">
      <c r="B198">
        <v>205</v>
      </c>
      <c r="C198" t="s">
        <v>185</v>
      </c>
      <c r="D198" t="s">
        <v>1054</v>
      </c>
      <c r="E198" t="s">
        <v>1517</v>
      </c>
      <c r="F198" t="s">
        <v>1519</v>
      </c>
      <c r="G198">
        <v>4</v>
      </c>
      <c r="H198" s="48">
        <v>1</v>
      </c>
      <c r="I198" s="50">
        <v>0</v>
      </c>
      <c r="J198" s="50">
        <v>46210</v>
      </c>
      <c r="K198" s="54">
        <v>46213</v>
      </c>
      <c r="L198" s="54">
        <v>46224</v>
      </c>
      <c r="M198" s="54">
        <v>46227</v>
      </c>
      <c r="O198" s="51" t="str">
        <f t="shared" si="21"/>
        <v/>
      </c>
      <c r="P198" s="51" t="str">
        <f t="shared" si="22"/>
        <v/>
      </c>
      <c r="Q198" s="52" t="str">
        <f t="shared" si="23"/>
        <v/>
      </c>
      <c r="R198" s="52" t="str">
        <f t="shared" si="24"/>
        <v/>
      </c>
      <c r="S198" s="51" t="str">
        <f t="shared" si="25"/>
        <v/>
      </c>
      <c r="T198" t="str">
        <f t="shared" si="26"/>
        <v/>
      </c>
      <c r="U198" s="52" t="str">
        <f t="shared" si="27"/>
        <v/>
      </c>
    </row>
    <row r="199" spans="2:21" x14ac:dyDescent="0.25">
      <c r="B199">
        <v>206</v>
      </c>
      <c r="C199" t="s">
        <v>185</v>
      </c>
      <c r="D199" t="s">
        <v>1054</v>
      </c>
      <c r="E199" t="s">
        <v>1518</v>
      </c>
      <c r="F199" t="s">
        <v>1519</v>
      </c>
      <c r="G199">
        <v>6</v>
      </c>
      <c r="H199" s="48">
        <v>0.47</v>
      </c>
      <c r="I199" s="50">
        <v>0</v>
      </c>
      <c r="J199" s="50">
        <v>46213</v>
      </c>
      <c r="K199" s="54">
        <v>46218</v>
      </c>
      <c r="L199" s="54">
        <v>46227</v>
      </c>
      <c r="M199" s="54">
        <v>46232</v>
      </c>
      <c r="O199" s="51" t="str">
        <f t="shared" si="21"/>
        <v/>
      </c>
      <c r="P199" s="51" t="str">
        <f t="shared" si="22"/>
        <v/>
      </c>
      <c r="Q199" s="52" t="str">
        <f t="shared" si="23"/>
        <v/>
      </c>
      <c r="R199" s="52" t="str">
        <f t="shared" si="24"/>
        <v/>
      </c>
      <c r="S199" s="51" t="str">
        <f t="shared" si="25"/>
        <v>SIM</v>
      </c>
      <c r="T199" t="str">
        <f t="shared" si="26"/>
        <v>BL1132-0001-EM-MCA-2008</v>
      </c>
      <c r="U199" s="52">
        <f t="shared" si="27"/>
        <v>46232</v>
      </c>
    </row>
    <row r="200" spans="2:21" x14ac:dyDescent="0.25">
      <c r="B200">
        <v>207</v>
      </c>
      <c r="C200" t="s">
        <v>185</v>
      </c>
      <c r="D200" t="s">
        <v>1054</v>
      </c>
      <c r="E200" t="s">
        <v>1520</v>
      </c>
      <c r="F200" t="s">
        <v>1519</v>
      </c>
      <c r="G200">
        <v>6</v>
      </c>
      <c r="H200" s="48">
        <v>0</v>
      </c>
      <c r="I200" s="50">
        <v>0</v>
      </c>
      <c r="J200" s="50">
        <v>46218</v>
      </c>
      <c r="K200" s="54">
        <v>46223</v>
      </c>
      <c r="L200" s="54">
        <v>46232</v>
      </c>
      <c r="M200" s="54">
        <v>46237</v>
      </c>
      <c r="O200" s="51" t="str">
        <f t="shared" si="21"/>
        <v/>
      </c>
      <c r="P200" s="51" t="str">
        <f t="shared" si="22"/>
        <v/>
      </c>
      <c r="Q200" s="52" t="str">
        <f t="shared" si="23"/>
        <v/>
      </c>
      <c r="R200" s="52" t="str">
        <f t="shared" si="24"/>
        <v/>
      </c>
      <c r="S200" s="51" t="str">
        <f t="shared" si="25"/>
        <v/>
      </c>
      <c r="T200" t="str">
        <f t="shared" si="26"/>
        <v/>
      </c>
      <c r="U200" s="52" t="str">
        <f t="shared" si="27"/>
        <v/>
      </c>
    </row>
    <row r="201" spans="2:21" x14ac:dyDescent="0.25">
      <c r="B201">
        <v>208</v>
      </c>
      <c r="E201" t="s">
        <v>1589</v>
      </c>
      <c r="F201" t="s">
        <v>1588</v>
      </c>
      <c r="G201">
        <v>22</v>
      </c>
      <c r="H201" s="48">
        <v>0</v>
      </c>
      <c r="I201" s="50">
        <v>0</v>
      </c>
      <c r="J201" s="50">
        <v>46232</v>
      </c>
      <c r="K201" s="54">
        <v>46253</v>
      </c>
      <c r="L201" s="54">
        <v>46232</v>
      </c>
      <c r="M201" s="54">
        <v>46253</v>
      </c>
      <c r="O201" s="51" t="str">
        <f t="shared" si="21"/>
        <v/>
      </c>
      <c r="P201" s="51" t="str">
        <f t="shared" si="22"/>
        <v/>
      </c>
      <c r="Q201" s="52" t="str">
        <f t="shared" si="23"/>
        <v/>
      </c>
      <c r="R201" s="52" t="str">
        <f t="shared" si="24"/>
        <v/>
      </c>
      <c r="S201" s="51" t="str">
        <f t="shared" si="25"/>
        <v/>
      </c>
      <c r="T201" t="str">
        <f t="shared" si="26"/>
        <v/>
      </c>
      <c r="U201" s="52" t="str">
        <f t="shared" si="27"/>
        <v/>
      </c>
    </row>
    <row r="202" spans="2:21" x14ac:dyDescent="0.25">
      <c r="B202">
        <v>209</v>
      </c>
      <c r="C202" t="s">
        <v>124</v>
      </c>
      <c r="D202" t="s">
        <v>806</v>
      </c>
      <c r="E202" t="s">
        <v>1604</v>
      </c>
      <c r="F202" t="s">
        <v>1588</v>
      </c>
      <c r="G202">
        <v>22</v>
      </c>
      <c r="H202" s="48">
        <v>0</v>
      </c>
      <c r="I202" s="50">
        <v>0</v>
      </c>
      <c r="J202" s="50">
        <v>46232</v>
      </c>
      <c r="K202" s="54">
        <v>46253</v>
      </c>
      <c r="L202" s="54">
        <v>46232</v>
      </c>
      <c r="M202" s="54">
        <v>46253</v>
      </c>
      <c r="O202" s="51" t="str">
        <f t="shared" si="21"/>
        <v/>
      </c>
      <c r="P202" s="51" t="str">
        <f t="shared" si="22"/>
        <v/>
      </c>
      <c r="Q202" s="52" t="str">
        <f t="shared" si="23"/>
        <v/>
      </c>
      <c r="R202" s="52" t="str">
        <f t="shared" si="24"/>
        <v/>
      </c>
      <c r="S202" s="51" t="str">
        <f t="shared" si="25"/>
        <v/>
      </c>
      <c r="T202" t="str">
        <f t="shared" si="26"/>
        <v/>
      </c>
      <c r="U202" s="52" t="str">
        <f t="shared" si="27"/>
        <v/>
      </c>
    </row>
    <row r="203" spans="2:21" x14ac:dyDescent="0.25">
      <c r="B203">
        <v>210</v>
      </c>
      <c r="C203" t="s">
        <v>124</v>
      </c>
      <c r="D203" t="s">
        <v>806</v>
      </c>
      <c r="E203" t="s">
        <v>1515</v>
      </c>
      <c r="F203" t="s">
        <v>1605</v>
      </c>
      <c r="G203">
        <v>9</v>
      </c>
      <c r="H203" s="48">
        <v>0</v>
      </c>
      <c r="I203" s="50">
        <v>0</v>
      </c>
      <c r="J203" s="50">
        <v>46232</v>
      </c>
      <c r="K203" s="54">
        <v>46240</v>
      </c>
      <c r="L203" s="54">
        <v>46232</v>
      </c>
      <c r="M203" s="54">
        <v>46240</v>
      </c>
      <c r="O203" s="51" t="str">
        <f t="shared" si="21"/>
        <v>SIM</v>
      </c>
      <c r="P203" s="51" t="str">
        <f t="shared" si="22"/>
        <v>BL1132-0001-CI-MCA-2006</v>
      </c>
      <c r="Q203" s="52">
        <f t="shared" si="23"/>
        <v>46240</v>
      </c>
      <c r="R203" s="52">
        <f t="shared" si="24"/>
        <v>46240</v>
      </c>
      <c r="S203" s="51" t="str">
        <f t="shared" si="25"/>
        <v/>
      </c>
      <c r="T203" t="str">
        <f t="shared" si="26"/>
        <v/>
      </c>
      <c r="U203" s="52" t="str">
        <f t="shared" si="27"/>
        <v/>
      </c>
    </row>
    <row r="204" spans="2:21" x14ac:dyDescent="0.25">
      <c r="B204">
        <v>211</v>
      </c>
      <c r="C204" t="s">
        <v>124</v>
      </c>
      <c r="D204" t="s">
        <v>806</v>
      </c>
      <c r="E204" t="s">
        <v>1517</v>
      </c>
      <c r="F204" t="s">
        <v>1519</v>
      </c>
      <c r="G204">
        <v>6</v>
      </c>
      <c r="H204" s="48">
        <v>0</v>
      </c>
      <c r="I204" s="50">
        <v>0</v>
      </c>
      <c r="J204" s="50">
        <v>46240</v>
      </c>
      <c r="K204" s="54">
        <v>46245</v>
      </c>
      <c r="L204" s="54">
        <v>46240</v>
      </c>
      <c r="M204" s="54">
        <v>46245</v>
      </c>
      <c r="O204" s="51" t="str">
        <f t="shared" si="21"/>
        <v/>
      </c>
      <c r="P204" s="51" t="str">
        <f t="shared" si="22"/>
        <v/>
      </c>
      <c r="Q204" s="52" t="str">
        <f t="shared" si="23"/>
        <v/>
      </c>
      <c r="R204" s="52" t="str">
        <f t="shared" si="24"/>
        <v/>
      </c>
      <c r="S204" s="51" t="str">
        <f t="shared" si="25"/>
        <v/>
      </c>
      <c r="T204" t="str">
        <f t="shared" si="26"/>
        <v/>
      </c>
      <c r="U204" s="52" t="str">
        <f t="shared" si="27"/>
        <v/>
      </c>
    </row>
    <row r="205" spans="2:21" x14ac:dyDescent="0.25">
      <c r="B205">
        <v>212</v>
      </c>
      <c r="C205" t="s">
        <v>124</v>
      </c>
      <c r="D205" t="s">
        <v>806</v>
      </c>
      <c r="E205" t="s">
        <v>1518</v>
      </c>
      <c r="F205" t="s">
        <v>1519</v>
      </c>
      <c r="G205">
        <v>4</v>
      </c>
      <c r="H205" s="48">
        <v>0</v>
      </c>
      <c r="I205" s="50">
        <v>0</v>
      </c>
      <c r="J205" s="50">
        <v>46245</v>
      </c>
      <c r="K205" s="54">
        <v>46248</v>
      </c>
      <c r="L205" s="54">
        <v>46245</v>
      </c>
      <c r="M205" s="54">
        <v>46248</v>
      </c>
      <c r="O205" s="51" t="str">
        <f t="shared" si="21"/>
        <v/>
      </c>
      <c r="P205" s="51" t="str">
        <f t="shared" si="22"/>
        <v/>
      </c>
      <c r="Q205" s="52" t="str">
        <f t="shared" si="23"/>
        <v/>
      </c>
      <c r="R205" s="52" t="str">
        <f t="shared" si="24"/>
        <v/>
      </c>
      <c r="S205" s="51" t="str">
        <f t="shared" si="25"/>
        <v>SIM</v>
      </c>
      <c r="T205" t="str">
        <f t="shared" si="26"/>
        <v>BL1132-0001-CI-MCA-2006</v>
      </c>
      <c r="U205" s="52">
        <f t="shared" si="27"/>
        <v>46248</v>
      </c>
    </row>
    <row r="206" spans="2:21" x14ac:dyDescent="0.25">
      <c r="B206">
        <v>213</v>
      </c>
      <c r="C206" t="s">
        <v>124</v>
      </c>
      <c r="D206" t="s">
        <v>806</v>
      </c>
      <c r="E206" t="s">
        <v>1520</v>
      </c>
      <c r="F206" t="s">
        <v>1519</v>
      </c>
      <c r="G206">
        <v>6</v>
      </c>
      <c r="H206" s="48">
        <v>0</v>
      </c>
      <c r="I206" s="50">
        <v>0</v>
      </c>
      <c r="J206" s="50">
        <v>46248</v>
      </c>
      <c r="K206" s="54">
        <v>46253</v>
      </c>
      <c r="L206" s="54">
        <v>46248</v>
      </c>
      <c r="M206" s="54">
        <v>46253</v>
      </c>
      <c r="O206" s="51" t="str">
        <f t="shared" si="21"/>
        <v/>
      </c>
      <c r="P206" s="51" t="str">
        <f t="shared" si="22"/>
        <v/>
      </c>
      <c r="Q206" s="52" t="str">
        <f t="shared" si="23"/>
        <v/>
      </c>
      <c r="R206" s="52" t="str">
        <f t="shared" si="24"/>
        <v/>
      </c>
      <c r="S206" s="51" t="str">
        <f t="shared" si="25"/>
        <v/>
      </c>
      <c r="T206" t="str">
        <f t="shared" si="26"/>
        <v/>
      </c>
      <c r="U206" s="52" t="str">
        <f t="shared" si="27"/>
        <v/>
      </c>
    </row>
    <row r="207" spans="2:21" x14ac:dyDescent="0.25">
      <c r="B207">
        <v>214</v>
      </c>
      <c r="E207" t="s">
        <v>1464</v>
      </c>
      <c r="F207" t="s">
        <v>1465</v>
      </c>
      <c r="G207">
        <v>47</v>
      </c>
      <c r="H207" s="48">
        <v>0</v>
      </c>
      <c r="I207" s="50">
        <v>0.1148</v>
      </c>
      <c r="J207" s="50">
        <v>46220</v>
      </c>
      <c r="K207" s="54">
        <v>46254</v>
      </c>
      <c r="L207" s="54">
        <v>46205</v>
      </c>
      <c r="M207" s="54">
        <v>46251</v>
      </c>
      <c r="O207" s="51" t="str">
        <f t="shared" si="21"/>
        <v/>
      </c>
      <c r="P207" s="51" t="str">
        <f t="shared" si="22"/>
        <v/>
      </c>
      <c r="Q207" s="52" t="str">
        <f t="shared" si="23"/>
        <v/>
      </c>
      <c r="R207" s="52" t="str">
        <f t="shared" si="24"/>
        <v/>
      </c>
      <c r="S207" s="51" t="str">
        <f t="shared" si="25"/>
        <v/>
      </c>
      <c r="T207" t="str">
        <f t="shared" si="26"/>
        <v/>
      </c>
      <c r="U207" s="52" t="str">
        <f t="shared" si="27"/>
        <v/>
      </c>
    </row>
    <row r="208" spans="2:21" x14ac:dyDescent="0.25">
      <c r="B208">
        <v>215</v>
      </c>
      <c r="E208" t="s">
        <v>1606</v>
      </c>
      <c r="F208" t="s">
        <v>1465</v>
      </c>
      <c r="G208">
        <v>47</v>
      </c>
      <c r="H208" s="48">
        <v>0</v>
      </c>
      <c r="I208" s="50">
        <v>0.1148</v>
      </c>
      <c r="J208" s="50">
        <v>46220</v>
      </c>
      <c r="K208" s="54">
        <v>46254</v>
      </c>
      <c r="L208" s="54">
        <v>46205</v>
      </c>
      <c r="M208" s="54">
        <v>46251</v>
      </c>
      <c r="O208" s="51" t="str">
        <f t="shared" si="21"/>
        <v/>
      </c>
      <c r="P208" s="51" t="str">
        <f t="shared" si="22"/>
        <v/>
      </c>
      <c r="Q208" s="52" t="str">
        <f t="shared" si="23"/>
        <v/>
      </c>
      <c r="R208" s="52" t="str">
        <f t="shared" si="24"/>
        <v/>
      </c>
      <c r="S208" s="51" t="str">
        <f t="shared" si="25"/>
        <v/>
      </c>
      <c r="T208" t="str">
        <f t="shared" si="26"/>
        <v/>
      </c>
      <c r="U208" s="52" t="str">
        <f t="shared" si="27"/>
        <v/>
      </c>
    </row>
    <row r="209" spans="2:21" x14ac:dyDescent="0.25">
      <c r="B209">
        <v>216</v>
      </c>
      <c r="E209" t="s">
        <v>1607</v>
      </c>
      <c r="F209" t="s">
        <v>1465</v>
      </c>
      <c r="G209">
        <v>47</v>
      </c>
      <c r="H209" s="48">
        <v>0</v>
      </c>
      <c r="I209" s="50">
        <v>0.1148</v>
      </c>
      <c r="J209" s="50">
        <v>46220</v>
      </c>
      <c r="K209" s="54">
        <v>46254</v>
      </c>
      <c r="L209" s="54">
        <v>46205</v>
      </c>
      <c r="M209" s="54">
        <v>46251</v>
      </c>
      <c r="O209" s="51" t="str">
        <f t="shared" si="21"/>
        <v/>
      </c>
      <c r="P209" s="51" t="str">
        <f t="shared" si="22"/>
        <v/>
      </c>
      <c r="Q209" s="52" t="str">
        <f t="shared" si="23"/>
        <v/>
      </c>
      <c r="R209" s="52" t="str">
        <f t="shared" si="24"/>
        <v/>
      </c>
      <c r="S209" s="51" t="str">
        <f t="shared" si="25"/>
        <v/>
      </c>
      <c r="T209" t="str">
        <f t="shared" si="26"/>
        <v/>
      </c>
      <c r="U209" s="52" t="str">
        <f t="shared" si="27"/>
        <v/>
      </c>
    </row>
    <row r="210" spans="2:21" x14ac:dyDescent="0.25">
      <c r="B210">
        <v>217</v>
      </c>
      <c r="E210" t="s">
        <v>1608</v>
      </c>
      <c r="F210" t="s">
        <v>1465</v>
      </c>
      <c r="G210">
        <v>47</v>
      </c>
      <c r="H210" s="48">
        <v>0</v>
      </c>
      <c r="I210" s="50">
        <v>0.1148</v>
      </c>
      <c r="J210" s="50">
        <v>46220</v>
      </c>
      <c r="K210" s="54">
        <v>46254</v>
      </c>
      <c r="L210" s="54">
        <v>46205</v>
      </c>
      <c r="M210" s="54">
        <v>46251</v>
      </c>
      <c r="O210" s="51" t="str">
        <f t="shared" si="21"/>
        <v/>
      </c>
      <c r="P210" s="51" t="str">
        <f t="shared" si="22"/>
        <v/>
      </c>
      <c r="Q210" s="52" t="str">
        <f t="shared" si="23"/>
        <v/>
      </c>
      <c r="R210" s="52" t="str">
        <f t="shared" si="24"/>
        <v/>
      </c>
      <c r="S210" s="51" t="str">
        <f t="shared" si="25"/>
        <v/>
      </c>
      <c r="T210" t="str">
        <f t="shared" si="26"/>
        <v/>
      </c>
      <c r="U210" s="52" t="str">
        <f t="shared" si="27"/>
        <v/>
      </c>
    </row>
    <row r="211" spans="2:21" x14ac:dyDescent="0.25">
      <c r="B211">
        <v>218</v>
      </c>
      <c r="E211" t="s">
        <v>1555</v>
      </c>
      <c r="F211" t="s">
        <v>1514</v>
      </c>
      <c r="G211">
        <v>28</v>
      </c>
      <c r="H211" s="48">
        <v>0</v>
      </c>
      <c r="I211" s="50">
        <v>0.33329999999999999</v>
      </c>
      <c r="J211" s="50">
        <v>46220</v>
      </c>
      <c r="K211" s="54">
        <v>46238</v>
      </c>
      <c r="L211" s="54">
        <v>46205</v>
      </c>
      <c r="M211" s="54">
        <v>46232</v>
      </c>
      <c r="O211" s="51" t="str">
        <f t="shared" si="21"/>
        <v/>
      </c>
      <c r="P211" s="51" t="str">
        <f t="shared" si="22"/>
        <v/>
      </c>
      <c r="Q211" s="52" t="str">
        <f t="shared" si="23"/>
        <v/>
      </c>
      <c r="R211" s="52" t="str">
        <f t="shared" si="24"/>
        <v/>
      </c>
      <c r="S211" s="51" t="str">
        <f t="shared" si="25"/>
        <v/>
      </c>
      <c r="T211" t="str">
        <f t="shared" si="26"/>
        <v/>
      </c>
      <c r="U211" s="52" t="str">
        <f t="shared" si="27"/>
        <v/>
      </c>
    </row>
    <row r="212" spans="2:21" x14ac:dyDescent="0.25">
      <c r="B212">
        <v>219</v>
      </c>
      <c r="E212" t="s">
        <v>1572</v>
      </c>
      <c r="F212" t="s">
        <v>1605</v>
      </c>
      <c r="G212">
        <v>9</v>
      </c>
      <c r="H212" s="48">
        <v>0</v>
      </c>
      <c r="I212" s="50">
        <v>1</v>
      </c>
      <c r="J212" s="50">
        <v>46230</v>
      </c>
      <c r="K212" s="54">
        <v>46238</v>
      </c>
      <c r="L212" s="54">
        <v>46205</v>
      </c>
      <c r="M212" s="54">
        <v>46213</v>
      </c>
      <c r="O212" s="51" t="str">
        <f t="shared" si="21"/>
        <v/>
      </c>
      <c r="P212" s="51" t="str">
        <f t="shared" si="22"/>
        <v/>
      </c>
      <c r="Q212" s="52" t="str">
        <f t="shared" si="23"/>
        <v/>
      </c>
      <c r="R212" s="52" t="str">
        <f t="shared" si="24"/>
        <v/>
      </c>
      <c r="S212" s="51" t="str">
        <f t="shared" si="25"/>
        <v/>
      </c>
      <c r="T212" t="str">
        <f t="shared" si="26"/>
        <v/>
      </c>
      <c r="U212" s="52" t="str">
        <f t="shared" si="27"/>
        <v/>
      </c>
    </row>
    <row r="213" spans="2:21" x14ac:dyDescent="0.25">
      <c r="B213">
        <v>220</v>
      </c>
      <c r="E213" t="s">
        <v>1589</v>
      </c>
      <c r="F213" t="s">
        <v>1516</v>
      </c>
      <c r="G213">
        <v>13</v>
      </c>
      <c r="H213" s="48">
        <v>0</v>
      </c>
      <c r="I213" s="50">
        <v>0</v>
      </c>
      <c r="J213" s="50">
        <v>46220</v>
      </c>
      <c r="K213" s="54">
        <v>46232</v>
      </c>
      <c r="L213" s="54">
        <v>46220</v>
      </c>
      <c r="M213" s="54">
        <v>46232</v>
      </c>
      <c r="O213" s="51" t="str">
        <f t="shared" si="21"/>
        <v/>
      </c>
      <c r="P213" s="51" t="str">
        <f t="shared" si="22"/>
        <v/>
      </c>
      <c r="Q213" s="52" t="str">
        <f t="shared" si="23"/>
        <v/>
      </c>
      <c r="R213" s="52" t="str">
        <f t="shared" si="24"/>
        <v/>
      </c>
      <c r="S213" s="51" t="str">
        <f t="shared" si="25"/>
        <v/>
      </c>
      <c r="T213" t="str">
        <f t="shared" si="26"/>
        <v/>
      </c>
      <c r="U213" s="52" t="str">
        <f t="shared" si="27"/>
        <v/>
      </c>
    </row>
    <row r="214" spans="2:21" x14ac:dyDescent="0.25">
      <c r="B214">
        <v>221</v>
      </c>
      <c r="E214" t="s">
        <v>1558</v>
      </c>
      <c r="F214" t="s">
        <v>1528</v>
      </c>
      <c r="G214">
        <v>8</v>
      </c>
      <c r="H214" s="48">
        <v>0</v>
      </c>
      <c r="I214" s="50">
        <v>0</v>
      </c>
      <c r="J214" s="50">
        <v>46225</v>
      </c>
      <c r="K214" s="54">
        <v>46232</v>
      </c>
      <c r="L214" s="54">
        <v>46225</v>
      </c>
      <c r="M214" s="54">
        <v>46232</v>
      </c>
      <c r="O214" s="51" t="str">
        <f t="shared" si="21"/>
        <v/>
      </c>
      <c r="P214" s="51" t="str">
        <f t="shared" si="22"/>
        <v/>
      </c>
      <c r="Q214" s="52" t="str">
        <f t="shared" si="23"/>
        <v/>
      </c>
      <c r="R214" s="52" t="str">
        <f t="shared" si="24"/>
        <v/>
      </c>
      <c r="S214" s="51" t="str">
        <f t="shared" si="25"/>
        <v/>
      </c>
      <c r="T214" t="str">
        <f t="shared" si="26"/>
        <v/>
      </c>
      <c r="U214" s="52" t="str">
        <f t="shared" si="27"/>
        <v/>
      </c>
    </row>
    <row r="215" spans="2:21" x14ac:dyDescent="0.25">
      <c r="B215">
        <v>222</v>
      </c>
      <c r="E215" t="s">
        <v>1560</v>
      </c>
      <c r="F215" t="s">
        <v>1596</v>
      </c>
      <c r="G215">
        <v>32</v>
      </c>
      <c r="H215" s="48">
        <v>0</v>
      </c>
      <c r="I215" s="50">
        <v>0</v>
      </c>
      <c r="J215" s="50">
        <v>46220</v>
      </c>
      <c r="K215" s="54">
        <v>46254</v>
      </c>
      <c r="L215" s="54">
        <v>46220</v>
      </c>
      <c r="M215" s="54">
        <v>46251</v>
      </c>
      <c r="O215" s="51" t="str">
        <f t="shared" si="21"/>
        <v/>
      </c>
      <c r="P215" s="51" t="str">
        <f t="shared" si="22"/>
        <v/>
      </c>
      <c r="Q215" s="52" t="str">
        <f t="shared" si="23"/>
        <v/>
      </c>
      <c r="R215" s="52" t="str">
        <f t="shared" si="24"/>
        <v/>
      </c>
      <c r="S215" s="51" t="str">
        <f t="shared" si="25"/>
        <v/>
      </c>
      <c r="T215" t="str">
        <f t="shared" si="26"/>
        <v/>
      </c>
      <c r="U215" s="52" t="str">
        <f t="shared" si="27"/>
        <v/>
      </c>
    </row>
    <row r="216" spans="2:21" x14ac:dyDescent="0.25">
      <c r="B216">
        <v>223</v>
      </c>
      <c r="E216" t="s">
        <v>1572</v>
      </c>
      <c r="F216" t="s">
        <v>1538</v>
      </c>
      <c r="G216">
        <v>27</v>
      </c>
      <c r="H216" s="48">
        <v>0</v>
      </c>
      <c r="I216" s="50">
        <v>0</v>
      </c>
      <c r="J216" s="50">
        <v>46225</v>
      </c>
      <c r="K216" s="54">
        <v>46254</v>
      </c>
      <c r="L216" s="54">
        <v>46225</v>
      </c>
      <c r="M216" s="54">
        <v>46251</v>
      </c>
      <c r="O216" s="51" t="str">
        <f t="shared" si="21"/>
        <v/>
      </c>
      <c r="P216" s="51" t="str">
        <f t="shared" si="22"/>
        <v/>
      </c>
      <c r="Q216" s="52" t="str">
        <f t="shared" si="23"/>
        <v/>
      </c>
      <c r="R216" s="52" t="str">
        <f t="shared" si="24"/>
        <v/>
      </c>
      <c r="S216" s="51" t="str">
        <f t="shared" si="25"/>
        <v/>
      </c>
      <c r="T216" t="str">
        <f t="shared" si="26"/>
        <v/>
      </c>
      <c r="U216" s="52" t="str">
        <f t="shared" si="27"/>
        <v/>
      </c>
    </row>
    <row r="217" spans="2:21" x14ac:dyDescent="0.25">
      <c r="B217">
        <v>224</v>
      </c>
      <c r="C217" t="s">
        <v>99</v>
      </c>
      <c r="D217" t="s">
        <v>688</v>
      </c>
      <c r="E217" t="s">
        <v>1609</v>
      </c>
      <c r="F217" t="s">
        <v>1559</v>
      </c>
      <c r="G217">
        <v>17</v>
      </c>
      <c r="H217" s="48">
        <v>0</v>
      </c>
      <c r="I217" s="50">
        <v>0</v>
      </c>
      <c r="J217" s="50">
        <v>46225</v>
      </c>
      <c r="K217" s="54">
        <v>46241</v>
      </c>
      <c r="L217" s="54">
        <v>46225</v>
      </c>
      <c r="M217" s="54">
        <v>46241</v>
      </c>
      <c r="O217" s="51" t="str">
        <f t="shared" si="21"/>
        <v/>
      </c>
      <c r="P217" s="51" t="str">
        <f t="shared" si="22"/>
        <v/>
      </c>
      <c r="Q217" s="52" t="str">
        <f t="shared" si="23"/>
        <v/>
      </c>
      <c r="R217" s="52" t="str">
        <f t="shared" si="24"/>
        <v/>
      </c>
      <c r="S217" s="51" t="str">
        <f t="shared" si="25"/>
        <v/>
      </c>
      <c r="T217" t="str">
        <f t="shared" si="26"/>
        <v/>
      </c>
      <c r="U217" s="52" t="str">
        <f t="shared" si="27"/>
        <v/>
      </c>
    </row>
    <row r="218" spans="2:21" x14ac:dyDescent="0.25">
      <c r="B218">
        <v>225</v>
      </c>
      <c r="C218" t="s">
        <v>99</v>
      </c>
      <c r="D218" t="s">
        <v>688</v>
      </c>
      <c r="E218" t="s">
        <v>1515</v>
      </c>
      <c r="F218" t="s">
        <v>1519</v>
      </c>
      <c r="G218">
        <v>6</v>
      </c>
      <c r="H218" s="48">
        <v>0</v>
      </c>
      <c r="I218" s="50">
        <v>0</v>
      </c>
      <c r="J218" s="50">
        <v>46225</v>
      </c>
      <c r="K218" s="54">
        <v>46230</v>
      </c>
      <c r="L218" s="54">
        <v>46225</v>
      </c>
      <c r="M218" s="54">
        <v>46230</v>
      </c>
      <c r="O218" s="51" t="str">
        <f t="shared" si="21"/>
        <v>SIM</v>
      </c>
      <c r="P218" s="51" t="str">
        <f t="shared" si="22"/>
        <v>BL1132-0001-CC-MCA-2010</v>
      </c>
      <c r="Q218" s="52">
        <f t="shared" si="23"/>
        <v>46230</v>
      </c>
      <c r="R218" s="52">
        <f t="shared" si="24"/>
        <v>46230</v>
      </c>
      <c r="S218" s="51" t="str">
        <f t="shared" si="25"/>
        <v/>
      </c>
      <c r="T218" t="str">
        <f t="shared" si="26"/>
        <v/>
      </c>
      <c r="U218" s="52" t="str">
        <f t="shared" si="27"/>
        <v/>
      </c>
    </row>
    <row r="219" spans="2:21" x14ac:dyDescent="0.25">
      <c r="B219">
        <v>226</v>
      </c>
      <c r="C219" t="s">
        <v>99</v>
      </c>
      <c r="D219" t="s">
        <v>688</v>
      </c>
      <c r="E219" t="s">
        <v>1517</v>
      </c>
      <c r="F219" t="s">
        <v>1519</v>
      </c>
      <c r="G219">
        <v>4</v>
      </c>
      <c r="H219" s="48">
        <v>0</v>
      </c>
      <c r="I219" s="50">
        <v>0</v>
      </c>
      <c r="J219" s="50">
        <v>46230</v>
      </c>
      <c r="K219" s="54">
        <v>46233</v>
      </c>
      <c r="L219" s="54">
        <v>46230</v>
      </c>
      <c r="M219" s="54">
        <v>46233</v>
      </c>
      <c r="O219" s="51" t="str">
        <f t="shared" si="21"/>
        <v/>
      </c>
      <c r="P219" s="51" t="str">
        <f t="shared" si="22"/>
        <v/>
      </c>
      <c r="Q219" s="52" t="str">
        <f t="shared" si="23"/>
        <v/>
      </c>
      <c r="R219" s="52" t="str">
        <f t="shared" si="24"/>
        <v/>
      </c>
      <c r="S219" s="51" t="str">
        <f t="shared" si="25"/>
        <v/>
      </c>
      <c r="T219" t="str">
        <f t="shared" si="26"/>
        <v/>
      </c>
      <c r="U219" s="52" t="str">
        <f t="shared" si="27"/>
        <v/>
      </c>
    </row>
    <row r="220" spans="2:21" x14ac:dyDescent="0.25">
      <c r="B220">
        <v>227</v>
      </c>
      <c r="C220" t="s">
        <v>99</v>
      </c>
      <c r="D220" t="s">
        <v>688</v>
      </c>
      <c r="E220" t="s">
        <v>1518</v>
      </c>
      <c r="F220" t="s">
        <v>1519</v>
      </c>
      <c r="G220">
        <v>6</v>
      </c>
      <c r="H220" s="48">
        <v>0</v>
      </c>
      <c r="I220" s="50">
        <v>0</v>
      </c>
      <c r="J220" s="50">
        <v>46233</v>
      </c>
      <c r="K220" s="54">
        <v>46238</v>
      </c>
      <c r="L220" s="54">
        <v>46233</v>
      </c>
      <c r="M220" s="54">
        <v>46238</v>
      </c>
      <c r="O220" s="51" t="str">
        <f t="shared" si="21"/>
        <v/>
      </c>
      <c r="P220" s="51" t="str">
        <f t="shared" si="22"/>
        <v/>
      </c>
      <c r="Q220" s="52" t="str">
        <f t="shared" si="23"/>
        <v/>
      </c>
      <c r="R220" s="52" t="str">
        <f t="shared" si="24"/>
        <v/>
      </c>
      <c r="S220" s="51" t="str">
        <f t="shared" si="25"/>
        <v>SIM</v>
      </c>
      <c r="T220" t="str">
        <f t="shared" si="26"/>
        <v>BL1132-0001-CC-MCA-2010</v>
      </c>
      <c r="U220" s="52">
        <f t="shared" si="27"/>
        <v>46238</v>
      </c>
    </row>
    <row r="221" spans="2:21" x14ac:dyDescent="0.25">
      <c r="B221">
        <v>228</v>
      </c>
      <c r="C221" t="s">
        <v>99</v>
      </c>
      <c r="D221" t="s">
        <v>688</v>
      </c>
      <c r="E221" t="s">
        <v>1520</v>
      </c>
      <c r="F221" t="s">
        <v>1519</v>
      </c>
      <c r="G221">
        <v>4</v>
      </c>
      <c r="H221" s="48">
        <v>0</v>
      </c>
      <c r="I221" s="50">
        <v>0</v>
      </c>
      <c r="J221" s="50">
        <v>46238</v>
      </c>
      <c r="K221" s="54">
        <v>46241</v>
      </c>
      <c r="L221" s="54">
        <v>46238</v>
      </c>
      <c r="M221" s="54">
        <v>46241</v>
      </c>
      <c r="O221" s="51" t="str">
        <f t="shared" si="21"/>
        <v/>
      </c>
      <c r="P221" s="51" t="str">
        <f t="shared" si="22"/>
        <v/>
      </c>
      <c r="Q221" s="52" t="str">
        <f t="shared" si="23"/>
        <v/>
      </c>
      <c r="R221" s="52" t="str">
        <f t="shared" si="24"/>
        <v/>
      </c>
      <c r="S221" s="51" t="str">
        <f t="shared" si="25"/>
        <v/>
      </c>
      <c r="T221" t="str">
        <f t="shared" si="26"/>
        <v/>
      </c>
      <c r="U221" s="52" t="str">
        <f t="shared" si="27"/>
        <v/>
      </c>
    </row>
    <row r="222" spans="2:21" x14ac:dyDescent="0.25">
      <c r="B222">
        <v>229</v>
      </c>
      <c r="C222" t="s">
        <v>107</v>
      </c>
      <c r="D222" t="s">
        <v>723</v>
      </c>
      <c r="E222" t="s">
        <v>1610</v>
      </c>
      <c r="F222" t="s">
        <v>1559</v>
      </c>
      <c r="G222">
        <v>17</v>
      </c>
      <c r="H222" s="48">
        <v>0</v>
      </c>
      <c r="I222" s="50">
        <v>0</v>
      </c>
      <c r="J222" s="50">
        <v>46230</v>
      </c>
      <c r="K222" s="54">
        <v>46246</v>
      </c>
      <c r="L222" s="54">
        <v>46230</v>
      </c>
      <c r="M222" s="54">
        <v>46246</v>
      </c>
      <c r="O222" s="51" t="str">
        <f t="shared" si="21"/>
        <v/>
      </c>
      <c r="P222" s="51" t="str">
        <f t="shared" si="22"/>
        <v/>
      </c>
      <c r="Q222" s="52" t="str">
        <f t="shared" si="23"/>
        <v/>
      </c>
      <c r="R222" s="52" t="str">
        <f t="shared" si="24"/>
        <v/>
      </c>
      <c r="S222" s="51" t="str">
        <f t="shared" si="25"/>
        <v/>
      </c>
      <c r="T222" t="str">
        <f t="shared" si="26"/>
        <v/>
      </c>
      <c r="U222" s="52" t="str">
        <f t="shared" si="27"/>
        <v/>
      </c>
    </row>
    <row r="223" spans="2:21" x14ac:dyDescent="0.25">
      <c r="B223">
        <v>230</v>
      </c>
      <c r="C223" t="s">
        <v>107</v>
      </c>
      <c r="D223" t="s">
        <v>723</v>
      </c>
      <c r="E223" t="s">
        <v>1515</v>
      </c>
      <c r="F223" t="s">
        <v>1519</v>
      </c>
      <c r="G223">
        <v>4</v>
      </c>
      <c r="H223" s="48">
        <v>0</v>
      </c>
      <c r="I223" s="50">
        <v>0</v>
      </c>
      <c r="J223" s="50">
        <v>46230</v>
      </c>
      <c r="K223" s="54">
        <v>46233</v>
      </c>
      <c r="L223" s="54">
        <v>46230</v>
      </c>
      <c r="M223" s="54">
        <v>46233</v>
      </c>
      <c r="O223" s="51" t="str">
        <f t="shared" si="21"/>
        <v>SIM</v>
      </c>
      <c r="P223" s="51" t="str">
        <f t="shared" si="22"/>
        <v>BL1132-0001-CC-MCA-2113</v>
      </c>
      <c r="Q223" s="52">
        <f t="shared" si="23"/>
        <v>46233</v>
      </c>
      <c r="R223" s="52">
        <f t="shared" si="24"/>
        <v>46233</v>
      </c>
      <c r="S223" s="51" t="str">
        <f t="shared" si="25"/>
        <v/>
      </c>
      <c r="T223" t="str">
        <f t="shared" si="26"/>
        <v/>
      </c>
      <c r="U223" s="52" t="str">
        <f t="shared" si="27"/>
        <v/>
      </c>
    </row>
    <row r="224" spans="2:21" x14ac:dyDescent="0.25">
      <c r="B224">
        <v>231</v>
      </c>
      <c r="C224" t="s">
        <v>107</v>
      </c>
      <c r="D224" t="s">
        <v>723</v>
      </c>
      <c r="E224" t="s">
        <v>1517</v>
      </c>
      <c r="F224" t="s">
        <v>1519</v>
      </c>
      <c r="G224">
        <v>6</v>
      </c>
      <c r="H224" s="48">
        <v>0</v>
      </c>
      <c r="I224" s="50">
        <v>0</v>
      </c>
      <c r="J224" s="50">
        <v>46233</v>
      </c>
      <c r="K224" s="54">
        <v>46238</v>
      </c>
      <c r="L224" s="54">
        <v>46233</v>
      </c>
      <c r="M224" s="54">
        <v>46238</v>
      </c>
      <c r="O224" s="51" t="str">
        <f t="shared" si="21"/>
        <v/>
      </c>
      <c r="P224" s="51" t="str">
        <f t="shared" si="22"/>
        <v/>
      </c>
      <c r="Q224" s="52" t="str">
        <f t="shared" si="23"/>
        <v/>
      </c>
      <c r="R224" s="52" t="str">
        <f t="shared" si="24"/>
        <v/>
      </c>
      <c r="S224" s="51" t="str">
        <f t="shared" si="25"/>
        <v/>
      </c>
      <c r="T224" t="str">
        <f t="shared" si="26"/>
        <v/>
      </c>
      <c r="U224" s="52" t="str">
        <f t="shared" si="27"/>
        <v/>
      </c>
    </row>
    <row r="225" spans="2:21" x14ac:dyDescent="0.25">
      <c r="B225">
        <v>232</v>
      </c>
      <c r="C225" t="s">
        <v>107</v>
      </c>
      <c r="D225" t="s">
        <v>723</v>
      </c>
      <c r="E225" t="s">
        <v>1518</v>
      </c>
      <c r="F225" t="s">
        <v>1519</v>
      </c>
      <c r="G225">
        <v>4</v>
      </c>
      <c r="H225" s="48">
        <v>0</v>
      </c>
      <c r="I225" s="50">
        <v>0</v>
      </c>
      <c r="J225" s="50">
        <v>46238</v>
      </c>
      <c r="K225" s="54">
        <v>46241</v>
      </c>
      <c r="L225" s="54">
        <v>46238</v>
      </c>
      <c r="M225" s="54">
        <v>46241</v>
      </c>
      <c r="O225" s="51" t="str">
        <f t="shared" si="21"/>
        <v/>
      </c>
      <c r="P225" s="51" t="str">
        <f t="shared" si="22"/>
        <v/>
      </c>
      <c r="Q225" s="52" t="str">
        <f t="shared" si="23"/>
        <v/>
      </c>
      <c r="R225" s="52" t="str">
        <f t="shared" si="24"/>
        <v/>
      </c>
      <c r="S225" s="51" t="str">
        <f t="shared" si="25"/>
        <v>SIM</v>
      </c>
      <c r="T225" t="str">
        <f t="shared" si="26"/>
        <v>BL1132-0001-CC-MCA-2113</v>
      </c>
      <c r="U225" s="52">
        <f t="shared" si="27"/>
        <v>46241</v>
      </c>
    </row>
    <row r="226" spans="2:21" x14ac:dyDescent="0.25">
      <c r="B226">
        <v>233</v>
      </c>
      <c r="C226" t="s">
        <v>107</v>
      </c>
      <c r="D226" t="s">
        <v>723</v>
      </c>
      <c r="E226" t="s">
        <v>1520</v>
      </c>
      <c r="F226" t="s">
        <v>1519</v>
      </c>
      <c r="G226">
        <v>6</v>
      </c>
      <c r="H226" s="48">
        <v>0</v>
      </c>
      <c r="I226" s="50">
        <v>0</v>
      </c>
      <c r="J226" s="50">
        <v>46241</v>
      </c>
      <c r="K226" s="54">
        <v>46246</v>
      </c>
      <c r="L226" s="54">
        <v>46241</v>
      </c>
      <c r="M226" s="54">
        <v>46246</v>
      </c>
      <c r="O226" s="51" t="str">
        <f t="shared" si="21"/>
        <v/>
      </c>
      <c r="P226" s="51" t="str">
        <f t="shared" si="22"/>
        <v/>
      </c>
      <c r="Q226" s="52" t="str">
        <f t="shared" si="23"/>
        <v/>
      </c>
      <c r="R226" s="52" t="str">
        <f t="shared" si="24"/>
        <v/>
      </c>
      <c r="S226" s="51" t="str">
        <f t="shared" si="25"/>
        <v/>
      </c>
      <c r="T226" t="str">
        <f t="shared" si="26"/>
        <v/>
      </c>
      <c r="U226" s="52" t="str">
        <f t="shared" si="27"/>
        <v/>
      </c>
    </row>
    <row r="227" spans="2:21" x14ac:dyDescent="0.25">
      <c r="B227">
        <v>234</v>
      </c>
      <c r="C227" t="s">
        <v>90</v>
      </c>
      <c r="D227" t="s">
        <v>661</v>
      </c>
      <c r="E227" t="s">
        <v>1611</v>
      </c>
      <c r="F227" t="s">
        <v>1559</v>
      </c>
      <c r="G227">
        <v>19</v>
      </c>
      <c r="H227" s="48">
        <v>0</v>
      </c>
      <c r="I227" s="50">
        <v>0</v>
      </c>
      <c r="J227" s="50">
        <v>46238</v>
      </c>
      <c r="K227" s="54">
        <v>46254</v>
      </c>
      <c r="L227" s="54">
        <v>46233</v>
      </c>
      <c r="M227" s="54">
        <v>46251</v>
      </c>
      <c r="O227" s="51" t="str">
        <f t="shared" si="21"/>
        <v/>
      </c>
      <c r="P227" s="51" t="str">
        <f t="shared" si="22"/>
        <v/>
      </c>
      <c r="Q227" s="52" t="str">
        <f t="shared" si="23"/>
        <v/>
      </c>
      <c r="R227" s="52" t="str">
        <f t="shared" si="24"/>
        <v/>
      </c>
      <c r="S227" s="51" t="str">
        <f t="shared" si="25"/>
        <v/>
      </c>
      <c r="T227" t="str">
        <f t="shared" si="26"/>
        <v/>
      </c>
      <c r="U227" s="52" t="str">
        <f t="shared" si="27"/>
        <v/>
      </c>
    </row>
    <row r="228" spans="2:21" x14ac:dyDescent="0.25">
      <c r="B228">
        <v>235</v>
      </c>
      <c r="C228" t="s">
        <v>90</v>
      </c>
      <c r="D228" t="s">
        <v>661</v>
      </c>
      <c r="E228" t="s">
        <v>1515</v>
      </c>
      <c r="F228" t="s">
        <v>1519</v>
      </c>
      <c r="G228">
        <v>6</v>
      </c>
      <c r="H228" s="48">
        <v>0</v>
      </c>
      <c r="I228" s="50">
        <v>0</v>
      </c>
      <c r="J228" s="50">
        <v>46238</v>
      </c>
      <c r="K228" s="54">
        <v>46241</v>
      </c>
      <c r="L228" s="54">
        <v>46233</v>
      </c>
      <c r="M228" s="54">
        <v>46238</v>
      </c>
      <c r="O228" s="51" t="str">
        <f t="shared" si="21"/>
        <v>SIM</v>
      </c>
      <c r="P228" s="51" t="str">
        <f t="shared" si="22"/>
        <v>BL1132-0001-CC-DBA-2007</v>
      </c>
      <c r="Q228" s="52">
        <f t="shared" si="23"/>
        <v>46238</v>
      </c>
      <c r="R228" s="52">
        <f t="shared" si="24"/>
        <v>46241</v>
      </c>
      <c r="S228" s="51" t="str">
        <f t="shared" si="25"/>
        <v/>
      </c>
      <c r="T228" t="str">
        <f t="shared" si="26"/>
        <v/>
      </c>
      <c r="U228" s="52" t="str">
        <f t="shared" si="27"/>
        <v/>
      </c>
    </row>
    <row r="229" spans="2:21" x14ac:dyDescent="0.25">
      <c r="B229">
        <v>236</v>
      </c>
      <c r="C229" t="s">
        <v>90</v>
      </c>
      <c r="D229" t="s">
        <v>661</v>
      </c>
      <c r="E229" t="s">
        <v>1517</v>
      </c>
      <c r="F229" t="s">
        <v>1519</v>
      </c>
      <c r="G229">
        <v>4</v>
      </c>
      <c r="H229" s="48">
        <v>0</v>
      </c>
      <c r="I229" s="50">
        <v>0</v>
      </c>
      <c r="J229" s="50">
        <v>46241</v>
      </c>
      <c r="K229" s="54">
        <v>46246</v>
      </c>
      <c r="L229" s="54">
        <v>46238</v>
      </c>
      <c r="M229" s="54">
        <v>46241</v>
      </c>
      <c r="O229" s="51" t="str">
        <f t="shared" si="21"/>
        <v/>
      </c>
      <c r="P229" s="51" t="str">
        <f t="shared" si="22"/>
        <v/>
      </c>
      <c r="Q229" s="52" t="str">
        <f t="shared" si="23"/>
        <v/>
      </c>
      <c r="R229" s="52" t="str">
        <f t="shared" si="24"/>
        <v/>
      </c>
      <c r="S229" s="51" t="str">
        <f t="shared" si="25"/>
        <v/>
      </c>
      <c r="T229" t="str">
        <f t="shared" si="26"/>
        <v/>
      </c>
      <c r="U229" s="52" t="str">
        <f t="shared" si="27"/>
        <v/>
      </c>
    </row>
    <row r="230" spans="2:21" x14ac:dyDescent="0.25">
      <c r="B230">
        <v>237</v>
      </c>
      <c r="C230" t="s">
        <v>90</v>
      </c>
      <c r="D230" t="s">
        <v>661</v>
      </c>
      <c r="E230" t="s">
        <v>1518</v>
      </c>
      <c r="F230" t="s">
        <v>1519</v>
      </c>
      <c r="G230">
        <v>6</v>
      </c>
      <c r="H230" s="48">
        <v>0</v>
      </c>
      <c r="I230" s="50">
        <v>0</v>
      </c>
      <c r="J230" s="50">
        <v>46246</v>
      </c>
      <c r="K230" s="54">
        <v>46251</v>
      </c>
      <c r="L230" s="54">
        <v>46241</v>
      </c>
      <c r="M230" s="54">
        <v>46246</v>
      </c>
      <c r="O230" s="51" t="str">
        <f t="shared" si="21"/>
        <v/>
      </c>
      <c r="P230" s="51" t="str">
        <f t="shared" si="22"/>
        <v/>
      </c>
      <c r="Q230" s="52" t="str">
        <f t="shared" si="23"/>
        <v/>
      </c>
      <c r="R230" s="52" t="str">
        <f t="shared" si="24"/>
        <v/>
      </c>
      <c r="S230" s="51" t="str">
        <f t="shared" si="25"/>
        <v>SIM</v>
      </c>
      <c r="T230" t="str">
        <f t="shared" si="26"/>
        <v>BL1132-0001-CC-DBA-2007</v>
      </c>
      <c r="U230" s="52">
        <f t="shared" si="27"/>
        <v>46246</v>
      </c>
    </row>
    <row r="231" spans="2:21" x14ac:dyDescent="0.25">
      <c r="B231">
        <v>238</v>
      </c>
      <c r="C231" t="s">
        <v>90</v>
      </c>
      <c r="D231" t="s">
        <v>661</v>
      </c>
      <c r="E231" t="s">
        <v>1520</v>
      </c>
      <c r="F231" t="s">
        <v>1519</v>
      </c>
      <c r="G231">
        <v>6</v>
      </c>
      <c r="H231" s="48">
        <v>0</v>
      </c>
      <c r="I231" s="50">
        <v>0</v>
      </c>
      <c r="J231" s="50">
        <v>46251</v>
      </c>
      <c r="K231" s="54">
        <v>46254</v>
      </c>
      <c r="L231" s="54">
        <v>46246</v>
      </c>
      <c r="M231" s="54">
        <v>46251</v>
      </c>
      <c r="O231" s="51" t="str">
        <f t="shared" si="21"/>
        <v/>
      </c>
      <c r="P231" s="51" t="str">
        <f t="shared" si="22"/>
        <v/>
      </c>
      <c r="Q231" s="52" t="str">
        <f t="shared" si="23"/>
        <v/>
      </c>
      <c r="R231" s="52" t="str">
        <f t="shared" si="24"/>
        <v/>
      </c>
      <c r="S231" s="51" t="str">
        <f t="shared" si="25"/>
        <v/>
      </c>
      <c r="T231" t="str">
        <f t="shared" si="26"/>
        <v/>
      </c>
      <c r="U231" s="52" t="str">
        <f t="shared" si="27"/>
        <v/>
      </c>
    </row>
    <row r="232" spans="2:21" x14ac:dyDescent="0.25">
      <c r="B232">
        <v>239</v>
      </c>
      <c r="E232" t="s">
        <v>1558</v>
      </c>
      <c r="F232" t="s">
        <v>1559</v>
      </c>
      <c r="G232">
        <v>19</v>
      </c>
      <c r="H232" s="48">
        <v>0</v>
      </c>
      <c r="I232" s="50">
        <v>0</v>
      </c>
      <c r="J232" s="50">
        <v>46220</v>
      </c>
      <c r="K232" s="54">
        <v>46238</v>
      </c>
      <c r="L232" s="54">
        <v>46220</v>
      </c>
      <c r="M232" s="54">
        <v>46238</v>
      </c>
      <c r="O232" s="51" t="str">
        <f t="shared" si="21"/>
        <v/>
      </c>
      <c r="P232" s="51" t="str">
        <f t="shared" si="22"/>
        <v/>
      </c>
      <c r="Q232" s="52" t="str">
        <f t="shared" si="23"/>
        <v/>
      </c>
      <c r="R232" s="52" t="str">
        <f t="shared" si="24"/>
        <v/>
      </c>
      <c r="S232" s="51" t="str">
        <f t="shared" si="25"/>
        <v/>
      </c>
      <c r="T232" t="str">
        <f t="shared" si="26"/>
        <v/>
      </c>
      <c r="U232" s="52" t="str">
        <f t="shared" si="27"/>
        <v/>
      </c>
    </row>
    <row r="233" spans="2:21" x14ac:dyDescent="0.25">
      <c r="B233">
        <v>240</v>
      </c>
      <c r="E233" t="s">
        <v>1612</v>
      </c>
      <c r="F233" t="s">
        <v>1559</v>
      </c>
      <c r="G233">
        <v>19</v>
      </c>
      <c r="H233" s="48">
        <v>0</v>
      </c>
      <c r="I233" s="50">
        <v>0</v>
      </c>
      <c r="J233" s="50">
        <v>46220</v>
      </c>
      <c r="K233" s="54">
        <v>46238</v>
      </c>
      <c r="L233" s="54">
        <v>46220</v>
      </c>
      <c r="M233" s="54">
        <v>46238</v>
      </c>
      <c r="O233" s="51" t="str">
        <f t="shared" si="21"/>
        <v/>
      </c>
      <c r="P233" s="51" t="str">
        <f t="shared" si="22"/>
        <v/>
      </c>
      <c r="Q233" s="52" t="str">
        <f t="shared" si="23"/>
        <v/>
      </c>
      <c r="R233" s="52" t="str">
        <f t="shared" si="24"/>
        <v/>
      </c>
      <c r="S233" s="51" t="str">
        <f t="shared" si="25"/>
        <v/>
      </c>
      <c r="T233" t="str">
        <f t="shared" si="26"/>
        <v/>
      </c>
      <c r="U233" s="52" t="str">
        <f t="shared" si="27"/>
        <v/>
      </c>
    </row>
    <row r="234" spans="2:21" x14ac:dyDescent="0.25">
      <c r="B234">
        <v>241</v>
      </c>
      <c r="E234" t="s">
        <v>1515</v>
      </c>
      <c r="F234" t="s">
        <v>1519</v>
      </c>
      <c r="G234">
        <v>6</v>
      </c>
      <c r="H234" s="48">
        <v>0</v>
      </c>
      <c r="I234" s="50">
        <v>0</v>
      </c>
      <c r="J234" s="50">
        <v>46220</v>
      </c>
      <c r="K234" s="54">
        <v>46225</v>
      </c>
      <c r="L234" s="54">
        <v>46220</v>
      </c>
      <c r="M234" s="54">
        <v>46225</v>
      </c>
      <c r="O234" s="51" t="str">
        <f t="shared" si="21"/>
        <v>SIM</v>
      </c>
      <c r="P234" s="51">
        <f t="shared" si="22"/>
        <v>0</v>
      </c>
      <c r="Q234" s="52">
        <f t="shared" si="23"/>
        <v>46225</v>
      </c>
      <c r="R234" s="52">
        <f t="shared" si="24"/>
        <v>46225</v>
      </c>
      <c r="S234" s="51" t="str">
        <f t="shared" si="25"/>
        <v/>
      </c>
      <c r="T234" t="str">
        <f t="shared" si="26"/>
        <v/>
      </c>
      <c r="U234" s="52" t="str">
        <f t="shared" si="27"/>
        <v/>
      </c>
    </row>
    <row r="235" spans="2:21" x14ac:dyDescent="0.25">
      <c r="B235">
        <v>242</v>
      </c>
      <c r="E235" t="s">
        <v>1517</v>
      </c>
      <c r="F235" t="s">
        <v>1519</v>
      </c>
      <c r="G235">
        <v>6</v>
      </c>
      <c r="H235" s="48">
        <v>0</v>
      </c>
      <c r="I235" s="50">
        <v>0</v>
      </c>
      <c r="J235" s="50">
        <v>46225</v>
      </c>
      <c r="K235" s="54">
        <v>46230</v>
      </c>
      <c r="L235" s="54">
        <v>46225</v>
      </c>
      <c r="M235" s="54">
        <v>46230</v>
      </c>
      <c r="O235" s="51" t="str">
        <f t="shared" si="21"/>
        <v/>
      </c>
      <c r="P235" s="51" t="str">
        <f t="shared" si="22"/>
        <v/>
      </c>
      <c r="Q235" s="52" t="str">
        <f t="shared" si="23"/>
        <v/>
      </c>
      <c r="R235" s="52" t="str">
        <f t="shared" si="24"/>
        <v/>
      </c>
      <c r="S235" s="51" t="str">
        <f t="shared" si="25"/>
        <v/>
      </c>
      <c r="T235" t="str">
        <f t="shared" si="26"/>
        <v/>
      </c>
      <c r="U235" s="52" t="str">
        <f t="shared" si="27"/>
        <v/>
      </c>
    </row>
    <row r="236" spans="2:21" x14ac:dyDescent="0.25">
      <c r="B236">
        <v>243</v>
      </c>
      <c r="E236" t="s">
        <v>1518</v>
      </c>
      <c r="F236" t="s">
        <v>1519</v>
      </c>
      <c r="G236">
        <v>4</v>
      </c>
      <c r="H236" s="48">
        <v>0</v>
      </c>
      <c r="I236" s="50">
        <v>0</v>
      </c>
      <c r="J236" s="50">
        <v>46230</v>
      </c>
      <c r="K236" s="54">
        <v>46233</v>
      </c>
      <c r="L236" s="54">
        <v>46230</v>
      </c>
      <c r="M236" s="54">
        <v>46233</v>
      </c>
      <c r="O236" s="51" t="str">
        <f t="shared" si="21"/>
        <v/>
      </c>
      <c r="P236" s="51" t="str">
        <f t="shared" si="22"/>
        <v/>
      </c>
      <c r="Q236" s="52" t="str">
        <f t="shared" si="23"/>
        <v/>
      </c>
      <c r="R236" s="52" t="str">
        <f t="shared" si="24"/>
        <v/>
      </c>
      <c r="S236" s="51" t="str">
        <f t="shared" si="25"/>
        <v>SIM</v>
      </c>
      <c r="T236">
        <f t="shared" si="26"/>
        <v>0</v>
      </c>
      <c r="U236" s="52">
        <f t="shared" si="27"/>
        <v>46233</v>
      </c>
    </row>
    <row r="237" spans="2:21" x14ac:dyDescent="0.25">
      <c r="B237">
        <v>244</v>
      </c>
      <c r="E237" t="s">
        <v>1520</v>
      </c>
      <c r="F237" t="s">
        <v>1519</v>
      </c>
      <c r="G237">
        <v>6</v>
      </c>
      <c r="H237" s="48">
        <v>0</v>
      </c>
      <c r="I237" s="50">
        <v>0</v>
      </c>
      <c r="J237" s="50">
        <v>46233</v>
      </c>
      <c r="K237" s="54">
        <v>46238</v>
      </c>
      <c r="L237" s="54">
        <v>46233</v>
      </c>
      <c r="M237" s="54">
        <v>46238</v>
      </c>
      <c r="O237" s="51" t="str">
        <f t="shared" si="21"/>
        <v/>
      </c>
      <c r="P237" s="51" t="str">
        <f t="shared" si="22"/>
        <v/>
      </c>
      <c r="Q237" s="52" t="str">
        <f t="shared" si="23"/>
        <v/>
      </c>
      <c r="R237" s="52" t="str">
        <f t="shared" si="24"/>
        <v/>
      </c>
      <c r="S237" s="51" t="str">
        <f t="shared" si="25"/>
        <v/>
      </c>
      <c r="T237" t="str">
        <f t="shared" si="26"/>
        <v/>
      </c>
      <c r="U237" s="52" t="str">
        <f t="shared" si="27"/>
        <v/>
      </c>
    </row>
    <row r="238" spans="2:21" x14ac:dyDescent="0.25">
      <c r="B238">
        <v>245</v>
      </c>
      <c r="E238" t="s">
        <v>1613</v>
      </c>
      <c r="F238" t="s">
        <v>1559</v>
      </c>
      <c r="G238">
        <v>19</v>
      </c>
      <c r="H238" s="48">
        <v>0</v>
      </c>
      <c r="I238" s="50">
        <v>0</v>
      </c>
      <c r="J238" s="50">
        <v>46220</v>
      </c>
      <c r="K238" s="54">
        <v>46238</v>
      </c>
      <c r="L238" s="54">
        <v>46220</v>
      </c>
      <c r="M238" s="54">
        <v>46238</v>
      </c>
      <c r="O238" s="51" t="str">
        <f t="shared" si="21"/>
        <v/>
      </c>
      <c r="P238" s="51" t="str">
        <f t="shared" si="22"/>
        <v/>
      </c>
      <c r="Q238" s="52" t="str">
        <f t="shared" si="23"/>
        <v/>
      </c>
      <c r="R238" s="52" t="str">
        <f t="shared" si="24"/>
        <v/>
      </c>
      <c r="S238" s="51" t="str">
        <f t="shared" si="25"/>
        <v/>
      </c>
      <c r="T238" t="str">
        <f t="shared" si="26"/>
        <v/>
      </c>
      <c r="U238" s="52" t="str">
        <f t="shared" si="27"/>
        <v/>
      </c>
    </row>
    <row r="239" spans="2:21" x14ac:dyDescent="0.25">
      <c r="B239">
        <v>246</v>
      </c>
      <c r="E239" t="s">
        <v>1515</v>
      </c>
      <c r="F239" t="s">
        <v>1519</v>
      </c>
      <c r="G239">
        <v>6</v>
      </c>
      <c r="H239" s="48">
        <v>0</v>
      </c>
      <c r="I239" s="50">
        <v>0</v>
      </c>
      <c r="J239" s="50">
        <v>46220</v>
      </c>
      <c r="K239" s="54">
        <v>46225</v>
      </c>
      <c r="L239" s="54">
        <v>46220</v>
      </c>
      <c r="M239" s="54">
        <v>46225</v>
      </c>
      <c r="O239" s="51" t="str">
        <f t="shared" si="21"/>
        <v>SIM</v>
      </c>
      <c r="P239" s="51">
        <f t="shared" si="22"/>
        <v>0</v>
      </c>
      <c r="Q239" s="52">
        <f t="shared" si="23"/>
        <v>46225</v>
      </c>
      <c r="R239" s="52">
        <f t="shared" si="24"/>
        <v>46225</v>
      </c>
      <c r="S239" s="51" t="str">
        <f t="shared" si="25"/>
        <v/>
      </c>
      <c r="T239" t="str">
        <f t="shared" si="26"/>
        <v/>
      </c>
      <c r="U239" s="52" t="str">
        <f t="shared" si="27"/>
        <v/>
      </c>
    </row>
    <row r="240" spans="2:21" x14ac:dyDescent="0.25">
      <c r="B240">
        <v>247</v>
      </c>
      <c r="E240" t="s">
        <v>1517</v>
      </c>
      <c r="F240" t="s">
        <v>1519</v>
      </c>
      <c r="G240">
        <v>6</v>
      </c>
      <c r="H240" s="48">
        <v>0</v>
      </c>
      <c r="I240" s="50">
        <v>0</v>
      </c>
      <c r="J240" s="50">
        <v>46225</v>
      </c>
      <c r="K240" s="54">
        <v>46230</v>
      </c>
      <c r="L240" s="54">
        <v>46225</v>
      </c>
      <c r="M240" s="54">
        <v>46230</v>
      </c>
      <c r="O240" s="51" t="str">
        <f t="shared" si="21"/>
        <v/>
      </c>
      <c r="P240" s="51" t="str">
        <f t="shared" si="22"/>
        <v/>
      </c>
      <c r="Q240" s="52" t="str">
        <f t="shared" si="23"/>
        <v/>
      </c>
      <c r="R240" s="52" t="str">
        <f t="shared" si="24"/>
        <v/>
      </c>
      <c r="S240" s="51" t="str">
        <f t="shared" si="25"/>
        <v/>
      </c>
      <c r="T240" t="str">
        <f t="shared" si="26"/>
        <v/>
      </c>
      <c r="U240" s="52" t="str">
        <f t="shared" si="27"/>
        <v/>
      </c>
    </row>
    <row r="241" spans="2:21" x14ac:dyDescent="0.25">
      <c r="B241">
        <v>248</v>
      </c>
      <c r="E241" t="s">
        <v>1518</v>
      </c>
      <c r="F241" t="s">
        <v>1519</v>
      </c>
      <c r="G241">
        <v>4</v>
      </c>
      <c r="H241" s="48">
        <v>0</v>
      </c>
      <c r="I241" s="50">
        <v>0</v>
      </c>
      <c r="J241" s="50">
        <v>46230</v>
      </c>
      <c r="K241" s="54">
        <v>46233</v>
      </c>
      <c r="L241" s="54">
        <v>46230</v>
      </c>
      <c r="M241" s="54">
        <v>46233</v>
      </c>
      <c r="O241" s="51" t="str">
        <f t="shared" si="21"/>
        <v/>
      </c>
      <c r="P241" s="51" t="str">
        <f t="shared" si="22"/>
        <v/>
      </c>
      <c r="Q241" s="52" t="str">
        <f t="shared" si="23"/>
        <v/>
      </c>
      <c r="R241" s="52" t="str">
        <f t="shared" si="24"/>
        <v/>
      </c>
      <c r="S241" s="51" t="str">
        <f t="shared" si="25"/>
        <v>SIM</v>
      </c>
      <c r="T241">
        <f t="shared" si="26"/>
        <v>0</v>
      </c>
      <c r="U241" s="52">
        <f t="shared" si="27"/>
        <v>46233</v>
      </c>
    </row>
    <row r="242" spans="2:21" x14ac:dyDescent="0.25">
      <c r="B242">
        <v>249</v>
      </c>
      <c r="E242" t="s">
        <v>1520</v>
      </c>
      <c r="F242" t="s">
        <v>1519</v>
      </c>
      <c r="G242">
        <v>6</v>
      </c>
      <c r="H242" s="48">
        <v>0</v>
      </c>
      <c r="I242" s="50">
        <v>0</v>
      </c>
      <c r="J242" s="50">
        <v>46233</v>
      </c>
      <c r="K242" s="54">
        <v>46238</v>
      </c>
      <c r="L242" s="54">
        <v>46233</v>
      </c>
      <c r="M242" s="54">
        <v>46238</v>
      </c>
      <c r="O242" s="51" t="str">
        <f t="shared" si="21"/>
        <v/>
      </c>
      <c r="P242" s="51" t="str">
        <f t="shared" si="22"/>
        <v/>
      </c>
      <c r="Q242" s="52" t="str">
        <f t="shared" si="23"/>
        <v/>
      </c>
      <c r="R242" s="52" t="str">
        <f t="shared" si="24"/>
        <v/>
      </c>
      <c r="S242" s="51" t="str">
        <f t="shared" si="25"/>
        <v/>
      </c>
      <c r="T242" t="str">
        <f t="shared" si="26"/>
        <v/>
      </c>
      <c r="U242" s="52" t="str">
        <f t="shared" si="27"/>
        <v/>
      </c>
    </row>
    <row r="243" spans="2:21" x14ac:dyDescent="0.25">
      <c r="B243">
        <v>250</v>
      </c>
      <c r="E243" t="s">
        <v>1466</v>
      </c>
      <c r="F243" t="s">
        <v>1467</v>
      </c>
      <c r="G243">
        <v>42</v>
      </c>
      <c r="H243" s="48">
        <v>0</v>
      </c>
      <c r="I243" s="50">
        <v>0.46429999999999999</v>
      </c>
      <c r="J243" s="50">
        <v>46218</v>
      </c>
      <c r="K243" s="54">
        <v>46251</v>
      </c>
      <c r="L243" s="54">
        <v>46210</v>
      </c>
      <c r="M243" s="54">
        <v>46251</v>
      </c>
      <c r="O243" s="51" t="str">
        <f t="shared" si="21"/>
        <v/>
      </c>
      <c r="P243" s="51" t="str">
        <f t="shared" si="22"/>
        <v/>
      </c>
      <c r="Q243" s="52" t="str">
        <f t="shared" si="23"/>
        <v/>
      </c>
      <c r="R243" s="52" t="str">
        <f t="shared" si="24"/>
        <v/>
      </c>
      <c r="S243" s="51" t="str">
        <f t="shared" si="25"/>
        <v/>
      </c>
      <c r="T243" t="str">
        <f t="shared" si="26"/>
        <v/>
      </c>
      <c r="U243" s="52" t="str">
        <f t="shared" si="27"/>
        <v/>
      </c>
    </row>
    <row r="244" spans="2:21" x14ac:dyDescent="0.25">
      <c r="B244">
        <v>251</v>
      </c>
      <c r="E244" t="s">
        <v>1614</v>
      </c>
      <c r="F244" t="s">
        <v>1467</v>
      </c>
      <c r="G244">
        <v>42</v>
      </c>
      <c r="H244" s="48">
        <v>0</v>
      </c>
      <c r="I244" s="50">
        <v>0.46429999999999999</v>
      </c>
      <c r="J244" s="50">
        <v>46218</v>
      </c>
      <c r="K244" s="54">
        <v>46251</v>
      </c>
      <c r="L244" s="54">
        <v>46210</v>
      </c>
      <c r="M244" s="54">
        <v>46251</v>
      </c>
      <c r="O244" s="51" t="str">
        <f t="shared" si="21"/>
        <v/>
      </c>
      <c r="P244" s="51" t="str">
        <f t="shared" si="22"/>
        <v/>
      </c>
      <c r="Q244" s="52" t="str">
        <f t="shared" si="23"/>
        <v/>
      </c>
      <c r="R244" s="52" t="str">
        <f t="shared" si="24"/>
        <v/>
      </c>
      <c r="S244" s="51" t="str">
        <f t="shared" si="25"/>
        <v/>
      </c>
      <c r="T244" t="str">
        <f t="shared" si="26"/>
        <v/>
      </c>
      <c r="U244" s="52" t="str">
        <f t="shared" si="27"/>
        <v/>
      </c>
    </row>
    <row r="245" spans="2:21" x14ac:dyDescent="0.25">
      <c r="B245">
        <v>252</v>
      </c>
      <c r="E245" t="s">
        <v>1615</v>
      </c>
      <c r="F245" t="s">
        <v>1467</v>
      </c>
      <c r="G245">
        <v>42</v>
      </c>
      <c r="H245" s="48">
        <v>0</v>
      </c>
      <c r="I245" s="50">
        <v>0.46429999999999999</v>
      </c>
      <c r="J245" s="50">
        <v>46218</v>
      </c>
      <c r="K245" s="54">
        <v>46251</v>
      </c>
      <c r="L245" s="54">
        <v>46210</v>
      </c>
      <c r="M245" s="54">
        <v>46251</v>
      </c>
      <c r="O245" s="51" t="str">
        <f t="shared" si="21"/>
        <v/>
      </c>
      <c r="P245" s="51" t="str">
        <f t="shared" si="22"/>
        <v/>
      </c>
      <c r="Q245" s="52" t="str">
        <f t="shared" si="23"/>
        <v/>
      </c>
      <c r="R245" s="52" t="str">
        <f t="shared" si="24"/>
        <v/>
      </c>
      <c r="S245" s="51" t="str">
        <f t="shared" si="25"/>
        <v/>
      </c>
      <c r="T245" t="str">
        <f t="shared" si="26"/>
        <v/>
      </c>
      <c r="U245" s="52" t="str">
        <f t="shared" si="27"/>
        <v/>
      </c>
    </row>
    <row r="246" spans="2:21" x14ac:dyDescent="0.25">
      <c r="B246">
        <v>253</v>
      </c>
      <c r="E246" t="s">
        <v>1616</v>
      </c>
      <c r="F246" t="s">
        <v>1467</v>
      </c>
      <c r="G246">
        <v>42</v>
      </c>
      <c r="H246" s="48">
        <v>0</v>
      </c>
      <c r="I246" s="50">
        <v>0.46429999999999999</v>
      </c>
      <c r="J246" s="50">
        <v>46218</v>
      </c>
      <c r="K246" s="54">
        <v>46251</v>
      </c>
      <c r="L246" s="54">
        <v>46210</v>
      </c>
      <c r="M246" s="54">
        <v>46251</v>
      </c>
      <c r="O246" s="51" t="str">
        <f t="shared" si="21"/>
        <v/>
      </c>
      <c r="P246" s="51" t="str">
        <f t="shared" si="22"/>
        <v/>
      </c>
      <c r="Q246" s="52" t="str">
        <f t="shared" si="23"/>
        <v/>
      </c>
      <c r="R246" s="52" t="str">
        <f t="shared" si="24"/>
        <v/>
      </c>
      <c r="S246" s="51" t="str">
        <f t="shared" si="25"/>
        <v/>
      </c>
      <c r="T246" t="str">
        <f t="shared" si="26"/>
        <v/>
      </c>
      <c r="U246" s="52" t="str">
        <f t="shared" si="27"/>
        <v/>
      </c>
    </row>
    <row r="247" spans="2:21" x14ac:dyDescent="0.25">
      <c r="B247">
        <v>254</v>
      </c>
      <c r="E247" t="s">
        <v>1555</v>
      </c>
      <c r="F247" t="s">
        <v>1525</v>
      </c>
      <c r="G247">
        <v>7</v>
      </c>
      <c r="H247" s="48">
        <v>0</v>
      </c>
      <c r="I247" s="50">
        <v>1</v>
      </c>
      <c r="J247" s="50">
        <v>46223</v>
      </c>
      <c r="K247" s="54">
        <v>46244</v>
      </c>
      <c r="L247" s="54">
        <v>46210</v>
      </c>
      <c r="M247" s="54">
        <v>46216</v>
      </c>
      <c r="O247" s="51" t="str">
        <f t="shared" si="21"/>
        <v/>
      </c>
      <c r="P247" s="51" t="str">
        <f t="shared" si="22"/>
        <v/>
      </c>
      <c r="Q247" s="52" t="str">
        <f t="shared" si="23"/>
        <v/>
      </c>
      <c r="R247" s="52" t="str">
        <f t="shared" si="24"/>
        <v/>
      </c>
      <c r="S247" s="51" t="str">
        <f t="shared" si="25"/>
        <v/>
      </c>
      <c r="T247" t="str">
        <f t="shared" si="26"/>
        <v/>
      </c>
      <c r="U247" s="52" t="str">
        <f t="shared" si="27"/>
        <v/>
      </c>
    </row>
    <row r="248" spans="2:21" x14ac:dyDescent="0.25">
      <c r="B248">
        <v>255</v>
      </c>
      <c r="E248" t="s">
        <v>1572</v>
      </c>
      <c r="F248" t="s">
        <v>1525</v>
      </c>
      <c r="G248">
        <v>7</v>
      </c>
      <c r="H248" s="48">
        <v>0</v>
      </c>
      <c r="I248" s="50">
        <v>1</v>
      </c>
      <c r="J248" s="50">
        <v>46238</v>
      </c>
      <c r="K248" s="54">
        <v>46244</v>
      </c>
      <c r="L248" s="54">
        <v>46210</v>
      </c>
      <c r="M248" s="54">
        <v>46216</v>
      </c>
      <c r="O248" s="51" t="str">
        <f t="shared" si="21"/>
        <v/>
      </c>
      <c r="P248" s="51" t="str">
        <f t="shared" si="22"/>
        <v/>
      </c>
      <c r="Q248" s="52" t="str">
        <f t="shared" si="23"/>
        <v/>
      </c>
      <c r="R248" s="52" t="str">
        <f t="shared" si="24"/>
        <v/>
      </c>
      <c r="S248" s="51" t="str">
        <f t="shared" si="25"/>
        <v/>
      </c>
      <c r="T248" t="str">
        <f t="shared" si="26"/>
        <v/>
      </c>
      <c r="U248" s="52" t="str">
        <f t="shared" si="27"/>
        <v/>
      </c>
    </row>
    <row r="249" spans="2:21" x14ac:dyDescent="0.25">
      <c r="B249">
        <v>256</v>
      </c>
      <c r="E249" t="s">
        <v>1558</v>
      </c>
      <c r="F249" t="s">
        <v>1525</v>
      </c>
      <c r="G249">
        <v>7</v>
      </c>
      <c r="H249" s="48">
        <v>0</v>
      </c>
      <c r="I249" s="50">
        <v>1</v>
      </c>
      <c r="J249" s="50">
        <v>46223</v>
      </c>
      <c r="K249" s="54">
        <v>46227</v>
      </c>
      <c r="L249" s="54">
        <v>46210</v>
      </c>
      <c r="M249" s="54">
        <v>46216</v>
      </c>
      <c r="O249" s="51" t="str">
        <f t="shared" si="21"/>
        <v/>
      </c>
      <c r="P249" s="51" t="str">
        <f t="shared" si="22"/>
        <v/>
      </c>
      <c r="Q249" s="52" t="str">
        <f t="shared" si="23"/>
        <v/>
      </c>
      <c r="R249" s="52" t="str">
        <f t="shared" si="24"/>
        <v/>
      </c>
      <c r="S249" s="51" t="str">
        <f t="shared" si="25"/>
        <v/>
      </c>
      <c r="T249" t="str">
        <f t="shared" si="26"/>
        <v/>
      </c>
      <c r="U249" s="52" t="str">
        <f t="shared" si="27"/>
        <v/>
      </c>
    </row>
    <row r="250" spans="2:21" x14ac:dyDescent="0.25">
      <c r="B250">
        <v>257</v>
      </c>
      <c r="E250" t="s">
        <v>1617</v>
      </c>
      <c r="F250" t="s">
        <v>1564</v>
      </c>
      <c r="G250">
        <v>33</v>
      </c>
      <c r="H250" s="48">
        <v>0</v>
      </c>
      <c r="I250" s="50">
        <v>0</v>
      </c>
      <c r="J250" s="50">
        <v>46218</v>
      </c>
      <c r="K250" s="54">
        <v>46251</v>
      </c>
      <c r="L250" s="54">
        <v>46219</v>
      </c>
      <c r="M250" s="54">
        <v>46251</v>
      </c>
      <c r="O250" s="51" t="str">
        <f t="shared" si="21"/>
        <v/>
      </c>
      <c r="P250" s="51" t="str">
        <f t="shared" si="22"/>
        <v/>
      </c>
      <c r="Q250" s="52" t="str">
        <f t="shared" si="23"/>
        <v/>
      </c>
      <c r="R250" s="52" t="str">
        <f t="shared" si="24"/>
        <v/>
      </c>
      <c r="S250" s="51" t="str">
        <f t="shared" si="25"/>
        <v/>
      </c>
      <c r="T250" t="str">
        <f t="shared" si="26"/>
        <v/>
      </c>
      <c r="U250" s="52" t="str">
        <f t="shared" si="27"/>
        <v/>
      </c>
    </row>
    <row r="251" spans="2:21" x14ac:dyDescent="0.25">
      <c r="B251">
        <v>258</v>
      </c>
      <c r="E251" t="s">
        <v>1558</v>
      </c>
      <c r="F251" t="s">
        <v>1559</v>
      </c>
      <c r="G251">
        <v>19</v>
      </c>
      <c r="H251" s="48">
        <v>0</v>
      </c>
      <c r="I251" s="50">
        <v>0</v>
      </c>
      <c r="J251" s="50">
        <v>46218</v>
      </c>
      <c r="K251" s="54">
        <v>46234</v>
      </c>
      <c r="L251" s="54">
        <v>46219</v>
      </c>
      <c r="M251" s="54">
        <v>46237</v>
      </c>
      <c r="O251" s="51" t="str">
        <f t="shared" si="21"/>
        <v/>
      </c>
      <c r="P251" s="51" t="str">
        <f t="shared" si="22"/>
        <v/>
      </c>
      <c r="Q251" s="52" t="str">
        <f t="shared" si="23"/>
        <v/>
      </c>
      <c r="R251" s="52" t="str">
        <f t="shared" si="24"/>
        <v/>
      </c>
      <c r="S251" s="51" t="str">
        <f t="shared" si="25"/>
        <v/>
      </c>
      <c r="T251" t="str">
        <f t="shared" si="26"/>
        <v/>
      </c>
      <c r="U251" s="52" t="str">
        <f t="shared" si="27"/>
        <v/>
      </c>
    </row>
    <row r="252" spans="2:21" x14ac:dyDescent="0.25">
      <c r="B252">
        <v>259</v>
      </c>
      <c r="C252" t="s">
        <v>228</v>
      </c>
      <c r="D252" t="s">
        <v>1190</v>
      </c>
      <c r="E252" t="s">
        <v>1618</v>
      </c>
      <c r="F252" t="s">
        <v>1559</v>
      </c>
      <c r="G252">
        <v>19</v>
      </c>
      <c r="H252" s="48">
        <v>0</v>
      </c>
      <c r="I252" s="50">
        <v>0</v>
      </c>
      <c r="J252" s="50">
        <v>46218</v>
      </c>
      <c r="K252" s="54">
        <v>46234</v>
      </c>
      <c r="L252" s="54">
        <v>46219</v>
      </c>
      <c r="M252" s="54">
        <v>46237</v>
      </c>
      <c r="O252" s="51" t="str">
        <f t="shared" si="21"/>
        <v/>
      </c>
      <c r="P252" s="51" t="str">
        <f t="shared" si="22"/>
        <v/>
      </c>
      <c r="Q252" s="52" t="str">
        <f t="shared" si="23"/>
        <v/>
      </c>
      <c r="R252" s="52" t="str">
        <f t="shared" si="24"/>
        <v/>
      </c>
      <c r="S252" s="51" t="str">
        <f t="shared" si="25"/>
        <v/>
      </c>
      <c r="T252" t="str">
        <f t="shared" si="26"/>
        <v/>
      </c>
      <c r="U252" s="52" t="str">
        <f t="shared" si="27"/>
        <v/>
      </c>
    </row>
    <row r="253" spans="2:21" x14ac:dyDescent="0.25">
      <c r="B253">
        <v>260</v>
      </c>
      <c r="C253" t="s">
        <v>228</v>
      </c>
      <c r="D253" t="s">
        <v>1190</v>
      </c>
      <c r="E253" t="s">
        <v>1515</v>
      </c>
      <c r="F253" t="s">
        <v>1519</v>
      </c>
      <c r="G253">
        <v>6</v>
      </c>
      <c r="H253" s="48">
        <v>0</v>
      </c>
      <c r="I253" s="50">
        <v>0</v>
      </c>
      <c r="J253" s="50">
        <v>46218</v>
      </c>
      <c r="K253" s="54">
        <v>46223</v>
      </c>
      <c r="L253" s="54">
        <v>46219</v>
      </c>
      <c r="M253" s="54">
        <v>46224</v>
      </c>
      <c r="O253" s="51" t="str">
        <f t="shared" si="21"/>
        <v>SIM</v>
      </c>
      <c r="P253" s="51" t="str">
        <f t="shared" si="22"/>
        <v>BL1132-0001-ME-ETE-2001</v>
      </c>
      <c r="Q253" s="52">
        <f t="shared" si="23"/>
        <v>46224</v>
      </c>
      <c r="R253" s="52">
        <f t="shared" si="24"/>
        <v>46223</v>
      </c>
      <c r="S253" s="51" t="str">
        <f t="shared" si="25"/>
        <v/>
      </c>
      <c r="T253" t="str">
        <f t="shared" si="26"/>
        <v/>
      </c>
      <c r="U253" s="52" t="str">
        <f t="shared" si="27"/>
        <v/>
      </c>
    </row>
    <row r="254" spans="2:21" x14ac:dyDescent="0.25">
      <c r="B254">
        <v>261</v>
      </c>
      <c r="C254" t="s">
        <v>228</v>
      </c>
      <c r="D254" t="s">
        <v>1190</v>
      </c>
      <c r="E254" t="s">
        <v>1517</v>
      </c>
      <c r="F254" t="s">
        <v>1519</v>
      </c>
      <c r="G254">
        <v>4</v>
      </c>
      <c r="H254" s="48">
        <v>0</v>
      </c>
      <c r="I254" s="50">
        <v>0</v>
      </c>
      <c r="J254" s="50">
        <v>46223</v>
      </c>
      <c r="K254" s="54">
        <v>46226</v>
      </c>
      <c r="L254" s="54">
        <v>46224</v>
      </c>
      <c r="M254" s="54">
        <v>46227</v>
      </c>
      <c r="O254" s="51" t="str">
        <f t="shared" si="21"/>
        <v/>
      </c>
      <c r="P254" s="51" t="str">
        <f t="shared" si="22"/>
        <v/>
      </c>
      <c r="Q254" s="52" t="str">
        <f t="shared" si="23"/>
        <v/>
      </c>
      <c r="R254" s="52" t="str">
        <f t="shared" si="24"/>
        <v/>
      </c>
      <c r="S254" s="51" t="str">
        <f t="shared" si="25"/>
        <v/>
      </c>
      <c r="T254" t="str">
        <f t="shared" si="26"/>
        <v/>
      </c>
      <c r="U254" s="52" t="str">
        <f t="shared" si="27"/>
        <v/>
      </c>
    </row>
    <row r="255" spans="2:21" x14ac:dyDescent="0.25">
      <c r="B255">
        <v>262</v>
      </c>
      <c r="C255" t="s">
        <v>228</v>
      </c>
      <c r="D255" t="s">
        <v>1190</v>
      </c>
      <c r="E255" t="s">
        <v>1518</v>
      </c>
      <c r="F255" t="s">
        <v>1519</v>
      </c>
      <c r="G255">
        <v>6</v>
      </c>
      <c r="H255" s="48">
        <v>0</v>
      </c>
      <c r="I255" s="50">
        <v>0</v>
      </c>
      <c r="J255" s="50">
        <v>46226</v>
      </c>
      <c r="K255" s="54">
        <v>46231</v>
      </c>
      <c r="L255" s="54">
        <v>46227</v>
      </c>
      <c r="M255" s="54">
        <v>46232</v>
      </c>
      <c r="O255" s="51" t="str">
        <f t="shared" si="21"/>
        <v/>
      </c>
      <c r="P255" s="51" t="str">
        <f t="shared" si="22"/>
        <v/>
      </c>
      <c r="Q255" s="52" t="str">
        <f t="shared" si="23"/>
        <v/>
      </c>
      <c r="R255" s="52" t="str">
        <f t="shared" si="24"/>
        <v/>
      </c>
      <c r="S255" s="51" t="str">
        <f t="shared" si="25"/>
        <v>SIM</v>
      </c>
      <c r="T255" t="str">
        <f t="shared" si="26"/>
        <v>BL1132-0001-ME-ETE-2001</v>
      </c>
      <c r="U255" s="52">
        <f t="shared" si="27"/>
        <v>46232</v>
      </c>
    </row>
    <row r="256" spans="2:21" x14ac:dyDescent="0.25">
      <c r="B256">
        <v>263</v>
      </c>
      <c r="C256" t="s">
        <v>228</v>
      </c>
      <c r="D256" t="s">
        <v>1190</v>
      </c>
      <c r="E256" t="s">
        <v>1520</v>
      </c>
      <c r="F256" t="s">
        <v>1519</v>
      </c>
      <c r="G256">
        <v>6</v>
      </c>
      <c r="H256" s="48">
        <v>0</v>
      </c>
      <c r="I256" s="50">
        <v>0</v>
      </c>
      <c r="J256" s="50">
        <v>46231</v>
      </c>
      <c r="K256" s="54">
        <v>46234</v>
      </c>
      <c r="L256" s="54">
        <v>46232</v>
      </c>
      <c r="M256" s="54">
        <v>46237</v>
      </c>
      <c r="O256" s="51" t="str">
        <f t="shared" si="21"/>
        <v/>
      </c>
      <c r="P256" s="51" t="str">
        <f t="shared" si="22"/>
        <v/>
      </c>
      <c r="Q256" s="52" t="str">
        <f t="shared" si="23"/>
        <v/>
      </c>
      <c r="R256" s="52" t="str">
        <f t="shared" si="24"/>
        <v/>
      </c>
      <c r="S256" s="51" t="str">
        <f t="shared" si="25"/>
        <v/>
      </c>
      <c r="T256" t="str">
        <f t="shared" si="26"/>
        <v/>
      </c>
      <c r="U256" s="52" t="str">
        <f t="shared" si="27"/>
        <v/>
      </c>
    </row>
    <row r="257" spans="2:21" x14ac:dyDescent="0.25">
      <c r="B257">
        <v>264</v>
      </c>
      <c r="C257" t="s">
        <v>237</v>
      </c>
      <c r="D257" t="s">
        <v>1219</v>
      </c>
      <c r="E257" t="s">
        <v>1619</v>
      </c>
      <c r="F257" t="s">
        <v>1559</v>
      </c>
      <c r="G257">
        <v>19</v>
      </c>
      <c r="H257" s="48">
        <v>0</v>
      </c>
      <c r="I257" s="50">
        <v>0</v>
      </c>
      <c r="J257" s="50">
        <v>46218</v>
      </c>
      <c r="K257" s="54">
        <v>46234</v>
      </c>
      <c r="L257" s="54">
        <v>46219</v>
      </c>
      <c r="M257" s="54">
        <v>46237</v>
      </c>
      <c r="O257" s="51" t="str">
        <f t="shared" si="21"/>
        <v/>
      </c>
      <c r="P257" s="51" t="str">
        <f t="shared" si="22"/>
        <v/>
      </c>
      <c r="Q257" s="52" t="str">
        <f t="shared" si="23"/>
        <v/>
      </c>
      <c r="R257" s="52" t="str">
        <f t="shared" si="24"/>
        <v/>
      </c>
      <c r="S257" s="51" t="str">
        <f t="shared" si="25"/>
        <v/>
      </c>
      <c r="T257" t="str">
        <f t="shared" si="26"/>
        <v/>
      </c>
      <c r="U257" s="52" t="str">
        <f t="shared" si="27"/>
        <v/>
      </c>
    </row>
    <row r="258" spans="2:21" x14ac:dyDescent="0.25">
      <c r="B258">
        <v>265</v>
      </c>
      <c r="C258" t="s">
        <v>237</v>
      </c>
      <c r="D258" t="s">
        <v>1219</v>
      </c>
      <c r="E258" t="s">
        <v>1515</v>
      </c>
      <c r="F258" t="s">
        <v>1519</v>
      </c>
      <c r="G258">
        <v>6</v>
      </c>
      <c r="H258" s="48">
        <v>0</v>
      </c>
      <c r="I258" s="50">
        <v>0</v>
      </c>
      <c r="J258" s="50">
        <v>46218</v>
      </c>
      <c r="K258" s="54">
        <v>46223</v>
      </c>
      <c r="L258" s="54">
        <v>46219</v>
      </c>
      <c r="M258" s="54">
        <v>46224</v>
      </c>
      <c r="O258" s="51" t="str">
        <f t="shared" si="21"/>
        <v>SIM</v>
      </c>
      <c r="P258" s="51" t="str">
        <f t="shared" si="22"/>
        <v>BL1132-0001-ME-FDA-2005</v>
      </c>
      <c r="Q258" s="52">
        <f t="shared" si="23"/>
        <v>46224</v>
      </c>
      <c r="R258" s="52">
        <f t="shared" si="24"/>
        <v>46223</v>
      </c>
      <c r="S258" s="51" t="str">
        <f t="shared" si="25"/>
        <v/>
      </c>
      <c r="T258" t="str">
        <f t="shared" si="26"/>
        <v/>
      </c>
      <c r="U258" s="52" t="str">
        <f t="shared" si="27"/>
        <v/>
      </c>
    </row>
    <row r="259" spans="2:21" x14ac:dyDescent="0.25">
      <c r="B259">
        <v>266</v>
      </c>
      <c r="C259" t="s">
        <v>237</v>
      </c>
      <c r="D259" t="s">
        <v>1219</v>
      </c>
      <c r="E259" t="s">
        <v>1517</v>
      </c>
      <c r="F259" t="s">
        <v>1519</v>
      </c>
      <c r="G259">
        <v>4</v>
      </c>
      <c r="H259" s="48">
        <v>0</v>
      </c>
      <c r="I259" s="50">
        <v>0</v>
      </c>
      <c r="J259" s="50">
        <v>46223</v>
      </c>
      <c r="K259" s="54">
        <v>46226</v>
      </c>
      <c r="L259" s="54">
        <v>46224</v>
      </c>
      <c r="M259" s="54">
        <v>46227</v>
      </c>
      <c r="O259" s="51" t="str">
        <f t="shared" ref="O259:O322" si="28">IF(OR(E259 = "                           1 - Emissão Inicial",E259="                  1 - Emissão após Design Review 1",E259 = "                  1 - Emissão para conhecimento",E259 = "                  1 - Emissão Final",E259 = "         Lista de Documentos",E259 = "         Elaboração do cronograma",E259 = "         Norma de Coordenação"), "SIM", "")</f>
        <v/>
      </c>
      <c r="P259" s="51" t="str">
        <f t="shared" ref="P259:P322" si="29">IF(O259="SIM",C259,"")</f>
        <v/>
      </c>
      <c r="Q259" s="52" t="str">
        <f t="shared" ref="Q259:Q322" si="30">IF(O259="SIM",M259,"")</f>
        <v/>
      </c>
      <c r="R259" s="52" t="str">
        <f t="shared" ref="R259:R322" si="31">IF(O259="SIM",K259,"")</f>
        <v/>
      </c>
      <c r="S259" s="51" t="str">
        <f t="shared" ref="S259:S322" si="32">IF(OR(E259 = "                           3 - Atendimento de Comentários",E259="                  1 - Emissão após Design Review 1",E259 = "                  1 - Emissão para conhecimento",E259 = "                  1 - Emissão Final",E259 = "         Lista de Documentos",E259 = "         Elaboração do cronograma",E259 = "         Norma de Coordenação"), "SIM", "")</f>
        <v/>
      </c>
      <c r="T259" t="str">
        <f t="shared" ref="T259:T322" si="33">IF(S259="SIM",C259,"")</f>
        <v/>
      </c>
      <c r="U259" s="52" t="str">
        <f t="shared" ref="U259:U322" si="34">IF(S259="SIM",M259,"")</f>
        <v/>
      </c>
    </row>
    <row r="260" spans="2:21" x14ac:dyDescent="0.25">
      <c r="B260">
        <v>267</v>
      </c>
      <c r="C260" t="s">
        <v>237</v>
      </c>
      <c r="D260" t="s">
        <v>1219</v>
      </c>
      <c r="E260" t="s">
        <v>1518</v>
      </c>
      <c r="F260" t="s">
        <v>1519</v>
      </c>
      <c r="G260">
        <v>6</v>
      </c>
      <c r="H260" s="48">
        <v>0</v>
      </c>
      <c r="I260" s="50">
        <v>0</v>
      </c>
      <c r="J260" s="50">
        <v>46226</v>
      </c>
      <c r="K260" s="54">
        <v>46231</v>
      </c>
      <c r="L260" s="54">
        <v>46227</v>
      </c>
      <c r="M260" s="54">
        <v>46232</v>
      </c>
      <c r="O260" s="51" t="str">
        <f t="shared" si="28"/>
        <v/>
      </c>
      <c r="P260" s="51" t="str">
        <f t="shared" si="29"/>
        <v/>
      </c>
      <c r="Q260" s="52" t="str">
        <f t="shared" si="30"/>
        <v/>
      </c>
      <c r="R260" s="52" t="str">
        <f t="shared" si="31"/>
        <v/>
      </c>
      <c r="S260" s="51" t="str">
        <f t="shared" si="32"/>
        <v>SIM</v>
      </c>
      <c r="T260" t="str">
        <f t="shared" si="33"/>
        <v>BL1132-0001-ME-FDA-2005</v>
      </c>
      <c r="U260" s="52">
        <f t="shared" si="34"/>
        <v>46232</v>
      </c>
    </row>
    <row r="261" spans="2:21" x14ac:dyDescent="0.25">
      <c r="B261">
        <v>268</v>
      </c>
      <c r="C261" t="s">
        <v>237</v>
      </c>
      <c r="D261" t="s">
        <v>1219</v>
      </c>
      <c r="E261" t="s">
        <v>1520</v>
      </c>
      <c r="F261" t="s">
        <v>1519</v>
      </c>
      <c r="G261">
        <v>6</v>
      </c>
      <c r="H261" s="48">
        <v>0</v>
      </c>
      <c r="I261" s="50">
        <v>0</v>
      </c>
      <c r="J261" s="50">
        <v>46231</v>
      </c>
      <c r="K261" s="54">
        <v>46234</v>
      </c>
      <c r="L261" s="54">
        <v>46232</v>
      </c>
      <c r="M261" s="54">
        <v>46237</v>
      </c>
      <c r="O261" s="51" t="str">
        <f t="shared" si="28"/>
        <v/>
      </c>
      <c r="P261" s="51" t="str">
        <f t="shared" si="29"/>
        <v/>
      </c>
      <c r="Q261" s="52" t="str">
        <f t="shared" si="30"/>
        <v/>
      </c>
      <c r="R261" s="52" t="str">
        <f t="shared" si="31"/>
        <v/>
      </c>
      <c r="S261" s="51" t="str">
        <f t="shared" si="32"/>
        <v/>
      </c>
      <c r="T261" t="str">
        <f t="shared" si="33"/>
        <v/>
      </c>
      <c r="U261" s="52" t="str">
        <f t="shared" si="34"/>
        <v/>
      </c>
    </row>
    <row r="262" spans="2:21" x14ac:dyDescent="0.25">
      <c r="B262">
        <v>269</v>
      </c>
      <c r="E262" t="s">
        <v>1572</v>
      </c>
      <c r="F262" t="s">
        <v>1535</v>
      </c>
      <c r="G262">
        <v>20</v>
      </c>
      <c r="H262" s="48">
        <v>0</v>
      </c>
      <c r="I262" s="50">
        <v>0</v>
      </c>
      <c r="J262" s="50">
        <v>46232</v>
      </c>
      <c r="K262" s="54">
        <v>46251</v>
      </c>
      <c r="L262" s="54">
        <v>46232</v>
      </c>
      <c r="M262" s="54">
        <v>46251</v>
      </c>
      <c r="O262" s="51" t="str">
        <f t="shared" si="28"/>
        <v/>
      </c>
      <c r="P262" s="51" t="str">
        <f t="shared" si="29"/>
        <v/>
      </c>
      <c r="Q262" s="52" t="str">
        <f t="shared" si="30"/>
        <v/>
      </c>
      <c r="R262" s="52" t="str">
        <f t="shared" si="31"/>
        <v/>
      </c>
      <c r="S262" s="51" t="str">
        <f t="shared" si="32"/>
        <v/>
      </c>
      <c r="T262" t="str">
        <f t="shared" si="33"/>
        <v/>
      </c>
      <c r="U262" s="52" t="str">
        <f t="shared" si="34"/>
        <v/>
      </c>
    </row>
    <row r="263" spans="2:21" x14ac:dyDescent="0.25">
      <c r="B263">
        <v>270</v>
      </c>
      <c r="C263" t="s">
        <v>94</v>
      </c>
      <c r="D263" t="s">
        <v>678</v>
      </c>
      <c r="E263" t="s">
        <v>1620</v>
      </c>
      <c r="F263" t="s">
        <v>1535</v>
      </c>
      <c r="G263">
        <v>20</v>
      </c>
      <c r="H263" s="48">
        <v>0</v>
      </c>
      <c r="I263" s="50">
        <v>0</v>
      </c>
      <c r="J263" s="50">
        <v>46232</v>
      </c>
      <c r="K263" s="54">
        <v>46251</v>
      </c>
      <c r="L263" s="54">
        <v>46232</v>
      </c>
      <c r="M263" s="54">
        <v>46251</v>
      </c>
      <c r="O263" s="51" t="str">
        <f t="shared" si="28"/>
        <v/>
      </c>
      <c r="P263" s="51" t="str">
        <f t="shared" si="29"/>
        <v/>
      </c>
      <c r="Q263" s="52" t="str">
        <f t="shared" si="30"/>
        <v/>
      </c>
      <c r="R263" s="52" t="str">
        <f t="shared" si="31"/>
        <v/>
      </c>
      <c r="S263" s="51" t="str">
        <f t="shared" si="32"/>
        <v/>
      </c>
      <c r="T263" t="str">
        <f t="shared" si="33"/>
        <v/>
      </c>
      <c r="U263" s="52" t="str">
        <f t="shared" si="34"/>
        <v/>
      </c>
    </row>
    <row r="264" spans="2:21" x14ac:dyDescent="0.25">
      <c r="B264">
        <v>271</v>
      </c>
      <c r="C264" t="s">
        <v>94</v>
      </c>
      <c r="D264" t="s">
        <v>678</v>
      </c>
      <c r="E264" t="s">
        <v>1515</v>
      </c>
      <c r="F264" t="s">
        <v>1525</v>
      </c>
      <c r="G264">
        <v>7</v>
      </c>
      <c r="H264" s="48">
        <v>0</v>
      </c>
      <c r="I264" s="50">
        <v>0</v>
      </c>
      <c r="J264" s="50">
        <v>46232</v>
      </c>
      <c r="K264" s="54">
        <v>46238</v>
      </c>
      <c r="L264" s="54">
        <v>46232</v>
      </c>
      <c r="M264" s="54">
        <v>46238</v>
      </c>
      <c r="O264" s="51" t="str">
        <f t="shared" si="28"/>
        <v>SIM</v>
      </c>
      <c r="P264" s="51" t="str">
        <f t="shared" si="29"/>
        <v>BL1132-0001-CC-MCA-2003</v>
      </c>
      <c r="Q264" s="52">
        <f t="shared" si="30"/>
        <v>46238</v>
      </c>
      <c r="R264" s="52">
        <f t="shared" si="31"/>
        <v>46238</v>
      </c>
      <c r="S264" s="51" t="str">
        <f t="shared" si="32"/>
        <v/>
      </c>
      <c r="T264" t="str">
        <f t="shared" si="33"/>
        <v/>
      </c>
      <c r="U264" s="52" t="str">
        <f t="shared" si="34"/>
        <v/>
      </c>
    </row>
    <row r="265" spans="2:21" x14ac:dyDescent="0.25">
      <c r="B265">
        <v>272</v>
      </c>
      <c r="C265" t="s">
        <v>94</v>
      </c>
      <c r="D265" t="s">
        <v>678</v>
      </c>
      <c r="E265" t="s">
        <v>1517</v>
      </c>
      <c r="F265" t="s">
        <v>1519</v>
      </c>
      <c r="G265">
        <v>4</v>
      </c>
      <c r="H265" s="48">
        <v>0</v>
      </c>
      <c r="I265" s="50">
        <v>0</v>
      </c>
      <c r="J265" s="50">
        <v>46238</v>
      </c>
      <c r="K265" s="54">
        <v>46241</v>
      </c>
      <c r="L265" s="54">
        <v>46238</v>
      </c>
      <c r="M265" s="54">
        <v>46241</v>
      </c>
      <c r="O265" s="51" t="str">
        <f t="shared" si="28"/>
        <v/>
      </c>
      <c r="P265" s="51" t="str">
        <f t="shared" si="29"/>
        <v/>
      </c>
      <c r="Q265" s="52" t="str">
        <f t="shared" si="30"/>
        <v/>
      </c>
      <c r="R265" s="52" t="str">
        <f t="shared" si="31"/>
        <v/>
      </c>
      <c r="S265" s="51" t="str">
        <f t="shared" si="32"/>
        <v/>
      </c>
      <c r="T265" t="str">
        <f t="shared" si="33"/>
        <v/>
      </c>
      <c r="U265" s="52" t="str">
        <f t="shared" si="34"/>
        <v/>
      </c>
    </row>
    <row r="266" spans="2:21" x14ac:dyDescent="0.25">
      <c r="B266">
        <v>273</v>
      </c>
      <c r="C266" t="s">
        <v>94</v>
      </c>
      <c r="D266" t="s">
        <v>678</v>
      </c>
      <c r="E266" t="s">
        <v>1518</v>
      </c>
      <c r="F266" t="s">
        <v>1519</v>
      </c>
      <c r="G266">
        <v>6</v>
      </c>
      <c r="H266" s="48">
        <v>0</v>
      </c>
      <c r="I266" s="50">
        <v>0</v>
      </c>
      <c r="J266" s="50">
        <v>46241</v>
      </c>
      <c r="K266" s="54">
        <v>46246</v>
      </c>
      <c r="L266" s="54">
        <v>46241</v>
      </c>
      <c r="M266" s="54">
        <v>46246</v>
      </c>
      <c r="O266" s="51" t="str">
        <f t="shared" si="28"/>
        <v/>
      </c>
      <c r="P266" s="51" t="str">
        <f t="shared" si="29"/>
        <v/>
      </c>
      <c r="Q266" s="52" t="str">
        <f t="shared" si="30"/>
        <v/>
      </c>
      <c r="R266" s="52" t="str">
        <f t="shared" si="31"/>
        <v/>
      </c>
      <c r="S266" s="51" t="str">
        <f t="shared" si="32"/>
        <v>SIM</v>
      </c>
      <c r="T266" t="str">
        <f t="shared" si="33"/>
        <v>BL1132-0001-CC-MCA-2003</v>
      </c>
      <c r="U266" s="52">
        <f t="shared" si="34"/>
        <v>46246</v>
      </c>
    </row>
    <row r="267" spans="2:21" x14ac:dyDescent="0.25">
      <c r="B267">
        <v>274</v>
      </c>
      <c r="C267" t="s">
        <v>94</v>
      </c>
      <c r="D267" t="s">
        <v>678</v>
      </c>
      <c r="E267" t="s">
        <v>1520</v>
      </c>
      <c r="F267" t="s">
        <v>1519</v>
      </c>
      <c r="G267">
        <v>6</v>
      </c>
      <c r="H267" s="48">
        <v>0</v>
      </c>
      <c r="I267" s="50">
        <v>0</v>
      </c>
      <c r="J267" s="50">
        <v>46246</v>
      </c>
      <c r="K267" s="54">
        <v>46251</v>
      </c>
      <c r="L267" s="54">
        <v>46246</v>
      </c>
      <c r="M267" s="54">
        <v>46251</v>
      </c>
      <c r="O267" s="51" t="str">
        <f t="shared" si="28"/>
        <v/>
      </c>
      <c r="P267" s="51" t="str">
        <f t="shared" si="29"/>
        <v/>
      </c>
      <c r="Q267" s="52" t="str">
        <f t="shared" si="30"/>
        <v/>
      </c>
      <c r="R267" s="52" t="str">
        <f t="shared" si="31"/>
        <v/>
      </c>
      <c r="S267" s="51" t="str">
        <f t="shared" si="32"/>
        <v/>
      </c>
      <c r="T267" t="str">
        <f t="shared" si="33"/>
        <v/>
      </c>
      <c r="U267" s="52" t="str">
        <f t="shared" si="34"/>
        <v/>
      </c>
    </row>
    <row r="268" spans="2:21" x14ac:dyDescent="0.25">
      <c r="B268">
        <v>275</v>
      </c>
      <c r="E268" t="s">
        <v>1468</v>
      </c>
      <c r="F268" t="s">
        <v>1469</v>
      </c>
      <c r="G268">
        <v>64</v>
      </c>
      <c r="H268" s="48">
        <v>1.66E-2</v>
      </c>
      <c r="I268" s="50">
        <v>4.9200000000000001E-2</v>
      </c>
      <c r="J268" s="50">
        <v>46213</v>
      </c>
      <c r="K268" s="54">
        <v>46267</v>
      </c>
      <c r="L268" s="54">
        <v>46204</v>
      </c>
      <c r="M268" s="54">
        <v>46267</v>
      </c>
      <c r="O268" s="51" t="str">
        <f t="shared" si="28"/>
        <v/>
      </c>
      <c r="P268" s="51" t="str">
        <f t="shared" si="29"/>
        <v/>
      </c>
      <c r="Q268" s="52" t="str">
        <f t="shared" si="30"/>
        <v/>
      </c>
      <c r="R268" s="52" t="str">
        <f t="shared" si="31"/>
        <v/>
      </c>
      <c r="S268" s="51" t="str">
        <f t="shared" si="32"/>
        <v/>
      </c>
      <c r="T268" t="str">
        <f t="shared" si="33"/>
        <v/>
      </c>
      <c r="U268" s="52" t="str">
        <f t="shared" si="34"/>
        <v/>
      </c>
    </row>
    <row r="269" spans="2:21" x14ac:dyDescent="0.25">
      <c r="B269">
        <v>276</v>
      </c>
      <c r="E269" t="s">
        <v>1621</v>
      </c>
      <c r="F269" t="s">
        <v>1469</v>
      </c>
      <c r="G269">
        <v>64</v>
      </c>
      <c r="H269" s="48">
        <v>1.66E-2</v>
      </c>
      <c r="I269" s="50">
        <v>4.9200000000000001E-2</v>
      </c>
      <c r="J269" s="50">
        <v>46213</v>
      </c>
      <c r="K269" s="54">
        <v>46267</v>
      </c>
      <c r="L269" s="54">
        <v>46204</v>
      </c>
      <c r="M269" s="54">
        <v>46267</v>
      </c>
      <c r="O269" s="51" t="str">
        <f t="shared" si="28"/>
        <v/>
      </c>
      <c r="P269" s="51" t="str">
        <f t="shared" si="29"/>
        <v/>
      </c>
      <c r="Q269" s="52" t="str">
        <f t="shared" si="30"/>
        <v/>
      </c>
      <c r="R269" s="52" t="str">
        <f t="shared" si="31"/>
        <v/>
      </c>
      <c r="S269" s="51" t="str">
        <f t="shared" si="32"/>
        <v/>
      </c>
      <c r="T269" t="str">
        <f t="shared" si="33"/>
        <v/>
      </c>
      <c r="U269" s="52" t="str">
        <f t="shared" si="34"/>
        <v/>
      </c>
    </row>
    <row r="270" spans="2:21" x14ac:dyDescent="0.25">
      <c r="B270">
        <v>277</v>
      </c>
      <c r="E270" t="s">
        <v>1622</v>
      </c>
      <c r="F270" t="s">
        <v>1469</v>
      </c>
      <c r="G270">
        <v>64</v>
      </c>
      <c r="H270" s="48">
        <v>1.66E-2</v>
      </c>
      <c r="I270" s="50">
        <v>4.9200000000000001E-2</v>
      </c>
      <c r="J270" s="50">
        <v>46213</v>
      </c>
      <c r="K270" s="54">
        <v>46267</v>
      </c>
      <c r="L270" s="54">
        <v>46204</v>
      </c>
      <c r="M270" s="54">
        <v>46267</v>
      </c>
      <c r="O270" s="51" t="str">
        <f t="shared" si="28"/>
        <v/>
      </c>
      <c r="P270" s="51" t="str">
        <f t="shared" si="29"/>
        <v/>
      </c>
      <c r="Q270" s="52" t="str">
        <f t="shared" si="30"/>
        <v/>
      </c>
      <c r="R270" s="52" t="str">
        <f t="shared" si="31"/>
        <v/>
      </c>
      <c r="S270" s="51" t="str">
        <f t="shared" si="32"/>
        <v/>
      </c>
      <c r="T270" t="str">
        <f t="shared" si="33"/>
        <v/>
      </c>
      <c r="U270" s="52" t="str">
        <f t="shared" si="34"/>
        <v/>
      </c>
    </row>
    <row r="271" spans="2:21" x14ac:dyDescent="0.25">
      <c r="B271">
        <v>278</v>
      </c>
      <c r="E271" t="s">
        <v>1623</v>
      </c>
      <c r="F271" t="s">
        <v>1578</v>
      </c>
      <c r="G271">
        <v>23</v>
      </c>
      <c r="H271" s="48">
        <v>0</v>
      </c>
      <c r="I271" s="50">
        <v>0</v>
      </c>
      <c r="J271" s="50">
        <v>46245</v>
      </c>
      <c r="K271" s="54">
        <v>46267</v>
      </c>
      <c r="L271" s="54">
        <v>46239</v>
      </c>
      <c r="M271" s="54">
        <v>46261</v>
      </c>
      <c r="O271" s="51" t="str">
        <f t="shared" si="28"/>
        <v/>
      </c>
      <c r="P271" s="51" t="str">
        <f t="shared" si="29"/>
        <v/>
      </c>
      <c r="Q271" s="52" t="str">
        <f t="shared" si="30"/>
        <v/>
      </c>
      <c r="R271" s="52" t="str">
        <f t="shared" si="31"/>
        <v/>
      </c>
      <c r="S271" s="51" t="str">
        <f t="shared" si="32"/>
        <v/>
      </c>
      <c r="T271" t="str">
        <f t="shared" si="33"/>
        <v/>
      </c>
      <c r="U271" s="52" t="str">
        <f t="shared" si="34"/>
        <v/>
      </c>
    </row>
    <row r="272" spans="2:21" x14ac:dyDescent="0.25">
      <c r="B272">
        <v>279</v>
      </c>
      <c r="E272" t="s">
        <v>1560</v>
      </c>
      <c r="F272" t="s">
        <v>1578</v>
      </c>
      <c r="G272">
        <v>23</v>
      </c>
      <c r="H272" s="48">
        <v>0</v>
      </c>
      <c r="I272" s="50">
        <v>0</v>
      </c>
      <c r="J272" s="50">
        <v>46245</v>
      </c>
      <c r="K272" s="54">
        <v>46267</v>
      </c>
      <c r="L272" s="54">
        <v>46239</v>
      </c>
      <c r="M272" s="54">
        <v>46261</v>
      </c>
      <c r="O272" s="51" t="str">
        <f t="shared" si="28"/>
        <v/>
      </c>
      <c r="P272" s="51" t="str">
        <f t="shared" si="29"/>
        <v/>
      </c>
      <c r="Q272" s="52" t="str">
        <f t="shared" si="30"/>
        <v/>
      </c>
      <c r="R272" s="52" t="str">
        <f t="shared" si="31"/>
        <v/>
      </c>
      <c r="S272" s="51" t="str">
        <f t="shared" si="32"/>
        <v/>
      </c>
      <c r="T272" t="str">
        <f t="shared" si="33"/>
        <v/>
      </c>
      <c r="U272" s="52" t="str">
        <f t="shared" si="34"/>
        <v/>
      </c>
    </row>
    <row r="273" spans="2:21" x14ac:dyDescent="0.25">
      <c r="B273">
        <v>280</v>
      </c>
      <c r="E273" t="s">
        <v>1624</v>
      </c>
      <c r="F273" t="s">
        <v>1578</v>
      </c>
      <c r="G273">
        <v>23</v>
      </c>
      <c r="H273" s="48">
        <v>0</v>
      </c>
      <c r="I273" s="50">
        <v>0</v>
      </c>
      <c r="J273" s="50">
        <v>46245</v>
      </c>
      <c r="K273" s="54">
        <v>46267</v>
      </c>
      <c r="L273" s="54">
        <v>46239</v>
      </c>
      <c r="M273" s="54">
        <v>46261</v>
      </c>
      <c r="O273" s="51" t="str">
        <f t="shared" si="28"/>
        <v/>
      </c>
      <c r="P273" s="51" t="str">
        <f t="shared" si="29"/>
        <v/>
      </c>
      <c r="Q273" s="52" t="str">
        <f t="shared" si="30"/>
        <v/>
      </c>
      <c r="R273" s="52" t="str">
        <f t="shared" si="31"/>
        <v/>
      </c>
      <c r="S273" s="51" t="str">
        <f t="shared" si="32"/>
        <v/>
      </c>
      <c r="T273" t="str">
        <f t="shared" si="33"/>
        <v/>
      </c>
      <c r="U273" s="52" t="str">
        <f t="shared" si="34"/>
        <v/>
      </c>
    </row>
    <row r="274" spans="2:21" x14ac:dyDescent="0.25">
      <c r="B274">
        <v>281</v>
      </c>
      <c r="C274" t="s">
        <v>279</v>
      </c>
      <c r="D274" t="s">
        <v>1386</v>
      </c>
      <c r="E274" t="s">
        <v>1625</v>
      </c>
      <c r="F274" t="s">
        <v>1578</v>
      </c>
      <c r="G274">
        <v>23</v>
      </c>
      <c r="H274" s="48">
        <v>0</v>
      </c>
      <c r="I274" s="50">
        <v>0</v>
      </c>
      <c r="J274" s="50">
        <v>46245</v>
      </c>
      <c r="K274" s="54">
        <v>46267</v>
      </c>
      <c r="L274" s="54">
        <v>46239</v>
      </c>
      <c r="M274" s="54">
        <v>46261</v>
      </c>
      <c r="O274" s="51" t="str">
        <f t="shared" si="28"/>
        <v/>
      </c>
      <c r="P274" s="51" t="str">
        <f t="shared" si="29"/>
        <v/>
      </c>
      <c r="Q274" s="52" t="str">
        <f t="shared" si="30"/>
        <v/>
      </c>
      <c r="R274" s="52" t="str">
        <f t="shared" si="31"/>
        <v/>
      </c>
      <c r="S274" s="51" t="str">
        <f t="shared" si="32"/>
        <v/>
      </c>
      <c r="T274" t="str">
        <f t="shared" si="33"/>
        <v/>
      </c>
      <c r="U274" s="52" t="str">
        <f t="shared" si="34"/>
        <v/>
      </c>
    </row>
    <row r="275" spans="2:21" x14ac:dyDescent="0.25">
      <c r="B275">
        <v>282</v>
      </c>
      <c r="C275" t="s">
        <v>279</v>
      </c>
      <c r="D275" t="s">
        <v>1386</v>
      </c>
      <c r="E275" t="s">
        <v>1515</v>
      </c>
      <c r="F275" t="s">
        <v>1523</v>
      </c>
      <c r="G275">
        <v>10</v>
      </c>
      <c r="H275" s="48">
        <v>0</v>
      </c>
      <c r="I275" s="50">
        <v>0</v>
      </c>
      <c r="J275" s="50">
        <v>46245</v>
      </c>
      <c r="K275" s="54">
        <v>46254</v>
      </c>
      <c r="L275" s="54">
        <v>46239</v>
      </c>
      <c r="M275" s="54">
        <v>46248</v>
      </c>
      <c r="O275" s="51" t="str">
        <f t="shared" si="28"/>
        <v>SIM</v>
      </c>
      <c r="P275" s="51" t="str">
        <f t="shared" si="29"/>
        <v>BL1132-0001-UT-LLC-2000</v>
      </c>
      <c r="Q275" s="52">
        <f t="shared" si="30"/>
        <v>46248</v>
      </c>
      <c r="R275" s="52">
        <f t="shared" si="31"/>
        <v>46254</v>
      </c>
      <c r="S275" s="51" t="str">
        <f t="shared" si="32"/>
        <v/>
      </c>
      <c r="T275" t="str">
        <f t="shared" si="33"/>
        <v/>
      </c>
      <c r="U275" s="52" t="str">
        <f t="shared" si="34"/>
        <v/>
      </c>
    </row>
    <row r="276" spans="2:21" x14ac:dyDescent="0.25">
      <c r="B276">
        <v>283</v>
      </c>
      <c r="C276" t="s">
        <v>279</v>
      </c>
      <c r="D276" t="s">
        <v>1386</v>
      </c>
      <c r="E276" t="s">
        <v>1517</v>
      </c>
      <c r="F276" t="s">
        <v>1519</v>
      </c>
      <c r="G276">
        <v>6</v>
      </c>
      <c r="H276" s="48">
        <v>0</v>
      </c>
      <c r="I276" s="50">
        <v>0</v>
      </c>
      <c r="J276" s="50">
        <v>46254</v>
      </c>
      <c r="K276" s="54">
        <v>46259</v>
      </c>
      <c r="L276" s="54">
        <v>46248</v>
      </c>
      <c r="M276" s="54">
        <v>46253</v>
      </c>
      <c r="O276" s="51" t="str">
        <f t="shared" si="28"/>
        <v/>
      </c>
      <c r="P276" s="51" t="str">
        <f t="shared" si="29"/>
        <v/>
      </c>
      <c r="Q276" s="52" t="str">
        <f t="shared" si="30"/>
        <v/>
      </c>
      <c r="R276" s="52" t="str">
        <f t="shared" si="31"/>
        <v/>
      </c>
      <c r="S276" s="51" t="str">
        <f t="shared" si="32"/>
        <v/>
      </c>
      <c r="T276" t="str">
        <f t="shared" si="33"/>
        <v/>
      </c>
      <c r="U276" s="52" t="str">
        <f t="shared" si="34"/>
        <v/>
      </c>
    </row>
    <row r="277" spans="2:21" x14ac:dyDescent="0.25">
      <c r="B277">
        <v>284</v>
      </c>
      <c r="C277" t="s">
        <v>279</v>
      </c>
      <c r="D277" t="s">
        <v>1386</v>
      </c>
      <c r="E277" t="s">
        <v>1518</v>
      </c>
      <c r="F277" t="s">
        <v>1519</v>
      </c>
      <c r="G277">
        <v>6</v>
      </c>
      <c r="H277" s="48">
        <v>0</v>
      </c>
      <c r="I277" s="50">
        <v>0</v>
      </c>
      <c r="J277" s="50">
        <v>46259</v>
      </c>
      <c r="K277" s="54">
        <v>46262</v>
      </c>
      <c r="L277" s="54">
        <v>46253</v>
      </c>
      <c r="M277" s="54">
        <v>46258</v>
      </c>
      <c r="O277" s="51" t="str">
        <f t="shared" si="28"/>
        <v/>
      </c>
      <c r="P277" s="51" t="str">
        <f t="shared" si="29"/>
        <v/>
      </c>
      <c r="Q277" s="52" t="str">
        <f t="shared" si="30"/>
        <v/>
      </c>
      <c r="R277" s="52" t="str">
        <f t="shared" si="31"/>
        <v/>
      </c>
      <c r="S277" s="51" t="str">
        <f t="shared" si="32"/>
        <v>SIM</v>
      </c>
      <c r="T277" t="str">
        <f t="shared" si="33"/>
        <v>BL1132-0001-UT-LLC-2000</v>
      </c>
      <c r="U277" s="52">
        <f t="shared" si="34"/>
        <v>46258</v>
      </c>
    </row>
    <row r="278" spans="2:21" x14ac:dyDescent="0.25">
      <c r="B278">
        <v>285</v>
      </c>
      <c r="C278" t="s">
        <v>279</v>
      </c>
      <c r="D278" t="s">
        <v>1386</v>
      </c>
      <c r="E278" t="s">
        <v>1520</v>
      </c>
      <c r="F278" t="s">
        <v>1519</v>
      </c>
      <c r="G278">
        <v>4</v>
      </c>
      <c r="H278" s="48">
        <v>0</v>
      </c>
      <c r="I278" s="50">
        <v>0</v>
      </c>
      <c r="J278" s="50">
        <v>46262</v>
      </c>
      <c r="K278" s="54">
        <v>46267</v>
      </c>
      <c r="L278" s="54">
        <v>46258</v>
      </c>
      <c r="M278" s="54">
        <v>46261</v>
      </c>
      <c r="O278" s="51" t="str">
        <f t="shared" si="28"/>
        <v/>
      </c>
      <c r="P278" s="51" t="str">
        <f t="shared" si="29"/>
        <v/>
      </c>
      <c r="Q278" s="52" t="str">
        <f t="shared" si="30"/>
        <v/>
      </c>
      <c r="R278" s="52" t="str">
        <f t="shared" si="31"/>
        <v/>
      </c>
      <c r="S278" s="51" t="str">
        <f t="shared" si="32"/>
        <v/>
      </c>
      <c r="T278" t="str">
        <f t="shared" si="33"/>
        <v/>
      </c>
      <c r="U278" s="52" t="str">
        <f t="shared" si="34"/>
        <v/>
      </c>
    </row>
    <row r="279" spans="2:21" x14ac:dyDescent="0.25">
      <c r="B279">
        <v>286</v>
      </c>
      <c r="E279" t="s">
        <v>1626</v>
      </c>
      <c r="F279" t="s">
        <v>1564</v>
      </c>
      <c r="G279">
        <v>31</v>
      </c>
      <c r="H279" s="48">
        <v>0</v>
      </c>
      <c r="I279" s="50">
        <v>0</v>
      </c>
      <c r="J279" s="50">
        <v>46237</v>
      </c>
      <c r="K279" s="54">
        <v>46267</v>
      </c>
      <c r="L279" s="54">
        <v>46231</v>
      </c>
      <c r="M279" s="54">
        <v>46261</v>
      </c>
      <c r="O279" s="51" t="str">
        <f t="shared" si="28"/>
        <v/>
      </c>
      <c r="P279" s="51" t="str">
        <f t="shared" si="29"/>
        <v/>
      </c>
      <c r="Q279" s="52" t="str">
        <f t="shared" si="30"/>
        <v/>
      </c>
      <c r="R279" s="52" t="str">
        <f t="shared" si="31"/>
        <v/>
      </c>
      <c r="S279" s="51" t="str">
        <f t="shared" si="32"/>
        <v/>
      </c>
      <c r="T279" t="str">
        <f t="shared" si="33"/>
        <v/>
      </c>
      <c r="U279" s="52" t="str">
        <f t="shared" si="34"/>
        <v/>
      </c>
    </row>
    <row r="280" spans="2:21" x14ac:dyDescent="0.25">
      <c r="B280">
        <v>287</v>
      </c>
      <c r="E280" t="s">
        <v>1560</v>
      </c>
      <c r="F280" t="s">
        <v>1564</v>
      </c>
      <c r="G280">
        <v>31</v>
      </c>
      <c r="H280" s="48">
        <v>0</v>
      </c>
      <c r="I280" s="50">
        <v>0</v>
      </c>
      <c r="J280" s="50">
        <v>46237</v>
      </c>
      <c r="K280" s="54">
        <v>46267</v>
      </c>
      <c r="L280" s="54">
        <v>46231</v>
      </c>
      <c r="M280" s="54">
        <v>46261</v>
      </c>
      <c r="O280" s="51" t="str">
        <f t="shared" si="28"/>
        <v/>
      </c>
      <c r="P280" s="51" t="str">
        <f t="shared" si="29"/>
        <v/>
      </c>
      <c r="Q280" s="52" t="str">
        <f t="shared" si="30"/>
        <v/>
      </c>
      <c r="R280" s="52" t="str">
        <f t="shared" si="31"/>
        <v/>
      </c>
      <c r="S280" s="51" t="str">
        <f t="shared" si="32"/>
        <v/>
      </c>
      <c r="T280" t="str">
        <f t="shared" si="33"/>
        <v/>
      </c>
      <c r="U280" s="52" t="str">
        <f t="shared" si="34"/>
        <v/>
      </c>
    </row>
    <row r="281" spans="2:21" x14ac:dyDescent="0.25">
      <c r="B281">
        <v>288</v>
      </c>
      <c r="E281" t="s">
        <v>1624</v>
      </c>
      <c r="F281" t="s">
        <v>1564</v>
      </c>
      <c r="G281">
        <v>31</v>
      </c>
      <c r="H281" s="48">
        <v>0</v>
      </c>
      <c r="I281" s="50">
        <v>0</v>
      </c>
      <c r="J281" s="50">
        <v>46237</v>
      </c>
      <c r="K281" s="54">
        <v>46267</v>
      </c>
      <c r="L281" s="54">
        <v>46231</v>
      </c>
      <c r="M281" s="54">
        <v>46261</v>
      </c>
      <c r="O281" s="51" t="str">
        <f t="shared" si="28"/>
        <v/>
      </c>
      <c r="P281" s="51" t="str">
        <f t="shared" si="29"/>
        <v/>
      </c>
      <c r="Q281" s="52" t="str">
        <f t="shared" si="30"/>
        <v/>
      </c>
      <c r="R281" s="52" t="str">
        <f t="shared" si="31"/>
        <v/>
      </c>
      <c r="S281" s="51" t="str">
        <f t="shared" si="32"/>
        <v/>
      </c>
      <c r="T281" t="str">
        <f t="shared" si="33"/>
        <v/>
      </c>
      <c r="U281" s="52" t="str">
        <f t="shared" si="34"/>
        <v/>
      </c>
    </row>
    <row r="282" spans="2:21" x14ac:dyDescent="0.25">
      <c r="B282">
        <v>289</v>
      </c>
      <c r="C282" t="s">
        <v>284</v>
      </c>
      <c r="D282" t="s">
        <v>1406</v>
      </c>
      <c r="E282" t="s">
        <v>1627</v>
      </c>
      <c r="F282" t="s">
        <v>1559</v>
      </c>
      <c r="G282">
        <v>17</v>
      </c>
      <c r="H282" s="48">
        <v>0</v>
      </c>
      <c r="I282" s="50">
        <v>0</v>
      </c>
      <c r="J282" s="50">
        <v>46237</v>
      </c>
      <c r="K282" s="54">
        <v>46253</v>
      </c>
      <c r="L282" s="54">
        <v>46231</v>
      </c>
      <c r="M282" s="54">
        <v>46247</v>
      </c>
      <c r="O282" s="51" t="str">
        <f t="shared" si="28"/>
        <v/>
      </c>
      <c r="P282" s="51" t="str">
        <f t="shared" si="29"/>
        <v/>
      </c>
      <c r="Q282" s="52" t="str">
        <f t="shared" si="30"/>
        <v/>
      </c>
      <c r="R282" s="52" t="str">
        <f t="shared" si="31"/>
        <v/>
      </c>
      <c r="S282" s="51" t="str">
        <f t="shared" si="32"/>
        <v/>
      </c>
      <c r="T282" t="str">
        <f t="shared" si="33"/>
        <v/>
      </c>
      <c r="U282" s="52" t="str">
        <f t="shared" si="34"/>
        <v/>
      </c>
    </row>
    <row r="283" spans="2:21" x14ac:dyDescent="0.25">
      <c r="B283">
        <v>290</v>
      </c>
      <c r="C283" t="s">
        <v>284</v>
      </c>
      <c r="D283" t="s">
        <v>1406</v>
      </c>
      <c r="E283" t="s">
        <v>1515</v>
      </c>
      <c r="F283" t="s">
        <v>1519</v>
      </c>
      <c r="G283">
        <v>4</v>
      </c>
      <c r="H283" s="48">
        <v>0</v>
      </c>
      <c r="I283" s="50">
        <v>0</v>
      </c>
      <c r="J283" s="50">
        <v>46237</v>
      </c>
      <c r="K283" s="54">
        <v>46240</v>
      </c>
      <c r="L283" s="54">
        <v>46231</v>
      </c>
      <c r="M283" s="54">
        <v>46234</v>
      </c>
      <c r="O283" s="51" t="str">
        <f t="shared" si="28"/>
        <v>SIM</v>
      </c>
      <c r="P283" s="51" t="str">
        <f t="shared" si="29"/>
        <v>BL1132-0001-UT-MCA-2004</v>
      </c>
      <c r="Q283" s="52">
        <f t="shared" si="30"/>
        <v>46234</v>
      </c>
      <c r="R283" s="52">
        <f t="shared" si="31"/>
        <v>46240</v>
      </c>
      <c r="S283" s="51" t="str">
        <f t="shared" si="32"/>
        <v/>
      </c>
      <c r="T283" t="str">
        <f t="shared" si="33"/>
        <v/>
      </c>
      <c r="U283" s="52" t="str">
        <f t="shared" si="34"/>
        <v/>
      </c>
    </row>
    <row r="284" spans="2:21" x14ac:dyDescent="0.25">
      <c r="B284">
        <v>291</v>
      </c>
      <c r="C284" t="s">
        <v>284</v>
      </c>
      <c r="D284" t="s">
        <v>1406</v>
      </c>
      <c r="E284" t="s">
        <v>1517</v>
      </c>
      <c r="F284" t="s">
        <v>1519</v>
      </c>
      <c r="G284">
        <v>6</v>
      </c>
      <c r="H284" s="48">
        <v>0</v>
      </c>
      <c r="I284" s="50">
        <v>0</v>
      </c>
      <c r="J284" s="50">
        <v>46240</v>
      </c>
      <c r="K284" s="54">
        <v>46245</v>
      </c>
      <c r="L284" s="54">
        <v>46234</v>
      </c>
      <c r="M284" s="54">
        <v>46239</v>
      </c>
      <c r="O284" s="51" t="str">
        <f t="shared" si="28"/>
        <v/>
      </c>
      <c r="P284" s="51" t="str">
        <f t="shared" si="29"/>
        <v/>
      </c>
      <c r="Q284" s="52" t="str">
        <f t="shared" si="30"/>
        <v/>
      </c>
      <c r="R284" s="52" t="str">
        <f t="shared" si="31"/>
        <v/>
      </c>
      <c r="S284" s="51" t="str">
        <f t="shared" si="32"/>
        <v/>
      </c>
      <c r="T284" t="str">
        <f t="shared" si="33"/>
        <v/>
      </c>
      <c r="U284" s="52" t="str">
        <f t="shared" si="34"/>
        <v/>
      </c>
    </row>
    <row r="285" spans="2:21" x14ac:dyDescent="0.25">
      <c r="B285">
        <v>292</v>
      </c>
      <c r="C285" t="s">
        <v>284</v>
      </c>
      <c r="D285" t="s">
        <v>1406</v>
      </c>
      <c r="E285" t="s">
        <v>1518</v>
      </c>
      <c r="F285" t="s">
        <v>1519</v>
      </c>
      <c r="G285">
        <v>6</v>
      </c>
      <c r="H285" s="48">
        <v>0</v>
      </c>
      <c r="I285" s="50">
        <v>0</v>
      </c>
      <c r="J285" s="50">
        <v>46245</v>
      </c>
      <c r="K285" s="54">
        <v>46248</v>
      </c>
      <c r="L285" s="54">
        <v>46239</v>
      </c>
      <c r="M285" s="54">
        <v>46244</v>
      </c>
      <c r="O285" s="51" t="str">
        <f t="shared" si="28"/>
        <v/>
      </c>
      <c r="P285" s="51" t="str">
        <f t="shared" si="29"/>
        <v/>
      </c>
      <c r="Q285" s="52" t="str">
        <f t="shared" si="30"/>
        <v/>
      </c>
      <c r="R285" s="52" t="str">
        <f t="shared" si="31"/>
        <v/>
      </c>
      <c r="S285" s="51" t="str">
        <f t="shared" si="32"/>
        <v>SIM</v>
      </c>
      <c r="T285" t="str">
        <f t="shared" si="33"/>
        <v>BL1132-0001-UT-MCA-2004</v>
      </c>
      <c r="U285" s="52">
        <f t="shared" si="34"/>
        <v>46244</v>
      </c>
    </row>
    <row r="286" spans="2:21" x14ac:dyDescent="0.25">
      <c r="B286">
        <v>293</v>
      </c>
      <c r="C286" t="s">
        <v>284</v>
      </c>
      <c r="D286" t="s">
        <v>1406</v>
      </c>
      <c r="E286" t="s">
        <v>1520</v>
      </c>
      <c r="F286" t="s">
        <v>1519</v>
      </c>
      <c r="G286">
        <v>4</v>
      </c>
      <c r="H286" s="48">
        <v>0</v>
      </c>
      <c r="I286" s="50">
        <v>0</v>
      </c>
      <c r="J286" s="50">
        <v>46248</v>
      </c>
      <c r="K286" s="54">
        <v>46253</v>
      </c>
      <c r="L286" s="54">
        <v>46244</v>
      </c>
      <c r="M286" s="54">
        <v>46247</v>
      </c>
      <c r="O286" s="51" t="str">
        <f t="shared" si="28"/>
        <v/>
      </c>
      <c r="P286" s="51" t="str">
        <f t="shared" si="29"/>
        <v/>
      </c>
      <c r="Q286" s="52" t="str">
        <f t="shared" si="30"/>
        <v/>
      </c>
      <c r="R286" s="52" t="str">
        <f t="shared" si="31"/>
        <v/>
      </c>
      <c r="S286" s="51" t="str">
        <f t="shared" si="32"/>
        <v/>
      </c>
      <c r="T286" t="str">
        <f t="shared" si="33"/>
        <v/>
      </c>
      <c r="U286" s="52" t="str">
        <f t="shared" si="34"/>
        <v/>
      </c>
    </row>
    <row r="287" spans="2:21" x14ac:dyDescent="0.25">
      <c r="B287">
        <v>294</v>
      </c>
      <c r="C287" t="s">
        <v>274</v>
      </c>
      <c r="D287" t="s">
        <v>1368</v>
      </c>
      <c r="E287" t="s">
        <v>1628</v>
      </c>
      <c r="F287" t="s">
        <v>1559</v>
      </c>
      <c r="G287">
        <v>19</v>
      </c>
      <c r="H287" s="48">
        <v>0</v>
      </c>
      <c r="I287" s="50">
        <v>0</v>
      </c>
      <c r="J287" s="50">
        <v>46240</v>
      </c>
      <c r="K287" s="54">
        <v>46258</v>
      </c>
      <c r="L287" s="54">
        <v>46234</v>
      </c>
      <c r="M287" s="54">
        <v>46252</v>
      </c>
      <c r="O287" s="51" t="str">
        <f t="shared" si="28"/>
        <v/>
      </c>
      <c r="P287" s="51" t="str">
        <f t="shared" si="29"/>
        <v/>
      </c>
      <c r="Q287" s="52" t="str">
        <f t="shared" si="30"/>
        <v/>
      </c>
      <c r="R287" s="52" t="str">
        <f t="shared" si="31"/>
        <v/>
      </c>
      <c r="S287" s="51" t="str">
        <f t="shared" si="32"/>
        <v/>
      </c>
      <c r="T287" t="str">
        <f t="shared" si="33"/>
        <v/>
      </c>
      <c r="U287" s="52" t="str">
        <f t="shared" si="34"/>
        <v/>
      </c>
    </row>
    <row r="288" spans="2:21" x14ac:dyDescent="0.25">
      <c r="B288">
        <v>295</v>
      </c>
      <c r="C288" t="s">
        <v>274</v>
      </c>
      <c r="D288" t="s">
        <v>1368</v>
      </c>
      <c r="E288" t="s">
        <v>1515</v>
      </c>
      <c r="F288" t="s">
        <v>1519</v>
      </c>
      <c r="G288">
        <v>6</v>
      </c>
      <c r="H288" s="48">
        <v>0</v>
      </c>
      <c r="I288" s="50">
        <v>0</v>
      </c>
      <c r="J288" s="50">
        <v>46240</v>
      </c>
      <c r="K288" s="54">
        <v>46245</v>
      </c>
      <c r="L288" s="54">
        <v>46234</v>
      </c>
      <c r="M288" s="54">
        <v>46239</v>
      </c>
      <c r="O288" s="51" t="str">
        <f t="shared" si="28"/>
        <v>SIM</v>
      </c>
      <c r="P288" s="51" t="str">
        <f t="shared" si="29"/>
        <v>BL1132-0001-UT-FEN-2009</v>
      </c>
      <c r="Q288" s="52">
        <f t="shared" si="30"/>
        <v>46239</v>
      </c>
      <c r="R288" s="52">
        <f t="shared" si="31"/>
        <v>46245</v>
      </c>
      <c r="S288" s="51" t="str">
        <f t="shared" si="32"/>
        <v/>
      </c>
      <c r="T288" t="str">
        <f t="shared" si="33"/>
        <v/>
      </c>
      <c r="U288" s="52" t="str">
        <f t="shared" si="34"/>
        <v/>
      </c>
    </row>
    <row r="289" spans="2:21" x14ac:dyDescent="0.25">
      <c r="B289">
        <v>296</v>
      </c>
      <c r="C289" t="s">
        <v>274</v>
      </c>
      <c r="D289" t="s">
        <v>1368</v>
      </c>
      <c r="E289" t="s">
        <v>1517</v>
      </c>
      <c r="F289" t="s">
        <v>1519</v>
      </c>
      <c r="G289">
        <v>6</v>
      </c>
      <c r="H289" s="48">
        <v>0</v>
      </c>
      <c r="I289" s="50">
        <v>0</v>
      </c>
      <c r="J289" s="50">
        <v>46245</v>
      </c>
      <c r="K289" s="54">
        <v>46248</v>
      </c>
      <c r="L289" s="54">
        <v>46239</v>
      </c>
      <c r="M289" s="54">
        <v>46244</v>
      </c>
      <c r="O289" s="51" t="str">
        <f t="shared" si="28"/>
        <v/>
      </c>
      <c r="P289" s="51" t="str">
        <f t="shared" si="29"/>
        <v/>
      </c>
      <c r="Q289" s="52" t="str">
        <f t="shared" si="30"/>
        <v/>
      </c>
      <c r="R289" s="52" t="str">
        <f t="shared" si="31"/>
        <v/>
      </c>
      <c r="S289" s="51" t="str">
        <f t="shared" si="32"/>
        <v/>
      </c>
      <c r="T289" t="str">
        <f t="shared" si="33"/>
        <v/>
      </c>
      <c r="U289" s="52" t="str">
        <f t="shared" si="34"/>
        <v/>
      </c>
    </row>
    <row r="290" spans="2:21" x14ac:dyDescent="0.25">
      <c r="B290">
        <v>297</v>
      </c>
      <c r="C290" t="s">
        <v>274</v>
      </c>
      <c r="D290" t="s">
        <v>1368</v>
      </c>
      <c r="E290" t="s">
        <v>1518</v>
      </c>
      <c r="F290" t="s">
        <v>1519</v>
      </c>
      <c r="G290">
        <v>4</v>
      </c>
      <c r="H290" s="48">
        <v>0</v>
      </c>
      <c r="I290" s="50">
        <v>0</v>
      </c>
      <c r="J290" s="50">
        <v>46248</v>
      </c>
      <c r="K290" s="54">
        <v>46253</v>
      </c>
      <c r="L290" s="54">
        <v>46244</v>
      </c>
      <c r="M290" s="54">
        <v>46247</v>
      </c>
      <c r="O290" s="51" t="str">
        <f t="shared" si="28"/>
        <v/>
      </c>
      <c r="P290" s="51" t="str">
        <f t="shared" si="29"/>
        <v/>
      </c>
      <c r="Q290" s="52" t="str">
        <f t="shared" si="30"/>
        <v/>
      </c>
      <c r="R290" s="52" t="str">
        <f t="shared" si="31"/>
        <v/>
      </c>
      <c r="S290" s="51" t="str">
        <f t="shared" si="32"/>
        <v>SIM</v>
      </c>
      <c r="T290" t="str">
        <f t="shared" si="33"/>
        <v>BL1132-0001-UT-FEN-2009</v>
      </c>
      <c r="U290" s="52">
        <f t="shared" si="34"/>
        <v>46247</v>
      </c>
    </row>
    <row r="291" spans="2:21" x14ac:dyDescent="0.25">
      <c r="B291">
        <v>298</v>
      </c>
      <c r="C291" t="s">
        <v>274</v>
      </c>
      <c r="D291" t="s">
        <v>1368</v>
      </c>
      <c r="E291" t="s">
        <v>1520</v>
      </c>
      <c r="F291" t="s">
        <v>1519</v>
      </c>
      <c r="G291">
        <v>6</v>
      </c>
      <c r="H291" s="48">
        <v>0</v>
      </c>
      <c r="I291" s="50">
        <v>0</v>
      </c>
      <c r="J291" s="50">
        <v>46253</v>
      </c>
      <c r="K291" s="54">
        <v>46258</v>
      </c>
      <c r="L291" s="54">
        <v>46247</v>
      </c>
      <c r="M291" s="54">
        <v>46252</v>
      </c>
      <c r="O291" s="51" t="str">
        <f t="shared" si="28"/>
        <v/>
      </c>
      <c r="P291" s="51" t="str">
        <f t="shared" si="29"/>
        <v/>
      </c>
      <c r="Q291" s="52" t="str">
        <f t="shared" si="30"/>
        <v/>
      </c>
      <c r="R291" s="52" t="str">
        <f t="shared" si="31"/>
        <v/>
      </c>
      <c r="S291" s="51" t="str">
        <f t="shared" si="32"/>
        <v/>
      </c>
      <c r="T291" t="str">
        <f t="shared" si="33"/>
        <v/>
      </c>
      <c r="U291" s="52" t="str">
        <f t="shared" si="34"/>
        <v/>
      </c>
    </row>
    <row r="292" spans="2:21" x14ac:dyDescent="0.25">
      <c r="B292">
        <v>299</v>
      </c>
      <c r="C292" t="s">
        <v>276</v>
      </c>
      <c r="D292" t="s">
        <v>1378</v>
      </c>
      <c r="E292" t="s">
        <v>1629</v>
      </c>
      <c r="F292" t="s">
        <v>1535</v>
      </c>
      <c r="G292">
        <v>20</v>
      </c>
      <c r="H292" s="48">
        <v>0</v>
      </c>
      <c r="I292" s="50">
        <v>0</v>
      </c>
      <c r="J292" s="50">
        <v>46245</v>
      </c>
      <c r="K292" s="54">
        <v>46262</v>
      </c>
      <c r="L292" s="54">
        <v>46239</v>
      </c>
      <c r="M292" s="54">
        <v>46258</v>
      </c>
      <c r="O292" s="51" t="str">
        <f t="shared" si="28"/>
        <v/>
      </c>
      <c r="P292" s="51" t="str">
        <f t="shared" si="29"/>
        <v/>
      </c>
      <c r="Q292" s="52" t="str">
        <f t="shared" si="30"/>
        <v/>
      </c>
      <c r="R292" s="52" t="str">
        <f t="shared" si="31"/>
        <v/>
      </c>
      <c r="S292" s="51" t="str">
        <f t="shared" si="32"/>
        <v/>
      </c>
      <c r="T292" t="str">
        <f t="shared" si="33"/>
        <v/>
      </c>
      <c r="U292" s="52" t="str">
        <f t="shared" si="34"/>
        <v/>
      </c>
    </row>
    <row r="293" spans="2:21" x14ac:dyDescent="0.25">
      <c r="B293">
        <v>300</v>
      </c>
      <c r="C293" t="s">
        <v>276</v>
      </c>
      <c r="D293" t="s">
        <v>1378</v>
      </c>
      <c r="E293" t="s">
        <v>1515</v>
      </c>
      <c r="F293" t="s">
        <v>1525</v>
      </c>
      <c r="G293">
        <v>7</v>
      </c>
      <c r="H293" s="48">
        <v>0</v>
      </c>
      <c r="I293" s="50">
        <v>0</v>
      </c>
      <c r="J293" s="50">
        <v>46245</v>
      </c>
      <c r="K293" s="54">
        <v>46251</v>
      </c>
      <c r="L293" s="54">
        <v>46239</v>
      </c>
      <c r="M293" s="54">
        <v>46245</v>
      </c>
      <c r="O293" s="51" t="str">
        <f t="shared" si="28"/>
        <v>SIM</v>
      </c>
      <c r="P293" s="51" t="str">
        <f t="shared" si="29"/>
        <v>BL1132-0001-UT-FEN-2011</v>
      </c>
      <c r="Q293" s="52">
        <f t="shared" si="30"/>
        <v>46245</v>
      </c>
      <c r="R293" s="52">
        <f t="shared" si="31"/>
        <v>46251</v>
      </c>
      <c r="S293" s="51" t="str">
        <f t="shared" si="32"/>
        <v/>
      </c>
      <c r="T293" t="str">
        <f t="shared" si="33"/>
        <v/>
      </c>
      <c r="U293" s="52" t="str">
        <f t="shared" si="34"/>
        <v/>
      </c>
    </row>
    <row r="294" spans="2:21" x14ac:dyDescent="0.25">
      <c r="B294">
        <v>301</v>
      </c>
      <c r="C294" t="s">
        <v>276</v>
      </c>
      <c r="D294" t="s">
        <v>1378</v>
      </c>
      <c r="E294" t="s">
        <v>1517</v>
      </c>
      <c r="F294" t="s">
        <v>1519</v>
      </c>
      <c r="G294">
        <v>4</v>
      </c>
      <c r="H294" s="48">
        <v>0</v>
      </c>
      <c r="I294" s="50">
        <v>0</v>
      </c>
      <c r="J294" s="50">
        <v>46251</v>
      </c>
      <c r="K294" s="54">
        <v>46254</v>
      </c>
      <c r="L294" s="54">
        <v>46245</v>
      </c>
      <c r="M294" s="54">
        <v>46248</v>
      </c>
      <c r="O294" s="51" t="str">
        <f t="shared" si="28"/>
        <v/>
      </c>
      <c r="P294" s="51" t="str">
        <f t="shared" si="29"/>
        <v/>
      </c>
      <c r="Q294" s="52" t="str">
        <f t="shared" si="30"/>
        <v/>
      </c>
      <c r="R294" s="52" t="str">
        <f t="shared" si="31"/>
        <v/>
      </c>
      <c r="S294" s="51" t="str">
        <f t="shared" si="32"/>
        <v/>
      </c>
      <c r="T294" t="str">
        <f t="shared" si="33"/>
        <v/>
      </c>
      <c r="U294" s="52" t="str">
        <f t="shared" si="34"/>
        <v/>
      </c>
    </row>
    <row r="295" spans="2:21" x14ac:dyDescent="0.25">
      <c r="B295">
        <v>302</v>
      </c>
      <c r="C295" t="s">
        <v>276</v>
      </c>
      <c r="D295" t="s">
        <v>1378</v>
      </c>
      <c r="E295" t="s">
        <v>1518</v>
      </c>
      <c r="F295" t="s">
        <v>1519</v>
      </c>
      <c r="G295">
        <v>6</v>
      </c>
      <c r="H295" s="48">
        <v>0</v>
      </c>
      <c r="I295" s="50">
        <v>0</v>
      </c>
      <c r="J295" s="50">
        <v>46254</v>
      </c>
      <c r="K295" s="54">
        <v>46259</v>
      </c>
      <c r="L295" s="54">
        <v>46248</v>
      </c>
      <c r="M295" s="54">
        <v>46253</v>
      </c>
      <c r="O295" s="51" t="str">
        <f t="shared" si="28"/>
        <v/>
      </c>
      <c r="P295" s="51" t="str">
        <f t="shared" si="29"/>
        <v/>
      </c>
      <c r="Q295" s="52" t="str">
        <f t="shared" si="30"/>
        <v/>
      </c>
      <c r="R295" s="52" t="str">
        <f t="shared" si="31"/>
        <v/>
      </c>
      <c r="S295" s="51" t="str">
        <f t="shared" si="32"/>
        <v>SIM</v>
      </c>
      <c r="T295" t="str">
        <f t="shared" si="33"/>
        <v>BL1132-0001-UT-FEN-2011</v>
      </c>
      <c r="U295" s="52">
        <f t="shared" si="34"/>
        <v>46253</v>
      </c>
    </row>
    <row r="296" spans="2:21" x14ac:dyDescent="0.25">
      <c r="B296">
        <v>303</v>
      </c>
      <c r="C296" t="s">
        <v>276</v>
      </c>
      <c r="D296" t="s">
        <v>1378</v>
      </c>
      <c r="E296" t="s">
        <v>1520</v>
      </c>
      <c r="F296" t="s">
        <v>1519</v>
      </c>
      <c r="G296">
        <v>6</v>
      </c>
      <c r="H296" s="48">
        <v>0</v>
      </c>
      <c r="I296" s="50">
        <v>0</v>
      </c>
      <c r="J296" s="50">
        <v>46259</v>
      </c>
      <c r="K296" s="54">
        <v>46262</v>
      </c>
      <c r="L296" s="54">
        <v>46253</v>
      </c>
      <c r="M296" s="54">
        <v>46258</v>
      </c>
      <c r="O296" s="51" t="str">
        <f t="shared" si="28"/>
        <v/>
      </c>
      <c r="P296" s="51" t="str">
        <f t="shared" si="29"/>
        <v/>
      </c>
      <c r="Q296" s="52" t="str">
        <f t="shared" si="30"/>
        <v/>
      </c>
      <c r="R296" s="52" t="str">
        <f t="shared" si="31"/>
        <v/>
      </c>
      <c r="S296" s="51" t="str">
        <f t="shared" si="32"/>
        <v/>
      </c>
      <c r="T296" t="str">
        <f t="shared" si="33"/>
        <v/>
      </c>
      <c r="U296" s="52" t="str">
        <f t="shared" si="34"/>
        <v/>
      </c>
    </row>
    <row r="297" spans="2:21" x14ac:dyDescent="0.25">
      <c r="B297">
        <v>304</v>
      </c>
      <c r="C297" t="s">
        <v>277</v>
      </c>
      <c r="D297" t="s">
        <v>1382</v>
      </c>
      <c r="E297" t="s">
        <v>1630</v>
      </c>
      <c r="F297" t="s">
        <v>1559</v>
      </c>
      <c r="G297">
        <v>17</v>
      </c>
      <c r="H297" s="48">
        <v>0</v>
      </c>
      <c r="I297" s="50">
        <v>0</v>
      </c>
      <c r="J297" s="50">
        <v>46251</v>
      </c>
      <c r="K297" s="54">
        <v>46267</v>
      </c>
      <c r="L297" s="54">
        <v>46245</v>
      </c>
      <c r="M297" s="54">
        <v>46261</v>
      </c>
      <c r="O297" s="51" t="str">
        <f t="shared" si="28"/>
        <v/>
      </c>
      <c r="P297" s="51" t="str">
        <f t="shared" si="29"/>
        <v/>
      </c>
      <c r="Q297" s="52" t="str">
        <f t="shared" si="30"/>
        <v/>
      </c>
      <c r="R297" s="52" t="str">
        <f t="shared" si="31"/>
        <v/>
      </c>
      <c r="S297" s="51" t="str">
        <f t="shared" si="32"/>
        <v/>
      </c>
      <c r="T297" t="str">
        <f t="shared" si="33"/>
        <v/>
      </c>
      <c r="U297" s="52" t="str">
        <f t="shared" si="34"/>
        <v/>
      </c>
    </row>
    <row r="298" spans="2:21" x14ac:dyDescent="0.25">
      <c r="B298">
        <v>305</v>
      </c>
      <c r="C298" t="s">
        <v>277</v>
      </c>
      <c r="D298" t="s">
        <v>1382</v>
      </c>
      <c r="E298" t="s">
        <v>1515</v>
      </c>
      <c r="F298" t="s">
        <v>1519</v>
      </c>
      <c r="G298">
        <v>4</v>
      </c>
      <c r="H298" s="48">
        <v>0</v>
      </c>
      <c r="I298" s="50">
        <v>0</v>
      </c>
      <c r="J298" s="50">
        <v>46251</v>
      </c>
      <c r="K298" s="54">
        <v>46254</v>
      </c>
      <c r="L298" s="54">
        <v>46245</v>
      </c>
      <c r="M298" s="54">
        <v>46248</v>
      </c>
      <c r="O298" s="51" t="str">
        <f t="shared" si="28"/>
        <v>SIM</v>
      </c>
      <c r="P298" s="51" t="str">
        <f t="shared" si="29"/>
        <v>BL1132-0001-UT-FEN-2012</v>
      </c>
      <c r="Q298" s="52">
        <f t="shared" si="30"/>
        <v>46248</v>
      </c>
      <c r="R298" s="52">
        <f t="shared" si="31"/>
        <v>46254</v>
      </c>
      <c r="S298" s="51" t="str">
        <f t="shared" si="32"/>
        <v/>
      </c>
      <c r="T298" t="str">
        <f t="shared" si="33"/>
        <v/>
      </c>
      <c r="U298" s="52" t="str">
        <f t="shared" si="34"/>
        <v/>
      </c>
    </row>
    <row r="299" spans="2:21" x14ac:dyDescent="0.25">
      <c r="B299">
        <v>306</v>
      </c>
      <c r="C299" t="s">
        <v>277</v>
      </c>
      <c r="D299" t="s">
        <v>1382</v>
      </c>
      <c r="E299" t="s">
        <v>1517</v>
      </c>
      <c r="F299" t="s">
        <v>1519</v>
      </c>
      <c r="G299">
        <v>6</v>
      </c>
      <c r="H299" s="48">
        <v>0</v>
      </c>
      <c r="I299" s="50">
        <v>0</v>
      </c>
      <c r="J299" s="50">
        <v>46254</v>
      </c>
      <c r="K299" s="54">
        <v>46259</v>
      </c>
      <c r="L299" s="54">
        <v>46248</v>
      </c>
      <c r="M299" s="54">
        <v>46253</v>
      </c>
      <c r="O299" s="51" t="str">
        <f t="shared" si="28"/>
        <v/>
      </c>
      <c r="P299" s="51" t="str">
        <f t="shared" si="29"/>
        <v/>
      </c>
      <c r="Q299" s="52" t="str">
        <f t="shared" si="30"/>
        <v/>
      </c>
      <c r="R299" s="52" t="str">
        <f t="shared" si="31"/>
        <v/>
      </c>
      <c r="S299" s="51" t="str">
        <f t="shared" si="32"/>
        <v/>
      </c>
      <c r="T299" t="str">
        <f t="shared" si="33"/>
        <v/>
      </c>
      <c r="U299" s="52" t="str">
        <f t="shared" si="34"/>
        <v/>
      </c>
    </row>
    <row r="300" spans="2:21" x14ac:dyDescent="0.25">
      <c r="B300">
        <v>307</v>
      </c>
      <c r="C300" t="s">
        <v>277</v>
      </c>
      <c r="D300" t="s">
        <v>1382</v>
      </c>
      <c r="E300" t="s">
        <v>1518</v>
      </c>
      <c r="F300" t="s">
        <v>1519</v>
      </c>
      <c r="G300">
        <v>6</v>
      </c>
      <c r="H300" s="48">
        <v>0</v>
      </c>
      <c r="I300" s="50">
        <v>0</v>
      </c>
      <c r="J300" s="50">
        <v>46259</v>
      </c>
      <c r="K300" s="54">
        <v>46262</v>
      </c>
      <c r="L300" s="54">
        <v>46253</v>
      </c>
      <c r="M300" s="54">
        <v>46258</v>
      </c>
      <c r="O300" s="51" t="str">
        <f t="shared" si="28"/>
        <v/>
      </c>
      <c r="P300" s="51" t="str">
        <f t="shared" si="29"/>
        <v/>
      </c>
      <c r="Q300" s="52" t="str">
        <f t="shared" si="30"/>
        <v/>
      </c>
      <c r="R300" s="52" t="str">
        <f t="shared" si="31"/>
        <v/>
      </c>
      <c r="S300" s="51" t="str">
        <f t="shared" si="32"/>
        <v>SIM</v>
      </c>
      <c r="T300" t="str">
        <f t="shared" si="33"/>
        <v>BL1132-0001-UT-FEN-2012</v>
      </c>
      <c r="U300" s="52">
        <f t="shared" si="34"/>
        <v>46258</v>
      </c>
    </row>
    <row r="301" spans="2:21" x14ac:dyDescent="0.25">
      <c r="B301">
        <v>308</v>
      </c>
      <c r="C301" t="s">
        <v>277</v>
      </c>
      <c r="D301" t="s">
        <v>1382</v>
      </c>
      <c r="E301" t="s">
        <v>1520</v>
      </c>
      <c r="F301" t="s">
        <v>1519</v>
      </c>
      <c r="G301">
        <v>4</v>
      </c>
      <c r="H301" s="48">
        <v>0</v>
      </c>
      <c r="I301" s="50">
        <v>0</v>
      </c>
      <c r="J301" s="50">
        <v>46262</v>
      </c>
      <c r="K301" s="54">
        <v>46267</v>
      </c>
      <c r="L301" s="54">
        <v>46258</v>
      </c>
      <c r="M301" s="54">
        <v>46261</v>
      </c>
      <c r="O301" s="51" t="str">
        <f t="shared" si="28"/>
        <v/>
      </c>
      <c r="P301" s="51" t="str">
        <f t="shared" si="29"/>
        <v/>
      </c>
      <c r="Q301" s="52" t="str">
        <f t="shared" si="30"/>
        <v/>
      </c>
      <c r="R301" s="52" t="str">
        <f t="shared" si="31"/>
        <v/>
      </c>
      <c r="S301" s="51" t="str">
        <f t="shared" si="32"/>
        <v/>
      </c>
      <c r="T301" t="str">
        <f t="shared" si="33"/>
        <v/>
      </c>
      <c r="U301" s="52" t="str">
        <f t="shared" si="34"/>
        <v/>
      </c>
    </row>
    <row r="302" spans="2:21" x14ac:dyDescent="0.25">
      <c r="B302">
        <v>309</v>
      </c>
      <c r="E302" t="s">
        <v>1631</v>
      </c>
      <c r="F302" t="s">
        <v>1632</v>
      </c>
      <c r="G302">
        <v>49</v>
      </c>
      <c r="H302" s="48">
        <v>4.5100000000000001E-2</v>
      </c>
      <c r="I302" s="50">
        <v>0.1333</v>
      </c>
      <c r="J302" s="50">
        <v>46213</v>
      </c>
      <c r="K302" s="54">
        <v>46258</v>
      </c>
      <c r="L302" s="54">
        <v>46204</v>
      </c>
      <c r="M302" s="54">
        <v>46252</v>
      </c>
      <c r="O302" s="51" t="str">
        <f t="shared" si="28"/>
        <v/>
      </c>
      <c r="P302" s="51" t="str">
        <f t="shared" si="29"/>
        <v/>
      </c>
      <c r="Q302" s="52" t="str">
        <f t="shared" si="30"/>
        <v/>
      </c>
      <c r="R302" s="52" t="str">
        <f t="shared" si="31"/>
        <v/>
      </c>
      <c r="S302" s="51" t="str">
        <f t="shared" si="32"/>
        <v/>
      </c>
      <c r="T302" t="str">
        <f t="shared" si="33"/>
        <v/>
      </c>
      <c r="U302" s="52" t="str">
        <f t="shared" si="34"/>
        <v/>
      </c>
    </row>
    <row r="303" spans="2:21" x14ac:dyDescent="0.25">
      <c r="B303">
        <v>310</v>
      </c>
      <c r="E303" t="s">
        <v>1560</v>
      </c>
      <c r="F303" t="s">
        <v>1632</v>
      </c>
      <c r="G303">
        <v>49</v>
      </c>
      <c r="H303" s="48">
        <v>4.5100000000000001E-2</v>
      </c>
      <c r="I303" s="50">
        <v>0.1333</v>
      </c>
      <c r="J303" s="50">
        <v>46213</v>
      </c>
      <c r="K303" s="54">
        <v>46258</v>
      </c>
      <c r="L303" s="54">
        <v>46204</v>
      </c>
      <c r="M303" s="54">
        <v>46252</v>
      </c>
      <c r="O303" s="51" t="str">
        <f t="shared" si="28"/>
        <v/>
      </c>
      <c r="P303" s="51" t="str">
        <f t="shared" si="29"/>
        <v/>
      </c>
      <c r="Q303" s="52" t="str">
        <f t="shared" si="30"/>
        <v/>
      </c>
      <c r="R303" s="52" t="str">
        <f t="shared" si="31"/>
        <v/>
      </c>
      <c r="S303" s="51" t="str">
        <f t="shared" si="32"/>
        <v/>
      </c>
      <c r="T303" t="str">
        <f t="shared" si="33"/>
        <v/>
      </c>
      <c r="U303" s="52" t="str">
        <f t="shared" si="34"/>
        <v/>
      </c>
    </row>
    <row r="304" spans="2:21" x14ac:dyDescent="0.25">
      <c r="B304">
        <v>311</v>
      </c>
      <c r="E304" t="s">
        <v>1624</v>
      </c>
      <c r="F304" t="s">
        <v>1632</v>
      </c>
      <c r="G304">
        <v>49</v>
      </c>
      <c r="H304" s="48">
        <v>4.5100000000000001E-2</v>
      </c>
      <c r="I304" s="50">
        <v>0.1333</v>
      </c>
      <c r="J304" s="50">
        <v>46213</v>
      </c>
      <c r="K304" s="54">
        <v>46258</v>
      </c>
      <c r="L304" s="54">
        <v>46204</v>
      </c>
      <c r="M304" s="54">
        <v>46252</v>
      </c>
      <c r="O304" s="51" t="str">
        <f t="shared" si="28"/>
        <v/>
      </c>
      <c r="P304" s="51" t="str">
        <f t="shared" si="29"/>
        <v/>
      </c>
      <c r="Q304" s="52" t="str">
        <f t="shared" si="30"/>
        <v/>
      </c>
      <c r="R304" s="52" t="str">
        <f t="shared" si="31"/>
        <v/>
      </c>
      <c r="S304" s="51" t="str">
        <f t="shared" si="32"/>
        <v/>
      </c>
      <c r="T304" t="str">
        <f t="shared" si="33"/>
        <v/>
      </c>
      <c r="U304" s="52" t="str">
        <f t="shared" si="34"/>
        <v/>
      </c>
    </row>
    <row r="305" spans="2:21" x14ac:dyDescent="0.25">
      <c r="B305">
        <v>312</v>
      </c>
      <c r="C305" t="s">
        <v>281</v>
      </c>
      <c r="D305" t="s">
        <v>1395</v>
      </c>
      <c r="E305" t="s">
        <v>1633</v>
      </c>
      <c r="F305" t="s">
        <v>1535</v>
      </c>
      <c r="G305">
        <v>20</v>
      </c>
      <c r="H305" s="48">
        <v>0.27039999999999997</v>
      </c>
      <c r="I305" s="50">
        <v>0.8</v>
      </c>
      <c r="J305" s="50">
        <v>46213</v>
      </c>
      <c r="K305" s="54">
        <v>46232</v>
      </c>
      <c r="L305" s="54">
        <v>46204</v>
      </c>
      <c r="M305" s="54">
        <v>46223</v>
      </c>
      <c r="O305" s="51" t="str">
        <f t="shared" si="28"/>
        <v/>
      </c>
      <c r="P305" s="51" t="str">
        <f t="shared" si="29"/>
        <v/>
      </c>
      <c r="Q305" s="52" t="str">
        <f t="shared" si="30"/>
        <v/>
      </c>
      <c r="R305" s="52" t="str">
        <f t="shared" si="31"/>
        <v/>
      </c>
      <c r="S305" s="51" t="str">
        <f t="shared" si="32"/>
        <v/>
      </c>
      <c r="T305" t="str">
        <f t="shared" si="33"/>
        <v/>
      </c>
      <c r="U305" s="52" t="str">
        <f t="shared" si="34"/>
        <v/>
      </c>
    </row>
    <row r="306" spans="2:21" x14ac:dyDescent="0.25">
      <c r="B306">
        <v>313</v>
      </c>
      <c r="C306" t="s">
        <v>281</v>
      </c>
      <c r="D306" t="s">
        <v>1395</v>
      </c>
      <c r="E306" t="s">
        <v>1515</v>
      </c>
      <c r="F306" t="s">
        <v>1525</v>
      </c>
      <c r="G306">
        <v>7</v>
      </c>
      <c r="H306" s="48">
        <v>0.39</v>
      </c>
      <c r="I306" s="50">
        <v>1</v>
      </c>
      <c r="J306" s="50">
        <v>46213</v>
      </c>
      <c r="K306" s="54">
        <v>46219</v>
      </c>
      <c r="L306" s="54">
        <v>46204</v>
      </c>
      <c r="M306" s="54">
        <v>46210</v>
      </c>
      <c r="O306" s="51" t="str">
        <f t="shared" si="28"/>
        <v>SIM</v>
      </c>
      <c r="P306" s="51" t="str">
        <f t="shared" si="29"/>
        <v>BL1132-0001-UT-MCA-2001</v>
      </c>
      <c r="Q306" s="52">
        <f t="shared" si="30"/>
        <v>46210</v>
      </c>
      <c r="R306" s="52">
        <f t="shared" si="31"/>
        <v>46219</v>
      </c>
      <c r="S306" s="51" t="str">
        <f t="shared" si="32"/>
        <v/>
      </c>
      <c r="T306" t="str">
        <f t="shared" si="33"/>
        <v/>
      </c>
      <c r="U306" s="52" t="str">
        <f t="shared" si="34"/>
        <v/>
      </c>
    </row>
    <row r="307" spans="2:21" x14ac:dyDescent="0.25">
      <c r="B307">
        <v>314</v>
      </c>
      <c r="C307" t="s">
        <v>281</v>
      </c>
      <c r="D307" t="s">
        <v>1395</v>
      </c>
      <c r="E307" t="s">
        <v>1517</v>
      </c>
      <c r="F307" t="s">
        <v>1519</v>
      </c>
      <c r="G307">
        <v>4</v>
      </c>
      <c r="H307" s="48">
        <v>0</v>
      </c>
      <c r="I307" s="50">
        <v>1</v>
      </c>
      <c r="J307" s="50">
        <v>46219</v>
      </c>
      <c r="K307" s="54">
        <v>46224</v>
      </c>
      <c r="L307" s="54">
        <v>46210</v>
      </c>
      <c r="M307" s="54">
        <v>46213</v>
      </c>
      <c r="O307" s="51" t="str">
        <f t="shared" si="28"/>
        <v/>
      </c>
      <c r="P307" s="51" t="str">
        <f t="shared" si="29"/>
        <v/>
      </c>
      <c r="Q307" s="52" t="str">
        <f t="shared" si="30"/>
        <v/>
      </c>
      <c r="R307" s="52" t="str">
        <f t="shared" si="31"/>
        <v/>
      </c>
      <c r="S307" s="51" t="str">
        <f t="shared" si="32"/>
        <v/>
      </c>
      <c r="T307" t="str">
        <f t="shared" si="33"/>
        <v/>
      </c>
      <c r="U307" s="52" t="str">
        <f t="shared" si="34"/>
        <v/>
      </c>
    </row>
    <row r="308" spans="2:21" x14ac:dyDescent="0.25">
      <c r="B308">
        <v>315</v>
      </c>
      <c r="C308" t="s">
        <v>281</v>
      </c>
      <c r="D308" t="s">
        <v>1395</v>
      </c>
      <c r="E308" t="s">
        <v>1518</v>
      </c>
      <c r="F308" t="s">
        <v>1519</v>
      </c>
      <c r="G308">
        <v>6</v>
      </c>
      <c r="H308" s="48">
        <v>0</v>
      </c>
      <c r="I308" s="50">
        <v>0</v>
      </c>
      <c r="J308" s="50">
        <v>46224</v>
      </c>
      <c r="K308" s="54">
        <v>46227</v>
      </c>
      <c r="L308" s="54">
        <v>46213</v>
      </c>
      <c r="M308" s="54">
        <v>46218</v>
      </c>
      <c r="O308" s="51" t="str">
        <f t="shared" si="28"/>
        <v/>
      </c>
      <c r="P308" s="51" t="str">
        <f t="shared" si="29"/>
        <v/>
      </c>
      <c r="Q308" s="52" t="str">
        <f t="shared" si="30"/>
        <v/>
      </c>
      <c r="R308" s="52" t="str">
        <f t="shared" si="31"/>
        <v/>
      </c>
      <c r="S308" s="51" t="str">
        <f t="shared" si="32"/>
        <v>SIM</v>
      </c>
      <c r="T308" t="str">
        <f t="shared" si="33"/>
        <v>BL1132-0001-UT-MCA-2001</v>
      </c>
      <c r="U308" s="52">
        <f t="shared" si="34"/>
        <v>46218</v>
      </c>
    </row>
    <row r="309" spans="2:21" x14ac:dyDescent="0.25">
      <c r="B309">
        <v>316</v>
      </c>
      <c r="C309" t="s">
        <v>281</v>
      </c>
      <c r="D309" t="s">
        <v>1395</v>
      </c>
      <c r="E309" t="s">
        <v>1520</v>
      </c>
      <c r="F309" t="s">
        <v>1519</v>
      </c>
      <c r="G309">
        <v>6</v>
      </c>
      <c r="H309" s="48">
        <v>0</v>
      </c>
      <c r="I309" s="50">
        <v>0</v>
      </c>
      <c r="J309" s="50">
        <v>46227</v>
      </c>
      <c r="K309" s="54">
        <v>46232</v>
      </c>
      <c r="L309" s="54">
        <v>46218</v>
      </c>
      <c r="M309" s="54">
        <v>46223</v>
      </c>
      <c r="O309" s="51" t="str">
        <f t="shared" si="28"/>
        <v/>
      </c>
      <c r="P309" s="51" t="str">
        <f t="shared" si="29"/>
        <v/>
      </c>
      <c r="Q309" s="52" t="str">
        <f t="shared" si="30"/>
        <v/>
      </c>
      <c r="R309" s="52" t="str">
        <f t="shared" si="31"/>
        <v/>
      </c>
      <c r="S309" s="51" t="str">
        <f t="shared" si="32"/>
        <v/>
      </c>
      <c r="T309" t="str">
        <f t="shared" si="33"/>
        <v/>
      </c>
      <c r="U309" s="52" t="str">
        <f t="shared" si="34"/>
        <v/>
      </c>
    </row>
    <row r="310" spans="2:21" x14ac:dyDescent="0.25">
      <c r="B310">
        <v>317</v>
      </c>
      <c r="C310" t="s">
        <v>283</v>
      </c>
      <c r="D310" t="s">
        <v>1401</v>
      </c>
      <c r="E310" t="s">
        <v>1634</v>
      </c>
      <c r="F310" t="s">
        <v>1535</v>
      </c>
      <c r="G310">
        <v>20</v>
      </c>
      <c r="H310" s="48">
        <v>0</v>
      </c>
      <c r="I310" s="50">
        <v>0</v>
      </c>
      <c r="J310" s="50">
        <v>46219</v>
      </c>
      <c r="K310" s="54">
        <v>46238</v>
      </c>
      <c r="L310" s="54">
        <v>46213</v>
      </c>
      <c r="M310" s="54">
        <v>46232</v>
      </c>
      <c r="O310" s="51" t="str">
        <f t="shared" si="28"/>
        <v/>
      </c>
      <c r="P310" s="51" t="str">
        <f t="shared" si="29"/>
        <v/>
      </c>
      <c r="Q310" s="52" t="str">
        <f t="shared" si="30"/>
        <v/>
      </c>
      <c r="R310" s="52" t="str">
        <f t="shared" si="31"/>
        <v/>
      </c>
      <c r="S310" s="51" t="str">
        <f t="shared" si="32"/>
        <v/>
      </c>
      <c r="T310" t="str">
        <f t="shared" si="33"/>
        <v/>
      </c>
      <c r="U310" s="52" t="str">
        <f t="shared" si="34"/>
        <v/>
      </c>
    </row>
    <row r="311" spans="2:21" x14ac:dyDescent="0.25">
      <c r="B311">
        <v>318</v>
      </c>
      <c r="C311" t="s">
        <v>283</v>
      </c>
      <c r="D311" t="s">
        <v>1401</v>
      </c>
      <c r="E311" t="s">
        <v>1515</v>
      </c>
      <c r="F311" t="s">
        <v>1525</v>
      </c>
      <c r="G311">
        <v>7</v>
      </c>
      <c r="H311" s="48">
        <v>0</v>
      </c>
      <c r="I311" s="50">
        <v>0</v>
      </c>
      <c r="J311" s="50">
        <v>46219</v>
      </c>
      <c r="K311" s="54">
        <v>46225</v>
      </c>
      <c r="L311" s="54">
        <v>46213</v>
      </c>
      <c r="M311" s="54">
        <v>46219</v>
      </c>
      <c r="O311" s="51" t="str">
        <f t="shared" si="28"/>
        <v>SIM</v>
      </c>
      <c r="P311" s="51" t="str">
        <f t="shared" si="29"/>
        <v>BL1132-0001-UT-MCA-2003</v>
      </c>
      <c r="Q311" s="52">
        <f t="shared" si="30"/>
        <v>46219</v>
      </c>
      <c r="R311" s="52">
        <f t="shared" si="31"/>
        <v>46225</v>
      </c>
      <c r="S311" s="51" t="str">
        <f t="shared" si="32"/>
        <v/>
      </c>
      <c r="T311" t="str">
        <f t="shared" si="33"/>
        <v/>
      </c>
      <c r="U311" s="52" t="str">
        <f t="shared" si="34"/>
        <v/>
      </c>
    </row>
    <row r="312" spans="2:21" x14ac:dyDescent="0.25">
      <c r="B312">
        <v>319</v>
      </c>
      <c r="C312" t="s">
        <v>283</v>
      </c>
      <c r="D312" t="s">
        <v>1401</v>
      </c>
      <c r="E312" t="s">
        <v>1517</v>
      </c>
      <c r="F312" t="s">
        <v>1519</v>
      </c>
      <c r="G312">
        <v>6</v>
      </c>
      <c r="H312" s="48">
        <v>0</v>
      </c>
      <c r="I312" s="50">
        <v>0</v>
      </c>
      <c r="J312" s="50">
        <v>46225</v>
      </c>
      <c r="K312" s="54">
        <v>46230</v>
      </c>
      <c r="L312" s="54">
        <v>46219</v>
      </c>
      <c r="M312" s="54">
        <v>46224</v>
      </c>
      <c r="O312" s="51" t="str">
        <f t="shared" si="28"/>
        <v/>
      </c>
      <c r="P312" s="51" t="str">
        <f t="shared" si="29"/>
        <v/>
      </c>
      <c r="Q312" s="52" t="str">
        <f t="shared" si="30"/>
        <v/>
      </c>
      <c r="R312" s="52" t="str">
        <f t="shared" si="31"/>
        <v/>
      </c>
      <c r="S312" s="51" t="str">
        <f t="shared" si="32"/>
        <v/>
      </c>
      <c r="T312" t="str">
        <f t="shared" si="33"/>
        <v/>
      </c>
      <c r="U312" s="52" t="str">
        <f t="shared" si="34"/>
        <v/>
      </c>
    </row>
    <row r="313" spans="2:21" x14ac:dyDescent="0.25">
      <c r="B313">
        <v>320</v>
      </c>
      <c r="C313" t="s">
        <v>283</v>
      </c>
      <c r="D313" t="s">
        <v>1401</v>
      </c>
      <c r="E313" t="s">
        <v>1518</v>
      </c>
      <c r="F313" t="s">
        <v>1519</v>
      </c>
      <c r="G313">
        <v>4</v>
      </c>
      <c r="H313" s="48">
        <v>0</v>
      </c>
      <c r="I313" s="50">
        <v>0</v>
      </c>
      <c r="J313" s="50">
        <v>46230</v>
      </c>
      <c r="K313" s="54">
        <v>46233</v>
      </c>
      <c r="L313" s="54">
        <v>46224</v>
      </c>
      <c r="M313" s="54">
        <v>46227</v>
      </c>
      <c r="O313" s="51" t="str">
        <f t="shared" si="28"/>
        <v/>
      </c>
      <c r="P313" s="51" t="str">
        <f t="shared" si="29"/>
        <v/>
      </c>
      <c r="Q313" s="52" t="str">
        <f t="shared" si="30"/>
        <v/>
      </c>
      <c r="R313" s="52" t="str">
        <f t="shared" si="31"/>
        <v/>
      </c>
      <c r="S313" s="51" t="str">
        <f t="shared" si="32"/>
        <v>SIM</v>
      </c>
      <c r="T313" t="str">
        <f t="shared" si="33"/>
        <v>BL1132-0001-UT-MCA-2003</v>
      </c>
      <c r="U313" s="52">
        <f t="shared" si="34"/>
        <v>46227</v>
      </c>
    </row>
    <row r="314" spans="2:21" x14ac:dyDescent="0.25">
      <c r="B314">
        <v>321</v>
      </c>
      <c r="C314" t="s">
        <v>283</v>
      </c>
      <c r="D314" t="s">
        <v>1401</v>
      </c>
      <c r="E314" t="s">
        <v>1520</v>
      </c>
      <c r="F314" t="s">
        <v>1519</v>
      </c>
      <c r="G314">
        <v>6</v>
      </c>
      <c r="H314" s="48">
        <v>0</v>
      </c>
      <c r="I314" s="50">
        <v>0</v>
      </c>
      <c r="J314" s="50">
        <v>46233</v>
      </c>
      <c r="K314" s="54">
        <v>46238</v>
      </c>
      <c r="L314" s="54">
        <v>46227</v>
      </c>
      <c r="M314" s="54">
        <v>46232</v>
      </c>
      <c r="O314" s="51" t="str">
        <f t="shared" si="28"/>
        <v/>
      </c>
      <c r="P314" s="51" t="str">
        <f t="shared" si="29"/>
        <v/>
      </c>
      <c r="Q314" s="52" t="str">
        <f t="shared" si="30"/>
        <v/>
      </c>
      <c r="R314" s="52" t="str">
        <f t="shared" si="31"/>
        <v/>
      </c>
      <c r="S314" s="51" t="str">
        <f t="shared" si="32"/>
        <v/>
      </c>
      <c r="T314" t="str">
        <f t="shared" si="33"/>
        <v/>
      </c>
      <c r="U314" s="52" t="str">
        <f t="shared" si="34"/>
        <v/>
      </c>
    </row>
    <row r="315" spans="2:21" x14ac:dyDescent="0.25">
      <c r="B315">
        <v>322</v>
      </c>
      <c r="C315" t="s">
        <v>273</v>
      </c>
      <c r="D315" t="s">
        <v>1363</v>
      </c>
      <c r="E315" t="s">
        <v>1635</v>
      </c>
      <c r="F315" t="s">
        <v>1535</v>
      </c>
      <c r="G315">
        <v>20</v>
      </c>
      <c r="H315" s="48">
        <v>0</v>
      </c>
      <c r="I315" s="50">
        <v>0</v>
      </c>
      <c r="J315" s="50">
        <v>46225</v>
      </c>
      <c r="K315" s="54">
        <v>46244</v>
      </c>
      <c r="L315" s="54">
        <v>46219</v>
      </c>
      <c r="M315" s="54">
        <v>46238</v>
      </c>
      <c r="O315" s="51" t="str">
        <f t="shared" si="28"/>
        <v/>
      </c>
      <c r="P315" s="51" t="str">
        <f t="shared" si="29"/>
        <v/>
      </c>
      <c r="Q315" s="52" t="str">
        <f t="shared" si="30"/>
        <v/>
      </c>
      <c r="R315" s="52" t="str">
        <f t="shared" si="31"/>
        <v/>
      </c>
      <c r="S315" s="51" t="str">
        <f t="shared" si="32"/>
        <v/>
      </c>
      <c r="T315" t="str">
        <f t="shared" si="33"/>
        <v/>
      </c>
      <c r="U315" s="52" t="str">
        <f t="shared" si="34"/>
        <v/>
      </c>
    </row>
    <row r="316" spans="2:21" x14ac:dyDescent="0.25">
      <c r="B316">
        <v>323</v>
      </c>
      <c r="C316" t="s">
        <v>273</v>
      </c>
      <c r="D316" t="s">
        <v>1363</v>
      </c>
      <c r="E316" t="s">
        <v>1515</v>
      </c>
      <c r="F316" t="s">
        <v>1525</v>
      </c>
      <c r="G316">
        <v>7</v>
      </c>
      <c r="H316" s="48">
        <v>0</v>
      </c>
      <c r="I316" s="50">
        <v>0</v>
      </c>
      <c r="J316" s="50">
        <v>46225</v>
      </c>
      <c r="K316" s="54">
        <v>46231</v>
      </c>
      <c r="L316" s="54">
        <v>46219</v>
      </c>
      <c r="M316" s="54">
        <v>46225</v>
      </c>
      <c r="O316" s="51" t="str">
        <f t="shared" si="28"/>
        <v>SIM</v>
      </c>
      <c r="P316" s="51" t="str">
        <f t="shared" si="29"/>
        <v>BL1132-0001-UT-FEN-2008</v>
      </c>
      <c r="Q316" s="52">
        <f t="shared" si="30"/>
        <v>46225</v>
      </c>
      <c r="R316" s="52">
        <f t="shared" si="31"/>
        <v>46231</v>
      </c>
      <c r="S316" s="51" t="str">
        <f t="shared" si="32"/>
        <v/>
      </c>
      <c r="T316" t="str">
        <f t="shared" si="33"/>
        <v/>
      </c>
      <c r="U316" s="52" t="str">
        <f t="shared" si="34"/>
        <v/>
      </c>
    </row>
    <row r="317" spans="2:21" x14ac:dyDescent="0.25">
      <c r="B317">
        <v>324</v>
      </c>
      <c r="C317" t="s">
        <v>273</v>
      </c>
      <c r="D317" t="s">
        <v>1363</v>
      </c>
      <c r="E317" t="s">
        <v>1517</v>
      </c>
      <c r="F317" t="s">
        <v>1519</v>
      </c>
      <c r="G317">
        <v>6</v>
      </c>
      <c r="H317" s="48">
        <v>0</v>
      </c>
      <c r="I317" s="50">
        <v>0</v>
      </c>
      <c r="J317" s="50">
        <v>46231</v>
      </c>
      <c r="K317" s="54">
        <v>46234</v>
      </c>
      <c r="L317" s="54">
        <v>46225</v>
      </c>
      <c r="M317" s="54">
        <v>46230</v>
      </c>
      <c r="O317" s="51" t="str">
        <f t="shared" si="28"/>
        <v/>
      </c>
      <c r="P317" s="51" t="str">
        <f t="shared" si="29"/>
        <v/>
      </c>
      <c r="Q317" s="52" t="str">
        <f t="shared" si="30"/>
        <v/>
      </c>
      <c r="R317" s="52" t="str">
        <f t="shared" si="31"/>
        <v/>
      </c>
      <c r="S317" s="51" t="str">
        <f t="shared" si="32"/>
        <v/>
      </c>
      <c r="T317" t="str">
        <f t="shared" si="33"/>
        <v/>
      </c>
      <c r="U317" s="52" t="str">
        <f t="shared" si="34"/>
        <v/>
      </c>
    </row>
    <row r="318" spans="2:21" x14ac:dyDescent="0.25">
      <c r="B318">
        <v>325</v>
      </c>
      <c r="C318" t="s">
        <v>273</v>
      </c>
      <c r="D318" t="s">
        <v>1363</v>
      </c>
      <c r="E318" t="s">
        <v>1518</v>
      </c>
      <c r="F318" t="s">
        <v>1519</v>
      </c>
      <c r="G318">
        <v>4</v>
      </c>
      <c r="H318" s="48">
        <v>0</v>
      </c>
      <c r="I318" s="50">
        <v>0</v>
      </c>
      <c r="J318" s="50">
        <v>46234</v>
      </c>
      <c r="K318" s="54">
        <v>46239</v>
      </c>
      <c r="L318" s="54">
        <v>46230</v>
      </c>
      <c r="M318" s="54">
        <v>46233</v>
      </c>
      <c r="O318" s="51" t="str">
        <f t="shared" si="28"/>
        <v/>
      </c>
      <c r="P318" s="51" t="str">
        <f t="shared" si="29"/>
        <v/>
      </c>
      <c r="Q318" s="52" t="str">
        <f t="shared" si="30"/>
        <v/>
      </c>
      <c r="R318" s="52" t="str">
        <f t="shared" si="31"/>
        <v/>
      </c>
      <c r="S318" s="51" t="str">
        <f t="shared" si="32"/>
        <v>SIM</v>
      </c>
      <c r="T318" t="str">
        <f t="shared" si="33"/>
        <v>BL1132-0001-UT-FEN-2008</v>
      </c>
      <c r="U318" s="52">
        <f t="shared" si="34"/>
        <v>46233</v>
      </c>
    </row>
    <row r="319" spans="2:21" x14ac:dyDescent="0.25">
      <c r="B319">
        <v>326</v>
      </c>
      <c r="C319" t="s">
        <v>273</v>
      </c>
      <c r="D319" t="s">
        <v>1363</v>
      </c>
      <c r="E319" t="s">
        <v>1520</v>
      </c>
      <c r="F319" t="s">
        <v>1519</v>
      </c>
      <c r="G319">
        <v>6</v>
      </c>
      <c r="H319" s="48">
        <v>0</v>
      </c>
      <c r="I319" s="50">
        <v>0</v>
      </c>
      <c r="J319" s="50">
        <v>46239</v>
      </c>
      <c r="K319" s="54">
        <v>46244</v>
      </c>
      <c r="L319" s="54">
        <v>46233</v>
      </c>
      <c r="M319" s="54">
        <v>46238</v>
      </c>
      <c r="O319" s="51" t="str">
        <f t="shared" si="28"/>
        <v/>
      </c>
      <c r="P319" s="51" t="str">
        <f t="shared" si="29"/>
        <v/>
      </c>
      <c r="Q319" s="52" t="str">
        <f t="shared" si="30"/>
        <v/>
      </c>
      <c r="R319" s="52" t="str">
        <f t="shared" si="31"/>
        <v/>
      </c>
      <c r="S319" s="51" t="str">
        <f t="shared" si="32"/>
        <v/>
      </c>
      <c r="T319" t="str">
        <f t="shared" si="33"/>
        <v/>
      </c>
      <c r="U319" s="52" t="str">
        <f t="shared" si="34"/>
        <v/>
      </c>
    </row>
    <row r="320" spans="2:21" x14ac:dyDescent="0.25">
      <c r="B320">
        <v>327</v>
      </c>
      <c r="C320" t="s">
        <v>275</v>
      </c>
      <c r="D320" t="s">
        <v>1373</v>
      </c>
      <c r="E320" t="s">
        <v>1636</v>
      </c>
      <c r="F320" t="s">
        <v>1535</v>
      </c>
      <c r="G320">
        <v>20</v>
      </c>
      <c r="H320" s="48">
        <v>0</v>
      </c>
      <c r="I320" s="50">
        <v>0</v>
      </c>
      <c r="J320" s="50">
        <v>46231</v>
      </c>
      <c r="K320" s="54">
        <v>46248</v>
      </c>
      <c r="L320" s="54">
        <v>46225</v>
      </c>
      <c r="M320" s="54">
        <v>46244</v>
      </c>
      <c r="O320" s="51" t="str">
        <f t="shared" si="28"/>
        <v/>
      </c>
      <c r="P320" s="51" t="str">
        <f t="shared" si="29"/>
        <v/>
      </c>
      <c r="Q320" s="52" t="str">
        <f t="shared" si="30"/>
        <v/>
      </c>
      <c r="R320" s="52" t="str">
        <f t="shared" si="31"/>
        <v/>
      </c>
      <c r="S320" s="51" t="str">
        <f t="shared" si="32"/>
        <v/>
      </c>
      <c r="T320" t="str">
        <f t="shared" si="33"/>
        <v/>
      </c>
      <c r="U320" s="52" t="str">
        <f t="shared" si="34"/>
        <v/>
      </c>
    </row>
    <row r="321" spans="2:21" x14ac:dyDescent="0.25">
      <c r="B321">
        <v>328</v>
      </c>
      <c r="C321" t="s">
        <v>275</v>
      </c>
      <c r="D321" t="s">
        <v>1373</v>
      </c>
      <c r="E321" t="s">
        <v>1515</v>
      </c>
      <c r="F321" t="s">
        <v>1525</v>
      </c>
      <c r="G321">
        <v>7</v>
      </c>
      <c r="H321" s="48">
        <v>0</v>
      </c>
      <c r="I321" s="50">
        <v>0</v>
      </c>
      <c r="J321" s="50">
        <v>46231</v>
      </c>
      <c r="K321" s="54">
        <v>46237</v>
      </c>
      <c r="L321" s="54">
        <v>46225</v>
      </c>
      <c r="M321" s="54">
        <v>46231</v>
      </c>
      <c r="O321" s="51" t="str">
        <f t="shared" si="28"/>
        <v>SIM</v>
      </c>
      <c r="P321" s="51" t="str">
        <f t="shared" si="29"/>
        <v>BL1132-0001-UT-FEN-2010</v>
      </c>
      <c r="Q321" s="52">
        <f t="shared" si="30"/>
        <v>46231</v>
      </c>
      <c r="R321" s="52">
        <f t="shared" si="31"/>
        <v>46237</v>
      </c>
      <c r="S321" s="51" t="str">
        <f t="shared" si="32"/>
        <v/>
      </c>
      <c r="T321" t="str">
        <f t="shared" si="33"/>
        <v/>
      </c>
      <c r="U321" s="52" t="str">
        <f t="shared" si="34"/>
        <v/>
      </c>
    </row>
    <row r="322" spans="2:21" x14ac:dyDescent="0.25">
      <c r="B322">
        <v>329</v>
      </c>
      <c r="C322" t="s">
        <v>275</v>
      </c>
      <c r="D322" t="s">
        <v>1373</v>
      </c>
      <c r="E322" t="s">
        <v>1517</v>
      </c>
      <c r="F322" t="s">
        <v>1519</v>
      </c>
      <c r="G322">
        <v>4</v>
      </c>
      <c r="H322" s="48">
        <v>0</v>
      </c>
      <c r="I322" s="50">
        <v>0</v>
      </c>
      <c r="J322" s="50">
        <v>46237</v>
      </c>
      <c r="K322" s="54">
        <v>46240</v>
      </c>
      <c r="L322" s="54">
        <v>46231</v>
      </c>
      <c r="M322" s="54">
        <v>46234</v>
      </c>
      <c r="O322" s="51" t="str">
        <f t="shared" si="28"/>
        <v/>
      </c>
      <c r="P322" s="51" t="str">
        <f t="shared" si="29"/>
        <v/>
      </c>
      <c r="Q322" s="52" t="str">
        <f t="shared" si="30"/>
        <v/>
      </c>
      <c r="R322" s="52" t="str">
        <f t="shared" si="31"/>
        <v/>
      </c>
      <c r="S322" s="51" t="str">
        <f t="shared" si="32"/>
        <v/>
      </c>
      <c r="T322" t="str">
        <f t="shared" si="33"/>
        <v/>
      </c>
      <c r="U322" s="52" t="str">
        <f t="shared" si="34"/>
        <v/>
      </c>
    </row>
    <row r="323" spans="2:21" x14ac:dyDescent="0.25">
      <c r="B323">
        <v>330</v>
      </c>
      <c r="C323" t="s">
        <v>275</v>
      </c>
      <c r="D323" t="s">
        <v>1373</v>
      </c>
      <c r="E323" t="s">
        <v>1518</v>
      </c>
      <c r="F323" t="s">
        <v>1519</v>
      </c>
      <c r="G323">
        <v>6</v>
      </c>
      <c r="H323" s="48">
        <v>0</v>
      </c>
      <c r="I323" s="50">
        <v>0</v>
      </c>
      <c r="J323" s="50">
        <v>46240</v>
      </c>
      <c r="K323" s="54">
        <v>46245</v>
      </c>
      <c r="L323" s="54">
        <v>46234</v>
      </c>
      <c r="M323" s="54">
        <v>46239</v>
      </c>
      <c r="O323" s="51" t="str">
        <f t="shared" ref="O323:O386" si="35">IF(OR(E323 = "                           1 - Emissão Inicial",E323="                  1 - Emissão após Design Review 1",E323 = "                  1 - Emissão para conhecimento",E323 = "                  1 - Emissão Final",E323 = "         Lista de Documentos",E323 = "         Elaboração do cronograma",E323 = "         Norma de Coordenação"), "SIM", "")</f>
        <v/>
      </c>
      <c r="P323" s="51" t="str">
        <f t="shared" ref="P323:P386" si="36">IF(O323="SIM",C323,"")</f>
        <v/>
      </c>
      <c r="Q323" s="52" t="str">
        <f t="shared" ref="Q323:Q386" si="37">IF(O323="SIM",M323,"")</f>
        <v/>
      </c>
      <c r="R323" s="52" t="str">
        <f t="shared" ref="R323:R386" si="38">IF(O323="SIM",K323,"")</f>
        <v/>
      </c>
      <c r="S323" s="51" t="str">
        <f t="shared" ref="S323:S386" si="39">IF(OR(E323 = "                           3 - Atendimento de Comentários",E323="                  1 - Emissão após Design Review 1",E323 = "                  1 - Emissão para conhecimento",E323 = "                  1 - Emissão Final",E323 = "         Lista de Documentos",E323 = "         Elaboração do cronograma",E323 = "         Norma de Coordenação"), "SIM", "")</f>
        <v>SIM</v>
      </c>
      <c r="T323" t="str">
        <f t="shared" ref="T323:T386" si="40">IF(S323="SIM",C323,"")</f>
        <v>BL1132-0001-UT-FEN-2010</v>
      </c>
      <c r="U323" s="52">
        <f t="shared" ref="U323:U386" si="41">IF(S323="SIM",M323,"")</f>
        <v>46239</v>
      </c>
    </row>
    <row r="324" spans="2:21" x14ac:dyDescent="0.25">
      <c r="B324">
        <v>331</v>
      </c>
      <c r="C324" t="s">
        <v>275</v>
      </c>
      <c r="D324" t="s">
        <v>1373</v>
      </c>
      <c r="E324" t="s">
        <v>1520</v>
      </c>
      <c r="F324" t="s">
        <v>1519</v>
      </c>
      <c r="G324">
        <v>6</v>
      </c>
      <c r="H324" s="48">
        <v>0</v>
      </c>
      <c r="I324" s="50">
        <v>0</v>
      </c>
      <c r="J324" s="50">
        <v>46245</v>
      </c>
      <c r="K324" s="54">
        <v>46248</v>
      </c>
      <c r="L324" s="54">
        <v>46239</v>
      </c>
      <c r="M324" s="54">
        <v>46244</v>
      </c>
      <c r="O324" s="51" t="str">
        <f t="shared" si="35"/>
        <v/>
      </c>
      <c r="P324" s="51" t="str">
        <f t="shared" si="36"/>
        <v/>
      </c>
      <c r="Q324" s="52" t="str">
        <f t="shared" si="37"/>
        <v/>
      </c>
      <c r="R324" s="52" t="str">
        <f t="shared" si="38"/>
        <v/>
      </c>
      <c r="S324" s="51" t="str">
        <f t="shared" si="39"/>
        <v/>
      </c>
      <c r="T324" t="str">
        <f t="shared" si="40"/>
        <v/>
      </c>
      <c r="U324" s="52" t="str">
        <f t="shared" si="41"/>
        <v/>
      </c>
    </row>
    <row r="325" spans="2:21" x14ac:dyDescent="0.25">
      <c r="B325">
        <v>332</v>
      </c>
      <c r="C325" t="s">
        <v>266</v>
      </c>
      <c r="D325" t="s">
        <v>1335</v>
      </c>
      <c r="E325" t="s">
        <v>1637</v>
      </c>
      <c r="F325" t="s">
        <v>1535</v>
      </c>
      <c r="G325">
        <v>18</v>
      </c>
      <c r="H325" s="48">
        <v>0</v>
      </c>
      <c r="I325" s="50">
        <v>0</v>
      </c>
      <c r="J325" s="50">
        <v>46237</v>
      </c>
      <c r="K325" s="54">
        <v>46254</v>
      </c>
      <c r="L325" s="54">
        <v>46231</v>
      </c>
      <c r="M325" s="54">
        <v>46248</v>
      </c>
      <c r="O325" s="51" t="str">
        <f t="shared" si="35"/>
        <v/>
      </c>
      <c r="P325" s="51" t="str">
        <f t="shared" si="36"/>
        <v/>
      </c>
      <c r="Q325" s="52" t="str">
        <f t="shared" si="37"/>
        <v/>
      </c>
      <c r="R325" s="52" t="str">
        <f t="shared" si="38"/>
        <v/>
      </c>
      <c r="S325" s="51" t="str">
        <f t="shared" si="39"/>
        <v/>
      </c>
      <c r="T325" t="str">
        <f t="shared" si="40"/>
        <v/>
      </c>
      <c r="U325" s="52" t="str">
        <f t="shared" si="41"/>
        <v/>
      </c>
    </row>
    <row r="326" spans="2:21" x14ac:dyDescent="0.25">
      <c r="B326">
        <v>333</v>
      </c>
      <c r="C326" t="s">
        <v>266</v>
      </c>
      <c r="D326" t="s">
        <v>1335</v>
      </c>
      <c r="E326" t="s">
        <v>1515</v>
      </c>
      <c r="F326" t="s">
        <v>1525</v>
      </c>
      <c r="G326">
        <v>7</v>
      </c>
      <c r="H326" s="48">
        <v>0</v>
      </c>
      <c r="I326" s="50">
        <v>0</v>
      </c>
      <c r="J326" s="50">
        <v>46237</v>
      </c>
      <c r="K326" s="54">
        <v>46241</v>
      </c>
      <c r="L326" s="54">
        <v>46231</v>
      </c>
      <c r="M326" s="54">
        <v>46237</v>
      </c>
      <c r="O326" s="51" t="str">
        <f t="shared" si="35"/>
        <v>SIM</v>
      </c>
      <c r="P326" s="51" t="str">
        <f t="shared" si="36"/>
        <v>BL1132-0001-UT-FEN-2001</v>
      </c>
      <c r="Q326" s="52">
        <f t="shared" si="37"/>
        <v>46237</v>
      </c>
      <c r="R326" s="52">
        <f t="shared" si="38"/>
        <v>46241</v>
      </c>
      <c r="S326" s="51" t="str">
        <f t="shared" si="39"/>
        <v/>
      </c>
      <c r="T326" t="str">
        <f t="shared" si="40"/>
        <v/>
      </c>
      <c r="U326" s="52" t="str">
        <f t="shared" si="41"/>
        <v/>
      </c>
    </row>
    <row r="327" spans="2:21" x14ac:dyDescent="0.25">
      <c r="B327">
        <v>334</v>
      </c>
      <c r="C327" t="s">
        <v>266</v>
      </c>
      <c r="D327" t="s">
        <v>1335</v>
      </c>
      <c r="E327" t="s">
        <v>1517</v>
      </c>
      <c r="F327" t="s">
        <v>1519</v>
      </c>
      <c r="G327">
        <v>4</v>
      </c>
      <c r="H327" s="48">
        <v>0</v>
      </c>
      <c r="I327" s="50">
        <v>0</v>
      </c>
      <c r="J327" s="50">
        <v>46241</v>
      </c>
      <c r="K327" s="54">
        <v>46246</v>
      </c>
      <c r="L327" s="54">
        <v>46237</v>
      </c>
      <c r="M327" s="54">
        <v>46240</v>
      </c>
      <c r="O327" s="51" t="str">
        <f t="shared" si="35"/>
        <v/>
      </c>
      <c r="P327" s="51" t="str">
        <f t="shared" si="36"/>
        <v/>
      </c>
      <c r="Q327" s="52" t="str">
        <f t="shared" si="37"/>
        <v/>
      </c>
      <c r="R327" s="52" t="str">
        <f t="shared" si="38"/>
        <v/>
      </c>
      <c r="S327" s="51" t="str">
        <f t="shared" si="39"/>
        <v/>
      </c>
      <c r="T327" t="str">
        <f t="shared" si="40"/>
        <v/>
      </c>
      <c r="U327" s="52" t="str">
        <f t="shared" si="41"/>
        <v/>
      </c>
    </row>
    <row r="328" spans="2:21" x14ac:dyDescent="0.25">
      <c r="B328">
        <v>335</v>
      </c>
      <c r="C328" t="s">
        <v>266</v>
      </c>
      <c r="D328" t="s">
        <v>1335</v>
      </c>
      <c r="E328" t="s">
        <v>1518</v>
      </c>
      <c r="F328" t="s">
        <v>1519</v>
      </c>
      <c r="G328">
        <v>6</v>
      </c>
      <c r="H328" s="48">
        <v>0</v>
      </c>
      <c r="I328" s="50">
        <v>0</v>
      </c>
      <c r="J328" s="50">
        <v>46246</v>
      </c>
      <c r="K328" s="54">
        <v>46251</v>
      </c>
      <c r="L328" s="54">
        <v>46240</v>
      </c>
      <c r="M328" s="54">
        <v>46245</v>
      </c>
      <c r="O328" s="51" t="str">
        <f t="shared" si="35"/>
        <v/>
      </c>
      <c r="P328" s="51" t="str">
        <f t="shared" si="36"/>
        <v/>
      </c>
      <c r="Q328" s="52" t="str">
        <f t="shared" si="37"/>
        <v/>
      </c>
      <c r="R328" s="52" t="str">
        <f t="shared" si="38"/>
        <v/>
      </c>
      <c r="S328" s="51" t="str">
        <f t="shared" si="39"/>
        <v>SIM</v>
      </c>
      <c r="T328" t="str">
        <f t="shared" si="40"/>
        <v>BL1132-0001-UT-FEN-2001</v>
      </c>
      <c r="U328" s="52">
        <f t="shared" si="41"/>
        <v>46245</v>
      </c>
    </row>
    <row r="329" spans="2:21" x14ac:dyDescent="0.25">
      <c r="B329">
        <v>336</v>
      </c>
      <c r="C329" t="s">
        <v>266</v>
      </c>
      <c r="D329" t="s">
        <v>1335</v>
      </c>
      <c r="E329" t="s">
        <v>1520</v>
      </c>
      <c r="F329" t="s">
        <v>1519</v>
      </c>
      <c r="G329">
        <v>4</v>
      </c>
      <c r="H329" s="48">
        <v>0</v>
      </c>
      <c r="I329" s="50">
        <v>0</v>
      </c>
      <c r="J329" s="50">
        <v>46251</v>
      </c>
      <c r="K329" s="54">
        <v>46254</v>
      </c>
      <c r="L329" s="54">
        <v>46245</v>
      </c>
      <c r="M329" s="54">
        <v>46248</v>
      </c>
      <c r="O329" s="51" t="str">
        <f t="shared" si="35"/>
        <v/>
      </c>
      <c r="P329" s="51" t="str">
        <f t="shared" si="36"/>
        <v/>
      </c>
      <c r="Q329" s="52" t="str">
        <f t="shared" si="37"/>
        <v/>
      </c>
      <c r="R329" s="52" t="str">
        <f t="shared" si="38"/>
        <v/>
      </c>
      <c r="S329" s="51" t="str">
        <f t="shared" si="39"/>
        <v/>
      </c>
      <c r="T329" t="str">
        <f t="shared" si="40"/>
        <v/>
      </c>
      <c r="U329" s="52" t="str">
        <f t="shared" si="41"/>
        <v/>
      </c>
    </row>
    <row r="330" spans="2:21" x14ac:dyDescent="0.25">
      <c r="B330">
        <v>337</v>
      </c>
      <c r="C330" t="s">
        <v>270</v>
      </c>
      <c r="D330" t="s">
        <v>1351</v>
      </c>
      <c r="E330" t="s">
        <v>1638</v>
      </c>
      <c r="F330" t="s">
        <v>1535</v>
      </c>
      <c r="G330">
        <v>18</v>
      </c>
      <c r="H330" s="48">
        <v>0</v>
      </c>
      <c r="I330" s="50">
        <v>0</v>
      </c>
      <c r="J330" s="50">
        <v>46237</v>
      </c>
      <c r="K330" s="54">
        <v>46254</v>
      </c>
      <c r="L330" s="54">
        <v>46231</v>
      </c>
      <c r="M330" s="54">
        <v>46248</v>
      </c>
      <c r="O330" s="51" t="str">
        <f t="shared" si="35"/>
        <v/>
      </c>
      <c r="P330" s="51" t="str">
        <f t="shared" si="36"/>
        <v/>
      </c>
      <c r="Q330" s="52" t="str">
        <f t="shared" si="37"/>
        <v/>
      </c>
      <c r="R330" s="52" t="str">
        <f t="shared" si="38"/>
        <v/>
      </c>
      <c r="S330" s="51" t="str">
        <f t="shared" si="39"/>
        <v/>
      </c>
      <c r="T330" t="str">
        <f t="shared" si="40"/>
        <v/>
      </c>
      <c r="U330" s="52" t="str">
        <f t="shared" si="41"/>
        <v/>
      </c>
    </row>
    <row r="331" spans="2:21" x14ac:dyDescent="0.25">
      <c r="B331">
        <v>338</v>
      </c>
      <c r="C331" t="s">
        <v>270</v>
      </c>
      <c r="D331" t="s">
        <v>1351</v>
      </c>
      <c r="E331" t="s">
        <v>1515</v>
      </c>
      <c r="F331" t="s">
        <v>1525</v>
      </c>
      <c r="G331">
        <v>7</v>
      </c>
      <c r="H331" s="48">
        <v>0</v>
      </c>
      <c r="I331" s="50">
        <v>0</v>
      </c>
      <c r="J331" s="50">
        <v>46237</v>
      </c>
      <c r="K331" s="54">
        <v>46241</v>
      </c>
      <c r="L331" s="54">
        <v>46231</v>
      </c>
      <c r="M331" s="54">
        <v>46237</v>
      </c>
      <c r="O331" s="51" t="str">
        <f t="shared" si="35"/>
        <v>SIM</v>
      </c>
      <c r="P331" s="51" t="str">
        <f t="shared" si="36"/>
        <v>BL1132-0001-UT-FEN-2005</v>
      </c>
      <c r="Q331" s="52">
        <f t="shared" si="37"/>
        <v>46237</v>
      </c>
      <c r="R331" s="52">
        <f t="shared" si="38"/>
        <v>46241</v>
      </c>
      <c r="S331" s="51" t="str">
        <f t="shared" si="39"/>
        <v/>
      </c>
      <c r="T331" t="str">
        <f t="shared" si="40"/>
        <v/>
      </c>
      <c r="U331" s="52" t="str">
        <f t="shared" si="41"/>
        <v/>
      </c>
    </row>
    <row r="332" spans="2:21" x14ac:dyDescent="0.25">
      <c r="B332">
        <v>339</v>
      </c>
      <c r="C332" t="s">
        <v>270</v>
      </c>
      <c r="D332" t="s">
        <v>1351</v>
      </c>
      <c r="E332" t="s">
        <v>1517</v>
      </c>
      <c r="F332" t="s">
        <v>1519</v>
      </c>
      <c r="G332">
        <v>4</v>
      </c>
      <c r="H332" s="48">
        <v>0</v>
      </c>
      <c r="I332" s="50">
        <v>0</v>
      </c>
      <c r="J332" s="50">
        <v>46241</v>
      </c>
      <c r="K332" s="54">
        <v>46246</v>
      </c>
      <c r="L332" s="54">
        <v>46237</v>
      </c>
      <c r="M332" s="54">
        <v>46240</v>
      </c>
      <c r="O332" s="51" t="str">
        <f t="shared" si="35"/>
        <v/>
      </c>
      <c r="P332" s="51" t="str">
        <f t="shared" si="36"/>
        <v/>
      </c>
      <c r="Q332" s="52" t="str">
        <f t="shared" si="37"/>
        <v/>
      </c>
      <c r="R332" s="52" t="str">
        <f t="shared" si="38"/>
        <v/>
      </c>
      <c r="S332" s="51" t="str">
        <f t="shared" si="39"/>
        <v/>
      </c>
      <c r="T332" t="str">
        <f t="shared" si="40"/>
        <v/>
      </c>
      <c r="U332" s="52" t="str">
        <f t="shared" si="41"/>
        <v/>
      </c>
    </row>
    <row r="333" spans="2:21" x14ac:dyDescent="0.25">
      <c r="B333">
        <v>340</v>
      </c>
      <c r="C333" t="s">
        <v>270</v>
      </c>
      <c r="D333" t="s">
        <v>1351</v>
      </c>
      <c r="E333" t="s">
        <v>1518</v>
      </c>
      <c r="F333" t="s">
        <v>1519</v>
      </c>
      <c r="G333">
        <v>6</v>
      </c>
      <c r="H333" s="48">
        <v>0</v>
      </c>
      <c r="I333" s="50">
        <v>0</v>
      </c>
      <c r="J333" s="50">
        <v>46246</v>
      </c>
      <c r="K333" s="54">
        <v>46251</v>
      </c>
      <c r="L333" s="54">
        <v>46240</v>
      </c>
      <c r="M333" s="54">
        <v>46245</v>
      </c>
      <c r="O333" s="51" t="str">
        <f t="shared" si="35"/>
        <v/>
      </c>
      <c r="P333" s="51" t="str">
        <f t="shared" si="36"/>
        <v/>
      </c>
      <c r="Q333" s="52" t="str">
        <f t="shared" si="37"/>
        <v/>
      </c>
      <c r="R333" s="52" t="str">
        <f t="shared" si="38"/>
        <v/>
      </c>
      <c r="S333" s="51" t="str">
        <f t="shared" si="39"/>
        <v>SIM</v>
      </c>
      <c r="T333" t="str">
        <f t="shared" si="40"/>
        <v>BL1132-0001-UT-FEN-2005</v>
      </c>
      <c r="U333" s="52">
        <f t="shared" si="41"/>
        <v>46245</v>
      </c>
    </row>
    <row r="334" spans="2:21" x14ac:dyDescent="0.25">
      <c r="B334">
        <v>341</v>
      </c>
      <c r="C334" t="s">
        <v>270</v>
      </c>
      <c r="D334" t="s">
        <v>1351</v>
      </c>
      <c r="E334" t="s">
        <v>1520</v>
      </c>
      <c r="F334" t="s">
        <v>1519</v>
      </c>
      <c r="G334">
        <v>4</v>
      </c>
      <c r="H334" s="48">
        <v>0</v>
      </c>
      <c r="I334" s="50">
        <v>0</v>
      </c>
      <c r="J334" s="50">
        <v>46251</v>
      </c>
      <c r="K334" s="54">
        <v>46254</v>
      </c>
      <c r="L334" s="54">
        <v>46245</v>
      </c>
      <c r="M334" s="54">
        <v>46248</v>
      </c>
      <c r="O334" s="51" t="str">
        <f t="shared" si="35"/>
        <v/>
      </c>
      <c r="P334" s="51" t="str">
        <f t="shared" si="36"/>
        <v/>
      </c>
      <c r="Q334" s="52" t="str">
        <f t="shared" si="37"/>
        <v/>
      </c>
      <c r="R334" s="52" t="str">
        <f t="shared" si="38"/>
        <v/>
      </c>
      <c r="S334" s="51" t="str">
        <f t="shared" si="39"/>
        <v/>
      </c>
      <c r="T334" t="str">
        <f t="shared" si="40"/>
        <v/>
      </c>
      <c r="U334" s="52" t="str">
        <f t="shared" si="41"/>
        <v/>
      </c>
    </row>
    <row r="335" spans="2:21" x14ac:dyDescent="0.25">
      <c r="B335">
        <v>342</v>
      </c>
      <c r="C335" t="s">
        <v>271</v>
      </c>
      <c r="D335" t="s">
        <v>1355</v>
      </c>
      <c r="E335" t="s">
        <v>1639</v>
      </c>
      <c r="F335" t="s">
        <v>1535</v>
      </c>
      <c r="G335">
        <v>18</v>
      </c>
      <c r="H335" s="48">
        <v>0</v>
      </c>
      <c r="I335" s="50">
        <v>0</v>
      </c>
      <c r="J335" s="50">
        <v>46237</v>
      </c>
      <c r="K335" s="54">
        <v>46254</v>
      </c>
      <c r="L335" s="54">
        <v>46231</v>
      </c>
      <c r="M335" s="54">
        <v>46248</v>
      </c>
      <c r="O335" s="51" t="str">
        <f t="shared" si="35"/>
        <v/>
      </c>
      <c r="P335" s="51" t="str">
        <f t="shared" si="36"/>
        <v/>
      </c>
      <c r="Q335" s="52" t="str">
        <f t="shared" si="37"/>
        <v/>
      </c>
      <c r="R335" s="52" t="str">
        <f t="shared" si="38"/>
        <v/>
      </c>
      <c r="S335" s="51" t="str">
        <f t="shared" si="39"/>
        <v/>
      </c>
      <c r="T335" t="str">
        <f t="shared" si="40"/>
        <v/>
      </c>
      <c r="U335" s="52" t="str">
        <f t="shared" si="41"/>
        <v/>
      </c>
    </row>
    <row r="336" spans="2:21" x14ac:dyDescent="0.25">
      <c r="B336">
        <v>343</v>
      </c>
      <c r="C336" t="s">
        <v>271</v>
      </c>
      <c r="D336" t="s">
        <v>1355</v>
      </c>
      <c r="E336" t="s">
        <v>1515</v>
      </c>
      <c r="F336" t="s">
        <v>1525</v>
      </c>
      <c r="G336">
        <v>7</v>
      </c>
      <c r="H336" s="48">
        <v>0</v>
      </c>
      <c r="I336" s="50">
        <v>0</v>
      </c>
      <c r="J336" s="50">
        <v>46237</v>
      </c>
      <c r="K336" s="54">
        <v>46241</v>
      </c>
      <c r="L336" s="54">
        <v>46231</v>
      </c>
      <c r="M336" s="54">
        <v>46237</v>
      </c>
      <c r="O336" s="51" t="str">
        <f t="shared" si="35"/>
        <v>SIM</v>
      </c>
      <c r="P336" s="51" t="str">
        <f t="shared" si="36"/>
        <v>BL1132-0001-UT-FEN-2006</v>
      </c>
      <c r="Q336" s="52">
        <f t="shared" si="37"/>
        <v>46237</v>
      </c>
      <c r="R336" s="52">
        <f t="shared" si="38"/>
        <v>46241</v>
      </c>
      <c r="S336" s="51" t="str">
        <f t="shared" si="39"/>
        <v/>
      </c>
      <c r="T336" t="str">
        <f t="shared" si="40"/>
        <v/>
      </c>
      <c r="U336" s="52" t="str">
        <f t="shared" si="41"/>
        <v/>
      </c>
    </row>
    <row r="337" spans="2:21" x14ac:dyDescent="0.25">
      <c r="B337">
        <v>344</v>
      </c>
      <c r="C337" t="s">
        <v>271</v>
      </c>
      <c r="D337" t="s">
        <v>1355</v>
      </c>
      <c r="E337" t="s">
        <v>1517</v>
      </c>
      <c r="F337" t="s">
        <v>1519</v>
      </c>
      <c r="G337">
        <v>4</v>
      </c>
      <c r="H337" s="48">
        <v>0</v>
      </c>
      <c r="I337" s="50">
        <v>0</v>
      </c>
      <c r="J337" s="50">
        <v>46241</v>
      </c>
      <c r="K337" s="54">
        <v>46246</v>
      </c>
      <c r="L337" s="54">
        <v>46237</v>
      </c>
      <c r="M337" s="54">
        <v>46240</v>
      </c>
      <c r="O337" s="51" t="str">
        <f t="shared" si="35"/>
        <v/>
      </c>
      <c r="P337" s="51" t="str">
        <f t="shared" si="36"/>
        <v/>
      </c>
      <c r="Q337" s="52" t="str">
        <f t="shared" si="37"/>
        <v/>
      </c>
      <c r="R337" s="52" t="str">
        <f t="shared" si="38"/>
        <v/>
      </c>
      <c r="S337" s="51" t="str">
        <f t="shared" si="39"/>
        <v/>
      </c>
      <c r="T337" t="str">
        <f t="shared" si="40"/>
        <v/>
      </c>
      <c r="U337" s="52" t="str">
        <f t="shared" si="41"/>
        <v/>
      </c>
    </row>
    <row r="338" spans="2:21" x14ac:dyDescent="0.25">
      <c r="B338">
        <v>345</v>
      </c>
      <c r="C338" t="s">
        <v>271</v>
      </c>
      <c r="D338" t="s">
        <v>1355</v>
      </c>
      <c r="E338" t="s">
        <v>1518</v>
      </c>
      <c r="F338" t="s">
        <v>1519</v>
      </c>
      <c r="G338">
        <v>6</v>
      </c>
      <c r="H338" s="48">
        <v>0</v>
      </c>
      <c r="I338" s="50">
        <v>0</v>
      </c>
      <c r="J338" s="50">
        <v>46246</v>
      </c>
      <c r="K338" s="54">
        <v>46251</v>
      </c>
      <c r="L338" s="54">
        <v>46240</v>
      </c>
      <c r="M338" s="54">
        <v>46245</v>
      </c>
      <c r="O338" s="51" t="str">
        <f t="shared" si="35"/>
        <v/>
      </c>
      <c r="P338" s="51" t="str">
        <f t="shared" si="36"/>
        <v/>
      </c>
      <c r="Q338" s="52" t="str">
        <f t="shared" si="37"/>
        <v/>
      </c>
      <c r="R338" s="52" t="str">
        <f t="shared" si="38"/>
        <v/>
      </c>
      <c r="S338" s="51" t="str">
        <f t="shared" si="39"/>
        <v>SIM</v>
      </c>
      <c r="T338" t="str">
        <f t="shared" si="40"/>
        <v>BL1132-0001-UT-FEN-2006</v>
      </c>
      <c r="U338" s="52">
        <f t="shared" si="41"/>
        <v>46245</v>
      </c>
    </row>
    <row r="339" spans="2:21" x14ac:dyDescent="0.25">
      <c r="B339">
        <v>346</v>
      </c>
      <c r="C339" t="s">
        <v>271</v>
      </c>
      <c r="D339" t="s">
        <v>1355</v>
      </c>
      <c r="E339" t="s">
        <v>1520</v>
      </c>
      <c r="F339" t="s">
        <v>1519</v>
      </c>
      <c r="G339">
        <v>4</v>
      </c>
      <c r="H339" s="48">
        <v>0</v>
      </c>
      <c r="I339" s="50">
        <v>0</v>
      </c>
      <c r="J339" s="50">
        <v>46251</v>
      </c>
      <c r="K339" s="54">
        <v>46254</v>
      </c>
      <c r="L339" s="54">
        <v>46245</v>
      </c>
      <c r="M339" s="54">
        <v>46248</v>
      </c>
      <c r="O339" s="51" t="str">
        <f t="shared" si="35"/>
        <v/>
      </c>
      <c r="P339" s="51" t="str">
        <f t="shared" si="36"/>
        <v/>
      </c>
      <c r="Q339" s="52" t="str">
        <f t="shared" si="37"/>
        <v/>
      </c>
      <c r="R339" s="52" t="str">
        <f t="shared" si="38"/>
        <v/>
      </c>
      <c r="S339" s="51" t="str">
        <f t="shared" si="39"/>
        <v/>
      </c>
      <c r="T339" t="str">
        <f t="shared" si="40"/>
        <v/>
      </c>
      <c r="U339" s="52" t="str">
        <f t="shared" si="41"/>
        <v/>
      </c>
    </row>
    <row r="340" spans="2:21" x14ac:dyDescent="0.25">
      <c r="B340">
        <v>347</v>
      </c>
      <c r="C340" t="s">
        <v>272</v>
      </c>
      <c r="D340" t="s">
        <v>1360</v>
      </c>
      <c r="E340" t="s">
        <v>1639</v>
      </c>
      <c r="F340" t="s">
        <v>1535</v>
      </c>
      <c r="G340">
        <v>18</v>
      </c>
      <c r="H340" s="48">
        <v>0</v>
      </c>
      <c r="I340" s="50">
        <v>0</v>
      </c>
      <c r="J340" s="50">
        <v>46237</v>
      </c>
      <c r="K340" s="54">
        <v>46254</v>
      </c>
      <c r="L340" s="54">
        <v>46231</v>
      </c>
      <c r="M340" s="54">
        <v>46248</v>
      </c>
      <c r="O340" s="51" t="str">
        <f t="shared" si="35"/>
        <v/>
      </c>
      <c r="P340" s="51" t="str">
        <f t="shared" si="36"/>
        <v/>
      </c>
      <c r="Q340" s="52" t="str">
        <f t="shared" si="37"/>
        <v/>
      </c>
      <c r="R340" s="52" t="str">
        <f t="shared" si="38"/>
        <v/>
      </c>
      <c r="S340" s="51" t="str">
        <f t="shared" si="39"/>
        <v/>
      </c>
      <c r="T340" t="str">
        <f t="shared" si="40"/>
        <v/>
      </c>
      <c r="U340" s="52" t="str">
        <f t="shared" si="41"/>
        <v/>
      </c>
    </row>
    <row r="341" spans="2:21" x14ac:dyDescent="0.25">
      <c r="B341">
        <v>348</v>
      </c>
      <c r="C341" t="s">
        <v>272</v>
      </c>
      <c r="D341" t="s">
        <v>1360</v>
      </c>
      <c r="E341" t="s">
        <v>1515</v>
      </c>
      <c r="F341" t="s">
        <v>1525</v>
      </c>
      <c r="G341">
        <v>7</v>
      </c>
      <c r="H341" s="48">
        <v>0</v>
      </c>
      <c r="I341" s="50">
        <v>0</v>
      </c>
      <c r="J341" s="50">
        <v>46237</v>
      </c>
      <c r="K341" s="54">
        <v>46241</v>
      </c>
      <c r="L341" s="54">
        <v>46231</v>
      </c>
      <c r="M341" s="54">
        <v>46237</v>
      </c>
      <c r="O341" s="51" t="str">
        <f t="shared" si="35"/>
        <v>SIM</v>
      </c>
      <c r="P341" s="51" t="str">
        <f t="shared" si="36"/>
        <v>BL1132-0001-UT-FEN-2007</v>
      </c>
      <c r="Q341" s="52">
        <f t="shared" si="37"/>
        <v>46237</v>
      </c>
      <c r="R341" s="52">
        <f t="shared" si="38"/>
        <v>46241</v>
      </c>
      <c r="S341" s="51" t="str">
        <f t="shared" si="39"/>
        <v/>
      </c>
      <c r="T341" t="str">
        <f t="shared" si="40"/>
        <v/>
      </c>
      <c r="U341" s="52" t="str">
        <f t="shared" si="41"/>
        <v/>
      </c>
    </row>
    <row r="342" spans="2:21" x14ac:dyDescent="0.25">
      <c r="B342">
        <v>349</v>
      </c>
      <c r="C342" t="s">
        <v>272</v>
      </c>
      <c r="D342" t="s">
        <v>1360</v>
      </c>
      <c r="E342" t="s">
        <v>1517</v>
      </c>
      <c r="F342" t="s">
        <v>1519</v>
      </c>
      <c r="G342">
        <v>4</v>
      </c>
      <c r="H342" s="48">
        <v>0</v>
      </c>
      <c r="I342" s="50">
        <v>0</v>
      </c>
      <c r="J342" s="50">
        <v>46241</v>
      </c>
      <c r="K342" s="54">
        <v>46246</v>
      </c>
      <c r="L342" s="54">
        <v>46237</v>
      </c>
      <c r="M342" s="54">
        <v>46240</v>
      </c>
      <c r="O342" s="51" t="str">
        <f t="shared" si="35"/>
        <v/>
      </c>
      <c r="P342" s="51" t="str">
        <f t="shared" si="36"/>
        <v/>
      </c>
      <c r="Q342" s="52" t="str">
        <f t="shared" si="37"/>
        <v/>
      </c>
      <c r="R342" s="52" t="str">
        <f t="shared" si="38"/>
        <v/>
      </c>
      <c r="S342" s="51" t="str">
        <f t="shared" si="39"/>
        <v/>
      </c>
      <c r="T342" t="str">
        <f t="shared" si="40"/>
        <v/>
      </c>
      <c r="U342" s="52" t="str">
        <f t="shared" si="41"/>
        <v/>
      </c>
    </row>
    <row r="343" spans="2:21" x14ac:dyDescent="0.25">
      <c r="B343">
        <v>350</v>
      </c>
      <c r="C343" t="s">
        <v>272</v>
      </c>
      <c r="D343" t="s">
        <v>1360</v>
      </c>
      <c r="E343" t="s">
        <v>1518</v>
      </c>
      <c r="F343" t="s">
        <v>1519</v>
      </c>
      <c r="G343">
        <v>6</v>
      </c>
      <c r="H343" s="48">
        <v>0</v>
      </c>
      <c r="I343" s="50">
        <v>0</v>
      </c>
      <c r="J343" s="50">
        <v>46246</v>
      </c>
      <c r="K343" s="54">
        <v>46251</v>
      </c>
      <c r="L343" s="54">
        <v>46240</v>
      </c>
      <c r="M343" s="54">
        <v>46245</v>
      </c>
      <c r="O343" s="51" t="str">
        <f t="shared" si="35"/>
        <v/>
      </c>
      <c r="P343" s="51" t="str">
        <f t="shared" si="36"/>
        <v/>
      </c>
      <c r="Q343" s="52" t="str">
        <f t="shared" si="37"/>
        <v/>
      </c>
      <c r="R343" s="52" t="str">
        <f t="shared" si="38"/>
        <v/>
      </c>
      <c r="S343" s="51" t="str">
        <f t="shared" si="39"/>
        <v>SIM</v>
      </c>
      <c r="T343" t="str">
        <f t="shared" si="40"/>
        <v>BL1132-0001-UT-FEN-2007</v>
      </c>
      <c r="U343" s="52">
        <f t="shared" si="41"/>
        <v>46245</v>
      </c>
    </row>
    <row r="344" spans="2:21" x14ac:dyDescent="0.25">
      <c r="B344">
        <v>351</v>
      </c>
      <c r="C344" t="s">
        <v>272</v>
      </c>
      <c r="D344" t="s">
        <v>1360</v>
      </c>
      <c r="E344" t="s">
        <v>1520</v>
      </c>
      <c r="F344" t="s">
        <v>1519</v>
      </c>
      <c r="G344">
        <v>4</v>
      </c>
      <c r="H344" s="48">
        <v>0</v>
      </c>
      <c r="I344" s="50">
        <v>0</v>
      </c>
      <c r="J344" s="50">
        <v>46251</v>
      </c>
      <c r="K344" s="54">
        <v>46254</v>
      </c>
      <c r="L344" s="54">
        <v>46245</v>
      </c>
      <c r="M344" s="54">
        <v>46248</v>
      </c>
      <c r="O344" s="51" t="str">
        <f t="shared" si="35"/>
        <v/>
      </c>
      <c r="P344" s="51" t="str">
        <f t="shared" si="36"/>
        <v/>
      </c>
      <c r="Q344" s="52" t="str">
        <f t="shared" si="37"/>
        <v/>
      </c>
      <c r="R344" s="52" t="str">
        <f t="shared" si="38"/>
        <v/>
      </c>
      <c r="S344" s="51" t="str">
        <f t="shared" si="39"/>
        <v/>
      </c>
      <c r="T344" t="str">
        <f t="shared" si="40"/>
        <v/>
      </c>
      <c r="U344" s="52" t="str">
        <f t="shared" si="41"/>
        <v/>
      </c>
    </row>
    <row r="345" spans="2:21" x14ac:dyDescent="0.25">
      <c r="B345">
        <v>352</v>
      </c>
      <c r="C345" t="s">
        <v>263</v>
      </c>
      <c r="D345" t="s">
        <v>1320</v>
      </c>
      <c r="E345" t="s">
        <v>1640</v>
      </c>
      <c r="F345" t="s">
        <v>1641</v>
      </c>
      <c r="G345">
        <v>16</v>
      </c>
      <c r="H345" s="48">
        <v>0</v>
      </c>
      <c r="I345" s="50">
        <v>0</v>
      </c>
      <c r="J345" s="50">
        <v>46241</v>
      </c>
      <c r="K345" s="54">
        <v>46258</v>
      </c>
      <c r="L345" s="54">
        <v>46237</v>
      </c>
      <c r="M345" s="54">
        <v>46252</v>
      </c>
      <c r="O345" s="51" t="str">
        <f t="shared" si="35"/>
        <v/>
      </c>
      <c r="P345" s="51" t="str">
        <f t="shared" si="36"/>
        <v/>
      </c>
      <c r="Q345" s="52" t="str">
        <f t="shared" si="37"/>
        <v/>
      </c>
      <c r="R345" s="52" t="str">
        <f t="shared" si="38"/>
        <v/>
      </c>
      <c r="S345" s="51" t="str">
        <f t="shared" si="39"/>
        <v/>
      </c>
      <c r="T345" t="str">
        <f t="shared" si="40"/>
        <v/>
      </c>
      <c r="U345" s="52" t="str">
        <f t="shared" si="41"/>
        <v/>
      </c>
    </row>
    <row r="346" spans="2:21" x14ac:dyDescent="0.25">
      <c r="B346">
        <v>353</v>
      </c>
      <c r="C346" t="s">
        <v>263</v>
      </c>
      <c r="D346" t="s">
        <v>1320</v>
      </c>
      <c r="E346" t="s">
        <v>1515</v>
      </c>
      <c r="F346" t="s">
        <v>1642</v>
      </c>
      <c r="G346">
        <v>3</v>
      </c>
      <c r="H346" s="48">
        <v>0</v>
      </c>
      <c r="I346" s="50">
        <v>0</v>
      </c>
      <c r="J346" s="50">
        <v>46241</v>
      </c>
      <c r="K346" s="54">
        <v>46245</v>
      </c>
      <c r="L346" s="54">
        <v>46237</v>
      </c>
      <c r="M346" s="54">
        <v>46239</v>
      </c>
      <c r="O346" s="51" t="str">
        <f t="shared" si="35"/>
        <v>SIM</v>
      </c>
      <c r="P346" s="51" t="str">
        <f t="shared" si="36"/>
        <v>BL1132-0001-UT-ETE-2001</v>
      </c>
      <c r="Q346" s="52">
        <f t="shared" si="37"/>
        <v>46239</v>
      </c>
      <c r="R346" s="52">
        <f t="shared" si="38"/>
        <v>46245</v>
      </c>
      <c r="S346" s="51" t="str">
        <f t="shared" si="39"/>
        <v/>
      </c>
      <c r="T346" t="str">
        <f t="shared" si="40"/>
        <v/>
      </c>
      <c r="U346" s="52" t="str">
        <f t="shared" si="41"/>
        <v/>
      </c>
    </row>
    <row r="347" spans="2:21" x14ac:dyDescent="0.25">
      <c r="B347">
        <v>354</v>
      </c>
      <c r="C347" t="s">
        <v>263</v>
      </c>
      <c r="D347" t="s">
        <v>1320</v>
      </c>
      <c r="E347" t="s">
        <v>1517</v>
      </c>
      <c r="F347" t="s">
        <v>1519</v>
      </c>
      <c r="G347">
        <v>6</v>
      </c>
      <c r="H347" s="48">
        <v>0</v>
      </c>
      <c r="I347" s="50">
        <v>0</v>
      </c>
      <c r="J347" s="50">
        <v>46245</v>
      </c>
      <c r="K347" s="54">
        <v>46248</v>
      </c>
      <c r="L347" s="54">
        <v>46239</v>
      </c>
      <c r="M347" s="54">
        <v>46244</v>
      </c>
      <c r="O347" s="51" t="str">
        <f t="shared" si="35"/>
        <v/>
      </c>
      <c r="P347" s="51" t="str">
        <f t="shared" si="36"/>
        <v/>
      </c>
      <c r="Q347" s="52" t="str">
        <f t="shared" si="37"/>
        <v/>
      </c>
      <c r="R347" s="52" t="str">
        <f t="shared" si="38"/>
        <v/>
      </c>
      <c r="S347" s="51" t="str">
        <f t="shared" si="39"/>
        <v/>
      </c>
      <c r="T347" t="str">
        <f t="shared" si="40"/>
        <v/>
      </c>
      <c r="U347" s="52" t="str">
        <f t="shared" si="41"/>
        <v/>
      </c>
    </row>
    <row r="348" spans="2:21" x14ac:dyDescent="0.25">
      <c r="B348">
        <v>355</v>
      </c>
      <c r="C348" t="s">
        <v>263</v>
      </c>
      <c r="D348" t="s">
        <v>1320</v>
      </c>
      <c r="E348" t="s">
        <v>1518</v>
      </c>
      <c r="F348" t="s">
        <v>1519</v>
      </c>
      <c r="G348">
        <v>4</v>
      </c>
      <c r="H348" s="48">
        <v>0</v>
      </c>
      <c r="I348" s="50">
        <v>0</v>
      </c>
      <c r="J348" s="50">
        <v>46248</v>
      </c>
      <c r="K348" s="54">
        <v>46253</v>
      </c>
      <c r="L348" s="54">
        <v>46244</v>
      </c>
      <c r="M348" s="54">
        <v>46247</v>
      </c>
      <c r="O348" s="51" t="str">
        <f t="shared" si="35"/>
        <v/>
      </c>
      <c r="P348" s="51" t="str">
        <f t="shared" si="36"/>
        <v/>
      </c>
      <c r="Q348" s="52" t="str">
        <f t="shared" si="37"/>
        <v/>
      </c>
      <c r="R348" s="52" t="str">
        <f t="shared" si="38"/>
        <v/>
      </c>
      <c r="S348" s="51" t="str">
        <f t="shared" si="39"/>
        <v>SIM</v>
      </c>
      <c r="T348" t="str">
        <f t="shared" si="40"/>
        <v>BL1132-0001-UT-ETE-2001</v>
      </c>
      <c r="U348" s="52">
        <f t="shared" si="41"/>
        <v>46247</v>
      </c>
    </row>
    <row r="349" spans="2:21" x14ac:dyDescent="0.25">
      <c r="B349">
        <v>356</v>
      </c>
      <c r="C349" t="s">
        <v>263</v>
      </c>
      <c r="D349" t="s">
        <v>1320</v>
      </c>
      <c r="E349" t="s">
        <v>1520</v>
      </c>
      <c r="F349" t="s">
        <v>1519</v>
      </c>
      <c r="G349">
        <v>6</v>
      </c>
      <c r="H349" s="48">
        <v>0</v>
      </c>
      <c r="I349" s="50">
        <v>0</v>
      </c>
      <c r="J349" s="50">
        <v>46253</v>
      </c>
      <c r="K349" s="54">
        <v>46258</v>
      </c>
      <c r="L349" s="54">
        <v>46247</v>
      </c>
      <c r="M349" s="54">
        <v>46252</v>
      </c>
      <c r="O349" s="51" t="str">
        <f t="shared" si="35"/>
        <v/>
      </c>
      <c r="P349" s="51" t="str">
        <f t="shared" si="36"/>
        <v/>
      </c>
      <c r="Q349" s="52" t="str">
        <f t="shared" si="37"/>
        <v/>
      </c>
      <c r="R349" s="52" t="str">
        <f t="shared" si="38"/>
        <v/>
      </c>
      <c r="S349" s="51" t="str">
        <f t="shared" si="39"/>
        <v/>
      </c>
      <c r="T349" t="str">
        <f t="shared" si="40"/>
        <v/>
      </c>
      <c r="U349" s="52" t="str">
        <f t="shared" si="41"/>
        <v/>
      </c>
    </row>
    <row r="350" spans="2:21" x14ac:dyDescent="0.25">
      <c r="B350">
        <v>357</v>
      </c>
      <c r="E350" t="s">
        <v>1643</v>
      </c>
      <c r="F350" t="s">
        <v>1644</v>
      </c>
      <c r="G350">
        <v>55</v>
      </c>
      <c r="H350" s="48">
        <v>0</v>
      </c>
      <c r="I350" s="50">
        <v>0</v>
      </c>
      <c r="J350" s="50">
        <v>46219</v>
      </c>
      <c r="K350" s="54">
        <v>46265</v>
      </c>
      <c r="L350" s="54">
        <v>46213</v>
      </c>
      <c r="M350" s="54">
        <v>46267</v>
      </c>
      <c r="O350" s="51" t="str">
        <f t="shared" si="35"/>
        <v/>
      </c>
      <c r="P350" s="51" t="str">
        <f t="shared" si="36"/>
        <v/>
      </c>
      <c r="Q350" s="52" t="str">
        <f t="shared" si="37"/>
        <v/>
      </c>
      <c r="R350" s="52" t="str">
        <f t="shared" si="38"/>
        <v/>
      </c>
      <c r="S350" s="51" t="str">
        <f t="shared" si="39"/>
        <v/>
      </c>
      <c r="T350" t="str">
        <f t="shared" si="40"/>
        <v/>
      </c>
      <c r="U350" s="52" t="str">
        <f t="shared" si="41"/>
        <v/>
      </c>
    </row>
    <row r="351" spans="2:21" x14ac:dyDescent="0.25">
      <c r="B351">
        <v>358</v>
      </c>
      <c r="E351" t="s">
        <v>1560</v>
      </c>
      <c r="F351" t="s">
        <v>1644</v>
      </c>
      <c r="G351">
        <v>55</v>
      </c>
      <c r="H351" s="48">
        <v>0</v>
      </c>
      <c r="I351" s="50">
        <v>0</v>
      </c>
      <c r="J351" s="50">
        <v>46219</v>
      </c>
      <c r="K351" s="54">
        <v>46265</v>
      </c>
      <c r="L351" s="54">
        <v>46213</v>
      </c>
      <c r="M351" s="54">
        <v>46267</v>
      </c>
      <c r="O351" s="51" t="str">
        <f t="shared" si="35"/>
        <v/>
      </c>
      <c r="P351" s="51" t="str">
        <f t="shared" si="36"/>
        <v/>
      </c>
      <c r="Q351" s="52" t="str">
        <f t="shared" si="37"/>
        <v/>
      </c>
      <c r="R351" s="52" t="str">
        <f t="shared" si="38"/>
        <v/>
      </c>
      <c r="S351" s="51" t="str">
        <f t="shared" si="39"/>
        <v/>
      </c>
      <c r="T351" t="str">
        <f t="shared" si="40"/>
        <v/>
      </c>
      <c r="U351" s="52" t="str">
        <f t="shared" si="41"/>
        <v/>
      </c>
    </row>
    <row r="352" spans="2:21" x14ac:dyDescent="0.25">
      <c r="B352">
        <v>359</v>
      </c>
      <c r="E352" t="s">
        <v>1624</v>
      </c>
      <c r="F352" t="s">
        <v>1645</v>
      </c>
      <c r="G352">
        <v>43</v>
      </c>
      <c r="H352" s="48">
        <v>0</v>
      </c>
      <c r="I352" s="50">
        <v>0</v>
      </c>
      <c r="J352" s="50">
        <v>46219</v>
      </c>
      <c r="K352" s="54">
        <v>46265</v>
      </c>
      <c r="L352" s="54">
        <v>46213</v>
      </c>
      <c r="M352" s="54">
        <v>46255</v>
      </c>
      <c r="O352" s="51" t="str">
        <f t="shared" si="35"/>
        <v/>
      </c>
      <c r="P352" s="51" t="str">
        <f t="shared" si="36"/>
        <v/>
      </c>
      <c r="Q352" s="52" t="str">
        <f t="shared" si="37"/>
        <v/>
      </c>
      <c r="R352" s="52" t="str">
        <f t="shared" si="38"/>
        <v/>
      </c>
      <c r="S352" s="51" t="str">
        <f t="shared" si="39"/>
        <v/>
      </c>
      <c r="T352" t="str">
        <f t="shared" si="40"/>
        <v/>
      </c>
      <c r="U352" s="52" t="str">
        <f t="shared" si="41"/>
        <v/>
      </c>
    </row>
    <row r="353" spans="2:21" x14ac:dyDescent="0.25">
      <c r="B353">
        <v>360</v>
      </c>
      <c r="C353" t="s">
        <v>280</v>
      </c>
      <c r="D353" t="s">
        <v>1390</v>
      </c>
      <c r="E353" t="s">
        <v>1646</v>
      </c>
      <c r="F353" t="s">
        <v>1527</v>
      </c>
      <c r="G353">
        <v>21</v>
      </c>
      <c r="H353" s="48">
        <v>0</v>
      </c>
      <c r="I353" s="50">
        <v>0</v>
      </c>
      <c r="J353" s="50">
        <v>46219</v>
      </c>
      <c r="K353" s="54">
        <v>46239</v>
      </c>
      <c r="L353" s="54">
        <v>46213</v>
      </c>
      <c r="M353" s="54">
        <v>46233</v>
      </c>
      <c r="O353" s="51" t="str">
        <f t="shared" si="35"/>
        <v/>
      </c>
      <c r="P353" s="51" t="str">
        <f t="shared" si="36"/>
        <v/>
      </c>
      <c r="Q353" s="52" t="str">
        <f t="shared" si="37"/>
        <v/>
      </c>
      <c r="R353" s="52" t="str">
        <f t="shared" si="38"/>
        <v/>
      </c>
      <c r="S353" s="51" t="str">
        <f t="shared" si="39"/>
        <v/>
      </c>
      <c r="T353" t="str">
        <f t="shared" si="40"/>
        <v/>
      </c>
      <c r="U353" s="52" t="str">
        <f t="shared" si="41"/>
        <v/>
      </c>
    </row>
    <row r="354" spans="2:21" x14ac:dyDescent="0.25">
      <c r="B354">
        <v>361</v>
      </c>
      <c r="C354" t="s">
        <v>280</v>
      </c>
      <c r="D354" t="s">
        <v>1390</v>
      </c>
      <c r="E354" t="s">
        <v>1515</v>
      </c>
      <c r="F354" t="s">
        <v>1528</v>
      </c>
      <c r="G354">
        <v>8</v>
      </c>
      <c r="H354" s="48">
        <v>0</v>
      </c>
      <c r="I354" s="50">
        <v>0</v>
      </c>
      <c r="J354" s="50">
        <v>46219</v>
      </c>
      <c r="K354" s="54">
        <v>46226</v>
      </c>
      <c r="L354" s="54">
        <v>46213</v>
      </c>
      <c r="M354" s="54">
        <v>46220</v>
      </c>
      <c r="O354" s="51" t="str">
        <f t="shared" si="35"/>
        <v>SIM</v>
      </c>
      <c r="P354" s="51" t="str">
        <f t="shared" si="36"/>
        <v>BL1132-0001-UT-MCA-2000</v>
      </c>
      <c r="Q354" s="52">
        <f t="shared" si="37"/>
        <v>46220</v>
      </c>
      <c r="R354" s="52">
        <f t="shared" si="38"/>
        <v>46226</v>
      </c>
      <c r="S354" s="51" t="str">
        <f t="shared" si="39"/>
        <v/>
      </c>
      <c r="T354" t="str">
        <f t="shared" si="40"/>
        <v/>
      </c>
      <c r="U354" s="52" t="str">
        <f t="shared" si="41"/>
        <v/>
      </c>
    </row>
    <row r="355" spans="2:21" x14ac:dyDescent="0.25">
      <c r="B355">
        <v>362</v>
      </c>
      <c r="C355" t="s">
        <v>280</v>
      </c>
      <c r="D355" t="s">
        <v>1390</v>
      </c>
      <c r="E355" t="s">
        <v>1517</v>
      </c>
      <c r="F355" t="s">
        <v>1519</v>
      </c>
      <c r="G355">
        <v>6</v>
      </c>
      <c r="H355" s="48">
        <v>0</v>
      </c>
      <c r="I355" s="50">
        <v>0</v>
      </c>
      <c r="J355" s="50">
        <v>46226</v>
      </c>
      <c r="K355" s="54">
        <v>46231</v>
      </c>
      <c r="L355" s="54">
        <v>46220</v>
      </c>
      <c r="M355" s="54">
        <v>46225</v>
      </c>
      <c r="O355" s="51" t="str">
        <f t="shared" si="35"/>
        <v/>
      </c>
      <c r="P355" s="51" t="str">
        <f t="shared" si="36"/>
        <v/>
      </c>
      <c r="Q355" s="52" t="str">
        <f t="shared" si="37"/>
        <v/>
      </c>
      <c r="R355" s="52" t="str">
        <f t="shared" si="38"/>
        <v/>
      </c>
      <c r="S355" s="51" t="str">
        <f t="shared" si="39"/>
        <v/>
      </c>
      <c r="T355" t="str">
        <f t="shared" si="40"/>
        <v/>
      </c>
      <c r="U355" s="52" t="str">
        <f t="shared" si="41"/>
        <v/>
      </c>
    </row>
    <row r="356" spans="2:21" x14ac:dyDescent="0.25">
      <c r="B356">
        <v>363</v>
      </c>
      <c r="C356" t="s">
        <v>280</v>
      </c>
      <c r="D356" t="s">
        <v>1390</v>
      </c>
      <c r="E356" t="s">
        <v>1518</v>
      </c>
      <c r="F356" t="s">
        <v>1519</v>
      </c>
      <c r="G356">
        <v>6</v>
      </c>
      <c r="H356" s="48">
        <v>0</v>
      </c>
      <c r="I356" s="50">
        <v>0</v>
      </c>
      <c r="J356" s="50">
        <v>46231</v>
      </c>
      <c r="K356" s="54">
        <v>46234</v>
      </c>
      <c r="L356" s="54">
        <v>46225</v>
      </c>
      <c r="M356" s="54">
        <v>46230</v>
      </c>
      <c r="O356" s="51" t="str">
        <f t="shared" si="35"/>
        <v/>
      </c>
      <c r="P356" s="51" t="str">
        <f t="shared" si="36"/>
        <v/>
      </c>
      <c r="Q356" s="52" t="str">
        <f t="shared" si="37"/>
        <v/>
      </c>
      <c r="R356" s="52" t="str">
        <f t="shared" si="38"/>
        <v/>
      </c>
      <c r="S356" s="51" t="str">
        <f t="shared" si="39"/>
        <v>SIM</v>
      </c>
      <c r="T356" t="str">
        <f t="shared" si="40"/>
        <v>BL1132-0001-UT-MCA-2000</v>
      </c>
      <c r="U356" s="52">
        <f t="shared" si="41"/>
        <v>46230</v>
      </c>
    </row>
    <row r="357" spans="2:21" x14ac:dyDescent="0.25">
      <c r="B357">
        <v>364</v>
      </c>
      <c r="C357" t="s">
        <v>280</v>
      </c>
      <c r="D357" t="s">
        <v>1390</v>
      </c>
      <c r="E357" t="s">
        <v>1520</v>
      </c>
      <c r="F357" t="s">
        <v>1519</v>
      </c>
      <c r="G357">
        <v>4</v>
      </c>
      <c r="H357" s="48">
        <v>0</v>
      </c>
      <c r="I357" s="50">
        <v>0</v>
      </c>
      <c r="J357" s="50">
        <v>46234</v>
      </c>
      <c r="K357" s="54">
        <v>46239</v>
      </c>
      <c r="L357" s="54">
        <v>46230</v>
      </c>
      <c r="M357" s="54">
        <v>46233</v>
      </c>
      <c r="O357" s="51" t="str">
        <f t="shared" si="35"/>
        <v/>
      </c>
      <c r="P357" s="51" t="str">
        <f t="shared" si="36"/>
        <v/>
      </c>
      <c r="Q357" s="52" t="str">
        <f t="shared" si="37"/>
        <v/>
      </c>
      <c r="R357" s="52" t="str">
        <f t="shared" si="38"/>
        <v/>
      </c>
      <c r="S357" s="51" t="str">
        <f t="shared" si="39"/>
        <v/>
      </c>
      <c r="T357" t="str">
        <f t="shared" si="40"/>
        <v/>
      </c>
      <c r="U357" s="52" t="str">
        <f t="shared" si="41"/>
        <v/>
      </c>
    </row>
    <row r="358" spans="2:21" x14ac:dyDescent="0.25">
      <c r="B358">
        <v>365</v>
      </c>
      <c r="C358" t="s">
        <v>267</v>
      </c>
      <c r="D358" t="s">
        <v>1339</v>
      </c>
      <c r="E358" t="s">
        <v>1647</v>
      </c>
      <c r="F358" t="s">
        <v>1527</v>
      </c>
      <c r="G358">
        <v>21</v>
      </c>
      <c r="H358" s="48">
        <v>0</v>
      </c>
      <c r="I358" s="50">
        <v>0</v>
      </c>
      <c r="J358" s="50">
        <v>46226</v>
      </c>
      <c r="K358" s="54">
        <v>46246</v>
      </c>
      <c r="L358" s="54">
        <v>46218</v>
      </c>
      <c r="M358" s="54">
        <v>46238</v>
      </c>
      <c r="O358" s="51" t="str">
        <f t="shared" si="35"/>
        <v/>
      </c>
      <c r="P358" s="51" t="str">
        <f t="shared" si="36"/>
        <v/>
      </c>
      <c r="Q358" s="52" t="str">
        <f t="shared" si="37"/>
        <v/>
      </c>
      <c r="R358" s="52" t="str">
        <f t="shared" si="38"/>
        <v/>
      </c>
      <c r="S358" s="51" t="str">
        <f t="shared" si="39"/>
        <v/>
      </c>
      <c r="T358" t="str">
        <f t="shared" si="40"/>
        <v/>
      </c>
      <c r="U358" s="52" t="str">
        <f t="shared" si="41"/>
        <v/>
      </c>
    </row>
    <row r="359" spans="2:21" x14ac:dyDescent="0.25">
      <c r="B359">
        <v>366</v>
      </c>
      <c r="C359" t="s">
        <v>267</v>
      </c>
      <c r="D359" t="s">
        <v>1339</v>
      </c>
      <c r="E359" t="s">
        <v>1515</v>
      </c>
      <c r="F359" t="s">
        <v>1528</v>
      </c>
      <c r="G359">
        <v>8</v>
      </c>
      <c r="H359" s="48">
        <v>0</v>
      </c>
      <c r="I359" s="50">
        <v>0</v>
      </c>
      <c r="J359" s="50">
        <v>46226</v>
      </c>
      <c r="K359" s="54">
        <v>46233</v>
      </c>
      <c r="L359" s="54">
        <v>46218</v>
      </c>
      <c r="M359" s="54">
        <v>46225</v>
      </c>
      <c r="O359" s="51" t="str">
        <f t="shared" si="35"/>
        <v>SIM</v>
      </c>
      <c r="P359" s="51" t="str">
        <f t="shared" si="36"/>
        <v>BL1132-0001-UT-FEN-2002</v>
      </c>
      <c r="Q359" s="52">
        <f t="shared" si="37"/>
        <v>46225</v>
      </c>
      <c r="R359" s="52">
        <f t="shared" si="38"/>
        <v>46233</v>
      </c>
      <c r="S359" s="51" t="str">
        <f t="shared" si="39"/>
        <v/>
      </c>
      <c r="T359" t="str">
        <f t="shared" si="40"/>
        <v/>
      </c>
      <c r="U359" s="52" t="str">
        <f t="shared" si="41"/>
        <v/>
      </c>
    </row>
    <row r="360" spans="2:21" x14ac:dyDescent="0.25">
      <c r="B360">
        <v>367</v>
      </c>
      <c r="C360" t="s">
        <v>267</v>
      </c>
      <c r="D360" t="s">
        <v>1339</v>
      </c>
      <c r="E360" t="s">
        <v>1517</v>
      </c>
      <c r="F360" t="s">
        <v>1519</v>
      </c>
      <c r="G360">
        <v>6</v>
      </c>
      <c r="H360" s="48">
        <v>0</v>
      </c>
      <c r="I360" s="50">
        <v>0</v>
      </c>
      <c r="J360" s="50">
        <v>46233</v>
      </c>
      <c r="K360" s="54">
        <v>46238</v>
      </c>
      <c r="L360" s="54">
        <v>46225</v>
      </c>
      <c r="M360" s="54">
        <v>46230</v>
      </c>
      <c r="O360" s="51" t="str">
        <f t="shared" si="35"/>
        <v/>
      </c>
      <c r="P360" s="51" t="str">
        <f t="shared" si="36"/>
        <v/>
      </c>
      <c r="Q360" s="52" t="str">
        <f t="shared" si="37"/>
        <v/>
      </c>
      <c r="R360" s="52" t="str">
        <f t="shared" si="38"/>
        <v/>
      </c>
      <c r="S360" s="51" t="str">
        <f t="shared" si="39"/>
        <v/>
      </c>
      <c r="T360" t="str">
        <f t="shared" si="40"/>
        <v/>
      </c>
      <c r="U360" s="52" t="str">
        <f t="shared" si="41"/>
        <v/>
      </c>
    </row>
    <row r="361" spans="2:21" x14ac:dyDescent="0.25">
      <c r="B361">
        <v>368</v>
      </c>
      <c r="C361" t="s">
        <v>267</v>
      </c>
      <c r="D361" t="s">
        <v>1339</v>
      </c>
      <c r="E361" t="s">
        <v>1518</v>
      </c>
      <c r="F361" t="s">
        <v>1519</v>
      </c>
      <c r="G361">
        <v>4</v>
      </c>
      <c r="H361" s="48">
        <v>0</v>
      </c>
      <c r="I361" s="50">
        <v>0</v>
      </c>
      <c r="J361" s="50">
        <v>46238</v>
      </c>
      <c r="K361" s="54">
        <v>46241</v>
      </c>
      <c r="L361" s="54">
        <v>46230</v>
      </c>
      <c r="M361" s="54">
        <v>46233</v>
      </c>
      <c r="O361" s="51" t="str">
        <f t="shared" si="35"/>
        <v/>
      </c>
      <c r="P361" s="51" t="str">
        <f t="shared" si="36"/>
        <v/>
      </c>
      <c r="Q361" s="52" t="str">
        <f t="shared" si="37"/>
        <v/>
      </c>
      <c r="R361" s="52" t="str">
        <f t="shared" si="38"/>
        <v/>
      </c>
      <c r="S361" s="51" t="str">
        <f t="shared" si="39"/>
        <v>SIM</v>
      </c>
      <c r="T361" t="str">
        <f t="shared" si="40"/>
        <v>BL1132-0001-UT-FEN-2002</v>
      </c>
      <c r="U361" s="52">
        <f t="shared" si="41"/>
        <v>46233</v>
      </c>
    </row>
    <row r="362" spans="2:21" x14ac:dyDescent="0.25">
      <c r="B362">
        <v>369</v>
      </c>
      <c r="C362" t="s">
        <v>267</v>
      </c>
      <c r="D362" t="s">
        <v>1339</v>
      </c>
      <c r="E362" t="s">
        <v>1520</v>
      </c>
      <c r="F362" t="s">
        <v>1519</v>
      </c>
      <c r="G362">
        <v>6</v>
      </c>
      <c r="H362" s="48">
        <v>0</v>
      </c>
      <c r="I362" s="50">
        <v>0</v>
      </c>
      <c r="J362" s="50">
        <v>46241</v>
      </c>
      <c r="K362" s="54">
        <v>46246</v>
      </c>
      <c r="L362" s="54">
        <v>46233</v>
      </c>
      <c r="M362" s="54">
        <v>46238</v>
      </c>
      <c r="O362" s="51" t="str">
        <f t="shared" si="35"/>
        <v/>
      </c>
      <c r="P362" s="51" t="str">
        <f t="shared" si="36"/>
        <v/>
      </c>
      <c r="Q362" s="52" t="str">
        <f t="shared" si="37"/>
        <v/>
      </c>
      <c r="R362" s="52" t="str">
        <f t="shared" si="38"/>
        <v/>
      </c>
      <c r="S362" s="51" t="str">
        <f t="shared" si="39"/>
        <v/>
      </c>
      <c r="T362" t="str">
        <f t="shared" si="40"/>
        <v/>
      </c>
      <c r="U362" s="52" t="str">
        <f t="shared" si="41"/>
        <v/>
      </c>
    </row>
    <row r="363" spans="2:21" x14ac:dyDescent="0.25">
      <c r="B363">
        <v>370</v>
      </c>
      <c r="C363" t="s">
        <v>268</v>
      </c>
      <c r="D363" t="s">
        <v>1343</v>
      </c>
      <c r="E363" t="s">
        <v>1648</v>
      </c>
      <c r="F363" t="s">
        <v>1559</v>
      </c>
      <c r="G363">
        <v>17</v>
      </c>
      <c r="H363" s="48">
        <v>0</v>
      </c>
      <c r="I363" s="50">
        <v>0</v>
      </c>
      <c r="J363" s="50">
        <v>46233</v>
      </c>
      <c r="K363" s="54">
        <v>46251</v>
      </c>
      <c r="L363" s="54">
        <v>46225</v>
      </c>
      <c r="M363" s="54">
        <v>46241</v>
      </c>
      <c r="O363" s="51" t="str">
        <f t="shared" si="35"/>
        <v/>
      </c>
      <c r="P363" s="51" t="str">
        <f t="shared" si="36"/>
        <v/>
      </c>
      <c r="Q363" s="52" t="str">
        <f t="shared" si="37"/>
        <v/>
      </c>
      <c r="R363" s="52" t="str">
        <f t="shared" si="38"/>
        <v/>
      </c>
      <c r="S363" s="51" t="str">
        <f t="shared" si="39"/>
        <v/>
      </c>
      <c r="T363" t="str">
        <f t="shared" si="40"/>
        <v/>
      </c>
      <c r="U363" s="52" t="str">
        <f t="shared" si="41"/>
        <v/>
      </c>
    </row>
    <row r="364" spans="2:21" x14ac:dyDescent="0.25">
      <c r="B364">
        <v>371</v>
      </c>
      <c r="C364" t="s">
        <v>268</v>
      </c>
      <c r="D364" t="s">
        <v>1343</v>
      </c>
      <c r="E364" t="s">
        <v>1515</v>
      </c>
      <c r="F364" t="s">
        <v>1519</v>
      </c>
      <c r="G364">
        <v>6</v>
      </c>
      <c r="H364" s="48">
        <v>0</v>
      </c>
      <c r="I364" s="50">
        <v>0</v>
      </c>
      <c r="J364" s="50">
        <v>46233</v>
      </c>
      <c r="K364" s="54">
        <v>46238</v>
      </c>
      <c r="L364" s="54">
        <v>46225</v>
      </c>
      <c r="M364" s="54">
        <v>46230</v>
      </c>
      <c r="O364" s="51" t="str">
        <f t="shared" si="35"/>
        <v>SIM</v>
      </c>
      <c r="P364" s="51" t="str">
        <f t="shared" si="36"/>
        <v>BL1132-0001-UT-FEN-2003</v>
      </c>
      <c r="Q364" s="52">
        <f t="shared" si="37"/>
        <v>46230</v>
      </c>
      <c r="R364" s="52">
        <f t="shared" si="38"/>
        <v>46238</v>
      </c>
      <c r="S364" s="51" t="str">
        <f t="shared" si="39"/>
        <v/>
      </c>
      <c r="T364" t="str">
        <f t="shared" si="40"/>
        <v/>
      </c>
      <c r="U364" s="52" t="str">
        <f t="shared" si="41"/>
        <v/>
      </c>
    </row>
    <row r="365" spans="2:21" x14ac:dyDescent="0.25">
      <c r="B365">
        <v>372</v>
      </c>
      <c r="C365" t="s">
        <v>268</v>
      </c>
      <c r="D365" t="s">
        <v>1343</v>
      </c>
      <c r="E365" t="s">
        <v>1517</v>
      </c>
      <c r="F365" t="s">
        <v>1519</v>
      </c>
      <c r="G365">
        <v>4</v>
      </c>
      <c r="H365" s="48">
        <v>0</v>
      </c>
      <c r="I365" s="50">
        <v>0</v>
      </c>
      <c r="J365" s="50">
        <v>46238</v>
      </c>
      <c r="K365" s="54">
        <v>46241</v>
      </c>
      <c r="L365" s="54">
        <v>46230</v>
      </c>
      <c r="M365" s="54">
        <v>46233</v>
      </c>
      <c r="O365" s="51" t="str">
        <f t="shared" si="35"/>
        <v/>
      </c>
      <c r="P365" s="51" t="str">
        <f t="shared" si="36"/>
        <v/>
      </c>
      <c r="Q365" s="52" t="str">
        <f t="shared" si="37"/>
        <v/>
      </c>
      <c r="R365" s="52" t="str">
        <f t="shared" si="38"/>
        <v/>
      </c>
      <c r="S365" s="51" t="str">
        <f t="shared" si="39"/>
        <v/>
      </c>
      <c r="T365" t="str">
        <f t="shared" si="40"/>
        <v/>
      </c>
      <c r="U365" s="52" t="str">
        <f t="shared" si="41"/>
        <v/>
      </c>
    </row>
    <row r="366" spans="2:21" x14ac:dyDescent="0.25">
      <c r="B366">
        <v>373</v>
      </c>
      <c r="C366" t="s">
        <v>268</v>
      </c>
      <c r="D366" t="s">
        <v>1343</v>
      </c>
      <c r="E366" t="s">
        <v>1518</v>
      </c>
      <c r="F366" t="s">
        <v>1519</v>
      </c>
      <c r="G366">
        <v>6</v>
      </c>
      <c r="H366" s="48">
        <v>0</v>
      </c>
      <c r="I366" s="50">
        <v>0</v>
      </c>
      <c r="J366" s="50">
        <v>46241</v>
      </c>
      <c r="K366" s="54">
        <v>46246</v>
      </c>
      <c r="L366" s="54">
        <v>46233</v>
      </c>
      <c r="M366" s="54">
        <v>46238</v>
      </c>
      <c r="O366" s="51" t="str">
        <f t="shared" si="35"/>
        <v/>
      </c>
      <c r="P366" s="51" t="str">
        <f t="shared" si="36"/>
        <v/>
      </c>
      <c r="Q366" s="52" t="str">
        <f t="shared" si="37"/>
        <v/>
      </c>
      <c r="R366" s="52" t="str">
        <f t="shared" si="38"/>
        <v/>
      </c>
      <c r="S366" s="51" t="str">
        <f t="shared" si="39"/>
        <v>SIM</v>
      </c>
      <c r="T366" t="str">
        <f t="shared" si="40"/>
        <v>BL1132-0001-UT-FEN-2003</v>
      </c>
      <c r="U366" s="52">
        <f t="shared" si="41"/>
        <v>46238</v>
      </c>
    </row>
    <row r="367" spans="2:21" x14ac:dyDescent="0.25">
      <c r="B367">
        <v>374</v>
      </c>
      <c r="C367" t="s">
        <v>268</v>
      </c>
      <c r="D367" t="s">
        <v>1343</v>
      </c>
      <c r="E367" t="s">
        <v>1520</v>
      </c>
      <c r="F367" t="s">
        <v>1519</v>
      </c>
      <c r="G367">
        <v>4</v>
      </c>
      <c r="H367" s="48">
        <v>0</v>
      </c>
      <c r="I367" s="50">
        <v>0</v>
      </c>
      <c r="J367" s="50">
        <v>46246</v>
      </c>
      <c r="K367" s="54">
        <v>46251</v>
      </c>
      <c r="L367" s="54">
        <v>46238</v>
      </c>
      <c r="M367" s="54">
        <v>46241</v>
      </c>
      <c r="O367" s="51" t="str">
        <f t="shared" si="35"/>
        <v/>
      </c>
      <c r="P367" s="51" t="str">
        <f t="shared" si="36"/>
        <v/>
      </c>
      <c r="Q367" s="52" t="str">
        <f t="shared" si="37"/>
        <v/>
      </c>
      <c r="R367" s="52" t="str">
        <f t="shared" si="38"/>
        <v/>
      </c>
      <c r="S367" s="51" t="str">
        <f t="shared" si="39"/>
        <v/>
      </c>
      <c r="T367" t="str">
        <f t="shared" si="40"/>
        <v/>
      </c>
      <c r="U367" s="52" t="str">
        <f t="shared" si="41"/>
        <v/>
      </c>
    </row>
    <row r="368" spans="2:21" x14ac:dyDescent="0.25">
      <c r="B368">
        <v>375</v>
      </c>
      <c r="C368" t="s">
        <v>269</v>
      </c>
      <c r="D368" t="s">
        <v>1347</v>
      </c>
      <c r="E368" t="s">
        <v>1649</v>
      </c>
      <c r="F368" t="s">
        <v>1559</v>
      </c>
      <c r="G368">
        <v>17</v>
      </c>
      <c r="H368" s="48">
        <v>0</v>
      </c>
      <c r="I368" s="50">
        <v>0</v>
      </c>
      <c r="J368" s="50">
        <v>46238</v>
      </c>
      <c r="K368" s="54">
        <v>46254</v>
      </c>
      <c r="L368" s="54">
        <v>46230</v>
      </c>
      <c r="M368" s="54">
        <v>46246</v>
      </c>
      <c r="O368" s="51" t="str">
        <f t="shared" si="35"/>
        <v/>
      </c>
      <c r="P368" s="51" t="str">
        <f t="shared" si="36"/>
        <v/>
      </c>
      <c r="Q368" s="52" t="str">
        <f t="shared" si="37"/>
        <v/>
      </c>
      <c r="R368" s="52" t="str">
        <f t="shared" si="38"/>
        <v/>
      </c>
      <c r="S368" s="51" t="str">
        <f t="shared" si="39"/>
        <v/>
      </c>
      <c r="T368" t="str">
        <f t="shared" si="40"/>
        <v/>
      </c>
      <c r="U368" s="52" t="str">
        <f t="shared" si="41"/>
        <v/>
      </c>
    </row>
    <row r="369" spans="2:21" x14ac:dyDescent="0.25">
      <c r="B369">
        <v>376</v>
      </c>
      <c r="C369" t="s">
        <v>269</v>
      </c>
      <c r="D369" t="s">
        <v>1347</v>
      </c>
      <c r="E369" t="s">
        <v>1515</v>
      </c>
      <c r="F369" t="s">
        <v>1519</v>
      </c>
      <c r="G369">
        <v>4</v>
      </c>
      <c r="H369" s="48">
        <v>0</v>
      </c>
      <c r="I369" s="50">
        <v>0</v>
      </c>
      <c r="J369" s="50">
        <v>46238</v>
      </c>
      <c r="K369" s="54">
        <v>46241</v>
      </c>
      <c r="L369" s="54">
        <v>46230</v>
      </c>
      <c r="M369" s="54">
        <v>46233</v>
      </c>
      <c r="O369" s="51" t="str">
        <f t="shared" si="35"/>
        <v>SIM</v>
      </c>
      <c r="P369" s="51" t="str">
        <f t="shared" si="36"/>
        <v>BL1132-0001-UT-FEN-2004</v>
      </c>
      <c r="Q369" s="52">
        <f t="shared" si="37"/>
        <v>46233</v>
      </c>
      <c r="R369" s="52">
        <f t="shared" si="38"/>
        <v>46241</v>
      </c>
      <c r="S369" s="51" t="str">
        <f t="shared" si="39"/>
        <v/>
      </c>
      <c r="T369" t="str">
        <f t="shared" si="40"/>
        <v/>
      </c>
      <c r="U369" s="52" t="str">
        <f t="shared" si="41"/>
        <v/>
      </c>
    </row>
    <row r="370" spans="2:21" x14ac:dyDescent="0.25">
      <c r="B370">
        <v>377</v>
      </c>
      <c r="C370" t="s">
        <v>269</v>
      </c>
      <c r="D370" t="s">
        <v>1347</v>
      </c>
      <c r="E370" t="s">
        <v>1517</v>
      </c>
      <c r="F370" t="s">
        <v>1519</v>
      </c>
      <c r="G370">
        <v>6</v>
      </c>
      <c r="H370" s="48">
        <v>0</v>
      </c>
      <c r="I370" s="50">
        <v>0</v>
      </c>
      <c r="J370" s="50">
        <v>46241</v>
      </c>
      <c r="K370" s="54">
        <v>46246</v>
      </c>
      <c r="L370" s="54">
        <v>46233</v>
      </c>
      <c r="M370" s="54">
        <v>46238</v>
      </c>
      <c r="O370" s="51" t="str">
        <f t="shared" si="35"/>
        <v/>
      </c>
      <c r="P370" s="51" t="str">
        <f t="shared" si="36"/>
        <v/>
      </c>
      <c r="Q370" s="52" t="str">
        <f t="shared" si="37"/>
        <v/>
      </c>
      <c r="R370" s="52" t="str">
        <f t="shared" si="38"/>
        <v/>
      </c>
      <c r="S370" s="51" t="str">
        <f t="shared" si="39"/>
        <v/>
      </c>
      <c r="T370" t="str">
        <f t="shared" si="40"/>
        <v/>
      </c>
      <c r="U370" s="52" t="str">
        <f t="shared" si="41"/>
        <v/>
      </c>
    </row>
    <row r="371" spans="2:21" x14ac:dyDescent="0.25">
      <c r="B371">
        <v>378</v>
      </c>
      <c r="C371" t="s">
        <v>269</v>
      </c>
      <c r="D371" t="s">
        <v>1347</v>
      </c>
      <c r="E371" t="s">
        <v>1518</v>
      </c>
      <c r="F371" t="s">
        <v>1519</v>
      </c>
      <c r="G371">
        <v>4</v>
      </c>
      <c r="H371" s="48">
        <v>0</v>
      </c>
      <c r="I371" s="50">
        <v>0</v>
      </c>
      <c r="J371" s="50">
        <v>46246</v>
      </c>
      <c r="K371" s="54">
        <v>46251</v>
      </c>
      <c r="L371" s="54">
        <v>46238</v>
      </c>
      <c r="M371" s="54">
        <v>46241</v>
      </c>
      <c r="O371" s="51" t="str">
        <f t="shared" si="35"/>
        <v/>
      </c>
      <c r="P371" s="51" t="str">
        <f t="shared" si="36"/>
        <v/>
      </c>
      <c r="Q371" s="52" t="str">
        <f t="shared" si="37"/>
        <v/>
      </c>
      <c r="R371" s="52" t="str">
        <f t="shared" si="38"/>
        <v/>
      </c>
      <c r="S371" s="51" t="str">
        <f t="shared" si="39"/>
        <v>SIM</v>
      </c>
      <c r="T371" t="str">
        <f t="shared" si="40"/>
        <v>BL1132-0001-UT-FEN-2004</v>
      </c>
      <c r="U371" s="52">
        <f t="shared" si="41"/>
        <v>46241</v>
      </c>
    </row>
    <row r="372" spans="2:21" x14ac:dyDescent="0.25">
      <c r="B372">
        <v>379</v>
      </c>
      <c r="C372" t="s">
        <v>269</v>
      </c>
      <c r="D372" t="s">
        <v>1347</v>
      </c>
      <c r="E372" t="s">
        <v>1520</v>
      </c>
      <c r="F372" t="s">
        <v>1519</v>
      </c>
      <c r="G372">
        <v>6</v>
      </c>
      <c r="H372" s="48">
        <v>0</v>
      </c>
      <c r="I372" s="50">
        <v>0</v>
      </c>
      <c r="J372" s="50">
        <v>46251</v>
      </c>
      <c r="K372" s="54">
        <v>46254</v>
      </c>
      <c r="L372" s="54">
        <v>46241</v>
      </c>
      <c r="M372" s="54">
        <v>46246</v>
      </c>
      <c r="O372" s="51" t="str">
        <f t="shared" si="35"/>
        <v/>
      </c>
      <c r="P372" s="51" t="str">
        <f t="shared" si="36"/>
        <v/>
      </c>
      <c r="Q372" s="52" t="str">
        <f t="shared" si="37"/>
        <v/>
      </c>
      <c r="R372" s="52" t="str">
        <f t="shared" si="38"/>
        <v/>
      </c>
      <c r="S372" s="51" t="str">
        <f t="shared" si="39"/>
        <v/>
      </c>
      <c r="T372" t="str">
        <f t="shared" si="40"/>
        <v/>
      </c>
      <c r="U372" s="52" t="str">
        <f t="shared" si="41"/>
        <v/>
      </c>
    </row>
    <row r="373" spans="2:21" x14ac:dyDescent="0.25">
      <c r="B373">
        <v>380</v>
      </c>
      <c r="C373" t="s">
        <v>262</v>
      </c>
      <c r="D373" t="s">
        <v>1315</v>
      </c>
      <c r="E373" t="s">
        <v>1650</v>
      </c>
      <c r="F373" t="s">
        <v>1535</v>
      </c>
      <c r="G373">
        <v>20</v>
      </c>
      <c r="H373" s="48">
        <v>0</v>
      </c>
      <c r="I373" s="50">
        <v>0</v>
      </c>
      <c r="J373" s="50">
        <v>46241</v>
      </c>
      <c r="K373" s="54">
        <v>46260</v>
      </c>
      <c r="L373" s="54">
        <v>46233</v>
      </c>
      <c r="M373" s="54">
        <v>46252</v>
      </c>
      <c r="O373" s="51" t="str">
        <f t="shared" si="35"/>
        <v/>
      </c>
      <c r="P373" s="51" t="str">
        <f t="shared" si="36"/>
        <v/>
      </c>
      <c r="Q373" s="52" t="str">
        <f t="shared" si="37"/>
        <v/>
      </c>
      <c r="R373" s="52" t="str">
        <f t="shared" si="38"/>
        <v/>
      </c>
      <c r="S373" s="51" t="str">
        <f t="shared" si="39"/>
        <v/>
      </c>
      <c r="T373" t="str">
        <f t="shared" si="40"/>
        <v/>
      </c>
      <c r="U373" s="52" t="str">
        <f t="shared" si="41"/>
        <v/>
      </c>
    </row>
    <row r="374" spans="2:21" x14ac:dyDescent="0.25">
      <c r="B374">
        <v>381</v>
      </c>
      <c r="C374" t="s">
        <v>262</v>
      </c>
      <c r="D374" t="s">
        <v>1315</v>
      </c>
      <c r="E374" t="s">
        <v>1515</v>
      </c>
      <c r="F374" t="s">
        <v>1525</v>
      </c>
      <c r="G374">
        <v>7</v>
      </c>
      <c r="H374" s="48">
        <v>0</v>
      </c>
      <c r="I374" s="50">
        <v>0</v>
      </c>
      <c r="J374" s="50">
        <v>46241</v>
      </c>
      <c r="K374" s="54">
        <v>46247</v>
      </c>
      <c r="L374" s="54">
        <v>46233</v>
      </c>
      <c r="M374" s="54">
        <v>46239</v>
      </c>
      <c r="O374" s="51" t="str">
        <f t="shared" si="35"/>
        <v>SIM</v>
      </c>
      <c r="P374" s="51" t="str">
        <f t="shared" si="36"/>
        <v>BL1132-0001-UT-ETE-2000</v>
      </c>
      <c r="Q374" s="52">
        <f t="shared" si="37"/>
        <v>46239</v>
      </c>
      <c r="R374" s="52">
        <f t="shared" si="38"/>
        <v>46247</v>
      </c>
      <c r="S374" s="51" t="str">
        <f t="shared" si="39"/>
        <v/>
      </c>
      <c r="T374" t="str">
        <f t="shared" si="40"/>
        <v/>
      </c>
      <c r="U374" s="52" t="str">
        <f t="shared" si="41"/>
        <v/>
      </c>
    </row>
    <row r="375" spans="2:21" x14ac:dyDescent="0.25">
      <c r="B375">
        <v>382</v>
      </c>
      <c r="C375" t="s">
        <v>262</v>
      </c>
      <c r="D375" t="s">
        <v>1315</v>
      </c>
      <c r="E375" t="s">
        <v>1517</v>
      </c>
      <c r="F375" t="s">
        <v>1519</v>
      </c>
      <c r="G375">
        <v>6</v>
      </c>
      <c r="H375" s="48">
        <v>0</v>
      </c>
      <c r="I375" s="50">
        <v>0</v>
      </c>
      <c r="J375" s="50">
        <v>46247</v>
      </c>
      <c r="K375" s="54">
        <v>46252</v>
      </c>
      <c r="L375" s="54">
        <v>46239</v>
      </c>
      <c r="M375" s="54">
        <v>46244</v>
      </c>
      <c r="O375" s="51" t="str">
        <f t="shared" si="35"/>
        <v/>
      </c>
      <c r="P375" s="51" t="str">
        <f t="shared" si="36"/>
        <v/>
      </c>
      <c r="Q375" s="52" t="str">
        <f t="shared" si="37"/>
        <v/>
      </c>
      <c r="R375" s="52" t="str">
        <f t="shared" si="38"/>
        <v/>
      </c>
      <c r="S375" s="51" t="str">
        <f t="shared" si="39"/>
        <v/>
      </c>
      <c r="T375" t="str">
        <f t="shared" si="40"/>
        <v/>
      </c>
      <c r="U375" s="52" t="str">
        <f t="shared" si="41"/>
        <v/>
      </c>
    </row>
    <row r="376" spans="2:21" x14ac:dyDescent="0.25">
      <c r="B376">
        <v>383</v>
      </c>
      <c r="C376" t="s">
        <v>262</v>
      </c>
      <c r="D376" t="s">
        <v>1315</v>
      </c>
      <c r="E376" t="s">
        <v>1518</v>
      </c>
      <c r="F376" t="s">
        <v>1519</v>
      </c>
      <c r="G376">
        <v>4</v>
      </c>
      <c r="H376" s="48">
        <v>0</v>
      </c>
      <c r="I376" s="50">
        <v>0</v>
      </c>
      <c r="J376" s="50">
        <v>46252</v>
      </c>
      <c r="K376" s="54">
        <v>46255</v>
      </c>
      <c r="L376" s="54">
        <v>46244</v>
      </c>
      <c r="M376" s="54">
        <v>46247</v>
      </c>
      <c r="O376" s="51" t="str">
        <f t="shared" si="35"/>
        <v/>
      </c>
      <c r="P376" s="51" t="str">
        <f t="shared" si="36"/>
        <v/>
      </c>
      <c r="Q376" s="52" t="str">
        <f t="shared" si="37"/>
        <v/>
      </c>
      <c r="R376" s="52" t="str">
        <f t="shared" si="38"/>
        <v/>
      </c>
      <c r="S376" s="51" t="str">
        <f t="shared" si="39"/>
        <v>SIM</v>
      </c>
      <c r="T376" t="str">
        <f t="shared" si="40"/>
        <v>BL1132-0001-UT-ETE-2000</v>
      </c>
      <c r="U376" s="52">
        <f t="shared" si="41"/>
        <v>46247</v>
      </c>
    </row>
    <row r="377" spans="2:21" x14ac:dyDescent="0.25">
      <c r="B377">
        <v>384</v>
      </c>
      <c r="C377" t="s">
        <v>262</v>
      </c>
      <c r="D377" t="s">
        <v>1315</v>
      </c>
      <c r="E377" t="s">
        <v>1520</v>
      </c>
      <c r="F377" t="s">
        <v>1519</v>
      </c>
      <c r="G377">
        <v>6</v>
      </c>
      <c r="H377" s="48">
        <v>0</v>
      </c>
      <c r="I377" s="50">
        <v>0</v>
      </c>
      <c r="J377" s="50">
        <v>46255</v>
      </c>
      <c r="K377" s="54">
        <v>46260</v>
      </c>
      <c r="L377" s="54">
        <v>46247</v>
      </c>
      <c r="M377" s="54">
        <v>46252</v>
      </c>
      <c r="O377" s="51" t="str">
        <f t="shared" si="35"/>
        <v/>
      </c>
      <c r="P377" s="51" t="str">
        <f t="shared" si="36"/>
        <v/>
      </c>
      <c r="Q377" s="52" t="str">
        <f t="shared" si="37"/>
        <v/>
      </c>
      <c r="R377" s="52" t="str">
        <f t="shared" si="38"/>
        <v/>
      </c>
      <c r="S377" s="51" t="str">
        <f t="shared" si="39"/>
        <v/>
      </c>
      <c r="T377" t="str">
        <f t="shared" si="40"/>
        <v/>
      </c>
      <c r="U377" s="52" t="str">
        <f t="shared" si="41"/>
        <v/>
      </c>
    </row>
    <row r="378" spans="2:21" x14ac:dyDescent="0.25">
      <c r="B378">
        <v>385</v>
      </c>
      <c r="C378" t="s">
        <v>264</v>
      </c>
      <c r="D378" t="s">
        <v>1325</v>
      </c>
      <c r="E378" t="s">
        <v>1651</v>
      </c>
      <c r="F378" t="s">
        <v>1559</v>
      </c>
      <c r="G378">
        <v>17</v>
      </c>
      <c r="H378" s="48">
        <v>0</v>
      </c>
      <c r="I378" s="50">
        <v>0</v>
      </c>
      <c r="J378" s="50">
        <v>46247</v>
      </c>
      <c r="K378" s="54">
        <v>46265</v>
      </c>
      <c r="L378" s="54">
        <v>46239</v>
      </c>
      <c r="M378" s="54">
        <v>46255</v>
      </c>
      <c r="O378" s="51" t="str">
        <f t="shared" si="35"/>
        <v/>
      </c>
      <c r="P378" s="51" t="str">
        <f t="shared" si="36"/>
        <v/>
      </c>
      <c r="Q378" s="52" t="str">
        <f t="shared" si="37"/>
        <v/>
      </c>
      <c r="R378" s="52" t="str">
        <f t="shared" si="38"/>
        <v/>
      </c>
      <c r="S378" s="51" t="str">
        <f t="shared" si="39"/>
        <v/>
      </c>
      <c r="T378" t="str">
        <f t="shared" si="40"/>
        <v/>
      </c>
      <c r="U378" s="52" t="str">
        <f t="shared" si="41"/>
        <v/>
      </c>
    </row>
    <row r="379" spans="2:21" x14ac:dyDescent="0.25">
      <c r="B379">
        <v>386</v>
      </c>
      <c r="C379" t="s">
        <v>264</v>
      </c>
      <c r="D379" t="s">
        <v>1325</v>
      </c>
      <c r="E379" t="s">
        <v>1515</v>
      </c>
      <c r="F379" t="s">
        <v>1519</v>
      </c>
      <c r="G379">
        <v>6</v>
      </c>
      <c r="H379" s="48">
        <v>0</v>
      </c>
      <c r="I379" s="50">
        <v>0</v>
      </c>
      <c r="J379" s="50">
        <v>46247</v>
      </c>
      <c r="K379" s="54">
        <v>46252</v>
      </c>
      <c r="L379" s="54">
        <v>46239</v>
      </c>
      <c r="M379" s="54">
        <v>46244</v>
      </c>
      <c r="O379" s="51" t="str">
        <f t="shared" si="35"/>
        <v>SIM</v>
      </c>
      <c r="P379" s="51" t="str">
        <f t="shared" si="36"/>
        <v>BL1132-0001-UT-FDA-2000</v>
      </c>
      <c r="Q379" s="52">
        <f t="shared" si="37"/>
        <v>46244</v>
      </c>
      <c r="R379" s="52">
        <f t="shared" si="38"/>
        <v>46252</v>
      </c>
      <c r="S379" s="51" t="str">
        <f t="shared" si="39"/>
        <v/>
      </c>
      <c r="T379" t="str">
        <f t="shared" si="40"/>
        <v/>
      </c>
      <c r="U379" s="52" t="str">
        <f t="shared" si="41"/>
        <v/>
      </c>
    </row>
    <row r="380" spans="2:21" x14ac:dyDescent="0.25">
      <c r="B380">
        <v>387</v>
      </c>
      <c r="C380" t="s">
        <v>264</v>
      </c>
      <c r="D380" t="s">
        <v>1325</v>
      </c>
      <c r="E380" t="s">
        <v>1517</v>
      </c>
      <c r="F380" t="s">
        <v>1519</v>
      </c>
      <c r="G380">
        <v>4</v>
      </c>
      <c r="H380" s="48">
        <v>0</v>
      </c>
      <c r="I380" s="50">
        <v>0</v>
      </c>
      <c r="J380" s="50">
        <v>46252</v>
      </c>
      <c r="K380" s="54">
        <v>46255</v>
      </c>
      <c r="L380" s="54">
        <v>46244</v>
      </c>
      <c r="M380" s="54">
        <v>46247</v>
      </c>
      <c r="O380" s="51" t="str">
        <f t="shared" si="35"/>
        <v/>
      </c>
      <c r="P380" s="51" t="str">
        <f t="shared" si="36"/>
        <v/>
      </c>
      <c r="Q380" s="52" t="str">
        <f t="shared" si="37"/>
        <v/>
      </c>
      <c r="R380" s="52" t="str">
        <f t="shared" si="38"/>
        <v/>
      </c>
      <c r="S380" s="51" t="str">
        <f t="shared" si="39"/>
        <v/>
      </c>
      <c r="T380" t="str">
        <f t="shared" si="40"/>
        <v/>
      </c>
      <c r="U380" s="52" t="str">
        <f t="shared" si="41"/>
        <v/>
      </c>
    </row>
    <row r="381" spans="2:21" x14ac:dyDescent="0.25">
      <c r="B381">
        <v>388</v>
      </c>
      <c r="C381" t="s">
        <v>264</v>
      </c>
      <c r="D381" t="s">
        <v>1325</v>
      </c>
      <c r="E381" t="s">
        <v>1518</v>
      </c>
      <c r="F381" t="s">
        <v>1519</v>
      </c>
      <c r="G381">
        <v>6</v>
      </c>
      <c r="H381" s="48">
        <v>0</v>
      </c>
      <c r="I381" s="50">
        <v>0</v>
      </c>
      <c r="J381" s="50">
        <v>46255</v>
      </c>
      <c r="K381" s="54">
        <v>46260</v>
      </c>
      <c r="L381" s="54">
        <v>46247</v>
      </c>
      <c r="M381" s="54">
        <v>46252</v>
      </c>
      <c r="O381" s="51" t="str">
        <f t="shared" si="35"/>
        <v/>
      </c>
      <c r="P381" s="51" t="str">
        <f t="shared" si="36"/>
        <v/>
      </c>
      <c r="Q381" s="52" t="str">
        <f t="shared" si="37"/>
        <v/>
      </c>
      <c r="R381" s="52" t="str">
        <f t="shared" si="38"/>
        <v/>
      </c>
      <c r="S381" s="51" t="str">
        <f t="shared" si="39"/>
        <v>SIM</v>
      </c>
      <c r="T381" t="str">
        <f t="shared" si="40"/>
        <v>BL1132-0001-UT-FDA-2000</v>
      </c>
      <c r="U381" s="52">
        <f t="shared" si="41"/>
        <v>46252</v>
      </c>
    </row>
    <row r="382" spans="2:21" x14ac:dyDescent="0.25">
      <c r="B382">
        <v>389</v>
      </c>
      <c r="C382" t="s">
        <v>264</v>
      </c>
      <c r="D382" t="s">
        <v>1325</v>
      </c>
      <c r="E382" t="s">
        <v>1520</v>
      </c>
      <c r="F382" t="s">
        <v>1519</v>
      </c>
      <c r="G382">
        <v>4</v>
      </c>
      <c r="H382" s="48">
        <v>0</v>
      </c>
      <c r="I382" s="50">
        <v>0</v>
      </c>
      <c r="J382" s="50">
        <v>46260</v>
      </c>
      <c r="K382" s="54">
        <v>46265</v>
      </c>
      <c r="L382" s="54">
        <v>46252</v>
      </c>
      <c r="M382" s="54">
        <v>46255</v>
      </c>
      <c r="O382" s="51" t="str">
        <f t="shared" si="35"/>
        <v/>
      </c>
      <c r="P382" s="51" t="str">
        <f t="shared" si="36"/>
        <v/>
      </c>
      <c r="Q382" s="52" t="str">
        <f t="shared" si="37"/>
        <v/>
      </c>
      <c r="R382" s="52" t="str">
        <f t="shared" si="38"/>
        <v/>
      </c>
      <c r="S382" s="51" t="str">
        <f t="shared" si="39"/>
        <v/>
      </c>
      <c r="T382" t="str">
        <f t="shared" si="40"/>
        <v/>
      </c>
      <c r="U382" s="52" t="str">
        <f t="shared" si="41"/>
        <v/>
      </c>
    </row>
    <row r="383" spans="2:21" x14ac:dyDescent="0.25">
      <c r="B383">
        <v>390</v>
      </c>
      <c r="E383" t="s">
        <v>1558</v>
      </c>
      <c r="F383" t="s">
        <v>1535</v>
      </c>
      <c r="G383">
        <v>18</v>
      </c>
      <c r="H383" s="48">
        <v>0</v>
      </c>
      <c r="I383" s="50">
        <v>0</v>
      </c>
      <c r="J383" s="50">
        <v>46226</v>
      </c>
      <c r="K383" s="54">
        <v>46245</v>
      </c>
      <c r="L383" s="54">
        <v>46244</v>
      </c>
      <c r="M383" s="54">
        <v>46261</v>
      </c>
      <c r="O383" s="51" t="str">
        <f t="shared" si="35"/>
        <v/>
      </c>
      <c r="P383" s="51" t="str">
        <f t="shared" si="36"/>
        <v/>
      </c>
      <c r="Q383" s="52" t="str">
        <f t="shared" si="37"/>
        <v/>
      </c>
      <c r="R383" s="52" t="str">
        <f t="shared" si="38"/>
        <v/>
      </c>
      <c r="S383" s="51" t="str">
        <f t="shared" si="39"/>
        <v/>
      </c>
      <c r="T383" t="str">
        <f t="shared" si="40"/>
        <v/>
      </c>
      <c r="U383" s="52" t="str">
        <f t="shared" si="41"/>
        <v/>
      </c>
    </row>
    <row r="384" spans="2:21" x14ac:dyDescent="0.25">
      <c r="B384">
        <v>391</v>
      </c>
      <c r="C384" t="s">
        <v>250</v>
      </c>
      <c r="D384" t="s">
        <v>1260</v>
      </c>
      <c r="E384" t="s">
        <v>1652</v>
      </c>
      <c r="F384" t="s">
        <v>1535</v>
      </c>
      <c r="G384">
        <v>18</v>
      </c>
      <c r="H384" s="48">
        <v>0</v>
      </c>
      <c r="I384" s="50">
        <v>0</v>
      </c>
      <c r="J384" s="50">
        <v>46226</v>
      </c>
      <c r="K384" s="54">
        <v>46245</v>
      </c>
      <c r="L384" s="54">
        <v>46244</v>
      </c>
      <c r="M384" s="54">
        <v>46261</v>
      </c>
      <c r="O384" s="51" t="str">
        <f t="shared" si="35"/>
        <v/>
      </c>
      <c r="P384" s="51" t="str">
        <f t="shared" si="36"/>
        <v/>
      </c>
      <c r="Q384" s="52" t="str">
        <f t="shared" si="37"/>
        <v/>
      </c>
      <c r="R384" s="52" t="str">
        <f t="shared" si="38"/>
        <v/>
      </c>
      <c r="S384" s="51" t="str">
        <f t="shared" si="39"/>
        <v/>
      </c>
      <c r="T384" t="str">
        <f t="shared" si="40"/>
        <v/>
      </c>
      <c r="U384" s="52" t="str">
        <f t="shared" si="41"/>
        <v/>
      </c>
    </row>
    <row r="385" spans="2:21" x14ac:dyDescent="0.25">
      <c r="B385">
        <v>392</v>
      </c>
      <c r="C385" t="s">
        <v>250</v>
      </c>
      <c r="D385" t="s">
        <v>1260</v>
      </c>
      <c r="E385" t="s">
        <v>1515</v>
      </c>
      <c r="F385" t="s">
        <v>1525</v>
      </c>
      <c r="G385">
        <v>5</v>
      </c>
      <c r="H385" s="48">
        <v>0</v>
      </c>
      <c r="I385" s="50">
        <v>0</v>
      </c>
      <c r="J385" s="50">
        <v>46226</v>
      </c>
      <c r="K385" s="54">
        <v>46232</v>
      </c>
      <c r="L385" s="54">
        <v>46244</v>
      </c>
      <c r="M385" s="54">
        <v>46248</v>
      </c>
      <c r="O385" s="51" t="str">
        <f t="shared" si="35"/>
        <v>SIM</v>
      </c>
      <c r="P385" s="51" t="str">
        <f t="shared" si="36"/>
        <v>BL1132-0001-ME-PBC-2006</v>
      </c>
      <c r="Q385" s="52">
        <f t="shared" si="37"/>
        <v>46248</v>
      </c>
      <c r="R385" s="52">
        <f t="shared" si="38"/>
        <v>46232</v>
      </c>
      <c r="S385" s="51" t="str">
        <f t="shared" si="39"/>
        <v/>
      </c>
      <c r="T385" t="str">
        <f t="shared" si="40"/>
        <v/>
      </c>
      <c r="U385" s="52" t="str">
        <f t="shared" si="41"/>
        <v/>
      </c>
    </row>
    <row r="386" spans="2:21" x14ac:dyDescent="0.25">
      <c r="B386">
        <v>393</v>
      </c>
      <c r="C386" t="s">
        <v>250</v>
      </c>
      <c r="D386" t="s">
        <v>1260</v>
      </c>
      <c r="E386" t="s">
        <v>1517</v>
      </c>
      <c r="F386" t="s">
        <v>1519</v>
      </c>
      <c r="G386">
        <v>6</v>
      </c>
      <c r="H386" s="48">
        <v>0</v>
      </c>
      <c r="I386" s="50">
        <v>0</v>
      </c>
      <c r="J386" s="50">
        <v>46232</v>
      </c>
      <c r="K386" s="54">
        <v>46237</v>
      </c>
      <c r="L386" s="54">
        <v>46248</v>
      </c>
      <c r="M386" s="54">
        <v>46253</v>
      </c>
      <c r="O386" s="51" t="str">
        <f t="shared" si="35"/>
        <v/>
      </c>
      <c r="P386" s="51" t="str">
        <f t="shared" si="36"/>
        <v/>
      </c>
      <c r="Q386" s="52" t="str">
        <f t="shared" si="37"/>
        <v/>
      </c>
      <c r="R386" s="52" t="str">
        <f t="shared" si="38"/>
        <v/>
      </c>
      <c r="S386" s="51" t="str">
        <f t="shared" si="39"/>
        <v/>
      </c>
      <c r="T386" t="str">
        <f t="shared" si="40"/>
        <v/>
      </c>
      <c r="U386" s="52" t="str">
        <f t="shared" si="41"/>
        <v/>
      </c>
    </row>
    <row r="387" spans="2:21" x14ac:dyDescent="0.25">
      <c r="B387">
        <v>394</v>
      </c>
      <c r="C387" t="s">
        <v>250</v>
      </c>
      <c r="D387" t="s">
        <v>1260</v>
      </c>
      <c r="E387" t="s">
        <v>1518</v>
      </c>
      <c r="F387" t="s">
        <v>1519</v>
      </c>
      <c r="G387">
        <v>6</v>
      </c>
      <c r="H387" s="48">
        <v>0</v>
      </c>
      <c r="I387" s="50">
        <v>0</v>
      </c>
      <c r="J387" s="50">
        <v>46237</v>
      </c>
      <c r="K387" s="54">
        <v>46240</v>
      </c>
      <c r="L387" s="54">
        <v>46253</v>
      </c>
      <c r="M387" s="54">
        <v>46258</v>
      </c>
      <c r="O387" s="51" t="str">
        <f t="shared" ref="O387:O450" si="42">IF(OR(E387 = "                           1 - Emissão Inicial",E387="                  1 - Emissão após Design Review 1",E387 = "                  1 - Emissão para conhecimento",E387 = "                  1 - Emissão Final",E387 = "         Lista de Documentos",E387 = "         Elaboração do cronograma",E387 = "         Norma de Coordenação"), "SIM", "")</f>
        <v/>
      </c>
      <c r="P387" s="51" t="str">
        <f t="shared" ref="P387:P450" si="43">IF(O387="SIM",C387,"")</f>
        <v/>
      </c>
      <c r="Q387" s="52" t="str">
        <f t="shared" ref="Q387:Q450" si="44">IF(O387="SIM",M387,"")</f>
        <v/>
      </c>
      <c r="R387" s="52" t="str">
        <f t="shared" ref="R387:R450" si="45">IF(O387="SIM",K387,"")</f>
        <v/>
      </c>
      <c r="S387" s="51" t="str">
        <f t="shared" ref="S387:S450" si="46">IF(OR(E387 = "                           3 - Atendimento de Comentários",E387="                  1 - Emissão após Design Review 1",E387 = "                  1 - Emissão para conhecimento",E387 = "                  1 - Emissão Final",E387 = "         Lista de Documentos",E387 = "         Elaboração do cronograma",E387 = "         Norma de Coordenação"), "SIM", "")</f>
        <v>SIM</v>
      </c>
      <c r="T387" t="str">
        <f t="shared" ref="T387:T450" si="47">IF(S387="SIM",C387,"")</f>
        <v>BL1132-0001-ME-PBC-2006</v>
      </c>
      <c r="U387" s="52">
        <f t="shared" ref="U387:U450" si="48">IF(S387="SIM",M387,"")</f>
        <v>46258</v>
      </c>
    </row>
    <row r="388" spans="2:21" x14ac:dyDescent="0.25">
      <c r="B388">
        <v>395</v>
      </c>
      <c r="C388" t="s">
        <v>250</v>
      </c>
      <c r="D388" t="s">
        <v>1260</v>
      </c>
      <c r="E388" t="s">
        <v>1520</v>
      </c>
      <c r="F388" t="s">
        <v>1519</v>
      </c>
      <c r="G388">
        <v>4</v>
      </c>
      <c r="H388" s="48">
        <v>0</v>
      </c>
      <c r="I388" s="50">
        <v>0</v>
      </c>
      <c r="J388" s="50">
        <v>46240</v>
      </c>
      <c r="K388" s="54">
        <v>46245</v>
      </c>
      <c r="L388" s="54">
        <v>46258</v>
      </c>
      <c r="M388" s="54">
        <v>46261</v>
      </c>
      <c r="O388" s="51" t="str">
        <f t="shared" si="42"/>
        <v/>
      </c>
      <c r="P388" s="51" t="str">
        <f t="shared" si="43"/>
        <v/>
      </c>
      <c r="Q388" s="52" t="str">
        <f t="shared" si="44"/>
        <v/>
      </c>
      <c r="R388" s="52" t="str">
        <f t="shared" si="45"/>
        <v/>
      </c>
      <c r="S388" s="51" t="str">
        <f t="shared" si="46"/>
        <v/>
      </c>
      <c r="T388" t="str">
        <f t="shared" si="47"/>
        <v/>
      </c>
      <c r="U388" s="52" t="str">
        <f t="shared" si="48"/>
        <v/>
      </c>
    </row>
    <row r="389" spans="2:21" x14ac:dyDescent="0.25">
      <c r="B389">
        <v>396</v>
      </c>
      <c r="E389" t="s">
        <v>1572</v>
      </c>
      <c r="F389" t="s">
        <v>1535</v>
      </c>
      <c r="G389">
        <v>20</v>
      </c>
      <c r="H389" s="48">
        <v>0</v>
      </c>
      <c r="I389" s="50">
        <v>0</v>
      </c>
      <c r="J389" s="50">
        <v>46238</v>
      </c>
      <c r="K389" s="54">
        <v>46255</v>
      </c>
      <c r="L389" s="54">
        <v>46248</v>
      </c>
      <c r="M389" s="54">
        <v>46267</v>
      </c>
      <c r="O389" s="51" t="str">
        <f t="shared" si="42"/>
        <v/>
      </c>
      <c r="P389" s="51" t="str">
        <f t="shared" si="43"/>
        <v/>
      </c>
      <c r="Q389" s="52" t="str">
        <f t="shared" si="44"/>
        <v/>
      </c>
      <c r="R389" s="52" t="str">
        <f t="shared" si="45"/>
        <v/>
      </c>
      <c r="S389" s="51" t="str">
        <f t="shared" si="46"/>
        <v/>
      </c>
      <c r="T389" t="str">
        <f t="shared" si="47"/>
        <v/>
      </c>
      <c r="U389" s="52" t="str">
        <f t="shared" si="48"/>
        <v/>
      </c>
    </row>
    <row r="390" spans="2:21" x14ac:dyDescent="0.25">
      <c r="B390">
        <v>397</v>
      </c>
      <c r="C390" t="s">
        <v>103</v>
      </c>
      <c r="D390" t="s">
        <v>706</v>
      </c>
      <c r="E390" t="s">
        <v>1653</v>
      </c>
      <c r="F390" t="s">
        <v>1535</v>
      </c>
      <c r="G390">
        <v>20</v>
      </c>
      <c r="H390" s="48">
        <v>0</v>
      </c>
      <c r="I390" s="50">
        <v>0</v>
      </c>
      <c r="J390" s="50">
        <v>46238</v>
      </c>
      <c r="K390" s="54">
        <v>46255</v>
      </c>
      <c r="L390" s="54">
        <v>46248</v>
      </c>
      <c r="M390" s="54">
        <v>46267</v>
      </c>
      <c r="O390" s="51" t="str">
        <f t="shared" si="42"/>
        <v/>
      </c>
      <c r="P390" s="51" t="str">
        <f t="shared" si="43"/>
        <v/>
      </c>
      <c r="Q390" s="52" t="str">
        <f t="shared" si="44"/>
        <v/>
      </c>
      <c r="R390" s="52" t="str">
        <f t="shared" si="45"/>
        <v/>
      </c>
      <c r="S390" s="51" t="str">
        <f t="shared" si="46"/>
        <v/>
      </c>
      <c r="T390" t="str">
        <f t="shared" si="47"/>
        <v/>
      </c>
      <c r="U390" s="52" t="str">
        <f t="shared" si="48"/>
        <v/>
      </c>
    </row>
    <row r="391" spans="2:21" x14ac:dyDescent="0.25">
      <c r="B391">
        <v>398</v>
      </c>
      <c r="C391" t="s">
        <v>103</v>
      </c>
      <c r="D391" t="s">
        <v>706</v>
      </c>
      <c r="E391" t="s">
        <v>1515</v>
      </c>
      <c r="F391" t="s">
        <v>1525</v>
      </c>
      <c r="G391">
        <v>7</v>
      </c>
      <c r="H391" s="48">
        <v>0</v>
      </c>
      <c r="I391" s="50">
        <v>0</v>
      </c>
      <c r="J391" s="50">
        <v>46238</v>
      </c>
      <c r="K391" s="54">
        <v>46244</v>
      </c>
      <c r="L391" s="54">
        <v>46248</v>
      </c>
      <c r="M391" s="54">
        <v>46254</v>
      </c>
      <c r="O391" s="51" t="str">
        <f t="shared" si="42"/>
        <v>SIM</v>
      </c>
      <c r="P391" s="51" t="str">
        <f t="shared" si="43"/>
        <v>BL1132-0001-CC-MCA-2109</v>
      </c>
      <c r="Q391" s="52">
        <f t="shared" si="44"/>
        <v>46254</v>
      </c>
      <c r="R391" s="52">
        <f t="shared" si="45"/>
        <v>46244</v>
      </c>
      <c r="S391" s="51" t="str">
        <f t="shared" si="46"/>
        <v/>
      </c>
      <c r="T391" t="str">
        <f t="shared" si="47"/>
        <v/>
      </c>
      <c r="U391" s="52" t="str">
        <f t="shared" si="48"/>
        <v/>
      </c>
    </row>
    <row r="392" spans="2:21" x14ac:dyDescent="0.25">
      <c r="B392">
        <v>399</v>
      </c>
      <c r="C392" t="s">
        <v>103</v>
      </c>
      <c r="D392" t="s">
        <v>706</v>
      </c>
      <c r="E392" t="s">
        <v>1517</v>
      </c>
      <c r="F392" t="s">
        <v>1519</v>
      </c>
      <c r="G392">
        <v>6</v>
      </c>
      <c r="H392" s="48">
        <v>0</v>
      </c>
      <c r="I392" s="50">
        <v>0</v>
      </c>
      <c r="J392" s="50">
        <v>46244</v>
      </c>
      <c r="K392" s="54">
        <v>46247</v>
      </c>
      <c r="L392" s="54">
        <v>46254</v>
      </c>
      <c r="M392" s="54">
        <v>46259</v>
      </c>
      <c r="O392" s="51" t="str">
        <f t="shared" si="42"/>
        <v/>
      </c>
      <c r="P392" s="51" t="str">
        <f t="shared" si="43"/>
        <v/>
      </c>
      <c r="Q392" s="52" t="str">
        <f t="shared" si="44"/>
        <v/>
      </c>
      <c r="R392" s="52" t="str">
        <f t="shared" si="45"/>
        <v/>
      </c>
      <c r="S392" s="51" t="str">
        <f t="shared" si="46"/>
        <v/>
      </c>
      <c r="T392" t="str">
        <f t="shared" si="47"/>
        <v/>
      </c>
      <c r="U392" s="52" t="str">
        <f t="shared" si="48"/>
        <v/>
      </c>
    </row>
    <row r="393" spans="2:21" x14ac:dyDescent="0.25">
      <c r="B393">
        <v>400</v>
      </c>
      <c r="C393" t="s">
        <v>103</v>
      </c>
      <c r="D393" t="s">
        <v>706</v>
      </c>
      <c r="E393" t="s">
        <v>1518</v>
      </c>
      <c r="F393" t="s">
        <v>1519</v>
      </c>
      <c r="G393">
        <v>4</v>
      </c>
      <c r="H393" s="48">
        <v>0</v>
      </c>
      <c r="I393" s="50">
        <v>0</v>
      </c>
      <c r="J393" s="50">
        <v>46247</v>
      </c>
      <c r="K393" s="54">
        <v>46252</v>
      </c>
      <c r="L393" s="54">
        <v>46259</v>
      </c>
      <c r="M393" s="54">
        <v>46262</v>
      </c>
      <c r="O393" s="51" t="str">
        <f t="shared" si="42"/>
        <v/>
      </c>
      <c r="P393" s="51" t="str">
        <f t="shared" si="43"/>
        <v/>
      </c>
      <c r="Q393" s="52" t="str">
        <f t="shared" si="44"/>
        <v/>
      </c>
      <c r="R393" s="52" t="str">
        <f t="shared" si="45"/>
        <v/>
      </c>
      <c r="S393" s="51" t="str">
        <f t="shared" si="46"/>
        <v>SIM</v>
      </c>
      <c r="T393" t="str">
        <f t="shared" si="47"/>
        <v>BL1132-0001-CC-MCA-2109</v>
      </c>
      <c r="U393" s="52">
        <f t="shared" si="48"/>
        <v>46262</v>
      </c>
    </row>
    <row r="394" spans="2:21" x14ac:dyDescent="0.25">
      <c r="B394">
        <v>401</v>
      </c>
      <c r="C394" t="s">
        <v>103</v>
      </c>
      <c r="D394" t="s">
        <v>706</v>
      </c>
      <c r="E394" t="s">
        <v>1520</v>
      </c>
      <c r="F394" t="s">
        <v>1519</v>
      </c>
      <c r="G394">
        <v>6</v>
      </c>
      <c r="H394" s="48">
        <v>0</v>
      </c>
      <c r="I394" s="50">
        <v>0</v>
      </c>
      <c r="J394" s="50">
        <v>46252</v>
      </c>
      <c r="K394" s="54">
        <v>46255</v>
      </c>
      <c r="L394" s="54">
        <v>46262</v>
      </c>
      <c r="M394" s="54">
        <v>46267</v>
      </c>
      <c r="O394" s="51" t="str">
        <f t="shared" si="42"/>
        <v/>
      </c>
      <c r="P394" s="51" t="str">
        <f t="shared" si="43"/>
        <v/>
      </c>
      <c r="Q394" s="52" t="str">
        <f t="shared" si="44"/>
        <v/>
      </c>
      <c r="R394" s="52" t="str">
        <f t="shared" si="45"/>
        <v/>
      </c>
      <c r="S394" s="51" t="str">
        <f t="shared" si="46"/>
        <v/>
      </c>
      <c r="T394" t="str">
        <f t="shared" si="47"/>
        <v/>
      </c>
      <c r="U394" s="52" t="str">
        <f t="shared" si="48"/>
        <v/>
      </c>
    </row>
    <row r="395" spans="2:21" x14ac:dyDescent="0.25">
      <c r="B395">
        <v>408</v>
      </c>
      <c r="E395" t="s">
        <v>1470</v>
      </c>
      <c r="F395" t="s">
        <v>1471</v>
      </c>
      <c r="G395">
        <v>99</v>
      </c>
      <c r="H395" s="48">
        <v>0.11269999999999999</v>
      </c>
      <c r="I395" s="50">
        <v>0.1318</v>
      </c>
      <c r="J395" s="50">
        <v>46189</v>
      </c>
      <c r="K395" s="54">
        <v>46288</v>
      </c>
      <c r="L395" s="54">
        <v>46189</v>
      </c>
      <c r="M395" s="54">
        <v>46287</v>
      </c>
      <c r="O395" s="51" t="str">
        <f t="shared" si="42"/>
        <v/>
      </c>
      <c r="P395" s="51" t="str">
        <f t="shared" si="43"/>
        <v/>
      </c>
      <c r="Q395" s="52" t="str">
        <f t="shared" si="44"/>
        <v/>
      </c>
      <c r="R395" s="52" t="str">
        <f t="shared" si="45"/>
        <v/>
      </c>
      <c r="S395" s="51" t="str">
        <f t="shared" si="46"/>
        <v/>
      </c>
      <c r="T395" t="str">
        <f t="shared" si="47"/>
        <v/>
      </c>
      <c r="U395" s="52" t="str">
        <f t="shared" si="48"/>
        <v/>
      </c>
    </row>
    <row r="396" spans="2:21" x14ac:dyDescent="0.25">
      <c r="B396">
        <v>409</v>
      </c>
      <c r="E396" t="s">
        <v>1654</v>
      </c>
      <c r="F396" t="s">
        <v>1471</v>
      </c>
      <c r="G396">
        <v>99</v>
      </c>
      <c r="H396" s="48">
        <v>0.11269999999999999</v>
      </c>
      <c r="I396" s="50">
        <v>0.1318</v>
      </c>
      <c r="J396" s="50">
        <v>46189</v>
      </c>
      <c r="K396" s="54">
        <v>46288</v>
      </c>
      <c r="L396" s="54">
        <v>46189</v>
      </c>
      <c r="M396" s="54">
        <v>46287</v>
      </c>
      <c r="O396" s="51" t="str">
        <f t="shared" si="42"/>
        <v/>
      </c>
      <c r="P396" s="51" t="str">
        <f t="shared" si="43"/>
        <v/>
      </c>
      <c r="Q396" s="52" t="str">
        <f t="shared" si="44"/>
        <v/>
      </c>
      <c r="R396" s="52" t="str">
        <f t="shared" si="45"/>
        <v/>
      </c>
      <c r="S396" s="51" t="str">
        <f t="shared" si="46"/>
        <v/>
      </c>
      <c r="T396" t="str">
        <f t="shared" si="47"/>
        <v/>
      </c>
      <c r="U396" s="52" t="str">
        <f t="shared" si="48"/>
        <v/>
      </c>
    </row>
    <row r="397" spans="2:21" x14ac:dyDescent="0.25">
      <c r="B397">
        <v>410</v>
      </c>
      <c r="E397" t="s">
        <v>1655</v>
      </c>
      <c r="F397" t="s">
        <v>1471</v>
      </c>
      <c r="G397">
        <v>99</v>
      </c>
      <c r="H397" s="48">
        <v>0.11269999999999999</v>
      </c>
      <c r="I397" s="50">
        <v>0.1318</v>
      </c>
      <c r="J397" s="50">
        <v>46189</v>
      </c>
      <c r="K397" s="54">
        <v>46288</v>
      </c>
      <c r="L397" s="54">
        <v>46189</v>
      </c>
      <c r="M397" s="54">
        <v>46287</v>
      </c>
      <c r="O397" s="51" t="str">
        <f t="shared" si="42"/>
        <v/>
      </c>
      <c r="P397" s="51" t="str">
        <f t="shared" si="43"/>
        <v/>
      </c>
      <c r="Q397" s="52" t="str">
        <f t="shared" si="44"/>
        <v/>
      </c>
      <c r="R397" s="52" t="str">
        <f t="shared" si="45"/>
        <v/>
      </c>
      <c r="S397" s="51" t="str">
        <f t="shared" si="46"/>
        <v/>
      </c>
      <c r="T397" t="str">
        <f t="shared" si="47"/>
        <v/>
      </c>
      <c r="U397" s="52" t="str">
        <f t="shared" si="48"/>
        <v/>
      </c>
    </row>
    <row r="398" spans="2:21" x14ac:dyDescent="0.25">
      <c r="B398">
        <v>411</v>
      </c>
      <c r="E398" t="s">
        <v>1656</v>
      </c>
      <c r="F398" t="s">
        <v>1471</v>
      </c>
      <c r="G398">
        <v>99</v>
      </c>
      <c r="H398" s="48">
        <v>0.11459999999999999</v>
      </c>
      <c r="I398" s="50">
        <v>9.9699999999999997E-2</v>
      </c>
      <c r="J398" s="50">
        <v>46189</v>
      </c>
      <c r="K398" s="54">
        <v>46288</v>
      </c>
      <c r="L398" s="54">
        <v>46189</v>
      </c>
      <c r="M398" s="54">
        <v>46287</v>
      </c>
      <c r="O398" s="51" t="str">
        <f t="shared" si="42"/>
        <v/>
      </c>
      <c r="P398" s="51" t="str">
        <f t="shared" si="43"/>
        <v/>
      </c>
      <c r="Q398" s="52" t="str">
        <f t="shared" si="44"/>
        <v/>
      </c>
      <c r="R398" s="52" t="str">
        <f t="shared" si="45"/>
        <v/>
      </c>
      <c r="S398" s="51" t="str">
        <f t="shared" si="46"/>
        <v/>
      </c>
      <c r="T398" t="str">
        <f t="shared" si="47"/>
        <v/>
      </c>
      <c r="U398" s="52" t="str">
        <f t="shared" si="48"/>
        <v/>
      </c>
    </row>
    <row r="399" spans="2:21" x14ac:dyDescent="0.25">
      <c r="B399">
        <v>412</v>
      </c>
      <c r="E399" t="s">
        <v>1560</v>
      </c>
      <c r="F399" t="s">
        <v>1471</v>
      </c>
      <c r="G399">
        <v>99</v>
      </c>
      <c r="H399" s="48">
        <v>0.11459999999999999</v>
      </c>
      <c r="I399" s="50">
        <v>9.9699999999999997E-2</v>
      </c>
      <c r="J399" s="50">
        <v>46189</v>
      </c>
      <c r="K399" s="54">
        <v>46288</v>
      </c>
      <c r="L399" s="54">
        <v>46189</v>
      </c>
      <c r="M399" s="54">
        <v>46287</v>
      </c>
      <c r="O399" s="51" t="str">
        <f t="shared" si="42"/>
        <v/>
      </c>
      <c r="P399" s="51" t="str">
        <f t="shared" si="43"/>
        <v/>
      </c>
      <c r="Q399" s="52" t="str">
        <f t="shared" si="44"/>
        <v/>
      </c>
      <c r="R399" s="52" t="str">
        <f t="shared" si="45"/>
        <v/>
      </c>
      <c r="S399" s="51" t="str">
        <f t="shared" si="46"/>
        <v/>
      </c>
      <c r="T399" t="str">
        <f t="shared" si="47"/>
        <v/>
      </c>
      <c r="U399" s="52" t="str">
        <f t="shared" si="48"/>
        <v/>
      </c>
    </row>
    <row r="400" spans="2:21" x14ac:dyDescent="0.25">
      <c r="B400">
        <v>413</v>
      </c>
      <c r="E400" t="s">
        <v>1657</v>
      </c>
      <c r="F400" t="s">
        <v>1471</v>
      </c>
      <c r="G400">
        <v>99</v>
      </c>
      <c r="H400" s="48">
        <v>0.1206</v>
      </c>
      <c r="I400" s="50">
        <v>0.10489999999999999</v>
      </c>
      <c r="J400" s="50">
        <v>46189</v>
      </c>
      <c r="K400" s="54">
        <v>46288</v>
      </c>
      <c r="L400" s="54">
        <v>46189</v>
      </c>
      <c r="M400" s="54">
        <v>46287</v>
      </c>
      <c r="O400" s="51" t="str">
        <f t="shared" si="42"/>
        <v/>
      </c>
      <c r="P400" s="51" t="str">
        <f t="shared" si="43"/>
        <v/>
      </c>
      <c r="Q400" s="52" t="str">
        <f t="shared" si="44"/>
        <v/>
      </c>
      <c r="R400" s="52" t="str">
        <f t="shared" si="45"/>
        <v/>
      </c>
      <c r="S400" s="51" t="str">
        <f t="shared" si="46"/>
        <v/>
      </c>
      <c r="T400" t="str">
        <f t="shared" si="47"/>
        <v/>
      </c>
      <c r="U400" s="52" t="str">
        <f t="shared" si="48"/>
        <v/>
      </c>
    </row>
    <row r="401" spans="2:21" x14ac:dyDescent="0.25">
      <c r="B401">
        <v>414</v>
      </c>
      <c r="C401" t="s">
        <v>147</v>
      </c>
      <c r="D401" t="s">
        <v>904</v>
      </c>
      <c r="E401" t="s">
        <v>1658</v>
      </c>
      <c r="F401" t="s">
        <v>1591</v>
      </c>
      <c r="G401">
        <v>35</v>
      </c>
      <c r="H401" s="48">
        <v>1</v>
      </c>
      <c r="I401" s="50">
        <v>0.8</v>
      </c>
      <c r="J401" s="50">
        <v>46189</v>
      </c>
      <c r="K401" s="54">
        <v>46205</v>
      </c>
      <c r="L401" s="54">
        <v>46189</v>
      </c>
      <c r="M401" s="54">
        <v>46223</v>
      </c>
      <c r="O401" s="51" t="str">
        <f t="shared" si="42"/>
        <v/>
      </c>
      <c r="P401" s="51" t="str">
        <f t="shared" si="43"/>
        <v/>
      </c>
      <c r="Q401" s="52" t="str">
        <f t="shared" si="44"/>
        <v/>
      </c>
      <c r="R401" s="52" t="str">
        <f t="shared" si="45"/>
        <v/>
      </c>
      <c r="S401" s="51" t="str">
        <f t="shared" si="46"/>
        <v/>
      </c>
      <c r="T401" t="str">
        <f t="shared" si="47"/>
        <v/>
      </c>
      <c r="U401" s="52" t="str">
        <f t="shared" si="48"/>
        <v/>
      </c>
    </row>
    <row r="402" spans="2:21" x14ac:dyDescent="0.25">
      <c r="B402">
        <v>415</v>
      </c>
      <c r="C402" t="s">
        <v>147</v>
      </c>
      <c r="D402" t="s">
        <v>904</v>
      </c>
      <c r="E402" t="s">
        <v>1515</v>
      </c>
      <c r="F402" t="s">
        <v>1519</v>
      </c>
      <c r="G402">
        <v>4</v>
      </c>
      <c r="H402" s="48">
        <v>1</v>
      </c>
      <c r="I402" s="50">
        <v>1</v>
      </c>
      <c r="J402" s="50">
        <v>46189</v>
      </c>
      <c r="K402" s="54">
        <v>46192</v>
      </c>
      <c r="L402" s="54">
        <v>46189</v>
      </c>
      <c r="M402" s="54">
        <v>46192</v>
      </c>
      <c r="O402" s="51" t="str">
        <f t="shared" si="42"/>
        <v>SIM</v>
      </c>
      <c r="P402" s="51" t="str">
        <f t="shared" si="43"/>
        <v>BL1132-0001-EL-EDP-2000</v>
      </c>
      <c r="Q402" s="52">
        <f t="shared" si="44"/>
        <v>46192</v>
      </c>
      <c r="R402" s="52">
        <f t="shared" si="45"/>
        <v>46192</v>
      </c>
      <c r="S402" s="51" t="str">
        <f t="shared" si="46"/>
        <v/>
      </c>
      <c r="T402" t="str">
        <f t="shared" si="47"/>
        <v/>
      </c>
      <c r="U402" s="52" t="str">
        <f t="shared" si="48"/>
        <v/>
      </c>
    </row>
    <row r="403" spans="2:21" x14ac:dyDescent="0.25">
      <c r="B403">
        <v>416</v>
      </c>
      <c r="C403" t="s">
        <v>147</v>
      </c>
      <c r="D403" t="s">
        <v>904</v>
      </c>
      <c r="E403" t="s">
        <v>1517</v>
      </c>
      <c r="F403" t="s">
        <v>1516</v>
      </c>
      <c r="G403">
        <v>13</v>
      </c>
      <c r="H403" s="48">
        <v>1</v>
      </c>
      <c r="I403" s="50">
        <v>1</v>
      </c>
      <c r="J403" s="50">
        <v>46192</v>
      </c>
      <c r="K403" s="54">
        <v>46197</v>
      </c>
      <c r="L403" s="54">
        <v>46192</v>
      </c>
      <c r="M403" s="54">
        <v>46204</v>
      </c>
      <c r="O403" s="51" t="str">
        <f t="shared" si="42"/>
        <v/>
      </c>
      <c r="P403" s="51" t="str">
        <f t="shared" si="43"/>
        <v/>
      </c>
      <c r="Q403" s="52" t="str">
        <f t="shared" si="44"/>
        <v/>
      </c>
      <c r="R403" s="52" t="str">
        <f t="shared" si="45"/>
        <v/>
      </c>
      <c r="S403" s="51" t="str">
        <f t="shared" si="46"/>
        <v/>
      </c>
      <c r="T403" t="str">
        <f t="shared" si="47"/>
        <v/>
      </c>
      <c r="U403" s="52" t="str">
        <f t="shared" si="48"/>
        <v/>
      </c>
    </row>
    <row r="404" spans="2:21" x14ac:dyDescent="0.25">
      <c r="B404">
        <v>417</v>
      </c>
      <c r="C404" t="s">
        <v>147</v>
      </c>
      <c r="D404" t="s">
        <v>904</v>
      </c>
      <c r="E404" t="s">
        <v>1518</v>
      </c>
      <c r="F404" t="s">
        <v>1509</v>
      </c>
      <c r="G404">
        <v>15</v>
      </c>
      <c r="H404" s="48">
        <v>1</v>
      </c>
      <c r="I404" s="50">
        <v>0</v>
      </c>
      <c r="J404" s="50">
        <v>46197</v>
      </c>
      <c r="K404" s="54">
        <v>46202</v>
      </c>
      <c r="L404" s="54">
        <v>46204</v>
      </c>
      <c r="M404" s="54">
        <v>46218</v>
      </c>
      <c r="O404" s="51" t="str">
        <f t="shared" si="42"/>
        <v/>
      </c>
      <c r="P404" s="51" t="str">
        <f t="shared" si="43"/>
        <v/>
      </c>
      <c r="Q404" s="52" t="str">
        <f t="shared" si="44"/>
        <v/>
      </c>
      <c r="R404" s="52" t="str">
        <f t="shared" si="45"/>
        <v/>
      </c>
      <c r="S404" s="51" t="str">
        <f t="shared" si="46"/>
        <v>SIM</v>
      </c>
      <c r="T404" t="str">
        <f t="shared" si="47"/>
        <v>BL1132-0001-EL-EDP-2000</v>
      </c>
      <c r="U404" s="52">
        <f t="shared" si="48"/>
        <v>46218</v>
      </c>
    </row>
    <row r="405" spans="2:21" x14ac:dyDescent="0.25">
      <c r="B405">
        <v>418</v>
      </c>
      <c r="C405" t="s">
        <v>147</v>
      </c>
      <c r="D405" t="s">
        <v>904</v>
      </c>
      <c r="E405" t="s">
        <v>1520</v>
      </c>
      <c r="F405" t="s">
        <v>1519</v>
      </c>
      <c r="G405">
        <v>6</v>
      </c>
      <c r="H405" s="48">
        <v>1</v>
      </c>
      <c r="I405" s="50">
        <v>0</v>
      </c>
      <c r="J405" s="50">
        <v>46202</v>
      </c>
      <c r="K405" s="54">
        <v>46205</v>
      </c>
      <c r="L405" s="54">
        <v>46218</v>
      </c>
      <c r="M405" s="54">
        <v>46223</v>
      </c>
      <c r="O405" s="51" t="str">
        <f t="shared" si="42"/>
        <v/>
      </c>
      <c r="P405" s="51" t="str">
        <f t="shared" si="43"/>
        <v/>
      </c>
      <c r="Q405" s="52" t="str">
        <f t="shared" si="44"/>
        <v/>
      </c>
      <c r="R405" s="52" t="str">
        <f t="shared" si="45"/>
        <v/>
      </c>
      <c r="S405" s="51" t="str">
        <f t="shared" si="46"/>
        <v/>
      </c>
      <c r="T405" t="str">
        <f t="shared" si="47"/>
        <v/>
      </c>
      <c r="U405" s="52" t="str">
        <f t="shared" si="48"/>
        <v/>
      </c>
    </row>
    <row r="406" spans="2:21" x14ac:dyDescent="0.25">
      <c r="B406">
        <v>419</v>
      </c>
      <c r="C406" t="s">
        <v>134</v>
      </c>
      <c r="D406" t="s">
        <v>852</v>
      </c>
      <c r="E406" t="s">
        <v>1659</v>
      </c>
      <c r="F406" t="s">
        <v>1596</v>
      </c>
      <c r="G406">
        <v>32</v>
      </c>
      <c r="H406" s="48">
        <v>1</v>
      </c>
      <c r="I406" s="50">
        <v>0.8</v>
      </c>
      <c r="J406" s="50">
        <v>46192</v>
      </c>
      <c r="K406" s="54">
        <v>46212</v>
      </c>
      <c r="L406" s="54">
        <v>46192</v>
      </c>
      <c r="M406" s="54">
        <v>46223</v>
      </c>
      <c r="O406" s="51" t="str">
        <f t="shared" si="42"/>
        <v/>
      </c>
      <c r="P406" s="51" t="str">
        <f t="shared" si="43"/>
        <v/>
      </c>
      <c r="Q406" s="52" t="str">
        <f t="shared" si="44"/>
        <v/>
      </c>
      <c r="R406" s="52" t="str">
        <f t="shared" si="45"/>
        <v/>
      </c>
      <c r="S406" s="51" t="str">
        <f t="shared" si="46"/>
        <v/>
      </c>
      <c r="T406" t="str">
        <f t="shared" si="47"/>
        <v/>
      </c>
      <c r="U406" s="52" t="str">
        <f t="shared" si="48"/>
        <v/>
      </c>
    </row>
    <row r="407" spans="2:21" x14ac:dyDescent="0.25">
      <c r="B407">
        <v>420</v>
      </c>
      <c r="C407" t="s">
        <v>134</v>
      </c>
      <c r="D407" t="s">
        <v>852</v>
      </c>
      <c r="E407" t="s">
        <v>1515</v>
      </c>
      <c r="F407" t="s">
        <v>1528</v>
      </c>
      <c r="G407">
        <v>8</v>
      </c>
      <c r="H407" s="48">
        <v>1</v>
      </c>
      <c r="I407" s="50">
        <v>1</v>
      </c>
      <c r="J407" s="50">
        <v>46192</v>
      </c>
      <c r="K407" s="54">
        <v>46199</v>
      </c>
      <c r="L407" s="54">
        <v>46192</v>
      </c>
      <c r="M407" s="54">
        <v>46199</v>
      </c>
      <c r="O407" s="51" t="str">
        <f t="shared" si="42"/>
        <v>SIM</v>
      </c>
      <c r="P407" s="51" t="str">
        <f t="shared" si="43"/>
        <v>BL1132-0001-EL-DUN-2000</v>
      </c>
      <c r="Q407" s="52">
        <f t="shared" si="44"/>
        <v>46199</v>
      </c>
      <c r="R407" s="52">
        <f t="shared" si="45"/>
        <v>46199</v>
      </c>
      <c r="S407" s="51" t="str">
        <f t="shared" si="46"/>
        <v/>
      </c>
      <c r="T407" t="str">
        <f t="shared" si="47"/>
        <v/>
      </c>
      <c r="U407" s="52" t="str">
        <f t="shared" si="48"/>
        <v/>
      </c>
    </row>
    <row r="408" spans="2:21" x14ac:dyDescent="0.25">
      <c r="B408">
        <v>421</v>
      </c>
      <c r="C408" t="s">
        <v>134</v>
      </c>
      <c r="D408" t="s">
        <v>852</v>
      </c>
      <c r="E408" t="s">
        <v>1517</v>
      </c>
      <c r="F408" t="s">
        <v>1519</v>
      </c>
      <c r="G408">
        <v>6</v>
      </c>
      <c r="H408" s="48">
        <v>1</v>
      </c>
      <c r="I408" s="50">
        <v>1</v>
      </c>
      <c r="J408" s="50">
        <v>46199</v>
      </c>
      <c r="K408" s="54">
        <v>46204</v>
      </c>
      <c r="L408" s="54">
        <v>46199</v>
      </c>
      <c r="M408" s="54">
        <v>46204</v>
      </c>
      <c r="O408" s="51" t="str">
        <f t="shared" si="42"/>
        <v/>
      </c>
      <c r="P408" s="51" t="str">
        <f t="shared" si="43"/>
        <v/>
      </c>
      <c r="Q408" s="52" t="str">
        <f t="shared" si="44"/>
        <v/>
      </c>
      <c r="R408" s="52" t="str">
        <f t="shared" si="45"/>
        <v/>
      </c>
      <c r="S408" s="51" t="str">
        <f t="shared" si="46"/>
        <v/>
      </c>
      <c r="T408" t="str">
        <f t="shared" si="47"/>
        <v/>
      </c>
      <c r="U408" s="52" t="str">
        <f t="shared" si="48"/>
        <v/>
      </c>
    </row>
    <row r="409" spans="2:21" x14ac:dyDescent="0.25">
      <c r="B409">
        <v>422</v>
      </c>
      <c r="C409" t="s">
        <v>134</v>
      </c>
      <c r="D409" t="s">
        <v>852</v>
      </c>
      <c r="E409" t="s">
        <v>1518</v>
      </c>
      <c r="F409" t="s">
        <v>1509</v>
      </c>
      <c r="G409">
        <v>15</v>
      </c>
      <c r="H409" s="48">
        <v>1</v>
      </c>
      <c r="I409" s="50">
        <v>0</v>
      </c>
      <c r="J409" s="50">
        <v>46204</v>
      </c>
      <c r="K409" s="54">
        <v>46209</v>
      </c>
      <c r="L409" s="54">
        <v>46204</v>
      </c>
      <c r="M409" s="54">
        <v>46218</v>
      </c>
      <c r="O409" s="51" t="str">
        <f t="shared" si="42"/>
        <v/>
      </c>
      <c r="P409" s="51" t="str">
        <f t="shared" si="43"/>
        <v/>
      </c>
      <c r="Q409" s="52" t="str">
        <f t="shared" si="44"/>
        <v/>
      </c>
      <c r="R409" s="52" t="str">
        <f t="shared" si="45"/>
        <v/>
      </c>
      <c r="S409" s="51" t="str">
        <f t="shared" si="46"/>
        <v>SIM</v>
      </c>
      <c r="T409" t="str">
        <f t="shared" si="47"/>
        <v>BL1132-0001-EL-DUN-2000</v>
      </c>
      <c r="U409" s="52">
        <f t="shared" si="48"/>
        <v>46218</v>
      </c>
    </row>
    <row r="410" spans="2:21" x14ac:dyDescent="0.25">
      <c r="B410">
        <v>423</v>
      </c>
      <c r="C410" t="s">
        <v>134</v>
      </c>
      <c r="D410" t="s">
        <v>852</v>
      </c>
      <c r="E410" t="s">
        <v>1520</v>
      </c>
      <c r="F410" t="s">
        <v>1519</v>
      </c>
      <c r="G410">
        <v>6</v>
      </c>
      <c r="H410" s="48">
        <v>1</v>
      </c>
      <c r="I410" s="50">
        <v>0</v>
      </c>
      <c r="J410" s="50">
        <v>46209</v>
      </c>
      <c r="K410" s="54">
        <v>46212</v>
      </c>
      <c r="L410" s="54">
        <v>46218</v>
      </c>
      <c r="M410" s="54">
        <v>46223</v>
      </c>
      <c r="O410" s="51" t="str">
        <f t="shared" si="42"/>
        <v/>
      </c>
      <c r="P410" s="51" t="str">
        <f t="shared" si="43"/>
        <v/>
      </c>
      <c r="Q410" s="52" t="str">
        <f t="shared" si="44"/>
        <v/>
      </c>
      <c r="R410" s="52" t="str">
        <f t="shared" si="45"/>
        <v/>
      </c>
      <c r="S410" s="51" t="str">
        <f t="shared" si="46"/>
        <v/>
      </c>
      <c r="T410" t="str">
        <f t="shared" si="47"/>
        <v/>
      </c>
      <c r="U410" s="52" t="str">
        <f t="shared" si="48"/>
        <v/>
      </c>
    </row>
    <row r="411" spans="2:21" x14ac:dyDescent="0.25">
      <c r="B411">
        <v>424</v>
      </c>
      <c r="C411" t="s">
        <v>167</v>
      </c>
      <c r="D411" t="s">
        <v>994</v>
      </c>
      <c r="E411" t="s">
        <v>1660</v>
      </c>
      <c r="F411" t="s">
        <v>1559</v>
      </c>
      <c r="G411">
        <v>17</v>
      </c>
      <c r="H411" s="48">
        <v>0</v>
      </c>
      <c r="I411" s="50">
        <v>0</v>
      </c>
      <c r="J411" s="50">
        <v>46247</v>
      </c>
      <c r="K411" s="54">
        <v>46265</v>
      </c>
      <c r="L411" s="54">
        <v>46246</v>
      </c>
      <c r="M411" s="54">
        <v>46262</v>
      </c>
      <c r="O411" s="51" t="str">
        <f t="shared" si="42"/>
        <v/>
      </c>
      <c r="P411" s="51" t="str">
        <f t="shared" si="43"/>
        <v/>
      </c>
      <c r="Q411" s="52" t="str">
        <f t="shared" si="44"/>
        <v/>
      </c>
      <c r="R411" s="52" t="str">
        <f t="shared" si="45"/>
        <v/>
      </c>
      <c r="S411" s="51" t="str">
        <f t="shared" si="46"/>
        <v/>
      </c>
      <c r="T411" t="str">
        <f t="shared" si="47"/>
        <v/>
      </c>
      <c r="U411" s="52" t="str">
        <f t="shared" si="48"/>
        <v/>
      </c>
    </row>
    <row r="412" spans="2:21" x14ac:dyDescent="0.25">
      <c r="B412">
        <v>425</v>
      </c>
      <c r="C412" t="s">
        <v>167</v>
      </c>
      <c r="D412" t="s">
        <v>994</v>
      </c>
      <c r="E412" t="s">
        <v>1515</v>
      </c>
      <c r="F412" t="s">
        <v>1519</v>
      </c>
      <c r="G412">
        <v>6</v>
      </c>
      <c r="H412" s="48">
        <v>0</v>
      </c>
      <c r="I412" s="50">
        <v>0</v>
      </c>
      <c r="J412" s="50">
        <v>46247</v>
      </c>
      <c r="K412" s="54">
        <v>46252</v>
      </c>
      <c r="L412" s="54">
        <v>46246</v>
      </c>
      <c r="M412" s="54">
        <v>46251</v>
      </c>
      <c r="O412" s="51" t="str">
        <f t="shared" si="42"/>
        <v>SIM</v>
      </c>
      <c r="P412" s="51" t="str">
        <f t="shared" si="43"/>
        <v>BL1132-0001-EL-LEI-2001</v>
      </c>
      <c r="Q412" s="52">
        <f t="shared" si="44"/>
        <v>46251</v>
      </c>
      <c r="R412" s="52">
        <f t="shared" si="45"/>
        <v>46252</v>
      </c>
      <c r="S412" s="51" t="str">
        <f t="shared" si="46"/>
        <v/>
      </c>
      <c r="T412" t="str">
        <f t="shared" si="47"/>
        <v/>
      </c>
      <c r="U412" s="52" t="str">
        <f t="shared" si="48"/>
        <v/>
      </c>
    </row>
    <row r="413" spans="2:21" x14ac:dyDescent="0.25">
      <c r="B413">
        <v>426</v>
      </c>
      <c r="C413" t="s">
        <v>167</v>
      </c>
      <c r="D413" t="s">
        <v>994</v>
      </c>
      <c r="E413" t="s">
        <v>1517</v>
      </c>
      <c r="F413" t="s">
        <v>1519</v>
      </c>
      <c r="G413">
        <v>4</v>
      </c>
      <c r="H413" s="48">
        <v>0</v>
      </c>
      <c r="I413" s="50">
        <v>0</v>
      </c>
      <c r="J413" s="50">
        <v>46252</v>
      </c>
      <c r="K413" s="54">
        <v>46255</v>
      </c>
      <c r="L413" s="54">
        <v>46251</v>
      </c>
      <c r="M413" s="54">
        <v>46254</v>
      </c>
      <c r="O413" s="51" t="str">
        <f t="shared" si="42"/>
        <v/>
      </c>
      <c r="P413" s="51" t="str">
        <f t="shared" si="43"/>
        <v/>
      </c>
      <c r="Q413" s="52" t="str">
        <f t="shared" si="44"/>
        <v/>
      </c>
      <c r="R413" s="52" t="str">
        <f t="shared" si="45"/>
        <v/>
      </c>
      <c r="S413" s="51" t="str">
        <f t="shared" si="46"/>
        <v/>
      </c>
      <c r="T413" t="str">
        <f t="shared" si="47"/>
        <v/>
      </c>
      <c r="U413" s="52" t="str">
        <f t="shared" si="48"/>
        <v/>
      </c>
    </row>
    <row r="414" spans="2:21" x14ac:dyDescent="0.25">
      <c r="B414">
        <v>427</v>
      </c>
      <c r="C414" t="s">
        <v>167</v>
      </c>
      <c r="D414" t="s">
        <v>994</v>
      </c>
      <c r="E414" t="s">
        <v>1518</v>
      </c>
      <c r="F414" t="s">
        <v>1519</v>
      </c>
      <c r="G414">
        <v>6</v>
      </c>
      <c r="H414" s="48">
        <v>0</v>
      </c>
      <c r="I414" s="50">
        <v>0</v>
      </c>
      <c r="J414" s="50">
        <v>46255</v>
      </c>
      <c r="K414" s="54">
        <v>46260</v>
      </c>
      <c r="L414" s="54">
        <v>46254</v>
      </c>
      <c r="M414" s="54">
        <v>46259</v>
      </c>
      <c r="O414" s="51" t="str">
        <f t="shared" si="42"/>
        <v/>
      </c>
      <c r="P414" s="51" t="str">
        <f t="shared" si="43"/>
        <v/>
      </c>
      <c r="Q414" s="52" t="str">
        <f t="shared" si="44"/>
        <v/>
      </c>
      <c r="R414" s="52" t="str">
        <f t="shared" si="45"/>
        <v/>
      </c>
      <c r="S414" s="51" t="str">
        <f t="shared" si="46"/>
        <v>SIM</v>
      </c>
      <c r="T414" t="str">
        <f t="shared" si="47"/>
        <v>BL1132-0001-EL-LEI-2001</v>
      </c>
      <c r="U414" s="52">
        <f t="shared" si="48"/>
        <v>46259</v>
      </c>
    </row>
    <row r="415" spans="2:21" x14ac:dyDescent="0.25">
      <c r="B415">
        <v>428</v>
      </c>
      <c r="C415" t="s">
        <v>167</v>
      </c>
      <c r="D415" t="s">
        <v>994</v>
      </c>
      <c r="E415" t="s">
        <v>1520</v>
      </c>
      <c r="F415" t="s">
        <v>1519</v>
      </c>
      <c r="G415">
        <v>4</v>
      </c>
      <c r="H415" s="48">
        <v>0</v>
      </c>
      <c r="I415" s="50">
        <v>0</v>
      </c>
      <c r="J415" s="50">
        <v>46260</v>
      </c>
      <c r="K415" s="54">
        <v>46265</v>
      </c>
      <c r="L415" s="54">
        <v>46259</v>
      </c>
      <c r="M415" s="54">
        <v>46262</v>
      </c>
      <c r="O415" s="51" t="str">
        <f t="shared" si="42"/>
        <v/>
      </c>
      <c r="P415" s="51" t="str">
        <f t="shared" si="43"/>
        <v/>
      </c>
      <c r="Q415" s="52" t="str">
        <f t="shared" si="44"/>
        <v/>
      </c>
      <c r="R415" s="52" t="str">
        <f t="shared" si="45"/>
        <v/>
      </c>
      <c r="S415" s="51" t="str">
        <f t="shared" si="46"/>
        <v/>
      </c>
      <c r="T415" t="str">
        <f t="shared" si="47"/>
        <v/>
      </c>
      <c r="U415" s="52" t="str">
        <f t="shared" si="48"/>
        <v/>
      </c>
    </row>
    <row r="416" spans="2:21" x14ac:dyDescent="0.25">
      <c r="B416">
        <v>429</v>
      </c>
      <c r="C416" t="s">
        <v>151</v>
      </c>
      <c r="D416" t="s">
        <v>924</v>
      </c>
      <c r="E416" t="s">
        <v>1661</v>
      </c>
      <c r="F416" t="s">
        <v>1559</v>
      </c>
      <c r="G416">
        <v>19</v>
      </c>
      <c r="H416" s="48">
        <v>0.32590000000000002</v>
      </c>
      <c r="I416" s="50">
        <v>0.32590000000000002</v>
      </c>
      <c r="J416" s="50">
        <v>46213</v>
      </c>
      <c r="K416" s="54">
        <v>46231</v>
      </c>
      <c r="L416" s="54">
        <v>46212</v>
      </c>
      <c r="M416" s="54">
        <v>46230</v>
      </c>
      <c r="O416" s="51" t="str">
        <f t="shared" si="42"/>
        <v/>
      </c>
      <c r="P416" s="51" t="str">
        <f t="shared" si="43"/>
        <v/>
      </c>
      <c r="Q416" s="52" t="str">
        <f t="shared" si="44"/>
        <v/>
      </c>
      <c r="R416" s="52" t="str">
        <f t="shared" si="45"/>
        <v/>
      </c>
      <c r="S416" s="51" t="str">
        <f t="shared" si="46"/>
        <v/>
      </c>
      <c r="T416" t="str">
        <f t="shared" si="47"/>
        <v/>
      </c>
      <c r="U416" s="52" t="str">
        <f t="shared" si="48"/>
        <v/>
      </c>
    </row>
    <row r="417" spans="2:21" x14ac:dyDescent="0.25">
      <c r="B417">
        <v>430</v>
      </c>
      <c r="C417" t="s">
        <v>151</v>
      </c>
      <c r="D417" t="s">
        <v>924</v>
      </c>
      <c r="E417" t="s">
        <v>1515</v>
      </c>
      <c r="F417" t="s">
        <v>1519</v>
      </c>
      <c r="G417">
        <v>6</v>
      </c>
      <c r="H417" s="48">
        <v>0.47</v>
      </c>
      <c r="I417" s="50">
        <v>0.47</v>
      </c>
      <c r="J417" s="50">
        <v>46213</v>
      </c>
      <c r="K417" s="54">
        <v>46218</v>
      </c>
      <c r="L417" s="54">
        <v>46212</v>
      </c>
      <c r="M417" s="54">
        <v>46217</v>
      </c>
      <c r="O417" s="51" t="str">
        <f t="shared" si="42"/>
        <v>SIM</v>
      </c>
      <c r="P417" s="51" t="str">
        <f t="shared" si="43"/>
        <v>BL1132-0001-EL-FDA-2001</v>
      </c>
      <c r="Q417" s="52">
        <f t="shared" si="44"/>
        <v>46217</v>
      </c>
      <c r="R417" s="52">
        <f t="shared" si="45"/>
        <v>46218</v>
      </c>
      <c r="S417" s="51" t="str">
        <f t="shared" si="46"/>
        <v/>
      </c>
      <c r="T417" t="str">
        <f t="shared" si="47"/>
        <v/>
      </c>
      <c r="U417" s="52" t="str">
        <f t="shared" si="48"/>
        <v/>
      </c>
    </row>
    <row r="418" spans="2:21" x14ac:dyDescent="0.25">
      <c r="B418">
        <v>431</v>
      </c>
      <c r="C418" t="s">
        <v>151</v>
      </c>
      <c r="D418" t="s">
        <v>924</v>
      </c>
      <c r="E418" t="s">
        <v>1517</v>
      </c>
      <c r="F418" t="s">
        <v>1519</v>
      </c>
      <c r="G418">
        <v>4</v>
      </c>
      <c r="H418" s="48">
        <v>0</v>
      </c>
      <c r="I418" s="50">
        <v>0</v>
      </c>
      <c r="J418" s="50">
        <v>46218</v>
      </c>
      <c r="K418" s="54">
        <v>46223</v>
      </c>
      <c r="L418" s="54">
        <v>46217</v>
      </c>
      <c r="M418" s="54">
        <v>46220</v>
      </c>
      <c r="O418" s="51" t="str">
        <f t="shared" si="42"/>
        <v/>
      </c>
      <c r="P418" s="51" t="str">
        <f t="shared" si="43"/>
        <v/>
      </c>
      <c r="Q418" s="52" t="str">
        <f t="shared" si="44"/>
        <v/>
      </c>
      <c r="R418" s="52" t="str">
        <f t="shared" si="45"/>
        <v/>
      </c>
      <c r="S418" s="51" t="str">
        <f t="shared" si="46"/>
        <v/>
      </c>
      <c r="T418" t="str">
        <f t="shared" si="47"/>
        <v/>
      </c>
      <c r="U418" s="52" t="str">
        <f t="shared" si="48"/>
        <v/>
      </c>
    </row>
    <row r="419" spans="2:21" x14ac:dyDescent="0.25">
      <c r="B419">
        <v>432</v>
      </c>
      <c r="C419" t="s">
        <v>151</v>
      </c>
      <c r="D419" t="s">
        <v>924</v>
      </c>
      <c r="E419" t="s">
        <v>1518</v>
      </c>
      <c r="F419" t="s">
        <v>1519</v>
      </c>
      <c r="G419">
        <v>6</v>
      </c>
      <c r="H419" s="48">
        <v>0</v>
      </c>
      <c r="I419" s="50">
        <v>0</v>
      </c>
      <c r="J419" s="50">
        <v>46223</v>
      </c>
      <c r="K419" s="54">
        <v>46226</v>
      </c>
      <c r="L419" s="54">
        <v>46220</v>
      </c>
      <c r="M419" s="54">
        <v>46225</v>
      </c>
      <c r="O419" s="51" t="str">
        <f t="shared" si="42"/>
        <v/>
      </c>
      <c r="P419" s="51" t="str">
        <f t="shared" si="43"/>
        <v/>
      </c>
      <c r="Q419" s="52" t="str">
        <f t="shared" si="44"/>
        <v/>
      </c>
      <c r="R419" s="52" t="str">
        <f t="shared" si="45"/>
        <v/>
      </c>
      <c r="S419" s="51" t="str">
        <f t="shared" si="46"/>
        <v>SIM</v>
      </c>
      <c r="T419" t="str">
        <f t="shared" si="47"/>
        <v>BL1132-0001-EL-FDA-2001</v>
      </c>
      <c r="U419" s="52">
        <f t="shared" si="48"/>
        <v>46225</v>
      </c>
    </row>
    <row r="420" spans="2:21" x14ac:dyDescent="0.25">
      <c r="B420">
        <v>433</v>
      </c>
      <c r="C420" t="s">
        <v>151</v>
      </c>
      <c r="D420" t="s">
        <v>924</v>
      </c>
      <c r="E420" t="s">
        <v>1520</v>
      </c>
      <c r="F420" t="s">
        <v>1519</v>
      </c>
      <c r="G420">
        <v>6</v>
      </c>
      <c r="H420" s="48">
        <v>0</v>
      </c>
      <c r="I420" s="50">
        <v>0</v>
      </c>
      <c r="J420" s="50">
        <v>46226</v>
      </c>
      <c r="K420" s="54">
        <v>46231</v>
      </c>
      <c r="L420" s="54">
        <v>46225</v>
      </c>
      <c r="M420" s="54">
        <v>46230</v>
      </c>
      <c r="O420" s="51" t="str">
        <f t="shared" si="42"/>
        <v/>
      </c>
      <c r="P420" s="51" t="str">
        <f t="shared" si="43"/>
        <v/>
      </c>
      <c r="Q420" s="52" t="str">
        <f t="shared" si="44"/>
        <v/>
      </c>
      <c r="R420" s="52" t="str">
        <f t="shared" si="45"/>
        <v/>
      </c>
      <c r="S420" s="51" t="str">
        <f t="shared" si="46"/>
        <v/>
      </c>
      <c r="T420" t="str">
        <f t="shared" si="47"/>
        <v/>
      </c>
      <c r="U420" s="52" t="str">
        <f t="shared" si="48"/>
        <v/>
      </c>
    </row>
    <row r="421" spans="2:21" x14ac:dyDescent="0.25">
      <c r="B421">
        <v>439</v>
      </c>
      <c r="C421" t="s">
        <v>153</v>
      </c>
      <c r="D421" t="s">
        <v>934</v>
      </c>
      <c r="E421" t="s">
        <v>1662</v>
      </c>
      <c r="F421" t="s">
        <v>1559</v>
      </c>
      <c r="G421">
        <v>17</v>
      </c>
      <c r="H421" s="48">
        <v>0.32590000000000002</v>
      </c>
      <c r="I421" s="50">
        <v>0.32590000000000002</v>
      </c>
      <c r="J421" s="50">
        <v>46213</v>
      </c>
      <c r="K421" s="54">
        <v>46231</v>
      </c>
      <c r="L421" s="54">
        <v>46217</v>
      </c>
      <c r="M421" s="54">
        <v>46233</v>
      </c>
      <c r="O421" s="51" t="str">
        <f t="shared" si="42"/>
        <v/>
      </c>
      <c r="P421" s="51" t="str">
        <f t="shared" si="43"/>
        <v/>
      </c>
      <c r="Q421" s="52" t="str">
        <f t="shared" si="44"/>
        <v/>
      </c>
      <c r="R421" s="52" t="str">
        <f t="shared" si="45"/>
        <v/>
      </c>
      <c r="S421" s="51" t="str">
        <f t="shared" si="46"/>
        <v/>
      </c>
      <c r="T421" t="str">
        <f t="shared" si="47"/>
        <v/>
      </c>
      <c r="U421" s="52" t="str">
        <f t="shared" si="48"/>
        <v/>
      </c>
    </row>
    <row r="422" spans="2:21" x14ac:dyDescent="0.25">
      <c r="B422">
        <v>440</v>
      </c>
      <c r="C422" t="s">
        <v>153</v>
      </c>
      <c r="D422" t="s">
        <v>934</v>
      </c>
      <c r="E422" t="s">
        <v>1515</v>
      </c>
      <c r="F422" t="s">
        <v>1519</v>
      </c>
      <c r="G422">
        <v>4</v>
      </c>
      <c r="H422" s="48">
        <v>0.47</v>
      </c>
      <c r="I422" s="50">
        <v>0.47</v>
      </c>
      <c r="J422" s="50">
        <v>46213</v>
      </c>
      <c r="K422" s="54">
        <v>46218</v>
      </c>
      <c r="L422" s="54">
        <v>46217</v>
      </c>
      <c r="M422" s="54">
        <v>46220</v>
      </c>
      <c r="O422" s="51" t="str">
        <f t="shared" si="42"/>
        <v>SIM</v>
      </c>
      <c r="P422" s="51" t="str">
        <f t="shared" si="43"/>
        <v>BL1132-0001-EL-FDA-2003</v>
      </c>
      <c r="Q422" s="52">
        <f t="shared" si="44"/>
        <v>46220</v>
      </c>
      <c r="R422" s="52">
        <f t="shared" si="45"/>
        <v>46218</v>
      </c>
      <c r="S422" s="51" t="str">
        <f t="shared" si="46"/>
        <v/>
      </c>
      <c r="T422" t="str">
        <f t="shared" si="47"/>
        <v/>
      </c>
      <c r="U422" s="52" t="str">
        <f t="shared" si="48"/>
        <v/>
      </c>
    </row>
    <row r="423" spans="2:21" x14ac:dyDescent="0.25">
      <c r="B423">
        <v>441</v>
      </c>
      <c r="C423" t="s">
        <v>153</v>
      </c>
      <c r="D423" t="s">
        <v>934</v>
      </c>
      <c r="E423" t="s">
        <v>1517</v>
      </c>
      <c r="F423" t="s">
        <v>1519</v>
      </c>
      <c r="G423">
        <v>6</v>
      </c>
      <c r="H423" s="48">
        <v>0</v>
      </c>
      <c r="I423" s="50">
        <v>0</v>
      </c>
      <c r="J423" s="50">
        <v>46218</v>
      </c>
      <c r="K423" s="54">
        <v>46223</v>
      </c>
      <c r="L423" s="54">
        <v>46220</v>
      </c>
      <c r="M423" s="54">
        <v>46225</v>
      </c>
      <c r="O423" s="51" t="str">
        <f t="shared" si="42"/>
        <v/>
      </c>
      <c r="P423" s="51" t="str">
        <f t="shared" si="43"/>
        <v/>
      </c>
      <c r="Q423" s="52" t="str">
        <f t="shared" si="44"/>
        <v/>
      </c>
      <c r="R423" s="52" t="str">
        <f t="shared" si="45"/>
        <v/>
      </c>
      <c r="S423" s="51" t="str">
        <f t="shared" si="46"/>
        <v/>
      </c>
      <c r="T423" t="str">
        <f t="shared" si="47"/>
        <v/>
      </c>
      <c r="U423" s="52" t="str">
        <f t="shared" si="48"/>
        <v/>
      </c>
    </row>
    <row r="424" spans="2:21" x14ac:dyDescent="0.25">
      <c r="B424">
        <v>442</v>
      </c>
      <c r="C424" t="s">
        <v>153</v>
      </c>
      <c r="D424" t="s">
        <v>934</v>
      </c>
      <c r="E424" t="s">
        <v>1518</v>
      </c>
      <c r="F424" t="s">
        <v>1519</v>
      </c>
      <c r="G424">
        <v>6</v>
      </c>
      <c r="H424" s="48">
        <v>0</v>
      </c>
      <c r="I424" s="50">
        <v>0</v>
      </c>
      <c r="J424" s="50">
        <v>46223</v>
      </c>
      <c r="K424" s="54">
        <v>46226</v>
      </c>
      <c r="L424" s="54">
        <v>46225</v>
      </c>
      <c r="M424" s="54">
        <v>46230</v>
      </c>
      <c r="O424" s="51" t="str">
        <f t="shared" si="42"/>
        <v/>
      </c>
      <c r="P424" s="51" t="str">
        <f t="shared" si="43"/>
        <v/>
      </c>
      <c r="Q424" s="52" t="str">
        <f t="shared" si="44"/>
        <v/>
      </c>
      <c r="R424" s="52" t="str">
        <f t="shared" si="45"/>
        <v/>
      </c>
      <c r="S424" s="51" t="str">
        <f t="shared" si="46"/>
        <v>SIM</v>
      </c>
      <c r="T424" t="str">
        <f t="shared" si="47"/>
        <v>BL1132-0001-EL-FDA-2003</v>
      </c>
      <c r="U424" s="52">
        <f t="shared" si="48"/>
        <v>46230</v>
      </c>
    </row>
    <row r="425" spans="2:21" x14ac:dyDescent="0.25">
      <c r="B425">
        <v>443</v>
      </c>
      <c r="C425" t="s">
        <v>153</v>
      </c>
      <c r="D425" t="s">
        <v>934</v>
      </c>
      <c r="E425" t="s">
        <v>1520</v>
      </c>
      <c r="F425" t="s">
        <v>1519</v>
      </c>
      <c r="G425">
        <v>4</v>
      </c>
      <c r="H425" s="48">
        <v>0</v>
      </c>
      <c r="I425" s="50">
        <v>0</v>
      </c>
      <c r="J425" s="50">
        <v>46226</v>
      </c>
      <c r="K425" s="54">
        <v>46231</v>
      </c>
      <c r="L425" s="54">
        <v>46230</v>
      </c>
      <c r="M425" s="54">
        <v>46233</v>
      </c>
      <c r="O425" s="51" t="str">
        <f t="shared" si="42"/>
        <v/>
      </c>
      <c r="P425" s="51" t="str">
        <f t="shared" si="43"/>
        <v/>
      </c>
      <c r="Q425" s="52" t="str">
        <f t="shared" si="44"/>
        <v/>
      </c>
      <c r="R425" s="52" t="str">
        <f t="shared" si="45"/>
        <v/>
      </c>
      <c r="S425" s="51" t="str">
        <f t="shared" si="46"/>
        <v/>
      </c>
      <c r="T425" t="str">
        <f t="shared" si="47"/>
        <v/>
      </c>
      <c r="U425" s="52" t="str">
        <f t="shared" si="48"/>
        <v/>
      </c>
    </row>
    <row r="426" spans="2:21" x14ac:dyDescent="0.25">
      <c r="B426">
        <v>444</v>
      </c>
      <c r="C426" t="s">
        <v>154</v>
      </c>
      <c r="D426" t="s">
        <v>938</v>
      </c>
      <c r="E426" t="s">
        <v>1663</v>
      </c>
      <c r="F426" t="s">
        <v>1559</v>
      </c>
      <c r="G426">
        <v>19</v>
      </c>
      <c r="H426" s="48">
        <v>0</v>
      </c>
      <c r="I426" s="50">
        <v>0</v>
      </c>
      <c r="J426" s="50">
        <v>46218</v>
      </c>
      <c r="K426" s="54">
        <v>46234</v>
      </c>
      <c r="L426" s="54">
        <v>46220</v>
      </c>
      <c r="M426" s="54">
        <v>46238</v>
      </c>
      <c r="O426" s="51" t="str">
        <f t="shared" si="42"/>
        <v/>
      </c>
      <c r="P426" s="51" t="str">
        <f t="shared" si="43"/>
        <v/>
      </c>
      <c r="Q426" s="52" t="str">
        <f t="shared" si="44"/>
        <v/>
      </c>
      <c r="R426" s="52" t="str">
        <f t="shared" si="45"/>
        <v/>
      </c>
      <c r="S426" s="51" t="str">
        <f t="shared" si="46"/>
        <v/>
      </c>
      <c r="T426" t="str">
        <f t="shared" si="47"/>
        <v/>
      </c>
      <c r="U426" s="52" t="str">
        <f t="shared" si="48"/>
        <v/>
      </c>
    </row>
    <row r="427" spans="2:21" x14ac:dyDescent="0.25">
      <c r="B427">
        <v>445</v>
      </c>
      <c r="C427" t="s">
        <v>154</v>
      </c>
      <c r="D427" t="s">
        <v>938</v>
      </c>
      <c r="E427" t="s">
        <v>1515</v>
      </c>
      <c r="F427" t="s">
        <v>1519</v>
      </c>
      <c r="G427">
        <v>6</v>
      </c>
      <c r="H427" s="48">
        <v>0</v>
      </c>
      <c r="I427" s="50">
        <v>0</v>
      </c>
      <c r="J427" s="50">
        <v>46218</v>
      </c>
      <c r="K427" s="54">
        <v>46223</v>
      </c>
      <c r="L427" s="54">
        <v>46220</v>
      </c>
      <c r="M427" s="54">
        <v>46225</v>
      </c>
      <c r="O427" s="51" t="str">
        <f t="shared" si="42"/>
        <v>SIM</v>
      </c>
      <c r="P427" s="51" t="str">
        <f t="shared" si="43"/>
        <v>BL1132-0001-EL-FDA-2004</v>
      </c>
      <c r="Q427" s="52">
        <f t="shared" si="44"/>
        <v>46225</v>
      </c>
      <c r="R427" s="52">
        <f t="shared" si="45"/>
        <v>46223</v>
      </c>
      <c r="S427" s="51" t="str">
        <f t="shared" si="46"/>
        <v/>
      </c>
      <c r="T427" t="str">
        <f t="shared" si="47"/>
        <v/>
      </c>
      <c r="U427" s="52" t="str">
        <f t="shared" si="48"/>
        <v/>
      </c>
    </row>
    <row r="428" spans="2:21" x14ac:dyDescent="0.25">
      <c r="B428">
        <v>446</v>
      </c>
      <c r="C428" t="s">
        <v>154</v>
      </c>
      <c r="D428" t="s">
        <v>938</v>
      </c>
      <c r="E428" t="s">
        <v>1517</v>
      </c>
      <c r="F428" t="s">
        <v>1519</v>
      </c>
      <c r="G428">
        <v>6</v>
      </c>
      <c r="H428" s="48">
        <v>0</v>
      </c>
      <c r="I428" s="50">
        <v>0</v>
      </c>
      <c r="J428" s="50">
        <v>46223</v>
      </c>
      <c r="K428" s="54">
        <v>46226</v>
      </c>
      <c r="L428" s="54">
        <v>46225</v>
      </c>
      <c r="M428" s="54">
        <v>46230</v>
      </c>
      <c r="O428" s="51" t="str">
        <f t="shared" si="42"/>
        <v/>
      </c>
      <c r="P428" s="51" t="str">
        <f t="shared" si="43"/>
        <v/>
      </c>
      <c r="Q428" s="52" t="str">
        <f t="shared" si="44"/>
        <v/>
      </c>
      <c r="R428" s="52" t="str">
        <f t="shared" si="45"/>
        <v/>
      </c>
      <c r="S428" s="51" t="str">
        <f t="shared" si="46"/>
        <v/>
      </c>
      <c r="T428" t="str">
        <f t="shared" si="47"/>
        <v/>
      </c>
      <c r="U428" s="52" t="str">
        <f t="shared" si="48"/>
        <v/>
      </c>
    </row>
    <row r="429" spans="2:21" x14ac:dyDescent="0.25">
      <c r="B429">
        <v>447</v>
      </c>
      <c r="C429" t="s">
        <v>154</v>
      </c>
      <c r="D429" t="s">
        <v>938</v>
      </c>
      <c r="E429" t="s">
        <v>1518</v>
      </c>
      <c r="F429" t="s">
        <v>1519</v>
      </c>
      <c r="G429">
        <v>4</v>
      </c>
      <c r="H429" s="48">
        <v>0</v>
      </c>
      <c r="I429" s="50">
        <v>0</v>
      </c>
      <c r="J429" s="50">
        <v>46226</v>
      </c>
      <c r="K429" s="54">
        <v>46231</v>
      </c>
      <c r="L429" s="54">
        <v>46230</v>
      </c>
      <c r="M429" s="54">
        <v>46233</v>
      </c>
      <c r="O429" s="51" t="str">
        <f t="shared" si="42"/>
        <v/>
      </c>
      <c r="P429" s="51" t="str">
        <f t="shared" si="43"/>
        <v/>
      </c>
      <c r="Q429" s="52" t="str">
        <f t="shared" si="44"/>
        <v/>
      </c>
      <c r="R429" s="52" t="str">
        <f t="shared" si="45"/>
        <v/>
      </c>
      <c r="S429" s="51" t="str">
        <f t="shared" si="46"/>
        <v>SIM</v>
      </c>
      <c r="T429" t="str">
        <f t="shared" si="47"/>
        <v>BL1132-0001-EL-FDA-2004</v>
      </c>
      <c r="U429" s="52">
        <f t="shared" si="48"/>
        <v>46233</v>
      </c>
    </row>
    <row r="430" spans="2:21" x14ac:dyDescent="0.25">
      <c r="B430">
        <v>448</v>
      </c>
      <c r="C430" t="s">
        <v>154</v>
      </c>
      <c r="D430" t="s">
        <v>938</v>
      </c>
      <c r="E430" t="s">
        <v>1520</v>
      </c>
      <c r="F430" t="s">
        <v>1519</v>
      </c>
      <c r="G430">
        <v>6</v>
      </c>
      <c r="H430" s="48">
        <v>0</v>
      </c>
      <c r="I430" s="50">
        <v>0</v>
      </c>
      <c r="J430" s="50">
        <v>46231</v>
      </c>
      <c r="K430" s="54">
        <v>46234</v>
      </c>
      <c r="L430" s="54">
        <v>46233</v>
      </c>
      <c r="M430" s="54">
        <v>46238</v>
      </c>
      <c r="O430" s="51" t="str">
        <f t="shared" si="42"/>
        <v/>
      </c>
      <c r="P430" s="51" t="str">
        <f t="shared" si="43"/>
        <v/>
      </c>
      <c r="Q430" s="52" t="str">
        <f t="shared" si="44"/>
        <v/>
      </c>
      <c r="R430" s="52" t="str">
        <f t="shared" si="45"/>
        <v/>
      </c>
      <c r="S430" s="51" t="str">
        <f t="shared" si="46"/>
        <v/>
      </c>
      <c r="T430" t="str">
        <f t="shared" si="47"/>
        <v/>
      </c>
      <c r="U430" s="52" t="str">
        <f t="shared" si="48"/>
        <v/>
      </c>
    </row>
    <row r="431" spans="2:21" x14ac:dyDescent="0.25">
      <c r="B431">
        <v>449</v>
      </c>
      <c r="C431" t="s">
        <v>155</v>
      </c>
      <c r="D431" t="s">
        <v>942</v>
      </c>
      <c r="E431" t="s">
        <v>1664</v>
      </c>
      <c r="F431" t="s">
        <v>1559</v>
      </c>
      <c r="G431">
        <v>17</v>
      </c>
      <c r="H431" s="48">
        <v>0</v>
      </c>
      <c r="I431" s="50">
        <v>0</v>
      </c>
      <c r="J431" s="50">
        <v>46223</v>
      </c>
      <c r="K431" s="54">
        <v>46239</v>
      </c>
      <c r="L431" s="54">
        <v>46225</v>
      </c>
      <c r="M431" s="54">
        <v>46241</v>
      </c>
      <c r="O431" s="51" t="str">
        <f t="shared" si="42"/>
        <v/>
      </c>
      <c r="P431" s="51" t="str">
        <f t="shared" si="43"/>
        <v/>
      </c>
      <c r="Q431" s="52" t="str">
        <f t="shared" si="44"/>
        <v/>
      </c>
      <c r="R431" s="52" t="str">
        <f t="shared" si="45"/>
        <v/>
      </c>
      <c r="S431" s="51" t="str">
        <f t="shared" si="46"/>
        <v/>
      </c>
      <c r="T431" t="str">
        <f t="shared" si="47"/>
        <v/>
      </c>
      <c r="U431" s="52" t="str">
        <f t="shared" si="48"/>
        <v/>
      </c>
    </row>
    <row r="432" spans="2:21" x14ac:dyDescent="0.25">
      <c r="B432">
        <v>450</v>
      </c>
      <c r="C432" t="s">
        <v>155</v>
      </c>
      <c r="D432" t="s">
        <v>942</v>
      </c>
      <c r="E432" t="s">
        <v>1515</v>
      </c>
      <c r="F432" t="s">
        <v>1519</v>
      </c>
      <c r="G432">
        <v>6</v>
      </c>
      <c r="H432" s="48">
        <v>0</v>
      </c>
      <c r="I432" s="50">
        <v>0</v>
      </c>
      <c r="J432" s="50">
        <v>46223</v>
      </c>
      <c r="K432" s="54">
        <v>46226</v>
      </c>
      <c r="L432" s="54">
        <v>46225</v>
      </c>
      <c r="M432" s="54">
        <v>46230</v>
      </c>
      <c r="O432" s="51" t="str">
        <f t="shared" si="42"/>
        <v>SIM</v>
      </c>
      <c r="P432" s="51" t="str">
        <f t="shared" si="43"/>
        <v>BL1132-0001-EL-FDA-2005</v>
      </c>
      <c r="Q432" s="52">
        <f t="shared" si="44"/>
        <v>46230</v>
      </c>
      <c r="R432" s="52">
        <f t="shared" si="45"/>
        <v>46226</v>
      </c>
      <c r="S432" s="51" t="str">
        <f t="shared" si="46"/>
        <v/>
      </c>
      <c r="T432" t="str">
        <f t="shared" si="47"/>
        <v/>
      </c>
      <c r="U432" s="52" t="str">
        <f t="shared" si="48"/>
        <v/>
      </c>
    </row>
    <row r="433" spans="2:21" x14ac:dyDescent="0.25">
      <c r="B433">
        <v>451</v>
      </c>
      <c r="C433" t="s">
        <v>155</v>
      </c>
      <c r="D433" t="s">
        <v>942</v>
      </c>
      <c r="E433" t="s">
        <v>1517</v>
      </c>
      <c r="F433" t="s">
        <v>1519</v>
      </c>
      <c r="G433">
        <v>4</v>
      </c>
      <c r="H433" s="48">
        <v>0</v>
      </c>
      <c r="I433" s="50">
        <v>0</v>
      </c>
      <c r="J433" s="50">
        <v>46226</v>
      </c>
      <c r="K433" s="54">
        <v>46231</v>
      </c>
      <c r="L433" s="54">
        <v>46230</v>
      </c>
      <c r="M433" s="54">
        <v>46233</v>
      </c>
      <c r="O433" s="51" t="str">
        <f t="shared" si="42"/>
        <v/>
      </c>
      <c r="P433" s="51" t="str">
        <f t="shared" si="43"/>
        <v/>
      </c>
      <c r="Q433" s="52" t="str">
        <f t="shared" si="44"/>
        <v/>
      </c>
      <c r="R433" s="52" t="str">
        <f t="shared" si="45"/>
        <v/>
      </c>
      <c r="S433" s="51" t="str">
        <f t="shared" si="46"/>
        <v/>
      </c>
      <c r="T433" t="str">
        <f t="shared" si="47"/>
        <v/>
      </c>
      <c r="U433" s="52" t="str">
        <f t="shared" si="48"/>
        <v/>
      </c>
    </row>
    <row r="434" spans="2:21" x14ac:dyDescent="0.25">
      <c r="B434">
        <v>452</v>
      </c>
      <c r="C434" t="s">
        <v>155</v>
      </c>
      <c r="D434" t="s">
        <v>942</v>
      </c>
      <c r="E434" t="s">
        <v>1518</v>
      </c>
      <c r="F434" t="s">
        <v>1519</v>
      </c>
      <c r="G434">
        <v>6</v>
      </c>
      <c r="H434" s="48">
        <v>0</v>
      </c>
      <c r="I434" s="50">
        <v>0</v>
      </c>
      <c r="J434" s="50">
        <v>46231</v>
      </c>
      <c r="K434" s="54">
        <v>46234</v>
      </c>
      <c r="L434" s="54">
        <v>46233</v>
      </c>
      <c r="M434" s="54">
        <v>46238</v>
      </c>
      <c r="O434" s="51" t="str">
        <f t="shared" si="42"/>
        <v/>
      </c>
      <c r="P434" s="51" t="str">
        <f t="shared" si="43"/>
        <v/>
      </c>
      <c r="Q434" s="52" t="str">
        <f t="shared" si="44"/>
        <v/>
      </c>
      <c r="R434" s="52" t="str">
        <f t="shared" si="45"/>
        <v/>
      </c>
      <c r="S434" s="51" t="str">
        <f t="shared" si="46"/>
        <v>SIM</v>
      </c>
      <c r="T434" t="str">
        <f t="shared" si="47"/>
        <v>BL1132-0001-EL-FDA-2005</v>
      </c>
      <c r="U434" s="52">
        <f t="shared" si="48"/>
        <v>46238</v>
      </c>
    </row>
    <row r="435" spans="2:21" x14ac:dyDescent="0.25">
      <c r="B435">
        <v>453</v>
      </c>
      <c r="C435" t="s">
        <v>155</v>
      </c>
      <c r="D435" t="s">
        <v>942</v>
      </c>
      <c r="E435" t="s">
        <v>1520</v>
      </c>
      <c r="F435" t="s">
        <v>1519</v>
      </c>
      <c r="G435">
        <v>4</v>
      </c>
      <c r="H435" s="48">
        <v>0</v>
      </c>
      <c r="I435" s="50">
        <v>0</v>
      </c>
      <c r="J435" s="50">
        <v>46234</v>
      </c>
      <c r="K435" s="54">
        <v>46239</v>
      </c>
      <c r="L435" s="54">
        <v>46238</v>
      </c>
      <c r="M435" s="54">
        <v>46241</v>
      </c>
      <c r="O435" s="51" t="str">
        <f t="shared" si="42"/>
        <v/>
      </c>
      <c r="P435" s="51" t="str">
        <f t="shared" si="43"/>
        <v/>
      </c>
      <c r="Q435" s="52" t="str">
        <f t="shared" si="44"/>
        <v/>
      </c>
      <c r="R435" s="52" t="str">
        <f t="shared" si="45"/>
        <v/>
      </c>
      <c r="S435" s="51" t="str">
        <f t="shared" si="46"/>
        <v/>
      </c>
      <c r="T435" t="str">
        <f t="shared" si="47"/>
        <v/>
      </c>
      <c r="U435" s="52" t="str">
        <f t="shared" si="48"/>
        <v/>
      </c>
    </row>
    <row r="436" spans="2:21" x14ac:dyDescent="0.25">
      <c r="B436">
        <v>454</v>
      </c>
      <c r="C436" t="s">
        <v>156</v>
      </c>
      <c r="D436" t="s">
        <v>947</v>
      </c>
      <c r="E436" t="s">
        <v>1665</v>
      </c>
      <c r="F436" t="s">
        <v>1559</v>
      </c>
      <c r="G436">
        <v>17</v>
      </c>
      <c r="H436" s="48">
        <v>0</v>
      </c>
      <c r="I436" s="50">
        <v>0</v>
      </c>
      <c r="J436" s="50">
        <v>46223</v>
      </c>
      <c r="K436" s="54">
        <v>46239</v>
      </c>
      <c r="L436" s="54">
        <v>46225</v>
      </c>
      <c r="M436" s="54">
        <v>46241</v>
      </c>
      <c r="O436" s="51" t="str">
        <f t="shared" si="42"/>
        <v/>
      </c>
      <c r="P436" s="51" t="str">
        <f t="shared" si="43"/>
        <v/>
      </c>
      <c r="Q436" s="52" t="str">
        <f t="shared" si="44"/>
        <v/>
      </c>
      <c r="R436" s="52" t="str">
        <f t="shared" si="45"/>
        <v/>
      </c>
      <c r="S436" s="51" t="str">
        <f t="shared" si="46"/>
        <v/>
      </c>
      <c r="T436" t="str">
        <f t="shared" si="47"/>
        <v/>
      </c>
      <c r="U436" s="52" t="str">
        <f t="shared" si="48"/>
        <v/>
      </c>
    </row>
    <row r="437" spans="2:21" x14ac:dyDescent="0.25">
      <c r="B437">
        <v>455</v>
      </c>
      <c r="C437" t="s">
        <v>156</v>
      </c>
      <c r="D437" t="s">
        <v>947</v>
      </c>
      <c r="E437" t="s">
        <v>1515</v>
      </c>
      <c r="F437" t="s">
        <v>1519</v>
      </c>
      <c r="G437">
        <v>6</v>
      </c>
      <c r="H437" s="48">
        <v>0</v>
      </c>
      <c r="I437" s="50">
        <v>0</v>
      </c>
      <c r="J437" s="50">
        <v>46223</v>
      </c>
      <c r="K437" s="54">
        <v>46226</v>
      </c>
      <c r="L437" s="54">
        <v>46225</v>
      </c>
      <c r="M437" s="54">
        <v>46230</v>
      </c>
      <c r="O437" s="51" t="str">
        <f t="shared" si="42"/>
        <v>SIM</v>
      </c>
      <c r="P437" s="51" t="str">
        <f t="shared" si="43"/>
        <v>BL1132-0001-EL-FDA-2006</v>
      </c>
      <c r="Q437" s="52">
        <f t="shared" si="44"/>
        <v>46230</v>
      </c>
      <c r="R437" s="52">
        <f t="shared" si="45"/>
        <v>46226</v>
      </c>
      <c r="S437" s="51" t="str">
        <f t="shared" si="46"/>
        <v/>
      </c>
      <c r="T437" t="str">
        <f t="shared" si="47"/>
        <v/>
      </c>
      <c r="U437" s="52" t="str">
        <f t="shared" si="48"/>
        <v/>
      </c>
    </row>
    <row r="438" spans="2:21" x14ac:dyDescent="0.25">
      <c r="B438">
        <v>456</v>
      </c>
      <c r="C438" t="s">
        <v>156</v>
      </c>
      <c r="D438" t="s">
        <v>947</v>
      </c>
      <c r="E438" t="s">
        <v>1517</v>
      </c>
      <c r="F438" t="s">
        <v>1519</v>
      </c>
      <c r="G438">
        <v>4</v>
      </c>
      <c r="H438" s="48">
        <v>0</v>
      </c>
      <c r="I438" s="50">
        <v>0</v>
      </c>
      <c r="J438" s="50">
        <v>46226</v>
      </c>
      <c r="K438" s="54">
        <v>46231</v>
      </c>
      <c r="L438" s="54">
        <v>46230</v>
      </c>
      <c r="M438" s="54">
        <v>46233</v>
      </c>
      <c r="O438" s="51" t="str">
        <f t="shared" si="42"/>
        <v/>
      </c>
      <c r="P438" s="51" t="str">
        <f t="shared" si="43"/>
        <v/>
      </c>
      <c r="Q438" s="52" t="str">
        <f t="shared" si="44"/>
        <v/>
      </c>
      <c r="R438" s="52" t="str">
        <f t="shared" si="45"/>
        <v/>
      </c>
      <c r="S438" s="51" t="str">
        <f t="shared" si="46"/>
        <v/>
      </c>
      <c r="T438" t="str">
        <f t="shared" si="47"/>
        <v/>
      </c>
      <c r="U438" s="52" t="str">
        <f t="shared" si="48"/>
        <v/>
      </c>
    </row>
    <row r="439" spans="2:21" x14ac:dyDescent="0.25">
      <c r="B439">
        <v>457</v>
      </c>
      <c r="C439" t="s">
        <v>156</v>
      </c>
      <c r="D439" t="s">
        <v>947</v>
      </c>
      <c r="E439" t="s">
        <v>1518</v>
      </c>
      <c r="F439" t="s">
        <v>1519</v>
      </c>
      <c r="G439">
        <v>6</v>
      </c>
      <c r="H439" s="48">
        <v>0</v>
      </c>
      <c r="I439" s="50">
        <v>0</v>
      </c>
      <c r="J439" s="50">
        <v>46231</v>
      </c>
      <c r="K439" s="54">
        <v>46234</v>
      </c>
      <c r="L439" s="54">
        <v>46233</v>
      </c>
      <c r="M439" s="54">
        <v>46238</v>
      </c>
      <c r="O439" s="51" t="str">
        <f t="shared" si="42"/>
        <v/>
      </c>
      <c r="P439" s="51" t="str">
        <f t="shared" si="43"/>
        <v/>
      </c>
      <c r="Q439" s="52" t="str">
        <f t="shared" si="44"/>
        <v/>
      </c>
      <c r="R439" s="52" t="str">
        <f t="shared" si="45"/>
        <v/>
      </c>
      <c r="S439" s="51" t="str">
        <f t="shared" si="46"/>
        <v>SIM</v>
      </c>
      <c r="T439" t="str">
        <f t="shared" si="47"/>
        <v>BL1132-0001-EL-FDA-2006</v>
      </c>
      <c r="U439" s="52">
        <f t="shared" si="48"/>
        <v>46238</v>
      </c>
    </row>
    <row r="440" spans="2:21" x14ac:dyDescent="0.25">
      <c r="B440">
        <v>458</v>
      </c>
      <c r="C440" t="s">
        <v>156</v>
      </c>
      <c r="D440" t="s">
        <v>947</v>
      </c>
      <c r="E440" t="s">
        <v>1520</v>
      </c>
      <c r="F440" t="s">
        <v>1519</v>
      </c>
      <c r="G440">
        <v>4</v>
      </c>
      <c r="H440" s="48">
        <v>0</v>
      </c>
      <c r="I440" s="50">
        <v>0</v>
      </c>
      <c r="J440" s="50">
        <v>46234</v>
      </c>
      <c r="K440" s="54">
        <v>46239</v>
      </c>
      <c r="L440" s="54">
        <v>46238</v>
      </c>
      <c r="M440" s="54">
        <v>46241</v>
      </c>
      <c r="O440" s="51" t="str">
        <f t="shared" si="42"/>
        <v/>
      </c>
      <c r="P440" s="51" t="str">
        <f t="shared" si="43"/>
        <v/>
      </c>
      <c r="Q440" s="52" t="str">
        <f t="shared" si="44"/>
        <v/>
      </c>
      <c r="R440" s="52" t="str">
        <f t="shared" si="45"/>
        <v/>
      </c>
      <c r="S440" s="51" t="str">
        <f t="shared" si="46"/>
        <v/>
      </c>
      <c r="T440" t="str">
        <f t="shared" si="47"/>
        <v/>
      </c>
      <c r="U440" s="52" t="str">
        <f t="shared" si="48"/>
        <v/>
      </c>
    </row>
    <row r="441" spans="2:21" x14ac:dyDescent="0.25">
      <c r="B441">
        <v>459</v>
      </c>
      <c r="C441" t="s">
        <v>157</v>
      </c>
      <c r="D441" t="s">
        <v>951</v>
      </c>
      <c r="E441" t="s">
        <v>1666</v>
      </c>
      <c r="F441" t="s">
        <v>1641</v>
      </c>
      <c r="G441">
        <v>16</v>
      </c>
      <c r="H441" s="48">
        <v>0</v>
      </c>
      <c r="I441" s="50">
        <v>0</v>
      </c>
      <c r="J441" s="50">
        <v>46226</v>
      </c>
      <c r="K441" s="54">
        <v>46241</v>
      </c>
      <c r="L441" s="54">
        <v>46230</v>
      </c>
      <c r="M441" s="54">
        <v>46245</v>
      </c>
      <c r="O441" s="51" t="str">
        <f t="shared" si="42"/>
        <v/>
      </c>
      <c r="P441" s="51" t="str">
        <f t="shared" si="43"/>
        <v/>
      </c>
      <c r="Q441" s="52" t="str">
        <f t="shared" si="44"/>
        <v/>
      </c>
      <c r="R441" s="52" t="str">
        <f t="shared" si="45"/>
        <v/>
      </c>
      <c r="S441" s="51" t="str">
        <f t="shared" si="46"/>
        <v/>
      </c>
      <c r="T441" t="str">
        <f t="shared" si="47"/>
        <v/>
      </c>
      <c r="U441" s="52" t="str">
        <f t="shared" si="48"/>
        <v/>
      </c>
    </row>
    <row r="442" spans="2:21" x14ac:dyDescent="0.25">
      <c r="B442">
        <v>460</v>
      </c>
      <c r="C442" t="s">
        <v>157</v>
      </c>
      <c r="D442" t="s">
        <v>951</v>
      </c>
      <c r="E442" t="s">
        <v>1515</v>
      </c>
      <c r="F442" t="s">
        <v>1642</v>
      </c>
      <c r="G442">
        <v>3</v>
      </c>
      <c r="H442" s="48">
        <v>0</v>
      </c>
      <c r="I442" s="50">
        <v>0</v>
      </c>
      <c r="J442" s="50">
        <v>46226</v>
      </c>
      <c r="K442" s="54">
        <v>46230</v>
      </c>
      <c r="L442" s="54">
        <v>46230</v>
      </c>
      <c r="M442" s="54">
        <v>46232</v>
      </c>
      <c r="O442" s="51" t="str">
        <f t="shared" si="42"/>
        <v>SIM</v>
      </c>
      <c r="P442" s="51" t="str">
        <f t="shared" si="43"/>
        <v>BL1132-0001-EL-FDA-2007</v>
      </c>
      <c r="Q442" s="52">
        <f t="shared" si="44"/>
        <v>46232</v>
      </c>
      <c r="R442" s="52">
        <f t="shared" si="45"/>
        <v>46230</v>
      </c>
      <c r="S442" s="51" t="str">
        <f t="shared" si="46"/>
        <v/>
      </c>
      <c r="T442" t="str">
        <f t="shared" si="47"/>
        <v/>
      </c>
      <c r="U442" s="52" t="str">
        <f t="shared" si="48"/>
        <v/>
      </c>
    </row>
    <row r="443" spans="2:21" x14ac:dyDescent="0.25">
      <c r="B443">
        <v>461</v>
      </c>
      <c r="C443" t="s">
        <v>157</v>
      </c>
      <c r="D443" t="s">
        <v>951</v>
      </c>
      <c r="E443" t="s">
        <v>1517</v>
      </c>
      <c r="F443" t="s">
        <v>1519</v>
      </c>
      <c r="G443">
        <v>6</v>
      </c>
      <c r="H443" s="48">
        <v>0</v>
      </c>
      <c r="I443" s="50">
        <v>0</v>
      </c>
      <c r="J443" s="50">
        <v>46230</v>
      </c>
      <c r="K443" s="54">
        <v>46233</v>
      </c>
      <c r="L443" s="54">
        <v>46232</v>
      </c>
      <c r="M443" s="54">
        <v>46237</v>
      </c>
      <c r="O443" s="51" t="str">
        <f t="shared" si="42"/>
        <v/>
      </c>
      <c r="P443" s="51" t="str">
        <f t="shared" si="43"/>
        <v/>
      </c>
      <c r="Q443" s="52" t="str">
        <f t="shared" si="44"/>
        <v/>
      </c>
      <c r="R443" s="52" t="str">
        <f t="shared" si="45"/>
        <v/>
      </c>
      <c r="S443" s="51" t="str">
        <f t="shared" si="46"/>
        <v/>
      </c>
      <c r="T443" t="str">
        <f t="shared" si="47"/>
        <v/>
      </c>
      <c r="U443" s="52" t="str">
        <f t="shared" si="48"/>
        <v/>
      </c>
    </row>
    <row r="444" spans="2:21" x14ac:dyDescent="0.25">
      <c r="B444">
        <v>462</v>
      </c>
      <c r="C444" t="s">
        <v>157</v>
      </c>
      <c r="D444" t="s">
        <v>951</v>
      </c>
      <c r="E444" t="s">
        <v>1518</v>
      </c>
      <c r="F444" t="s">
        <v>1519</v>
      </c>
      <c r="G444">
        <v>4</v>
      </c>
      <c r="H444" s="48">
        <v>0</v>
      </c>
      <c r="I444" s="50">
        <v>0</v>
      </c>
      <c r="J444" s="50">
        <v>46233</v>
      </c>
      <c r="K444" s="54">
        <v>46238</v>
      </c>
      <c r="L444" s="54">
        <v>46237</v>
      </c>
      <c r="M444" s="54">
        <v>46240</v>
      </c>
      <c r="O444" s="51" t="str">
        <f t="shared" si="42"/>
        <v/>
      </c>
      <c r="P444" s="51" t="str">
        <f t="shared" si="43"/>
        <v/>
      </c>
      <c r="Q444" s="52" t="str">
        <f t="shared" si="44"/>
        <v/>
      </c>
      <c r="R444" s="52" t="str">
        <f t="shared" si="45"/>
        <v/>
      </c>
      <c r="S444" s="51" t="str">
        <f t="shared" si="46"/>
        <v>SIM</v>
      </c>
      <c r="T444" t="str">
        <f t="shared" si="47"/>
        <v>BL1132-0001-EL-FDA-2007</v>
      </c>
      <c r="U444" s="52">
        <f t="shared" si="48"/>
        <v>46240</v>
      </c>
    </row>
    <row r="445" spans="2:21" x14ac:dyDescent="0.25">
      <c r="B445">
        <v>463</v>
      </c>
      <c r="C445" t="s">
        <v>157</v>
      </c>
      <c r="D445" t="s">
        <v>951</v>
      </c>
      <c r="E445" t="s">
        <v>1520</v>
      </c>
      <c r="F445" t="s">
        <v>1519</v>
      </c>
      <c r="G445">
        <v>6</v>
      </c>
      <c r="H445" s="48">
        <v>0</v>
      </c>
      <c r="I445" s="50">
        <v>0</v>
      </c>
      <c r="J445" s="50">
        <v>46238</v>
      </c>
      <c r="K445" s="54">
        <v>46241</v>
      </c>
      <c r="L445" s="54">
        <v>46240</v>
      </c>
      <c r="M445" s="54">
        <v>46245</v>
      </c>
      <c r="O445" s="51" t="str">
        <f t="shared" si="42"/>
        <v/>
      </c>
      <c r="P445" s="51" t="str">
        <f t="shared" si="43"/>
        <v/>
      </c>
      <c r="Q445" s="52" t="str">
        <f t="shared" si="44"/>
        <v/>
      </c>
      <c r="R445" s="52" t="str">
        <f t="shared" si="45"/>
        <v/>
      </c>
      <c r="S445" s="51" t="str">
        <f t="shared" si="46"/>
        <v/>
      </c>
      <c r="T445" t="str">
        <f t="shared" si="47"/>
        <v/>
      </c>
      <c r="U445" s="52" t="str">
        <f t="shared" si="48"/>
        <v/>
      </c>
    </row>
    <row r="446" spans="2:21" x14ac:dyDescent="0.25">
      <c r="B446">
        <v>464</v>
      </c>
      <c r="C446" t="s">
        <v>158</v>
      </c>
      <c r="D446" t="s">
        <v>955</v>
      </c>
      <c r="E446" t="s">
        <v>1667</v>
      </c>
      <c r="F446" t="s">
        <v>1559</v>
      </c>
      <c r="G446">
        <v>19</v>
      </c>
      <c r="H446" s="48">
        <v>0</v>
      </c>
      <c r="I446" s="50">
        <v>0</v>
      </c>
      <c r="J446" s="50">
        <v>46225</v>
      </c>
      <c r="K446" s="54">
        <v>46241</v>
      </c>
      <c r="L446" s="54">
        <v>46227</v>
      </c>
      <c r="M446" s="54">
        <v>46245</v>
      </c>
      <c r="O446" s="51" t="str">
        <f t="shared" si="42"/>
        <v/>
      </c>
      <c r="P446" s="51" t="str">
        <f t="shared" si="43"/>
        <v/>
      </c>
      <c r="Q446" s="52" t="str">
        <f t="shared" si="44"/>
        <v/>
      </c>
      <c r="R446" s="52" t="str">
        <f t="shared" si="45"/>
        <v/>
      </c>
      <c r="S446" s="51" t="str">
        <f t="shared" si="46"/>
        <v/>
      </c>
      <c r="T446" t="str">
        <f t="shared" si="47"/>
        <v/>
      </c>
      <c r="U446" s="52" t="str">
        <f t="shared" si="48"/>
        <v/>
      </c>
    </row>
    <row r="447" spans="2:21" x14ac:dyDescent="0.25">
      <c r="B447">
        <v>465</v>
      </c>
      <c r="C447" t="s">
        <v>158</v>
      </c>
      <c r="D447" t="s">
        <v>955</v>
      </c>
      <c r="E447" t="s">
        <v>1515</v>
      </c>
      <c r="F447" t="s">
        <v>1519</v>
      </c>
      <c r="G447">
        <v>6</v>
      </c>
      <c r="H447" s="48">
        <v>0</v>
      </c>
      <c r="I447" s="50">
        <v>0</v>
      </c>
      <c r="J447" s="50">
        <v>46225</v>
      </c>
      <c r="K447" s="54">
        <v>46230</v>
      </c>
      <c r="L447" s="54">
        <v>46227</v>
      </c>
      <c r="M447" s="54">
        <v>46232</v>
      </c>
      <c r="O447" s="51" t="str">
        <f t="shared" si="42"/>
        <v>SIM</v>
      </c>
      <c r="P447" s="51" t="str">
        <f t="shared" si="43"/>
        <v>BL1132-0001-EL-FDA-2008</v>
      </c>
      <c r="Q447" s="52">
        <f t="shared" si="44"/>
        <v>46232</v>
      </c>
      <c r="R447" s="52">
        <f t="shared" si="45"/>
        <v>46230</v>
      </c>
      <c r="S447" s="51" t="str">
        <f t="shared" si="46"/>
        <v/>
      </c>
      <c r="T447" t="str">
        <f t="shared" si="47"/>
        <v/>
      </c>
      <c r="U447" s="52" t="str">
        <f t="shared" si="48"/>
        <v/>
      </c>
    </row>
    <row r="448" spans="2:21" x14ac:dyDescent="0.25">
      <c r="B448">
        <v>466</v>
      </c>
      <c r="C448" t="s">
        <v>158</v>
      </c>
      <c r="D448" t="s">
        <v>955</v>
      </c>
      <c r="E448" t="s">
        <v>1517</v>
      </c>
      <c r="F448" t="s">
        <v>1519</v>
      </c>
      <c r="G448">
        <v>6</v>
      </c>
      <c r="H448" s="48">
        <v>0</v>
      </c>
      <c r="I448" s="50">
        <v>0</v>
      </c>
      <c r="J448" s="50">
        <v>46230</v>
      </c>
      <c r="K448" s="54">
        <v>46233</v>
      </c>
      <c r="L448" s="54">
        <v>46232</v>
      </c>
      <c r="M448" s="54">
        <v>46237</v>
      </c>
      <c r="O448" s="51" t="str">
        <f t="shared" si="42"/>
        <v/>
      </c>
      <c r="P448" s="51" t="str">
        <f t="shared" si="43"/>
        <v/>
      </c>
      <c r="Q448" s="52" t="str">
        <f t="shared" si="44"/>
        <v/>
      </c>
      <c r="R448" s="52" t="str">
        <f t="shared" si="45"/>
        <v/>
      </c>
      <c r="S448" s="51" t="str">
        <f t="shared" si="46"/>
        <v/>
      </c>
      <c r="T448" t="str">
        <f t="shared" si="47"/>
        <v/>
      </c>
      <c r="U448" s="52" t="str">
        <f t="shared" si="48"/>
        <v/>
      </c>
    </row>
    <row r="449" spans="2:21" x14ac:dyDescent="0.25">
      <c r="B449">
        <v>467</v>
      </c>
      <c r="C449" t="s">
        <v>158</v>
      </c>
      <c r="D449" t="s">
        <v>955</v>
      </c>
      <c r="E449" t="s">
        <v>1518</v>
      </c>
      <c r="F449" t="s">
        <v>1519</v>
      </c>
      <c r="G449">
        <v>4</v>
      </c>
      <c r="H449" s="48">
        <v>0</v>
      </c>
      <c r="I449" s="50">
        <v>0</v>
      </c>
      <c r="J449" s="50">
        <v>46233</v>
      </c>
      <c r="K449" s="54">
        <v>46238</v>
      </c>
      <c r="L449" s="54">
        <v>46237</v>
      </c>
      <c r="M449" s="54">
        <v>46240</v>
      </c>
      <c r="O449" s="51" t="str">
        <f t="shared" si="42"/>
        <v/>
      </c>
      <c r="P449" s="51" t="str">
        <f t="shared" si="43"/>
        <v/>
      </c>
      <c r="Q449" s="52" t="str">
        <f t="shared" si="44"/>
        <v/>
      </c>
      <c r="R449" s="52" t="str">
        <f t="shared" si="45"/>
        <v/>
      </c>
      <c r="S449" s="51" t="str">
        <f t="shared" si="46"/>
        <v>SIM</v>
      </c>
      <c r="T449" t="str">
        <f t="shared" si="47"/>
        <v>BL1132-0001-EL-FDA-2008</v>
      </c>
      <c r="U449" s="52">
        <f t="shared" si="48"/>
        <v>46240</v>
      </c>
    </row>
    <row r="450" spans="2:21" x14ac:dyDescent="0.25">
      <c r="B450">
        <v>468</v>
      </c>
      <c r="C450" t="s">
        <v>158</v>
      </c>
      <c r="D450" t="s">
        <v>955</v>
      </c>
      <c r="E450" t="s">
        <v>1520</v>
      </c>
      <c r="F450" t="s">
        <v>1519</v>
      </c>
      <c r="G450">
        <v>6</v>
      </c>
      <c r="H450" s="48">
        <v>0</v>
      </c>
      <c r="I450" s="50">
        <v>0</v>
      </c>
      <c r="J450" s="50">
        <v>46238</v>
      </c>
      <c r="K450" s="54">
        <v>46241</v>
      </c>
      <c r="L450" s="54">
        <v>46240</v>
      </c>
      <c r="M450" s="54">
        <v>46245</v>
      </c>
      <c r="O450" s="51" t="str">
        <f t="shared" si="42"/>
        <v/>
      </c>
      <c r="P450" s="51" t="str">
        <f t="shared" si="43"/>
        <v/>
      </c>
      <c r="Q450" s="52" t="str">
        <f t="shared" si="44"/>
        <v/>
      </c>
      <c r="R450" s="52" t="str">
        <f t="shared" si="45"/>
        <v/>
      </c>
      <c r="S450" s="51" t="str">
        <f t="shared" si="46"/>
        <v/>
      </c>
      <c r="T450" t="str">
        <f t="shared" si="47"/>
        <v/>
      </c>
      <c r="U450" s="52" t="str">
        <f t="shared" si="48"/>
        <v/>
      </c>
    </row>
    <row r="451" spans="2:21" x14ac:dyDescent="0.25">
      <c r="B451">
        <v>469</v>
      </c>
      <c r="C451" t="s">
        <v>159</v>
      </c>
      <c r="D451" t="s">
        <v>959</v>
      </c>
      <c r="E451" t="s">
        <v>1668</v>
      </c>
      <c r="F451" t="s">
        <v>1559</v>
      </c>
      <c r="G451">
        <v>17</v>
      </c>
      <c r="H451" s="48">
        <v>0</v>
      </c>
      <c r="I451" s="50">
        <v>0</v>
      </c>
      <c r="J451" s="50">
        <v>46230</v>
      </c>
      <c r="K451" s="54">
        <v>46246</v>
      </c>
      <c r="L451" s="54">
        <v>46232</v>
      </c>
      <c r="M451" s="54">
        <v>46248</v>
      </c>
      <c r="O451" s="51" t="str">
        <f t="shared" ref="O451:O514" si="49">IF(OR(E451 = "                           1 - Emissão Inicial",E451="                  1 - Emissão após Design Review 1",E451 = "                  1 - Emissão para conhecimento",E451 = "                  1 - Emissão Final",E451 = "         Lista de Documentos",E451 = "         Elaboração do cronograma",E451 = "         Norma de Coordenação"), "SIM", "")</f>
        <v/>
      </c>
      <c r="P451" s="51" t="str">
        <f t="shared" ref="P451:P514" si="50">IF(O451="SIM",C451,"")</f>
        <v/>
      </c>
      <c r="Q451" s="52" t="str">
        <f t="shared" ref="Q451:Q514" si="51">IF(O451="SIM",M451,"")</f>
        <v/>
      </c>
      <c r="R451" s="52" t="str">
        <f t="shared" ref="R451:R514" si="52">IF(O451="SIM",K451,"")</f>
        <v/>
      </c>
      <c r="S451" s="51" t="str">
        <f t="shared" ref="S451:S514" si="53">IF(OR(E451 = "                           3 - Atendimento de Comentários",E451="                  1 - Emissão após Design Review 1",E451 = "                  1 - Emissão para conhecimento",E451 = "                  1 - Emissão Final",E451 = "         Lista de Documentos",E451 = "         Elaboração do cronograma",E451 = "         Norma de Coordenação"), "SIM", "")</f>
        <v/>
      </c>
      <c r="T451" t="str">
        <f t="shared" ref="T451:T514" si="54">IF(S451="SIM",C451,"")</f>
        <v/>
      </c>
      <c r="U451" s="52" t="str">
        <f t="shared" ref="U451:U514" si="55">IF(S451="SIM",M451,"")</f>
        <v/>
      </c>
    </row>
    <row r="452" spans="2:21" x14ac:dyDescent="0.25">
      <c r="B452">
        <v>470</v>
      </c>
      <c r="C452" t="s">
        <v>159</v>
      </c>
      <c r="D452" t="s">
        <v>959</v>
      </c>
      <c r="E452" t="s">
        <v>1515</v>
      </c>
      <c r="F452" t="s">
        <v>1519</v>
      </c>
      <c r="G452">
        <v>6</v>
      </c>
      <c r="H452" s="48">
        <v>0</v>
      </c>
      <c r="I452" s="50">
        <v>0</v>
      </c>
      <c r="J452" s="50">
        <v>46230</v>
      </c>
      <c r="K452" s="54">
        <v>46233</v>
      </c>
      <c r="L452" s="54">
        <v>46232</v>
      </c>
      <c r="M452" s="54">
        <v>46237</v>
      </c>
      <c r="O452" s="51" t="str">
        <f t="shared" si="49"/>
        <v>SIM</v>
      </c>
      <c r="P452" s="51" t="str">
        <f t="shared" si="50"/>
        <v>BL1132-0001-EL-FDA-2009</v>
      </c>
      <c r="Q452" s="52">
        <f t="shared" si="51"/>
        <v>46237</v>
      </c>
      <c r="R452" s="52">
        <f t="shared" si="52"/>
        <v>46233</v>
      </c>
      <c r="S452" s="51" t="str">
        <f t="shared" si="53"/>
        <v/>
      </c>
      <c r="T452" t="str">
        <f t="shared" si="54"/>
        <v/>
      </c>
      <c r="U452" s="52" t="str">
        <f t="shared" si="55"/>
        <v/>
      </c>
    </row>
    <row r="453" spans="2:21" x14ac:dyDescent="0.25">
      <c r="B453">
        <v>471</v>
      </c>
      <c r="C453" t="s">
        <v>159</v>
      </c>
      <c r="D453" t="s">
        <v>959</v>
      </c>
      <c r="E453" t="s">
        <v>1517</v>
      </c>
      <c r="F453" t="s">
        <v>1519</v>
      </c>
      <c r="G453">
        <v>4</v>
      </c>
      <c r="H453" s="48">
        <v>0</v>
      </c>
      <c r="I453" s="50">
        <v>0</v>
      </c>
      <c r="J453" s="50">
        <v>46233</v>
      </c>
      <c r="K453" s="54">
        <v>46238</v>
      </c>
      <c r="L453" s="54">
        <v>46237</v>
      </c>
      <c r="M453" s="54">
        <v>46240</v>
      </c>
      <c r="O453" s="51" t="str">
        <f t="shared" si="49"/>
        <v/>
      </c>
      <c r="P453" s="51" t="str">
        <f t="shared" si="50"/>
        <v/>
      </c>
      <c r="Q453" s="52" t="str">
        <f t="shared" si="51"/>
        <v/>
      </c>
      <c r="R453" s="52" t="str">
        <f t="shared" si="52"/>
        <v/>
      </c>
      <c r="S453" s="51" t="str">
        <f t="shared" si="53"/>
        <v/>
      </c>
      <c r="T453" t="str">
        <f t="shared" si="54"/>
        <v/>
      </c>
      <c r="U453" s="52" t="str">
        <f t="shared" si="55"/>
        <v/>
      </c>
    </row>
    <row r="454" spans="2:21" x14ac:dyDescent="0.25">
      <c r="B454">
        <v>472</v>
      </c>
      <c r="C454" t="s">
        <v>159</v>
      </c>
      <c r="D454" t="s">
        <v>959</v>
      </c>
      <c r="E454" t="s">
        <v>1518</v>
      </c>
      <c r="F454" t="s">
        <v>1519</v>
      </c>
      <c r="G454">
        <v>6</v>
      </c>
      <c r="H454" s="48">
        <v>0</v>
      </c>
      <c r="I454" s="50">
        <v>0</v>
      </c>
      <c r="J454" s="50">
        <v>46238</v>
      </c>
      <c r="K454" s="54">
        <v>46241</v>
      </c>
      <c r="L454" s="54">
        <v>46240</v>
      </c>
      <c r="M454" s="54">
        <v>46245</v>
      </c>
      <c r="O454" s="51" t="str">
        <f t="shared" si="49"/>
        <v/>
      </c>
      <c r="P454" s="51" t="str">
        <f t="shared" si="50"/>
        <v/>
      </c>
      <c r="Q454" s="52" t="str">
        <f t="shared" si="51"/>
        <v/>
      </c>
      <c r="R454" s="52" t="str">
        <f t="shared" si="52"/>
        <v/>
      </c>
      <c r="S454" s="51" t="str">
        <f t="shared" si="53"/>
        <v>SIM</v>
      </c>
      <c r="T454" t="str">
        <f t="shared" si="54"/>
        <v>BL1132-0001-EL-FDA-2009</v>
      </c>
      <c r="U454" s="52">
        <f t="shared" si="55"/>
        <v>46245</v>
      </c>
    </row>
    <row r="455" spans="2:21" x14ac:dyDescent="0.25">
      <c r="B455">
        <v>473</v>
      </c>
      <c r="C455" t="s">
        <v>159</v>
      </c>
      <c r="D455" t="s">
        <v>959</v>
      </c>
      <c r="E455" t="s">
        <v>1520</v>
      </c>
      <c r="F455" t="s">
        <v>1519</v>
      </c>
      <c r="G455">
        <v>4</v>
      </c>
      <c r="H455" s="48">
        <v>0</v>
      </c>
      <c r="I455" s="50">
        <v>0</v>
      </c>
      <c r="J455" s="50">
        <v>46241</v>
      </c>
      <c r="K455" s="54">
        <v>46246</v>
      </c>
      <c r="L455" s="54">
        <v>46245</v>
      </c>
      <c r="M455" s="54">
        <v>46248</v>
      </c>
      <c r="O455" s="51" t="str">
        <f t="shared" si="49"/>
        <v/>
      </c>
      <c r="P455" s="51" t="str">
        <f t="shared" si="50"/>
        <v/>
      </c>
      <c r="Q455" s="52" t="str">
        <f t="shared" si="51"/>
        <v/>
      </c>
      <c r="R455" s="52" t="str">
        <f t="shared" si="52"/>
        <v/>
      </c>
      <c r="S455" s="51" t="str">
        <f t="shared" si="53"/>
        <v/>
      </c>
      <c r="T455" t="str">
        <f t="shared" si="54"/>
        <v/>
      </c>
      <c r="U455" s="52" t="str">
        <f t="shared" si="55"/>
        <v/>
      </c>
    </row>
    <row r="456" spans="2:21" x14ac:dyDescent="0.25">
      <c r="B456">
        <v>474</v>
      </c>
      <c r="C456" t="s">
        <v>160</v>
      </c>
      <c r="D456" t="s">
        <v>963</v>
      </c>
      <c r="E456" t="s">
        <v>1669</v>
      </c>
      <c r="F456" t="s">
        <v>1559</v>
      </c>
      <c r="G456">
        <v>17</v>
      </c>
      <c r="H456" s="48">
        <v>0</v>
      </c>
      <c r="I456" s="50">
        <v>0</v>
      </c>
      <c r="J456" s="50">
        <v>46230</v>
      </c>
      <c r="K456" s="54">
        <v>46246</v>
      </c>
      <c r="L456" s="54">
        <v>46232</v>
      </c>
      <c r="M456" s="54">
        <v>46248</v>
      </c>
      <c r="O456" s="51" t="str">
        <f t="shared" si="49"/>
        <v/>
      </c>
      <c r="P456" s="51" t="str">
        <f t="shared" si="50"/>
        <v/>
      </c>
      <c r="Q456" s="52" t="str">
        <f t="shared" si="51"/>
        <v/>
      </c>
      <c r="R456" s="52" t="str">
        <f t="shared" si="52"/>
        <v/>
      </c>
      <c r="S456" s="51" t="str">
        <f t="shared" si="53"/>
        <v/>
      </c>
      <c r="T456" t="str">
        <f t="shared" si="54"/>
        <v/>
      </c>
      <c r="U456" s="52" t="str">
        <f t="shared" si="55"/>
        <v/>
      </c>
    </row>
    <row r="457" spans="2:21" x14ac:dyDescent="0.25">
      <c r="B457">
        <v>475</v>
      </c>
      <c r="C457" t="s">
        <v>160</v>
      </c>
      <c r="D457" t="s">
        <v>963</v>
      </c>
      <c r="E457" t="s">
        <v>1515</v>
      </c>
      <c r="F457" t="s">
        <v>1519</v>
      </c>
      <c r="G457">
        <v>6</v>
      </c>
      <c r="H457" s="48">
        <v>0</v>
      </c>
      <c r="I457" s="50">
        <v>0</v>
      </c>
      <c r="J457" s="50">
        <v>46230</v>
      </c>
      <c r="K457" s="54">
        <v>46233</v>
      </c>
      <c r="L457" s="54">
        <v>46232</v>
      </c>
      <c r="M457" s="54">
        <v>46237</v>
      </c>
      <c r="O457" s="51" t="str">
        <f t="shared" si="49"/>
        <v>SIM</v>
      </c>
      <c r="P457" s="51" t="str">
        <f t="shared" si="50"/>
        <v>BL1132-0001-EL-FDA-2010</v>
      </c>
      <c r="Q457" s="52">
        <f t="shared" si="51"/>
        <v>46237</v>
      </c>
      <c r="R457" s="52">
        <f t="shared" si="52"/>
        <v>46233</v>
      </c>
      <c r="S457" s="51" t="str">
        <f t="shared" si="53"/>
        <v/>
      </c>
      <c r="T457" t="str">
        <f t="shared" si="54"/>
        <v/>
      </c>
      <c r="U457" s="52" t="str">
        <f t="shared" si="55"/>
        <v/>
      </c>
    </row>
    <row r="458" spans="2:21" x14ac:dyDescent="0.25">
      <c r="B458">
        <v>476</v>
      </c>
      <c r="C458" t="s">
        <v>160</v>
      </c>
      <c r="D458" t="s">
        <v>963</v>
      </c>
      <c r="E458" t="s">
        <v>1517</v>
      </c>
      <c r="F458" t="s">
        <v>1519</v>
      </c>
      <c r="G458">
        <v>4</v>
      </c>
      <c r="H458" s="48">
        <v>0</v>
      </c>
      <c r="I458" s="50">
        <v>0</v>
      </c>
      <c r="J458" s="50">
        <v>46233</v>
      </c>
      <c r="K458" s="54">
        <v>46238</v>
      </c>
      <c r="L458" s="54">
        <v>46237</v>
      </c>
      <c r="M458" s="54">
        <v>46240</v>
      </c>
      <c r="O458" s="51" t="str">
        <f t="shared" si="49"/>
        <v/>
      </c>
      <c r="P458" s="51" t="str">
        <f t="shared" si="50"/>
        <v/>
      </c>
      <c r="Q458" s="52" t="str">
        <f t="shared" si="51"/>
        <v/>
      </c>
      <c r="R458" s="52" t="str">
        <f t="shared" si="52"/>
        <v/>
      </c>
      <c r="S458" s="51" t="str">
        <f t="shared" si="53"/>
        <v/>
      </c>
      <c r="T458" t="str">
        <f t="shared" si="54"/>
        <v/>
      </c>
      <c r="U458" s="52" t="str">
        <f t="shared" si="55"/>
        <v/>
      </c>
    </row>
    <row r="459" spans="2:21" x14ac:dyDescent="0.25">
      <c r="B459">
        <v>477</v>
      </c>
      <c r="C459" t="s">
        <v>160</v>
      </c>
      <c r="D459" t="s">
        <v>963</v>
      </c>
      <c r="E459" t="s">
        <v>1518</v>
      </c>
      <c r="F459" t="s">
        <v>1519</v>
      </c>
      <c r="G459">
        <v>6</v>
      </c>
      <c r="H459" s="48">
        <v>0</v>
      </c>
      <c r="I459" s="50">
        <v>0</v>
      </c>
      <c r="J459" s="50">
        <v>46238</v>
      </c>
      <c r="K459" s="54">
        <v>46241</v>
      </c>
      <c r="L459" s="54">
        <v>46240</v>
      </c>
      <c r="M459" s="54">
        <v>46245</v>
      </c>
      <c r="O459" s="51" t="str">
        <f t="shared" si="49"/>
        <v/>
      </c>
      <c r="P459" s="51" t="str">
        <f t="shared" si="50"/>
        <v/>
      </c>
      <c r="Q459" s="52" t="str">
        <f t="shared" si="51"/>
        <v/>
      </c>
      <c r="R459" s="52" t="str">
        <f t="shared" si="52"/>
        <v/>
      </c>
      <c r="S459" s="51" t="str">
        <f t="shared" si="53"/>
        <v>SIM</v>
      </c>
      <c r="T459" t="str">
        <f t="shared" si="54"/>
        <v>BL1132-0001-EL-FDA-2010</v>
      </c>
      <c r="U459" s="52">
        <f t="shared" si="55"/>
        <v>46245</v>
      </c>
    </row>
    <row r="460" spans="2:21" x14ac:dyDescent="0.25">
      <c r="B460">
        <v>478</v>
      </c>
      <c r="C460" t="s">
        <v>160</v>
      </c>
      <c r="D460" t="s">
        <v>963</v>
      </c>
      <c r="E460" t="s">
        <v>1520</v>
      </c>
      <c r="F460" t="s">
        <v>1519</v>
      </c>
      <c r="G460">
        <v>4</v>
      </c>
      <c r="H460" s="48">
        <v>0</v>
      </c>
      <c r="I460" s="50">
        <v>0</v>
      </c>
      <c r="J460" s="50">
        <v>46241</v>
      </c>
      <c r="K460" s="54">
        <v>46246</v>
      </c>
      <c r="L460" s="54">
        <v>46245</v>
      </c>
      <c r="M460" s="54">
        <v>46248</v>
      </c>
      <c r="O460" s="51" t="str">
        <f t="shared" si="49"/>
        <v/>
      </c>
      <c r="P460" s="51" t="str">
        <f t="shared" si="50"/>
        <v/>
      </c>
      <c r="Q460" s="52" t="str">
        <f t="shared" si="51"/>
        <v/>
      </c>
      <c r="R460" s="52" t="str">
        <f t="shared" si="52"/>
        <v/>
      </c>
      <c r="S460" s="51" t="str">
        <f t="shared" si="53"/>
        <v/>
      </c>
      <c r="T460" t="str">
        <f t="shared" si="54"/>
        <v/>
      </c>
      <c r="U460" s="52" t="str">
        <f t="shared" si="55"/>
        <v/>
      </c>
    </row>
    <row r="461" spans="2:21" x14ac:dyDescent="0.25">
      <c r="B461">
        <v>479</v>
      </c>
      <c r="C461" t="s">
        <v>161</v>
      </c>
      <c r="D461" t="s">
        <v>967</v>
      </c>
      <c r="E461" t="s">
        <v>1670</v>
      </c>
      <c r="F461" t="s">
        <v>1559</v>
      </c>
      <c r="G461">
        <v>17</v>
      </c>
      <c r="H461" s="48">
        <v>0</v>
      </c>
      <c r="I461" s="50">
        <v>0</v>
      </c>
      <c r="J461" s="50">
        <v>46233</v>
      </c>
      <c r="K461" s="54">
        <v>46251</v>
      </c>
      <c r="L461" s="54">
        <v>46237</v>
      </c>
      <c r="M461" s="54">
        <v>46253</v>
      </c>
      <c r="O461" s="51" t="str">
        <f t="shared" si="49"/>
        <v/>
      </c>
      <c r="P461" s="51" t="str">
        <f t="shared" si="50"/>
        <v/>
      </c>
      <c r="Q461" s="52" t="str">
        <f t="shared" si="51"/>
        <v/>
      </c>
      <c r="R461" s="52" t="str">
        <f t="shared" si="52"/>
        <v/>
      </c>
      <c r="S461" s="51" t="str">
        <f t="shared" si="53"/>
        <v/>
      </c>
      <c r="T461" t="str">
        <f t="shared" si="54"/>
        <v/>
      </c>
      <c r="U461" s="52" t="str">
        <f t="shared" si="55"/>
        <v/>
      </c>
    </row>
    <row r="462" spans="2:21" x14ac:dyDescent="0.25">
      <c r="B462">
        <v>480</v>
      </c>
      <c r="C462" t="s">
        <v>161</v>
      </c>
      <c r="D462" t="s">
        <v>967</v>
      </c>
      <c r="E462" t="s">
        <v>1515</v>
      </c>
      <c r="F462" t="s">
        <v>1519</v>
      </c>
      <c r="G462">
        <v>4</v>
      </c>
      <c r="H462" s="48">
        <v>0</v>
      </c>
      <c r="I462" s="50">
        <v>0</v>
      </c>
      <c r="J462" s="50">
        <v>46233</v>
      </c>
      <c r="K462" s="54">
        <v>46238</v>
      </c>
      <c r="L462" s="54">
        <v>46237</v>
      </c>
      <c r="M462" s="54">
        <v>46240</v>
      </c>
      <c r="O462" s="51" t="str">
        <f t="shared" si="49"/>
        <v>SIM</v>
      </c>
      <c r="P462" s="51" t="str">
        <f t="shared" si="50"/>
        <v>BL1132-0001-EL-FDA-2011</v>
      </c>
      <c r="Q462" s="52">
        <f t="shared" si="51"/>
        <v>46240</v>
      </c>
      <c r="R462" s="52">
        <f t="shared" si="52"/>
        <v>46238</v>
      </c>
      <c r="S462" s="51" t="str">
        <f t="shared" si="53"/>
        <v/>
      </c>
      <c r="T462" t="str">
        <f t="shared" si="54"/>
        <v/>
      </c>
      <c r="U462" s="52" t="str">
        <f t="shared" si="55"/>
        <v/>
      </c>
    </row>
    <row r="463" spans="2:21" x14ac:dyDescent="0.25">
      <c r="B463">
        <v>481</v>
      </c>
      <c r="C463" t="s">
        <v>161</v>
      </c>
      <c r="D463" t="s">
        <v>967</v>
      </c>
      <c r="E463" t="s">
        <v>1517</v>
      </c>
      <c r="F463" t="s">
        <v>1519</v>
      </c>
      <c r="G463">
        <v>6</v>
      </c>
      <c r="H463" s="48">
        <v>0</v>
      </c>
      <c r="I463" s="50">
        <v>0</v>
      </c>
      <c r="J463" s="50">
        <v>46238</v>
      </c>
      <c r="K463" s="54">
        <v>46241</v>
      </c>
      <c r="L463" s="54">
        <v>46240</v>
      </c>
      <c r="M463" s="54">
        <v>46245</v>
      </c>
      <c r="O463" s="51" t="str">
        <f t="shared" si="49"/>
        <v/>
      </c>
      <c r="P463" s="51" t="str">
        <f t="shared" si="50"/>
        <v/>
      </c>
      <c r="Q463" s="52" t="str">
        <f t="shared" si="51"/>
        <v/>
      </c>
      <c r="R463" s="52" t="str">
        <f t="shared" si="52"/>
        <v/>
      </c>
      <c r="S463" s="51" t="str">
        <f t="shared" si="53"/>
        <v/>
      </c>
      <c r="T463" t="str">
        <f t="shared" si="54"/>
        <v/>
      </c>
      <c r="U463" s="52" t="str">
        <f t="shared" si="55"/>
        <v/>
      </c>
    </row>
    <row r="464" spans="2:21" x14ac:dyDescent="0.25">
      <c r="B464">
        <v>482</v>
      </c>
      <c r="C464" t="s">
        <v>161</v>
      </c>
      <c r="D464" t="s">
        <v>967</v>
      </c>
      <c r="E464" t="s">
        <v>1518</v>
      </c>
      <c r="F464" t="s">
        <v>1519</v>
      </c>
      <c r="G464">
        <v>4</v>
      </c>
      <c r="H464" s="48">
        <v>0</v>
      </c>
      <c r="I464" s="50">
        <v>0</v>
      </c>
      <c r="J464" s="50">
        <v>46241</v>
      </c>
      <c r="K464" s="54">
        <v>46246</v>
      </c>
      <c r="L464" s="54">
        <v>46245</v>
      </c>
      <c r="M464" s="54">
        <v>46248</v>
      </c>
      <c r="O464" s="51" t="str">
        <f t="shared" si="49"/>
        <v/>
      </c>
      <c r="P464" s="51" t="str">
        <f t="shared" si="50"/>
        <v/>
      </c>
      <c r="Q464" s="52" t="str">
        <f t="shared" si="51"/>
        <v/>
      </c>
      <c r="R464" s="52" t="str">
        <f t="shared" si="52"/>
        <v/>
      </c>
      <c r="S464" s="51" t="str">
        <f t="shared" si="53"/>
        <v>SIM</v>
      </c>
      <c r="T464" t="str">
        <f t="shared" si="54"/>
        <v>BL1132-0001-EL-FDA-2011</v>
      </c>
      <c r="U464" s="52">
        <f t="shared" si="55"/>
        <v>46248</v>
      </c>
    </row>
    <row r="465" spans="2:21" x14ac:dyDescent="0.25">
      <c r="B465">
        <v>483</v>
      </c>
      <c r="C465" t="s">
        <v>161</v>
      </c>
      <c r="D465" t="s">
        <v>967</v>
      </c>
      <c r="E465" t="s">
        <v>1520</v>
      </c>
      <c r="F465" t="s">
        <v>1519</v>
      </c>
      <c r="G465">
        <v>6</v>
      </c>
      <c r="H465" s="48">
        <v>0</v>
      </c>
      <c r="I465" s="50">
        <v>0</v>
      </c>
      <c r="J465" s="50">
        <v>46246</v>
      </c>
      <c r="K465" s="54">
        <v>46251</v>
      </c>
      <c r="L465" s="54">
        <v>46248</v>
      </c>
      <c r="M465" s="54">
        <v>46253</v>
      </c>
      <c r="O465" s="51" t="str">
        <f t="shared" si="49"/>
        <v/>
      </c>
      <c r="P465" s="51" t="str">
        <f t="shared" si="50"/>
        <v/>
      </c>
      <c r="Q465" s="52" t="str">
        <f t="shared" si="51"/>
        <v/>
      </c>
      <c r="R465" s="52" t="str">
        <f t="shared" si="52"/>
        <v/>
      </c>
      <c r="S465" s="51" t="str">
        <f t="shared" si="53"/>
        <v/>
      </c>
      <c r="T465" t="str">
        <f t="shared" si="54"/>
        <v/>
      </c>
      <c r="U465" s="52" t="str">
        <f t="shared" si="55"/>
        <v/>
      </c>
    </row>
    <row r="466" spans="2:21" x14ac:dyDescent="0.25">
      <c r="B466">
        <v>484</v>
      </c>
      <c r="C466" t="s">
        <v>162</v>
      </c>
      <c r="D466" t="s">
        <v>971</v>
      </c>
      <c r="E466" t="s">
        <v>1671</v>
      </c>
      <c r="F466" t="s">
        <v>1559</v>
      </c>
      <c r="G466">
        <v>17</v>
      </c>
      <c r="H466" s="48">
        <v>0</v>
      </c>
      <c r="I466" s="50">
        <v>0</v>
      </c>
      <c r="J466" s="50">
        <v>46233</v>
      </c>
      <c r="K466" s="54">
        <v>46251</v>
      </c>
      <c r="L466" s="54">
        <v>46237</v>
      </c>
      <c r="M466" s="54">
        <v>46253</v>
      </c>
      <c r="O466" s="51" t="str">
        <f t="shared" si="49"/>
        <v/>
      </c>
      <c r="P466" s="51" t="str">
        <f t="shared" si="50"/>
        <v/>
      </c>
      <c r="Q466" s="52" t="str">
        <f t="shared" si="51"/>
        <v/>
      </c>
      <c r="R466" s="52" t="str">
        <f t="shared" si="52"/>
        <v/>
      </c>
      <c r="S466" s="51" t="str">
        <f t="shared" si="53"/>
        <v/>
      </c>
      <c r="T466" t="str">
        <f t="shared" si="54"/>
        <v/>
      </c>
      <c r="U466" s="52" t="str">
        <f t="shared" si="55"/>
        <v/>
      </c>
    </row>
    <row r="467" spans="2:21" x14ac:dyDescent="0.25">
      <c r="B467">
        <v>485</v>
      </c>
      <c r="C467" t="s">
        <v>162</v>
      </c>
      <c r="D467" t="s">
        <v>971</v>
      </c>
      <c r="E467" t="s">
        <v>1515</v>
      </c>
      <c r="F467" t="s">
        <v>1519</v>
      </c>
      <c r="G467">
        <v>4</v>
      </c>
      <c r="H467" s="48">
        <v>0</v>
      </c>
      <c r="I467" s="50">
        <v>0</v>
      </c>
      <c r="J467" s="50">
        <v>46233</v>
      </c>
      <c r="K467" s="54">
        <v>46238</v>
      </c>
      <c r="L467" s="54">
        <v>46237</v>
      </c>
      <c r="M467" s="54">
        <v>46240</v>
      </c>
      <c r="O467" s="51" t="str">
        <f t="shared" si="49"/>
        <v>SIM</v>
      </c>
      <c r="P467" s="51" t="str">
        <f t="shared" si="50"/>
        <v>BL1132-0001-EL-FDA-2012</v>
      </c>
      <c r="Q467" s="52">
        <f t="shared" si="51"/>
        <v>46240</v>
      </c>
      <c r="R467" s="52">
        <f t="shared" si="52"/>
        <v>46238</v>
      </c>
      <c r="S467" s="51" t="str">
        <f t="shared" si="53"/>
        <v/>
      </c>
      <c r="T467" t="str">
        <f t="shared" si="54"/>
        <v/>
      </c>
      <c r="U467" s="52" t="str">
        <f t="shared" si="55"/>
        <v/>
      </c>
    </row>
    <row r="468" spans="2:21" x14ac:dyDescent="0.25">
      <c r="B468">
        <v>486</v>
      </c>
      <c r="C468" t="s">
        <v>162</v>
      </c>
      <c r="D468" t="s">
        <v>971</v>
      </c>
      <c r="E468" t="s">
        <v>1517</v>
      </c>
      <c r="F468" t="s">
        <v>1519</v>
      </c>
      <c r="G468">
        <v>6</v>
      </c>
      <c r="H468" s="48">
        <v>0</v>
      </c>
      <c r="I468" s="50">
        <v>0</v>
      </c>
      <c r="J468" s="50">
        <v>46238</v>
      </c>
      <c r="K468" s="54">
        <v>46241</v>
      </c>
      <c r="L468" s="54">
        <v>46240</v>
      </c>
      <c r="M468" s="54">
        <v>46245</v>
      </c>
      <c r="O468" s="51" t="str">
        <f t="shared" si="49"/>
        <v/>
      </c>
      <c r="P468" s="51" t="str">
        <f t="shared" si="50"/>
        <v/>
      </c>
      <c r="Q468" s="52" t="str">
        <f t="shared" si="51"/>
        <v/>
      </c>
      <c r="R468" s="52" t="str">
        <f t="shared" si="52"/>
        <v/>
      </c>
      <c r="S468" s="51" t="str">
        <f t="shared" si="53"/>
        <v/>
      </c>
      <c r="T468" t="str">
        <f t="shared" si="54"/>
        <v/>
      </c>
      <c r="U468" s="52" t="str">
        <f t="shared" si="55"/>
        <v/>
      </c>
    </row>
    <row r="469" spans="2:21" x14ac:dyDescent="0.25">
      <c r="B469">
        <v>487</v>
      </c>
      <c r="C469" t="s">
        <v>162</v>
      </c>
      <c r="D469" t="s">
        <v>971</v>
      </c>
      <c r="E469" t="s">
        <v>1518</v>
      </c>
      <c r="F469" t="s">
        <v>1519</v>
      </c>
      <c r="G469">
        <v>4</v>
      </c>
      <c r="H469" s="48">
        <v>0</v>
      </c>
      <c r="I469" s="50">
        <v>0</v>
      </c>
      <c r="J469" s="50">
        <v>46241</v>
      </c>
      <c r="K469" s="54">
        <v>46246</v>
      </c>
      <c r="L469" s="54">
        <v>46245</v>
      </c>
      <c r="M469" s="54">
        <v>46248</v>
      </c>
      <c r="O469" s="51" t="str">
        <f t="shared" si="49"/>
        <v/>
      </c>
      <c r="P469" s="51" t="str">
        <f t="shared" si="50"/>
        <v/>
      </c>
      <c r="Q469" s="52" t="str">
        <f t="shared" si="51"/>
        <v/>
      </c>
      <c r="R469" s="52" t="str">
        <f t="shared" si="52"/>
        <v/>
      </c>
      <c r="S469" s="51" t="str">
        <f t="shared" si="53"/>
        <v>SIM</v>
      </c>
      <c r="T469" t="str">
        <f t="shared" si="54"/>
        <v>BL1132-0001-EL-FDA-2012</v>
      </c>
      <c r="U469" s="52">
        <f t="shared" si="55"/>
        <v>46248</v>
      </c>
    </row>
    <row r="470" spans="2:21" x14ac:dyDescent="0.25">
      <c r="B470">
        <v>488</v>
      </c>
      <c r="C470" t="s">
        <v>162</v>
      </c>
      <c r="D470" t="s">
        <v>971</v>
      </c>
      <c r="E470" t="s">
        <v>1520</v>
      </c>
      <c r="F470" t="s">
        <v>1519</v>
      </c>
      <c r="G470">
        <v>6</v>
      </c>
      <c r="H470" s="48">
        <v>0</v>
      </c>
      <c r="I470" s="50">
        <v>0</v>
      </c>
      <c r="J470" s="50">
        <v>46246</v>
      </c>
      <c r="K470" s="54">
        <v>46251</v>
      </c>
      <c r="L470" s="54">
        <v>46248</v>
      </c>
      <c r="M470" s="54">
        <v>46253</v>
      </c>
      <c r="O470" s="51" t="str">
        <f t="shared" si="49"/>
        <v/>
      </c>
      <c r="P470" s="51" t="str">
        <f t="shared" si="50"/>
        <v/>
      </c>
      <c r="Q470" s="52" t="str">
        <f t="shared" si="51"/>
        <v/>
      </c>
      <c r="R470" s="52" t="str">
        <f t="shared" si="52"/>
        <v/>
      </c>
      <c r="S470" s="51" t="str">
        <f t="shared" si="53"/>
        <v/>
      </c>
      <c r="T470" t="str">
        <f t="shared" si="54"/>
        <v/>
      </c>
      <c r="U470" s="52" t="str">
        <f t="shared" si="55"/>
        <v/>
      </c>
    </row>
    <row r="471" spans="2:21" x14ac:dyDescent="0.25">
      <c r="B471">
        <v>489</v>
      </c>
      <c r="C471" t="s">
        <v>163</v>
      </c>
      <c r="D471" t="s">
        <v>975</v>
      </c>
      <c r="E471" t="s">
        <v>1672</v>
      </c>
      <c r="F471" t="s">
        <v>1559</v>
      </c>
      <c r="G471">
        <v>19</v>
      </c>
      <c r="H471" s="48">
        <v>0</v>
      </c>
      <c r="I471" s="50">
        <v>0</v>
      </c>
      <c r="J471" s="50">
        <v>46238</v>
      </c>
      <c r="K471" s="54">
        <v>46254</v>
      </c>
      <c r="L471" s="54">
        <v>46240</v>
      </c>
      <c r="M471" s="54">
        <v>46258</v>
      </c>
      <c r="O471" s="51" t="str">
        <f t="shared" si="49"/>
        <v/>
      </c>
      <c r="P471" s="51" t="str">
        <f t="shared" si="50"/>
        <v/>
      </c>
      <c r="Q471" s="52" t="str">
        <f t="shared" si="51"/>
        <v/>
      </c>
      <c r="R471" s="52" t="str">
        <f t="shared" si="52"/>
        <v/>
      </c>
      <c r="S471" s="51" t="str">
        <f t="shared" si="53"/>
        <v/>
      </c>
      <c r="T471" t="str">
        <f t="shared" si="54"/>
        <v/>
      </c>
      <c r="U471" s="52" t="str">
        <f t="shared" si="55"/>
        <v/>
      </c>
    </row>
    <row r="472" spans="2:21" x14ac:dyDescent="0.25">
      <c r="B472">
        <v>490</v>
      </c>
      <c r="C472" t="s">
        <v>163</v>
      </c>
      <c r="D472" t="s">
        <v>975</v>
      </c>
      <c r="E472" t="s">
        <v>1515</v>
      </c>
      <c r="F472" t="s">
        <v>1519</v>
      </c>
      <c r="G472">
        <v>6</v>
      </c>
      <c r="H472" s="48">
        <v>0</v>
      </c>
      <c r="I472" s="50">
        <v>0</v>
      </c>
      <c r="J472" s="50">
        <v>46238</v>
      </c>
      <c r="K472" s="54">
        <v>46241</v>
      </c>
      <c r="L472" s="54">
        <v>46240</v>
      </c>
      <c r="M472" s="54">
        <v>46245</v>
      </c>
      <c r="O472" s="51" t="str">
        <f t="shared" si="49"/>
        <v>SIM</v>
      </c>
      <c r="P472" s="51" t="str">
        <f t="shared" si="50"/>
        <v>BL1132-0001-EL-FDA-2013</v>
      </c>
      <c r="Q472" s="52">
        <f t="shared" si="51"/>
        <v>46245</v>
      </c>
      <c r="R472" s="52">
        <f t="shared" si="52"/>
        <v>46241</v>
      </c>
      <c r="S472" s="51" t="str">
        <f t="shared" si="53"/>
        <v/>
      </c>
      <c r="T472" t="str">
        <f t="shared" si="54"/>
        <v/>
      </c>
      <c r="U472" s="52" t="str">
        <f t="shared" si="55"/>
        <v/>
      </c>
    </row>
    <row r="473" spans="2:21" x14ac:dyDescent="0.25">
      <c r="B473">
        <v>491</v>
      </c>
      <c r="C473" t="s">
        <v>163</v>
      </c>
      <c r="D473" t="s">
        <v>975</v>
      </c>
      <c r="E473" t="s">
        <v>1517</v>
      </c>
      <c r="F473" t="s">
        <v>1519</v>
      </c>
      <c r="G473">
        <v>4</v>
      </c>
      <c r="H473" s="48">
        <v>0</v>
      </c>
      <c r="I473" s="50">
        <v>0</v>
      </c>
      <c r="J473" s="50">
        <v>46241</v>
      </c>
      <c r="K473" s="54">
        <v>46246</v>
      </c>
      <c r="L473" s="54">
        <v>46245</v>
      </c>
      <c r="M473" s="54">
        <v>46248</v>
      </c>
      <c r="O473" s="51" t="str">
        <f t="shared" si="49"/>
        <v/>
      </c>
      <c r="P473" s="51" t="str">
        <f t="shared" si="50"/>
        <v/>
      </c>
      <c r="Q473" s="52" t="str">
        <f t="shared" si="51"/>
        <v/>
      </c>
      <c r="R473" s="52" t="str">
        <f t="shared" si="52"/>
        <v/>
      </c>
      <c r="S473" s="51" t="str">
        <f t="shared" si="53"/>
        <v/>
      </c>
      <c r="T473" t="str">
        <f t="shared" si="54"/>
        <v/>
      </c>
      <c r="U473" s="52" t="str">
        <f t="shared" si="55"/>
        <v/>
      </c>
    </row>
    <row r="474" spans="2:21" x14ac:dyDescent="0.25">
      <c r="B474">
        <v>492</v>
      </c>
      <c r="C474" t="s">
        <v>163</v>
      </c>
      <c r="D474" t="s">
        <v>975</v>
      </c>
      <c r="E474" t="s">
        <v>1518</v>
      </c>
      <c r="F474" t="s">
        <v>1519</v>
      </c>
      <c r="G474">
        <v>6</v>
      </c>
      <c r="H474" s="48">
        <v>0</v>
      </c>
      <c r="I474" s="50">
        <v>0</v>
      </c>
      <c r="J474" s="50">
        <v>46246</v>
      </c>
      <c r="K474" s="54">
        <v>46251</v>
      </c>
      <c r="L474" s="54">
        <v>46248</v>
      </c>
      <c r="M474" s="54">
        <v>46253</v>
      </c>
      <c r="O474" s="51" t="str">
        <f t="shared" si="49"/>
        <v/>
      </c>
      <c r="P474" s="51" t="str">
        <f t="shared" si="50"/>
        <v/>
      </c>
      <c r="Q474" s="52" t="str">
        <f t="shared" si="51"/>
        <v/>
      </c>
      <c r="R474" s="52" t="str">
        <f t="shared" si="52"/>
        <v/>
      </c>
      <c r="S474" s="51" t="str">
        <f t="shared" si="53"/>
        <v>SIM</v>
      </c>
      <c r="T474" t="str">
        <f t="shared" si="54"/>
        <v>BL1132-0001-EL-FDA-2013</v>
      </c>
      <c r="U474" s="52">
        <f t="shared" si="55"/>
        <v>46253</v>
      </c>
    </row>
    <row r="475" spans="2:21" x14ac:dyDescent="0.25">
      <c r="B475">
        <v>493</v>
      </c>
      <c r="C475" t="s">
        <v>163</v>
      </c>
      <c r="D475" t="s">
        <v>975</v>
      </c>
      <c r="E475" t="s">
        <v>1520</v>
      </c>
      <c r="F475" t="s">
        <v>1519</v>
      </c>
      <c r="G475">
        <v>6</v>
      </c>
      <c r="H475" s="48">
        <v>0</v>
      </c>
      <c r="I475" s="50">
        <v>0</v>
      </c>
      <c r="J475" s="50">
        <v>46251</v>
      </c>
      <c r="K475" s="54">
        <v>46254</v>
      </c>
      <c r="L475" s="54">
        <v>46253</v>
      </c>
      <c r="M475" s="54">
        <v>46258</v>
      </c>
      <c r="O475" s="51" t="str">
        <f t="shared" si="49"/>
        <v/>
      </c>
      <c r="P475" s="51" t="str">
        <f t="shared" si="50"/>
        <v/>
      </c>
      <c r="Q475" s="52" t="str">
        <f t="shared" si="51"/>
        <v/>
      </c>
      <c r="R475" s="52" t="str">
        <f t="shared" si="52"/>
        <v/>
      </c>
      <c r="S475" s="51" t="str">
        <f t="shared" si="53"/>
        <v/>
      </c>
      <c r="T475" t="str">
        <f t="shared" si="54"/>
        <v/>
      </c>
      <c r="U475" s="52" t="str">
        <f t="shared" si="55"/>
        <v/>
      </c>
    </row>
    <row r="476" spans="2:21" x14ac:dyDescent="0.25">
      <c r="B476">
        <v>494</v>
      </c>
      <c r="C476" t="s">
        <v>164</v>
      </c>
      <c r="D476" t="s">
        <v>979</v>
      </c>
      <c r="E476" t="s">
        <v>1673</v>
      </c>
      <c r="F476" t="s">
        <v>1559</v>
      </c>
      <c r="G476">
        <v>19</v>
      </c>
      <c r="H476" s="48">
        <v>0</v>
      </c>
      <c r="I476" s="50">
        <v>0</v>
      </c>
      <c r="J476" s="50">
        <v>46238</v>
      </c>
      <c r="K476" s="54">
        <v>46254</v>
      </c>
      <c r="L476" s="54">
        <v>46240</v>
      </c>
      <c r="M476" s="54">
        <v>46258</v>
      </c>
      <c r="O476" s="51" t="str">
        <f t="shared" si="49"/>
        <v/>
      </c>
      <c r="P476" s="51" t="str">
        <f t="shared" si="50"/>
        <v/>
      </c>
      <c r="Q476" s="52" t="str">
        <f t="shared" si="51"/>
        <v/>
      </c>
      <c r="R476" s="52" t="str">
        <f t="shared" si="52"/>
        <v/>
      </c>
      <c r="S476" s="51" t="str">
        <f t="shared" si="53"/>
        <v/>
      </c>
      <c r="T476" t="str">
        <f t="shared" si="54"/>
        <v/>
      </c>
      <c r="U476" s="52" t="str">
        <f t="shared" si="55"/>
        <v/>
      </c>
    </row>
    <row r="477" spans="2:21" x14ac:dyDescent="0.25">
      <c r="B477">
        <v>495</v>
      </c>
      <c r="C477" t="s">
        <v>164</v>
      </c>
      <c r="D477" t="s">
        <v>979</v>
      </c>
      <c r="E477" t="s">
        <v>1515</v>
      </c>
      <c r="F477" t="s">
        <v>1519</v>
      </c>
      <c r="G477">
        <v>6</v>
      </c>
      <c r="H477" s="48">
        <v>0</v>
      </c>
      <c r="I477" s="50">
        <v>0</v>
      </c>
      <c r="J477" s="50">
        <v>46238</v>
      </c>
      <c r="K477" s="54">
        <v>46241</v>
      </c>
      <c r="L477" s="54">
        <v>46240</v>
      </c>
      <c r="M477" s="54">
        <v>46245</v>
      </c>
      <c r="O477" s="51" t="str">
        <f t="shared" si="49"/>
        <v>SIM</v>
      </c>
      <c r="P477" s="51" t="str">
        <f t="shared" si="50"/>
        <v>BL1132-0001-EL-FDA-2014</v>
      </c>
      <c r="Q477" s="52">
        <f t="shared" si="51"/>
        <v>46245</v>
      </c>
      <c r="R477" s="52">
        <f t="shared" si="52"/>
        <v>46241</v>
      </c>
      <c r="S477" s="51" t="str">
        <f t="shared" si="53"/>
        <v/>
      </c>
      <c r="T477" t="str">
        <f t="shared" si="54"/>
        <v/>
      </c>
      <c r="U477" s="52" t="str">
        <f t="shared" si="55"/>
        <v/>
      </c>
    </row>
    <row r="478" spans="2:21" x14ac:dyDescent="0.25">
      <c r="B478">
        <v>496</v>
      </c>
      <c r="C478" t="s">
        <v>164</v>
      </c>
      <c r="D478" t="s">
        <v>979</v>
      </c>
      <c r="E478" t="s">
        <v>1517</v>
      </c>
      <c r="F478" t="s">
        <v>1519</v>
      </c>
      <c r="G478">
        <v>4</v>
      </c>
      <c r="H478" s="48">
        <v>0</v>
      </c>
      <c r="I478" s="50">
        <v>0</v>
      </c>
      <c r="J478" s="50">
        <v>46241</v>
      </c>
      <c r="K478" s="54">
        <v>46246</v>
      </c>
      <c r="L478" s="54">
        <v>46245</v>
      </c>
      <c r="M478" s="54">
        <v>46248</v>
      </c>
      <c r="O478" s="51" t="str">
        <f t="shared" si="49"/>
        <v/>
      </c>
      <c r="P478" s="51" t="str">
        <f t="shared" si="50"/>
        <v/>
      </c>
      <c r="Q478" s="52" t="str">
        <f t="shared" si="51"/>
        <v/>
      </c>
      <c r="R478" s="52" t="str">
        <f t="shared" si="52"/>
        <v/>
      </c>
      <c r="S478" s="51" t="str">
        <f t="shared" si="53"/>
        <v/>
      </c>
      <c r="T478" t="str">
        <f t="shared" si="54"/>
        <v/>
      </c>
      <c r="U478" s="52" t="str">
        <f t="shared" si="55"/>
        <v/>
      </c>
    </row>
    <row r="479" spans="2:21" x14ac:dyDescent="0.25">
      <c r="B479">
        <v>497</v>
      </c>
      <c r="C479" t="s">
        <v>164</v>
      </c>
      <c r="D479" t="s">
        <v>979</v>
      </c>
      <c r="E479" t="s">
        <v>1518</v>
      </c>
      <c r="F479" t="s">
        <v>1519</v>
      </c>
      <c r="G479">
        <v>6</v>
      </c>
      <c r="H479" s="48">
        <v>0</v>
      </c>
      <c r="I479" s="50">
        <v>0</v>
      </c>
      <c r="J479" s="50">
        <v>46246</v>
      </c>
      <c r="K479" s="54">
        <v>46251</v>
      </c>
      <c r="L479" s="54">
        <v>46248</v>
      </c>
      <c r="M479" s="54">
        <v>46253</v>
      </c>
      <c r="O479" s="51" t="str">
        <f t="shared" si="49"/>
        <v/>
      </c>
      <c r="P479" s="51" t="str">
        <f t="shared" si="50"/>
        <v/>
      </c>
      <c r="Q479" s="52" t="str">
        <f t="shared" si="51"/>
        <v/>
      </c>
      <c r="R479" s="52" t="str">
        <f t="shared" si="52"/>
        <v/>
      </c>
      <c r="S479" s="51" t="str">
        <f t="shared" si="53"/>
        <v>SIM</v>
      </c>
      <c r="T479" t="str">
        <f t="shared" si="54"/>
        <v>BL1132-0001-EL-FDA-2014</v>
      </c>
      <c r="U479" s="52">
        <f t="shared" si="55"/>
        <v>46253</v>
      </c>
    </row>
    <row r="480" spans="2:21" x14ac:dyDescent="0.25">
      <c r="B480">
        <v>498</v>
      </c>
      <c r="C480" t="s">
        <v>164</v>
      </c>
      <c r="D480" t="s">
        <v>979</v>
      </c>
      <c r="E480" t="s">
        <v>1520</v>
      </c>
      <c r="F480" t="s">
        <v>1519</v>
      </c>
      <c r="G480">
        <v>6</v>
      </c>
      <c r="H480" s="48">
        <v>0</v>
      </c>
      <c r="I480" s="50">
        <v>0</v>
      </c>
      <c r="J480" s="50">
        <v>46251</v>
      </c>
      <c r="K480" s="54">
        <v>46254</v>
      </c>
      <c r="L480" s="54">
        <v>46253</v>
      </c>
      <c r="M480" s="54">
        <v>46258</v>
      </c>
      <c r="O480" s="51" t="str">
        <f t="shared" si="49"/>
        <v/>
      </c>
      <c r="P480" s="51" t="str">
        <f t="shared" si="50"/>
        <v/>
      </c>
      <c r="Q480" s="52" t="str">
        <f t="shared" si="51"/>
        <v/>
      </c>
      <c r="R480" s="52" t="str">
        <f t="shared" si="52"/>
        <v/>
      </c>
      <c r="S480" s="51" t="str">
        <f t="shared" si="53"/>
        <v/>
      </c>
      <c r="T480" t="str">
        <f t="shared" si="54"/>
        <v/>
      </c>
      <c r="U480" s="52" t="str">
        <f t="shared" si="55"/>
        <v/>
      </c>
    </row>
    <row r="481" spans="2:21" x14ac:dyDescent="0.25">
      <c r="B481">
        <v>499</v>
      </c>
      <c r="C481" t="s">
        <v>165</v>
      </c>
      <c r="D481" t="s">
        <v>983</v>
      </c>
      <c r="E481" t="s">
        <v>1674</v>
      </c>
      <c r="F481" t="s">
        <v>1559</v>
      </c>
      <c r="G481">
        <v>19</v>
      </c>
      <c r="H481" s="48">
        <v>0</v>
      </c>
      <c r="I481" s="50">
        <v>0</v>
      </c>
      <c r="J481" s="50">
        <v>46241</v>
      </c>
      <c r="K481" s="54">
        <v>46259</v>
      </c>
      <c r="L481" s="54">
        <v>46240</v>
      </c>
      <c r="M481" s="54">
        <v>46258</v>
      </c>
      <c r="O481" s="51" t="str">
        <f t="shared" si="49"/>
        <v/>
      </c>
      <c r="P481" s="51" t="str">
        <f t="shared" si="50"/>
        <v/>
      </c>
      <c r="Q481" s="52" t="str">
        <f t="shared" si="51"/>
        <v/>
      </c>
      <c r="R481" s="52" t="str">
        <f t="shared" si="52"/>
        <v/>
      </c>
      <c r="S481" s="51" t="str">
        <f t="shared" si="53"/>
        <v/>
      </c>
      <c r="T481" t="str">
        <f t="shared" si="54"/>
        <v/>
      </c>
      <c r="U481" s="52" t="str">
        <f t="shared" si="55"/>
        <v/>
      </c>
    </row>
    <row r="482" spans="2:21" x14ac:dyDescent="0.25">
      <c r="B482">
        <v>500</v>
      </c>
      <c r="C482" t="s">
        <v>165</v>
      </c>
      <c r="D482" t="s">
        <v>983</v>
      </c>
      <c r="E482" t="s">
        <v>1515</v>
      </c>
      <c r="F482" t="s">
        <v>1519</v>
      </c>
      <c r="G482">
        <v>6</v>
      </c>
      <c r="H482" s="48">
        <v>0</v>
      </c>
      <c r="I482" s="50">
        <v>0</v>
      </c>
      <c r="J482" s="50">
        <v>46241</v>
      </c>
      <c r="K482" s="54">
        <v>46246</v>
      </c>
      <c r="L482" s="54">
        <v>46240</v>
      </c>
      <c r="M482" s="54">
        <v>46245</v>
      </c>
      <c r="O482" s="51" t="str">
        <f t="shared" si="49"/>
        <v>SIM</v>
      </c>
      <c r="P482" s="51" t="str">
        <f t="shared" si="50"/>
        <v>BL1132-0001-EL-FDA-2015</v>
      </c>
      <c r="Q482" s="52">
        <f t="shared" si="51"/>
        <v>46245</v>
      </c>
      <c r="R482" s="52">
        <f t="shared" si="52"/>
        <v>46246</v>
      </c>
      <c r="S482" s="51" t="str">
        <f t="shared" si="53"/>
        <v/>
      </c>
      <c r="T482" t="str">
        <f t="shared" si="54"/>
        <v/>
      </c>
      <c r="U482" s="52" t="str">
        <f t="shared" si="55"/>
        <v/>
      </c>
    </row>
    <row r="483" spans="2:21" x14ac:dyDescent="0.25">
      <c r="B483">
        <v>501</v>
      </c>
      <c r="C483" t="s">
        <v>165</v>
      </c>
      <c r="D483" t="s">
        <v>983</v>
      </c>
      <c r="E483" t="s">
        <v>1517</v>
      </c>
      <c r="F483" t="s">
        <v>1519</v>
      </c>
      <c r="G483">
        <v>4</v>
      </c>
      <c r="H483" s="48">
        <v>0</v>
      </c>
      <c r="I483" s="50">
        <v>0</v>
      </c>
      <c r="J483" s="50">
        <v>46246</v>
      </c>
      <c r="K483" s="54">
        <v>46251</v>
      </c>
      <c r="L483" s="54">
        <v>46245</v>
      </c>
      <c r="M483" s="54">
        <v>46248</v>
      </c>
      <c r="O483" s="51" t="str">
        <f t="shared" si="49"/>
        <v/>
      </c>
      <c r="P483" s="51" t="str">
        <f t="shared" si="50"/>
        <v/>
      </c>
      <c r="Q483" s="52" t="str">
        <f t="shared" si="51"/>
        <v/>
      </c>
      <c r="R483" s="52" t="str">
        <f t="shared" si="52"/>
        <v/>
      </c>
      <c r="S483" s="51" t="str">
        <f t="shared" si="53"/>
        <v/>
      </c>
      <c r="T483" t="str">
        <f t="shared" si="54"/>
        <v/>
      </c>
      <c r="U483" s="52" t="str">
        <f t="shared" si="55"/>
        <v/>
      </c>
    </row>
    <row r="484" spans="2:21" x14ac:dyDescent="0.25">
      <c r="B484">
        <v>502</v>
      </c>
      <c r="C484" t="s">
        <v>165</v>
      </c>
      <c r="D484" t="s">
        <v>983</v>
      </c>
      <c r="E484" t="s">
        <v>1518</v>
      </c>
      <c r="F484" t="s">
        <v>1519</v>
      </c>
      <c r="G484">
        <v>6</v>
      </c>
      <c r="H484" s="48">
        <v>0</v>
      </c>
      <c r="I484" s="50">
        <v>0</v>
      </c>
      <c r="J484" s="50">
        <v>46251</v>
      </c>
      <c r="K484" s="54">
        <v>46254</v>
      </c>
      <c r="L484" s="54">
        <v>46248</v>
      </c>
      <c r="M484" s="54">
        <v>46253</v>
      </c>
      <c r="O484" s="51" t="str">
        <f t="shared" si="49"/>
        <v/>
      </c>
      <c r="P484" s="51" t="str">
        <f t="shared" si="50"/>
        <v/>
      </c>
      <c r="Q484" s="52" t="str">
        <f t="shared" si="51"/>
        <v/>
      </c>
      <c r="R484" s="52" t="str">
        <f t="shared" si="52"/>
        <v/>
      </c>
      <c r="S484" s="51" t="str">
        <f t="shared" si="53"/>
        <v>SIM</v>
      </c>
      <c r="T484" t="str">
        <f t="shared" si="54"/>
        <v>BL1132-0001-EL-FDA-2015</v>
      </c>
      <c r="U484" s="52">
        <f t="shared" si="55"/>
        <v>46253</v>
      </c>
    </row>
    <row r="485" spans="2:21" x14ac:dyDescent="0.25">
      <c r="B485">
        <v>503</v>
      </c>
      <c r="C485" t="s">
        <v>165</v>
      </c>
      <c r="D485" t="s">
        <v>983</v>
      </c>
      <c r="E485" t="s">
        <v>1520</v>
      </c>
      <c r="F485" t="s">
        <v>1519</v>
      </c>
      <c r="G485">
        <v>6</v>
      </c>
      <c r="H485" s="48">
        <v>0</v>
      </c>
      <c r="I485" s="50">
        <v>0</v>
      </c>
      <c r="J485" s="50">
        <v>46254</v>
      </c>
      <c r="K485" s="54">
        <v>46259</v>
      </c>
      <c r="L485" s="54">
        <v>46253</v>
      </c>
      <c r="M485" s="54">
        <v>46258</v>
      </c>
      <c r="O485" s="51" t="str">
        <f t="shared" si="49"/>
        <v/>
      </c>
      <c r="P485" s="51" t="str">
        <f t="shared" si="50"/>
        <v/>
      </c>
      <c r="Q485" s="52" t="str">
        <f t="shared" si="51"/>
        <v/>
      </c>
      <c r="R485" s="52" t="str">
        <f t="shared" si="52"/>
        <v/>
      </c>
      <c r="S485" s="51" t="str">
        <f t="shared" si="53"/>
        <v/>
      </c>
      <c r="T485" t="str">
        <f t="shared" si="54"/>
        <v/>
      </c>
      <c r="U485" s="52" t="str">
        <f t="shared" si="55"/>
        <v/>
      </c>
    </row>
    <row r="486" spans="2:21" x14ac:dyDescent="0.25">
      <c r="B486">
        <v>504</v>
      </c>
      <c r="C486" t="s">
        <v>166</v>
      </c>
      <c r="D486" t="s">
        <v>987</v>
      </c>
      <c r="E486" t="s">
        <v>1675</v>
      </c>
      <c r="F486" t="s">
        <v>1559</v>
      </c>
      <c r="G486">
        <v>19</v>
      </c>
      <c r="H486" s="48">
        <v>0</v>
      </c>
      <c r="I486" s="50">
        <v>0</v>
      </c>
      <c r="J486" s="50">
        <v>46241</v>
      </c>
      <c r="K486" s="54">
        <v>46259</v>
      </c>
      <c r="L486" s="54">
        <v>46240</v>
      </c>
      <c r="M486" s="54">
        <v>46258</v>
      </c>
      <c r="O486" s="51" t="str">
        <f t="shared" si="49"/>
        <v/>
      </c>
      <c r="P486" s="51" t="str">
        <f t="shared" si="50"/>
        <v/>
      </c>
      <c r="Q486" s="52" t="str">
        <f t="shared" si="51"/>
        <v/>
      </c>
      <c r="R486" s="52" t="str">
        <f t="shared" si="52"/>
        <v/>
      </c>
      <c r="S486" s="51" t="str">
        <f t="shared" si="53"/>
        <v/>
      </c>
      <c r="T486" t="str">
        <f t="shared" si="54"/>
        <v/>
      </c>
      <c r="U486" s="52" t="str">
        <f t="shared" si="55"/>
        <v/>
      </c>
    </row>
    <row r="487" spans="2:21" x14ac:dyDescent="0.25">
      <c r="B487">
        <v>505</v>
      </c>
      <c r="C487" t="s">
        <v>166</v>
      </c>
      <c r="D487" t="s">
        <v>987</v>
      </c>
      <c r="E487" t="s">
        <v>1515</v>
      </c>
      <c r="F487" t="s">
        <v>1519</v>
      </c>
      <c r="G487">
        <v>6</v>
      </c>
      <c r="H487" s="48">
        <v>0</v>
      </c>
      <c r="I487" s="50">
        <v>0</v>
      </c>
      <c r="J487" s="50">
        <v>46241</v>
      </c>
      <c r="K487" s="54">
        <v>46246</v>
      </c>
      <c r="L487" s="54">
        <v>46240</v>
      </c>
      <c r="M487" s="54">
        <v>46245</v>
      </c>
      <c r="O487" s="51" t="str">
        <f t="shared" si="49"/>
        <v>SIM</v>
      </c>
      <c r="P487" s="51" t="str">
        <f t="shared" si="50"/>
        <v>BL1132-0001-EL-FDA-2016</v>
      </c>
      <c r="Q487" s="52">
        <f t="shared" si="51"/>
        <v>46245</v>
      </c>
      <c r="R487" s="52">
        <f t="shared" si="52"/>
        <v>46246</v>
      </c>
      <c r="S487" s="51" t="str">
        <f t="shared" si="53"/>
        <v/>
      </c>
      <c r="T487" t="str">
        <f t="shared" si="54"/>
        <v/>
      </c>
      <c r="U487" s="52" t="str">
        <f t="shared" si="55"/>
        <v/>
      </c>
    </row>
    <row r="488" spans="2:21" x14ac:dyDescent="0.25">
      <c r="B488">
        <v>506</v>
      </c>
      <c r="C488" t="s">
        <v>166</v>
      </c>
      <c r="D488" t="s">
        <v>987</v>
      </c>
      <c r="E488" t="s">
        <v>1517</v>
      </c>
      <c r="F488" t="s">
        <v>1519</v>
      </c>
      <c r="G488">
        <v>4</v>
      </c>
      <c r="H488" s="48">
        <v>0</v>
      </c>
      <c r="I488" s="50">
        <v>0</v>
      </c>
      <c r="J488" s="50">
        <v>46246</v>
      </c>
      <c r="K488" s="54">
        <v>46251</v>
      </c>
      <c r="L488" s="54">
        <v>46245</v>
      </c>
      <c r="M488" s="54">
        <v>46248</v>
      </c>
      <c r="O488" s="51" t="str">
        <f t="shared" si="49"/>
        <v/>
      </c>
      <c r="P488" s="51" t="str">
        <f t="shared" si="50"/>
        <v/>
      </c>
      <c r="Q488" s="52" t="str">
        <f t="shared" si="51"/>
        <v/>
      </c>
      <c r="R488" s="52" t="str">
        <f t="shared" si="52"/>
        <v/>
      </c>
      <c r="S488" s="51" t="str">
        <f t="shared" si="53"/>
        <v/>
      </c>
      <c r="T488" t="str">
        <f t="shared" si="54"/>
        <v/>
      </c>
      <c r="U488" s="52" t="str">
        <f t="shared" si="55"/>
        <v/>
      </c>
    </row>
    <row r="489" spans="2:21" x14ac:dyDescent="0.25">
      <c r="B489">
        <v>507</v>
      </c>
      <c r="C489" t="s">
        <v>166</v>
      </c>
      <c r="D489" t="s">
        <v>987</v>
      </c>
      <c r="E489" t="s">
        <v>1518</v>
      </c>
      <c r="F489" t="s">
        <v>1519</v>
      </c>
      <c r="G489">
        <v>6</v>
      </c>
      <c r="H489" s="48">
        <v>0</v>
      </c>
      <c r="I489" s="50">
        <v>0</v>
      </c>
      <c r="J489" s="50">
        <v>46251</v>
      </c>
      <c r="K489" s="54">
        <v>46254</v>
      </c>
      <c r="L489" s="54">
        <v>46248</v>
      </c>
      <c r="M489" s="54">
        <v>46253</v>
      </c>
      <c r="O489" s="51" t="str">
        <f t="shared" si="49"/>
        <v/>
      </c>
      <c r="P489" s="51" t="str">
        <f t="shared" si="50"/>
        <v/>
      </c>
      <c r="Q489" s="52" t="str">
        <f t="shared" si="51"/>
        <v/>
      </c>
      <c r="R489" s="52" t="str">
        <f t="shared" si="52"/>
        <v/>
      </c>
      <c r="S489" s="51" t="str">
        <f t="shared" si="53"/>
        <v>SIM</v>
      </c>
      <c r="T489" t="str">
        <f t="shared" si="54"/>
        <v>BL1132-0001-EL-FDA-2016</v>
      </c>
      <c r="U489" s="52">
        <f t="shared" si="55"/>
        <v>46253</v>
      </c>
    </row>
    <row r="490" spans="2:21" x14ac:dyDescent="0.25">
      <c r="B490">
        <v>508</v>
      </c>
      <c r="C490" t="s">
        <v>166</v>
      </c>
      <c r="D490" t="s">
        <v>987</v>
      </c>
      <c r="E490" t="s">
        <v>1520</v>
      </c>
      <c r="F490" t="s">
        <v>1519</v>
      </c>
      <c r="G490">
        <v>6</v>
      </c>
      <c r="H490" s="48">
        <v>0</v>
      </c>
      <c r="I490" s="50">
        <v>0</v>
      </c>
      <c r="J490" s="50">
        <v>46254</v>
      </c>
      <c r="K490" s="54">
        <v>46259</v>
      </c>
      <c r="L490" s="54">
        <v>46253</v>
      </c>
      <c r="M490" s="54">
        <v>46258</v>
      </c>
      <c r="O490" s="51" t="str">
        <f t="shared" si="49"/>
        <v/>
      </c>
      <c r="P490" s="51" t="str">
        <f t="shared" si="50"/>
        <v/>
      </c>
      <c r="Q490" s="52" t="str">
        <f t="shared" si="51"/>
        <v/>
      </c>
      <c r="R490" s="52" t="str">
        <f t="shared" si="52"/>
        <v/>
      </c>
      <c r="S490" s="51" t="str">
        <f t="shared" si="53"/>
        <v/>
      </c>
      <c r="T490" t="str">
        <f t="shared" si="54"/>
        <v/>
      </c>
      <c r="U490" s="52" t="str">
        <f t="shared" si="55"/>
        <v/>
      </c>
    </row>
    <row r="491" spans="2:21" x14ac:dyDescent="0.25">
      <c r="B491">
        <v>509</v>
      </c>
      <c r="C491" t="s">
        <v>991</v>
      </c>
      <c r="D491" t="s">
        <v>992</v>
      </c>
      <c r="E491" t="s">
        <v>1676</v>
      </c>
      <c r="F491" t="s">
        <v>1559</v>
      </c>
      <c r="G491">
        <v>19</v>
      </c>
      <c r="H491" s="48">
        <v>0</v>
      </c>
      <c r="I491" s="50">
        <v>0</v>
      </c>
      <c r="J491" s="50" t="s">
        <v>1506</v>
      </c>
      <c r="K491" s="54" t="s">
        <v>1506</v>
      </c>
      <c r="L491" s="54">
        <v>46240</v>
      </c>
      <c r="M491" s="54">
        <v>46258</v>
      </c>
      <c r="O491" s="51" t="str">
        <f t="shared" si="49"/>
        <v/>
      </c>
      <c r="P491" s="51" t="str">
        <f t="shared" si="50"/>
        <v/>
      </c>
      <c r="Q491" s="52" t="str">
        <f t="shared" si="51"/>
        <v/>
      </c>
      <c r="R491" s="52" t="str">
        <f t="shared" si="52"/>
        <v/>
      </c>
      <c r="S491" s="51" t="str">
        <f t="shared" si="53"/>
        <v/>
      </c>
      <c r="T491" t="str">
        <f t="shared" si="54"/>
        <v/>
      </c>
      <c r="U491" s="52" t="str">
        <f t="shared" si="55"/>
        <v/>
      </c>
    </row>
    <row r="492" spans="2:21" x14ac:dyDescent="0.25">
      <c r="B492">
        <v>510</v>
      </c>
      <c r="C492" t="s">
        <v>991</v>
      </c>
      <c r="D492" t="s">
        <v>992</v>
      </c>
      <c r="E492" t="s">
        <v>1515</v>
      </c>
      <c r="F492" t="s">
        <v>1519</v>
      </c>
      <c r="G492">
        <v>6</v>
      </c>
      <c r="H492" s="48">
        <v>0</v>
      </c>
      <c r="I492" s="50">
        <v>0</v>
      </c>
      <c r="J492" s="50" t="s">
        <v>1506</v>
      </c>
      <c r="K492" s="54" t="s">
        <v>1506</v>
      </c>
      <c r="L492" s="54">
        <v>46240</v>
      </c>
      <c r="M492" s="54">
        <v>46245</v>
      </c>
      <c r="O492" s="51" t="str">
        <f t="shared" si="49"/>
        <v>SIM</v>
      </c>
      <c r="P492" s="51" t="str">
        <f t="shared" si="50"/>
        <v>BL1132-0001-EL-FDA-2017</v>
      </c>
      <c r="Q492" s="52">
        <f t="shared" si="51"/>
        <v>46245</v>
      </c>
      <c r="R492" s="52" t="str">
        <f t="shared" si="52"/>
        <v>ND</v>
      </c>
      <c r="S492" s="51" t="str">
        <f t="shared" si="53"/>
        <v/>
      </c>
      <c r="T492" t="str">
        <f t="shared" si="54"/>
        <v/>
      </c>
      <c r="U492" s="52" t="str">
        <f t="shared" si="55"/>
        <v/>
      </c>
    </row>
    <row r="493" spans="2:21" x14ac:dyDescent="0.25">
      <c r="B493">
        <v>511</v>
      </c>
      <c r="C493" t="s">
        <v>991</v>
      </c>
      <c r="D493" t="s">
        <v>992</v>
      </c>
      <c r="E493" t="s">
        <v>1517</v>
      </c>
      <c r="F493" t="s">
        <v>1519</v>
      </c>
      <c r="G493">
        <v>4</v>
      </c>
      <c r="H493" s="48">
        <v>0</v>
      </c>
      <c r="I493" s="50">
        <v>0</v>
      </c>
      <c r="J493" s="50" t="s">
        <v>1506</v>
      </c>
      <c r="K493" s="54" t="s">
        <v>1506</v>
      </c>
      <c r="L493" s="54">
        <v>46245</v>
      </c>
      <c r="M493" s="54">
        <v>46248</v>
      </c>
      <c r="O493" s="51" t="str">
        <f t="shared" si="49"/>
        <v/>
      </c>
      <c r="P493" s="51" t="str">
        <f t="shared" si="50"/>
        <v/>
      </c>
      <c r="Q493" s="52" t="str">
        <f t="shared" si="51"/>
        <v/>
      </c>
      <c r="R493" s="52" t="str">
        <f t="shared" si="52"/>
        <v/>
      </c>
      <c r="S493" s="51" t="str">
        <f t="shared" si="53"/>
        <v/>
      </c>
      <c r="T493" t="str">
        <f t="shared" si="54"/>
        <v/>
      </c>
      <c r="U493" s="52" t="str">
        <f t="shared" si="55"/>
        <v/>
      </c>
    </row>
    <row r="494" spans="2:21" x14ac:dyDescent="0.25">
      <c r="B494">
        <v>512</v>
      </c>
      <c r="C494" t="s">
        <v>991</v>
      </c>
      <c r="D494" t="s">
        <v>992</v>
      </c>
      <c r="E494" t="s">
        <v>1518</v>
      </c>
      <c r="F494" t="s">
        <v>1519</v>
      </c>
      <c r="G494">
        <v>6</v>
      </c>
      <c r="H494" s="48">
        <v>0</v>
      </c>
      <c r="I494" s="50">
        <v>0</v>
      </c>
      <c r="J494" s="50" t="s">
        <v>1506</v>
      </c>
      <c r="K494" s="54" t="s">
        <v>1506</v>
      </c>
      <c r="L494" s="54">
        <v>46248</v>
      </c>
      <c r="M494" s="54">
        <v>46253</v>
      </c>
      <c r="O494" s="51" t="str">
        <f t="shared" si="49"/>
        <v/>
      </c>
      <c r="P494" s="51" t="str">
        <f t="shared" si="50"/>
        <v/>
      </c>
      <c r="Q494" s="52" t="str">
        <f t="shared" si="51"/>
        <v/>
      </c>
      <c r="R494" s="52" t="str">
        <f t="shared" si="52"/>
        <v/>
      </c>
      <c r="S494" s="51" t="str">
        <f t="shared" si="53"/>
        <v>SIM</v>
      </c>
      <c r="T494" t="str">
        <f t="shared" si="54"/>
        <v>BL1132-0001-EL-FDA-2017</v>
      </c>
      <c r="U494" s="52">
        <f t="shared" si="55"/>
        <v>46253</v>
      </c>
    </row>
    <row r="495" spans="2:21" x14ac:dyDescent="0.25">
      <c r="B495">
        <v>513</v>
      </c>
      <c r="C495" t="s">
        <v>991</v>
      </c>
      <c r="D495" t="s">
        <v>992</v>
      </c>
      <c r="E495" t="s">
        <v>1520</v>
      </c>
      <c r="F495" t="s">
        <v>1519</v>
      </c>
      <c r="G495">
        <v>6</v>
      </c>
      <c r="H495" s="48">
        <v>0</v>
      </c>
      <c r="I495" s="50">
        <v>0</v>
      </c>
      <c r="J495" s="50" t="s">
        <v>1506</v>
      </c>
      <c r="K495" s="54" t="s">
        <v>1506</v>
      </c>
      <c r="L495" s="54">
        <v>46253</v>
      </c>
      <c r="M495" s="54">
        <v>46258</v>
      </c>
      <c r="O495" s="51" t="str">
        <f t="shared" si="49"/>
        <v/>
      </c>
      <c r="P495" s="51" t="str">
        <f t="shared" si="50"/>
        <v/>
      </c>
      <c r="Q495" s="52" t="str">
        <f t="shared" si="51"/>
        <v/>
      </c>
      <c r="R495" s="52" t="str">
        <f t="shared" si="52"/>
        <v/>
      </c>
      <c r="S495" s="51" t="str">
        <f t="shared" si="53"/>
        <v/>
      </c>
      <c r="T495" t="str">
        <f t="shared" si="54"/>
        <v/>
      </c>
      <c r="U495" s="52" t="str">
        <f t="shared" si="55"/>
        <v/>
      </c>
    </row>
    <row r="496" spans="2:21" x14ac:dyDescent="0.25">
      <c r="B496">
        <v>514</v>
      </c>
      <c r="C496" t="s">
        <v>171</v>
      </c>
      <c r="D496" t="s">
        <v>1008</v>
      </c>
      <c r="E496" t="s">
        <v>1677</v>
      </c>
      <c r="F496" t="s">
        <v>1559</v>
      </c>
      <c r="G496">
        <v>17</v>
      </c>
      <c r="H496" s="48">
        <v>0</v>
      </c>
      <c r="I496" s="50">
        <v>0</v>
      </c>
      <c r="J496" s="50">
        <v>46246</v>
      </c>
      <c r="K496" s="54">
        <v>46262</v>
      </c>
      <c r="L496" s="54">
        <v>46245</v>
      </c>
      <c r="M496" s="54">
        <v>46261</v>
      </c>
      <c r="O496" s="51" t="str">
        <f t="shared" si="49"/>
        <v/>
      </c>
      <c r="P496" s="51" t="str">
        <f t="shared" si="50"/>
        <v/>
      </c>
      <c r="Q496" s="52" t="str">
        <f t="shared" si="51"/>
        <v/>
      </c>
      <c r="R496" s="52" t="str">
        <f t="shared" si="52"/>
        <v/>
      </c>
      <c r="S496" s="51" t="str">
        <f t="shared" si="53"/>
        <v/>
      </c>
      <c r="T496" t="str">
        <f t="shared" si="54"/>
        <v/>
      </c>
      <c r="U496" s="52" t="str">
        <f t="shared" si="55"/>
        <v/>
      </c>
    </row>
    <row r="497" spans="2:21" x14ac:dyDescent="0.25">
      <c r="B497">
        <v>515</v>
      </c>
      <c r="C497" t="s">
        <v>171</v>
      </c>
      <c r="D497" t="s">
        <v>1008</v>
      </c>
      <c r="E497" t="s">
        <v>1515</v>
      </c>
      <c r="F497" t="s">
        <v>1519</v>
      </c>
      <c r="G497">
        <v>4</v>
      </c>
      <c r="H497" s="48">
        <v>0</v>
      </c>
      <c r="I497" s="50">
        <v>0</v>
      </c>
      <c r="J497" s="50">
        <v>46246</v>
      </c>
      <c r="K497" s="54">
        <v>46251</v>
      </c>
      <c r="L497" s="54">
        <v>46245</v>
      </c>
      <c r="M497" s="54">
        <v>46248</v>
      </c>
      <c r="O497" s="51" t="str">
        <f t="shared" si="49"/>
        <v>SIM</v>
      </c>
      <c r="P497" s="51" t="str">
        <f t="shared" si="50"/>
        <v>BL1132-0001-EL-MCA-2000</v>
      </c>
      <c r="Q497" s="52">
        <f t="shared" si="51"/>
        <v>46248</v>
      </c>
      <c r="R497" s="52">
        <f t="shared" si="52"/>
        <v>46251</v>
      </c>
      <c r="S497" s="51" t="str">
        <f t="shared" si="53"/>
        <v/>
      </c>
      <c r="T497" t="str">
        <f t="shared" si="54"/>
        <v/>
      </c>
      <c r="U497" s="52" t="str">
        <f t="shared" si="55"/>
        <v/>
      </c>
    </row>
    <row r="498" spans="2:21" x14ac:dyDescent="0.25">
      <c r="B498">
        <v>516</v>
      </c>
      <c r="C498" t="s">
        <v>171</v>
      </c>
      <c r="D498" t="s">
        <v>1008</v>
      </c>
      <c r="E498" t="s">
        <v>1517</v>
      </c>
      <c r="F498" t="s">
        <v>1519</v>
      </c>
      <c r="G498">
        <v>6</v>
      </c>
      <c r="H498" s="48">
        <v>0</v>
      </c>
      <c r="I498" s="50">
        <v>0</v>
      </c>
      <c r="J498" s="50">
        <v>46251</v>
      </c>
      <c r="K498" s="54">
        <v>46254</v>
      </c>
      <c r="L498" s="54">
        <v>46248</v>
      </c>
      <c r="M498" s="54">
        <v>46253</v>
      </c>
      <c r="O498" s="51" t="str">
        <f t="shared" si="49"/>
        <v/>
      </c>
      <c r="P498" s="51" t="str">
        <f t="shared" si="50"/>
        <v/>
      </c>
      <c r="Q498" s="52" t="str">
        <f t="shared" si="51"/>
        <v/>
      </c>
      <c r="R498" s="52" t="str">
        <f t="shared" si="52"/>
        <v/>
      </c>
      <c r="S498" s="51" t="str">
        <f t="shared" si="53"/>
        <v/>
      </c>
      <c r="T498" t="str">
        <f t="shared" si="54"/>
        <v/>
      </c>
      <c r="U498" s="52" t="str">
        <f t="shared" si="55"/>
        <v/>
      </c>
    </row>
    <row r="499" spans="2:21" x14ac:dyDescent="0.25">
      <c r="B499">
        <v>517</v>
      </c>
      <c r="C499" t="s">
        <v>171</v>
      </c>
      <c r="D499" t="s">
        <v>1008</v>
      </c>
      <c r="E499" t="s">
        <v>1518</v>
      </c>
      <c r="F499" t="s">
        <v>1519</v>
      </c>
      <c r="G499">
        <v>6</v>
      </c>
      <c r="H499" s="48">
        <v>0</v>
      </c>
      <c r="I499" s="50">
        <v>0</v>
      </c>
      <c r="J499" s="50">
        <v>46254</v>
      </c>
      <c r="K499" s="54">
        <v>46259</v>
      </c>
      <c r="L499" s="54">
        <v>46253</v>
      </c>
      <c r="M499" s="54">
        <v>46258</v>
      </c>
      <c r="O499" s="51" t="str">
        <f t="shared" si="49"/>
        <v/>
      </c>
      <c r="P499" s="51" t="str">
        <f t="shared" si="50"/>
        <v/>
      </c>
      <c r="Q499" s="52" t="str">
        <f t="shared" si="51"/>
        <v/>
      </c>
      <c r="R499" s="52" t="str">
        <f t="shared" si="52"/>
        <v/>
      </c>
      <c r="S499" s="51" t="str">
        <f t="shared" si="53"/>
        <v>SIM</v>
      </c>
      <c r="T499" t="str">
        <f t="shared" si="54"/>
        <v>BL1132-0001-EL-MCA-2000</v>
      </c>
      <c r="U499" s="52">
        <f t="shared" si="55"/>
        <v>46258</v>
      </c>
    </row>
    <row r="500" spans="2:21" x14ac:dyDescent="0.25">
      <c r="B500">
        <v>518</v>
      </c>
      <c r="C500" t="s">
        <v>171</v>
      </c>
      <c r="D500" t="s">
        <v>1008</v>
      </c>
      <c r="E500" t="s">
        <v>1520</v>
      </c>
      <c r="F500" t="s">
        <v>1519</v>
      </c>
      <c r="G500">
        <v>4</v>
      </c>
      <c r="H500" s="48">
        <v>0</v>
      </c>
      <c r="I500" s="50">
        <v>0</v>
      </c>
      <c r="J500" s="50">
        <v>46259</v>
      </c>
      <c r="K500" s="54">
        <v>46262</v>
      </c>
      <c r="L500" s="54">
        <v>46258</v>
      </c>
      <c r="M500" s="54">
        <v>46261</v>
      </c>
      <c r="O500" s="51" t="str">
        <f t="shared" si="49"/>
        <v/>
      </c>
      <c r="P500" s="51" t="str">
        <f t="shared" si="50"/>
        <v/>
      </c>
      <c r="Q500" s="52" t="str">
        <f t="shared" si="51"/>
        <v/>
      </c>
      <c r="R500" s="52" t="str">
        <f t="shared" si="52"/>
        <v/>
      </c>
      <c r="S500" s="51" t="str">
        <f t="shared" si="53"/>
        <v/>
      </c>
      <c r="T500" t="str">
        <f t="shared" si="54"/>
        <v/>
      </c>
      <c r="U500" s="52" t="str">
        <f t="shared" si="55"/>
        <v/>
      </c>
    </row>
    <row r="501" spans="2:21" x14ac:dyDescent="0.25">
      <c r="B501">
        <v>519</v>
      </c>
      <c r="C501" t="s">
        <v>169</v>
      </c>
      <c r="D501" t="s">
        <v>1002</v>
      </c>
      <c r="E501" t="s">
        <v>1678</v>
      </c>
      <c r="F501" t="s">
        <v>1559</v>
      </c>
      <c r="G501">
        <v>17</v>
      </c>
      <c r="H501" s="48">
        <v>0</v>
      </c>
      <c r="I501" s="50">
        <v>0</v>
      </c>
      <c r="J501" s="50" t="s">
        <v>1506</v>
      </c>
      <c r="K501" s="54" t="s">
        <v>1506</v>
      </c>
      <c r="L501" s="54">
        <v>46245</v>
      </c>
      <c r="M501" s="54">
        <v>46261</v>
      </c>
      <c r="O501" s="51" t="str">
        <f t="shared" si="49"/>
        <v/>
      </c>
      <c r="P501" s="51" t="str">
        <f t="shared" si="50"/>
        <v/>
      </c>
      <c r="Q501" s="52" t="str">
        <f t="shared" si="51"/>
        <v/>
      </c>
      <c r="R501" s="52" t="str">
        <f t="shared" si="52"/>
        <v/>
      </c>
      <c r="S501" s="51" t="str">
        <f t="shared" si="53"/>
        <v/>
      </c>
      <c r="T501" t="str">
        <f t="shared" si="54"/>
        <v/>
      </c>
      <c r="U501" s="52" t="str">
        <f t="shared" si="55"/>
        <v/>
      </c>
    </row>
    <row r="502" spans="2:21" x14ac:dyDescent="0.25">
      <c r="B502">
        <v>520</v>
      </c>
      <c r="C502" t="s">
        <v>169</v>
      </c>
      <c r="D502" t="s">
        <v>1002</v>
      </c>
      <c r="E502" t="s">
        <v>1515</v>
      </c>
      <c r="F502" t="s">
        <v>1519</v>
      </c>
      <c r="G502">
        <v>4</v>
      </c>
      <c r="H502" s="48">
        <v>0</v>
      </c>
      <c r="I502" s="50">
        <v>0</v>
      </c>
      <c r="J502" s="50" t="s">
        <v>1506</v>
      </c>
      <c r="K502" s="54" t="s">
        <v>1506</v>
      </c>
      <c r="L502" s="54">
        <v>46245</v>
      </c>
      <c r="M502" s="54">
        <v>46248</v>
      </c>
      <c r="O502" s="51" t="str">
        <f t="shared" si="49"/>
        <v>SIM</v>
      </c>
      <c r="P502" s="51" t="str">
        <f t="shared" si="50"/>
        <v>BL1132-0001-EL-LLC-2000</v>
      </c>
      <c r="Q502" s="52">
        <f t="shared" si="51"/>
        <v>46248</v>
      </c>
      <c r="R502" s="52" t="str">
        <f t="shared" si="52"/>
        <v>ND</v>
      </c>
      <c r="S502" s="51" t="str">
        <f t="shared" si="53"/>
        <v/>
      </c>
      <c r="T502" t="str">
        <f t="shared" si="54"/>
        <v/>
      </c>
      <c r="U502" s="52" t="str">
        <f t="shared" si="55"/>
        <v/>
      </c>
    </row>
    <row r="503" spans="2:21" x14ac:dyDescent="0.25">
      <c r="B503">
        <v>521</v>
      </c>
      <c r="C503" t="s">
        <v>169</v>
      </c>
      <c r="D503" t="s">
        <v>1002</v>
      </c>
      <c r="E503" t="s">
        <v>1517</v>
      </c>
      <c r="F503" t="s">
        <v>1519</v>
      </c>
      <c r="G503">
        <v>6</v>
      </c>
      <c r="H503" s="48">
        <v>0</v>
      </c>
      <c r="I503" s="50">
        <v>0</v>
      </c>
      <c r="J503" s="50" t="s">
        <v>1506</v>
      </c>
      <c r="K503" s="54" t="s">
        <v>1506</v>
      </c>
      <c r="L503" s="54">
        <v>46248</v>
      </c>
      <c r="M503" s="54">
        <v>46253</v>
      </c>
      <c r="O503" s="51" t="str">
        <f t="shared" si="49"/>
        <v/>
      </c>
      <c r="P503" s="51" t="str">
        <f t="shared" si="50"/>
        <v/>
      </c>
      <c r="Q503" s="52" t="str">
        <f t="shared" si="51"/>
        <v/>
      </c>
      <c r="R503" s="52" t="str">
        <f t="shared" si="52"/>
        <v/>
      </c>
      <c r="S503" s="51" t="str">
        <f t="shared" si="53"/>
        <v/>
      </c>
      <c r="T503" t="str">
        <f t="shared" si="54"/>
        <v/>
      </c>
      <c r="U503" s="52" t="str">
        <f t="shared" si="55"/>
        <v/>
      </c>
    </row>
    <row r="504" spans="2:21" x14ac:dyDescent="0.25">
      <c r="B504">
        <v>522</v>
      </c>
      <c r="C504" t="s">
        <v>169</v>
      </c>
      <c r="D504" t="s">
        <v>1002</v>
      </c>
      <c r="E504" t="s">
        <v>1518</v>
      </c>
      <c r="F504" t="s">
        <v>1519</v>
      </c>
      <c r="G504">
        <v>6</v>
      </c>
      <c r="H504" s="48">
        <v>0</v>
      </c>
      <c r="I504" s="50">
        <v>0</v>
      </c>
      <c r="J504" s="50" t="s">
        <v>1506</v>
      </c>
      <c r="K504" s="54" t="s">
        <v>1506</v>
      </c>
      <c r="L504" s="54">
        <v>46253</v>
      </c>
      <c r="M504" s="54">
        <v>46258</v>
      </c>
      <c r="O504" s="51" t="str">
        <f t="shared" si="49"/>
        <v/>
      </c>
      <c r="P504" s="51" t="str">
        <f t="shared" si="50"/>
        <v/>
      </c>
      <c r="Q504" s="52" t="str">
        <f t="shared" si="51"/>
        <v/>
      </c>
      <c r="R504" s="52" t="str">
        <f t="shared" si="52"/>
        <v/>
      </c>
      <c r="S504" s="51" t="str">
        <f t="shared" si="53"/>
        <v>SIM</v>
      </c>
      <c r="T504" t="str">
        <f t="shared" si="54"/>
        <v>BL1132-0001-EL-LLC-2000</v>
      </c>
      <c r="U504" s="52">
        <f t="shared" si="55"/>
        <v>46258</v>
      </c>
    </row>
    <row r="505" spans="2:21" x14ac:dyDescent="0.25">
      <c r="B505">
        <v>523</v>
      </c>
      <c r="C505" t="s">
        <v>169</v>
      </c>
      <c r="D505" t="s">
        <v>1002</v>
      </c>
      <c r="E505" t="s">
        <v>1520</v>
      </c>
      <c r="F505" t="s">
        <v>1519</v>
      </c>
      <c r="G505">
        <v>4</v>
      </c>
      <c r="H505" s="48">
        <v>0</v>
      </c>
      <c r="I505" s="50">
        <v>0</v>
      </c>
      <c r="J505" s="50" t="s">
        <v>1506</v>
      </c>
      <c r="K505" s="54" t="s">
        <v>1506</v>
      </c>
      <c r="L505" s="54">
        <v>46258</v>
      </c>
      <c r="M505" s="54">
        <v>46261</v>
      </c>
      <c r="O505" s="51" t="str">
        <f t="shared" si="49"/>
        <v/>
      </c>
      <c r="P505" s="51" t="str">
        <f t="shared" si="50"/>
        <v/>
      </c>
      <c r="Q505" s="52" t="str">
        <f t="shared" si="51"/>
        <v/>
      </c>
      <c r="R505" s="52" t="str">
        <f t="shared" si="52"/>
        <v/>
      </c>
      <c r="S505" s="51" t="str">
        <f t="shared" si="53"/>
        <v/>
      </c>
      <c r="T505" t="str">
        <f t="shared" si="54"/>
        <v/>
      </c>
      <c r="U505" s="52" t="str">
        <f t="shared" si="55"/>
        <v/>
      </c>
    </row>
    <row r="506" spans="2:21" x14ac:dyDescent="0.25">
      <c r="B506">
        <v>524</v>
      </c>
      <c r="C506" t="s">
        <v>172</v>
      </c>
      <c r="D506" t="s">
        <v>1012</v>
      </c>
      <c r="E506" t="s">
        <v>1679</v>
      </c>
      <c r="F506" t="s">
        <v>1559</v>
      </c>
      <c r="G506">
        <v>19</v>
      </c>
      <c r="H506" s="48">
        <v>0</v>
      </c>
      <c r="I506" s="50">
        <v>0</v>
      </c>
      <c r="J506" s="50">
        <v>46251</v>
      </c>
      <c r="K506" s="54">
        <v>46267</v>
      </c>
      <c r="L506" s="54">
        <v>46248</v>
      </c>
      <c r="M506" s="54">
        <v>46266</v>
      </c>
      <c r="O506" s="51" t="str">
        <f t="shared" si="49"/>
        <v/>
      </c>
      <c r="P506" s="51" t="str">
        <f t="shared" si="50"/>
        <v/>
      </c>
      <c r="Q506" s="52" t="str">
        <f t="shared" si="51"/>
        <v/>
      </c>
      <c r="R506" s="52" t="str">
        <f t="shared" si="52"/>
        <v/>
      </c>
      <c r="S506" s="51" t="str">
        <f t="shared" si="53"/>
        <v/>
      </c>
      <c r="T506" t="str">
        <f t="shared" si="54"/>
        <v/>
      </c>
      <c r="U506" s="52" t="str">
        <f t="shared" si="55"/>
        <v/>
      </c>
    </row>
    <row r="507" spans="2:21" x14ac:dyDescent="0.25">
      <c r="B507">
        <v>525</v>
      </c>
      <c r="C507" t="s">
        <v>172</v>
      </c>
      <c r="D507" t="s">
        <v>1012</v>
      </c>
      <c r="E507" t="s">
        <v>1515</v>
      </c>
      <c r="F507" t="s">
        <v>1519</v>
      </c>
      <c r="G507">
        <v>6</v>
      </c>
      <c r="H507" s="48">
        <v>0</v>
      </c>
      <c r="I507" s="50">
        <v>0</v>
      </c>
      <c r="J507" s="50">
        <v>46251</v>
      </c>
      <c r="K507" s="54">
        <v>46254</v>
      </c>
      <c r="L507" s="54">
        <v>46248</v>
      </c>
      <c r="M507" s="54">
        <v>46253</v>
      </c>
      <c r="O507" s="51" t="str">
        <f t="shared" si="49"/>
        <v>SIM</v>
      </c>
      <c r="P507" s="51" t="str">
        <f t="shared" si="50"/>
        <v>BL1132-0001-EL-MCA-2001</v>
      </c>
      <c r="Q507" s="52">
        <f t="shared" si="51"/>
        <v>46253</v>
      </c>
      <c r="R507" s="52">
        <f t="shared" si="52"/>
        <v>46254</v>
      </c>
      <c r="S507" s="51" t="str">
        <f t="shared" si="53"/>
        <v/>
      </c>
      <c r="T507" t="str">
        <f t="shared" si="54"/>
        <v/>
      </c>
      <c r="U507" s="52" t="str">
        <f t="shared" si="55"/>
        <v/>
      </c>
    </row>
    <row r="508" spans="2:21" x14ac:dyDescent="0.25">
      <c r="B508">
        <v>526</v>
      </c>
      <c r="C508" t="s">
        <v>172</v>
      </c>
      <c r="D508" t="s">
        <v>1012</v>
      </c>
      <c r="E508" t="s">
        <v>1517</v>
      </c>
      <c r="F508" t="s">
        <v>1519</v>
      </c>
      <c r="G508">
        <v>6</v>
      </c>
      <c r="H508" s="48">
        <v>0</v>
      </c>
      <c r="I508" s="50">
        <v>0</v>
      </c>
      <c r="J508" s="50">
        <v>46254</v>
      </c>
      <c r="K508" s="54">
        <v>46259</v>
      </c>
      <c r="L508" s="54">
        <v>46253</v>
      </c>
      <c r="M508" s="54">
        <v>46258</v>
      </c>
      <c r="O508" s="51" t="str">
        <f t="shared" si="49"/>
        <v/>
      </c>
      <c r="P508" s="51" t="str">
        <f t="shared" si="50"/>
        <v/>
      </c>
      <c r="Q508" s="52" t="str">
        <f t="shared" si="51"/>
        <v/>
      </c>
      <c r="R508" s="52" t="str">
        <f t="shared" si="52"/>
        <v/>
      </c>
      <c r="S508" s="51" t="str">
        <f t="shared" si="53"/>
        <v/>
      </c>
      <c r="T508" t="str">
        <f t="shared" si="54"/>
        <v/>
      </c>
      <c r="U508" s="52" t="str">
        <f t="shared" si="55"/>
        <v/>
      </c>
    </row>
    <row r="509" spans="2:21" x14ac:dyDescent="0.25">
      <c r="B509">
        <v>527</v>
      </c>
      <c r="C509" t="s">
        <v>172</v>
      </c>
      <c r="D509" t="s">
        <v>1012</v>
      </c>
      <c r="E509" t="s">
        <v>1518</v>
      </c>
      <c r="F509" t="s">
        <v>1519</v>
      </c>
      <c r="G509">
        <v>4</v>
      </c>
      <c r="H509" s="48">
        <v>0</v>
      </c>
      <c r="I509" s="50">
        <v>0</v>
      </c>
      <c r="J509" s="50">
        <v>46259</v>
      </c>
      <c r="K509" s="54">
        <v>46262</v>
      </c>
      <c r="L509" s="54">
        <v>46258</v>
      </c>
      <c r="M509" s="54">
        <v>46261</v>
      </c>
      <c r="O509" s="51" t="str">
        <f t="shared" si="49"/>
        <v/>
      </c>
      <c r="P509" s="51" t="str">
        <f t="shared" si="50"/>
        <v/>
      </c>
      <c r="Q509" s="52" t="str">
        <f t="shared" si="51"/>
        <v/>
      </c>
      <c r="R509" s="52" t="str">
        <f t="shared" si="52"/>
        <v/>
      </c>
      <c r="S509" s="51" t="str">
        <f t="shared" si="53"/>
        <v>SIM</v>
      </c>
      <c r="T509" t="str">
        <f t="shared" si="54"/>
        <v>BL1132-0001-EL-MCA-2001</v>
      </c>
      <c r="U509" s="52">
        <f t="shared" si="55"/>
        <v>46261</v>
      </c>
    </row>
    <row r="510" spans="2:21" x14ac:dyDescent="0.25">
      <c r="B510">
        <v>528</v>
      </c>
      <c r="C510" t="s">
        <v>172</v>
      </c>
      <c r="D510" t="s">
        <v>1012</v>
      </c>
      <c r="E510" t="s">
        <v>1520</v>
      </c>
      <c r="F510" t="s">
        <v>1519</v>
      </c>
      <c r="G510">
        <v>6</v>
      </c>
      <c r="H510" s="48">
        <v>0</v>
      </c>
      <c r="I510" s="50">
        <v>0</v>
      </c>
      <c r="J510" s="50">
        <v>46262</v>
      </c>
      <c r="K510" s="54">
        <v>46267</v>
      </c>
      <c r="L510" s="54">
        <v>46261</v>
      </c>
      <c r="M510" s="54">
        <v>46266</v>
      </c>
      <c r="O510" s="51" t="str">
        <f t="shared" si="49"/>
        <v/>
      </c>
      <c r="P510" s="51" t="str">
        <f t="shared" si="50"/>
        <v/>
      </c>
      <c r="Q510" s="52" t="str">
        <f t="shared" si="51"/>
        <v/>
      </c>
      <c r="R510" s="52" t="str">
        <f t="shared" si="52"/>
        <v/>
      </c>
      <c r="S510" s="51" t="str">
        <f t="shared" si="53"/>
        <v/>
      </c>
      <c r="T510" t="str">
        <f t="shared" si="54"/>
        <v/>
      </c>
      <c r="U510" s="52" t="str">
        <f t="shared" si="55"/>
        <v/>
      </c>
    </row>
    <row r="511" spans="2:21" x14ac:dyDescent="0.25">
      <c r="B511">
        <v>529</v>
      </c>
      <c r="C511" t="s">
        <v>174</v>
      </c>
      <c r="D511" t="s">
        <v>1020</v>
      </c>
      <c r="E511" t="s">
        <v>1680</v>
      </c>
      <c r="F511" t="s">
        <v>1559</v>
      </c>
      <c r="G511">
        <v>17</v>
      </c>
      <c r="H511" s="48">
        <v>0</v>
      </c>
      <c r="I511" s="50">
        <v>0</v>
      </c>
      <c r="J511" s="50">
        <v>46254</v>
      </c>
      <c r="K511" s="54">
        <v>46273</v>
      </c>
      <c r="L511" s="54">
        <v>46253</v>
      </c>
      <c r="M511" s="54">
        <v>46269</v>
      </c>
      <c r="O511" s="51" t="str">
        <f t="shared" si="49"/>
        <v/>
      </c>
      <c r="P511" s="51" t="str">
        <f t="shared" si="50"/>
        <v/>
      </c>
      <c r="Q511" s="52" t="str">
        <f t="shared" si="51"/>
        <v/>
      </c>
      <c r="R511" s="52" t="str">
        <f t="shared" si="52"/>
        <v/>
      </c>
      <c r="S511" s="51" t="str">
        <f t="shared" si="53"/>
        <v/>
      </c>
      <c r="T511" t="str">
        <f t="shared" si="54"/>
        <v/>
      </c>
      <c r="U511" s="52" t="str">
        <f t="shared" si="55"/>
        <v/>
      </c>
    </row>
    <row r="512" spans="2:21" x14ac:dyDescent="0.25">
      <c r="B512">
        <v>530</v>
      </c>
      <c r="C512" t="s">
        <v>174</v>
      </c>
      <c r="D512" t="s">
        <v>1020</v>
      </c>
      <c r="E512" t="s">
        <v>1515</v>
      </c>
      <c r="F512" t="s">
        <v>1519</v>
      </c>
      <c r="G512">
        <v>6</v>
      </c>
      <c r="H512" s="48">
        <v>0</v>
      </c>
      <c r="I512" s="50">
        <v>0</v>
      </c>
      <c r="J512" s="50">
        <v>46254</v>
      </c>
      <c r="K512" s="54">
        <v>46259</v>
      </c>
      <c r="L512" s="54">
        <v>46253</v>
      </c>
      <c r="M512" s="54">
        <v>46258</v>
      </c>
      <c r="O512" s="51" t="str">
        <f t="shared" si="49"/>
        <v>SIM</v>
      </c>
      <c r="P512" s="51" t="str">
        <f t="shared" si="50"/>
        <v>BL1132-0001-EL-MCA-2003</v>
      </c>
      <c r="Q512" s="52">
        <f t="shared" si="51"/>
        <v>46258</v>
      </c>
      <c r="R512" s="52">
        <f t="shared" si="52"/>
        <v>46259</v>
      </c>
      <c r="S512" s="51" t="str">
        <f t="shared" si="53"/>
        <v/>
      </c>
      <c r="T512" t="str">
        <f t="shared" si="54"/>
        <v/>
      </c>
      <c r="U512" s="52" t="str">
        <f t="shared" si="55"/>
        <v/>
      </c>
    </row>
    <row r="513" spans="2:21" x14ac:dyDescent="0.25">
      <c r="B513">
        <v>531</v>
      </c>
      <c r="C513" t="s">
        <v>174</v>
      </c>
      <c r="D513" t="s">
        <v>1020</v>
      </c>
      <c r="E513" t="s">
        <v>1517</v>
      </c>
      <c r="F513" t="s">
        <v>1519</v>
      </c>
      <c r="G513">
        <v>4</v>
      </c>
      <c r="H513" s="48">
        <v>0</v>
      </c>
      <c r="I513" s="50">
        <v>0</v>
      </c>
      <c r="J513" s="50">
        <v>46259</v>
      </c>
      <c r="K513" s="54">
        <v>46262</v>
      </c>
      <c r="L513" s="54">
        <v>46258</v>
      </c>
      <c r="M513" s="54">
        <v>46261</v>
      </c>
      <c r="O513" s="51" t="str">
        <f t="shared" si="49"/>
        <v/>
      </c>
      <c r="P513" s="51" t="str">
        <f t="shared" si="50"/>
        <v/>
      </c>
      <c r="Q513" s="52" t="str">
        <f t="shared" si="51"/>
        <v/>
      </c>
      <c r="R513" s="52" t="str">
        <f t="shared" si="52"/>
        <v/>
      </c>
      <c r="S513" s="51" t="str">
        <f t="shared" si="53"/>
        <v/>
      </c>
      <c r="T513" t="str">
        <f t="shared" si="54"/>
        <v/>
      </c>
      <c r="U513" s="52" t="str">
        <f t="shared" si="55"/>
        <v/>
      </c>
    </row>
    <row r="514" spans="2:21" x14ac:dyDescent="0.25">
      <c r="B514">
        <v>532</v>
      </c>
      <c r="C514" t="s">
        <v>174</v>
      </c>
      <c r="D514" t="s">
        <v>1020</v>
      </c>
      <c r="E514" t="s">
        <v>1518</v>
      </c>
      <c r="F514" t="s">
        <v>1519</v>
      </c>
      <c r="G514">
        <v>6</v>
      </c>
      <c r="H514" s="48">
        <v>0</v>
      </c>
      <c r="I514" s="50">
        <v>0</v>
      </c>
      <c r="J514" s="50">
        <v>46262</v>
      </c>
      <c r="K514" s="54">
        <v>46267</v>
      </c>
      <c r="L514" s="54">
        <v>46261</v>
      </c>
      <c r="M514" s="54">
        <v>46266</v>
      </c>
      <c r="O514" s="51" t="str">
        <f t="shared" si="49"/>
        <v/>
      </c>
      <c r="P514" s="51" t="str">
        <f t="shared" si="50"/>
        <v/>
      </c>
      <c r="Q514" s="52" t="str">
        <f t="shared" si="51"/>
        <v/>
      </c>
      <c r="R514" s="52" t="str">
        <f t="shared" si="52"/>
        <v/>
      </c>
      <c r="S514" s="51" t="str">
        <f t="shared" si="53"/>
        <v>SIM</v>
      </c>
      <c r="T514" t="str">
        <f t="shared" si="54"/>
        <v>BL1132-0001-EL-MCA-2003</v>
      </c>
      <c r="U514" s="52">
        <f t="shared" si="55"/>
        <v>46266</v>
      </c>
    </row>
    <row r="515" spans="2:21" x14ac:dyDescent="0.25">
      <c r="B515">
        <v>533</v>
      </c>
      <c r="C515" t="s">
        <v>174</v>
      </c>
      <c r="D515" t="s">
        <v>1020</v>
      </c>
      <c r="E515" t="s">
        <v>1520</v>
      </c>
      <c r="F515" t="s">
        <v>1519</v>
      </c>
      <c r="G515">
        <v>4</v>
      </c>
      <c r="H515" s="48">
        <v>0</v>
      </c>
      <c r="I515" s="50">
        <v>0</v>
      </c>
      <c r="J515" s="50">
        <v>46267</v>
      </c>
      <c r="K515" s="54">
        <v>46273</v>
      </c>
      <c r="L515" s="54">
        <v>46266</v>
      </c>
      <c r="M515" s="54">
        <v>46269</v>
      </c>
      <c r="O515" s="51" t="str">
        <f t="shared" ref="O515:O578" si="56">IF(OR(E515 = "                           1 - Emissão Inicial",E515="                  1 - Emissão após Design Review 1",E515 = "                  1 - Emissão para conhecimento",E515 = "                  1 - Emissão Final",E515 = "         Lista de Documentos",E515 = "         Elaboração do cronograma",E515 = "         Norma de Coordenação"), "SIM", "")</f>
        <v/>
      </c>
      <c r="P515" s="51" t="str">
        <f t="shared" ref="P515:P578" si="57">IF(O515="SIM",C515,"")</f>
        <v/>
      </c>
      <c r="Q515" s="52" t="str">
        <f t="shared" ref="Q515:Q578" si="58">IF(O515="SIM",M515,"")</f>
        <v/>
      </c>
      <c r="R515" s="52" t="str">
        <f t="shared" ref="R515:R578" si="59">IF(O515="SIM",K515,"")</f>
        <v/>
      </c>
      <c r="S515" s="51" t="str">
        <f t="shared" ref="S515:S578" si="60">IF(OR(E515 = "                           3 - Atendimento de Comentários",E515="                  1 - Emissão após Design Review 1",E515 = "                  1 - Emissão para conhecimento",E515 = "                  1 - Emissão Final",E515 = "         Lista de Documentos",E515 = "         Elaboração do cronograma",E515 = "         Norma de Coordenação"), "SIM", "")</f>
        <v/>
      </c>
      <c r="T515" t="str">
        <f t="shared" ref="T515:T578" si="61">IF(S515="SIM",C515,"")</f>
        <v/>
      </c>
      <c r="U515" s="52" t="str">
        <f t="shared" ref="U515:U578" si="62">IF(S515="SIM",M515,"")</f>
        <v/>
      </c>
    </row>
    <row r="516" spans="2:21" x14ac:dyDescent="0.25">
      <c r="B516">
        <v>534</v>
      </c>
      <c r="C516" t="s">
        <v>149</v>
      </c>
      <c r="D516" t="s">
        <v>914</v>
      </c>
      <c r="E516" t="s">
        <v>1681</v>
      </c>
      <c r="F516" t="s">
        <v>1559</v>
      </c>
      <c r="G516">
        <v>18</v>
      </c>
      <c r="H516" s="48">
        <v>0</v>
      </c>
      <c r="I516" s="50">
        <v>0</v>
      </c>
      <c r="J516" s="50">
        <v>46259</v>
      </c>
      <c r="K516" s="54">
        <v>46276</v>
      </c>
      <c r="L516" s="54">
        <v>46258</v>
      </c>
      <c r="M516" s="54">
        <v>46275</v>
      </c>
      <c r="O516" s="51" t="str">
        <f t="shared" si="56"/>
        <v/>
      </c>
      <c r="P516" s="51" t="str">
        <f t="shared" si="57"/>
        <v/>
      </c>
      <c r="Q516" s="52" t="str">
        <f t="shared" si="58"/>
        <v/>
      </c>
      <c r="R516" s="52" t="str">
        <f t="shared" si="59"/>
        <v/>
      </c>
      <c r="S516" s="51" t="str">
        <f t="shared" si="60"/>
        <v/>
      </c>
      <c r="T516" t="str">
        <f t="shared" si="61"/>
        <v/>
      </c>
      <c r="U516" s="52" t="str">
        <f t="shared" si="62"/>
        <v/>
      </c>
    </row>
    <row r="517" spans="2:21" x14ac:dyDescent="0.25">
      <c r="B517">
        <v>535</v>
      </c>
      <c r="C517" t="s">
        <v>149</v>
      </c>
      <c r="D517" t="s">
        <v>914</v>
      </c>
      <c r="E517" t="s">
        <v>1515</v>
      </c>
      <c r="F517" t="s">
        <v>1519</v>
      </c>
      <c r="G517">
        <v>4</v>
      </c>
      <c r="H517" s="48">
        <v>0</v>
      </c>
      <c r="I517" s="50">
        <v>0</v>
      </c>
      <c r="J517" s="50">
        <v>46259</v>
      </c>
      <c r="K517" s="54">
        <v>46262</v>
      </c>
      <c r="L517" s="54">
        <v>46258</v>
      </c>
      <c r="M517" s="54">
        <v>46261</v>
      </c>
      <c r="O517" s="51" t="str">
        <f t="shared" si="56"/>
        <v>SIM</v>
      </c>
      <c r="P517" s="51" t="str">
        <f t="shared" si="57"/>
        <v>BL1132-0001-EL-ETE-2000</v>
      </c>
      <c r="Q517" s="52">
        <f t="shared" si="58"/>
        <v>46261</v>
      </c>
      <c r="R517" s="52">
        <f t="shared" si="59"/>
        <v>46262</v>
      </c>
      <c r="S517" s="51" t="str">
        <f t="shared" si="60"/>
        <v/>
      </c>
      <c r="T517" t="str">
        <f t="shared" si="61"/>
        <v/>
      </c>
      <c r="U517" s="52" t="str">
        <f t="shared" si="62"/>
        <v/>
      </c>
    </row>
    <row r="518" spans="2:21" x14ac:dyDescent="0.25">
      <c r="B518">
        <v>536</v>
      </c>
      <c r="C518" t="s">
        <v>149</v>
      </c>
      <c r="D518" t="s">
        <v>914</v>
      </c>
      <c r="E518" t="s">
        <v>1517</v>
      </c>
      <c r="F518" t="s">
        <v>1519</v>
      </c>
      <c r="G518">
        <v>6</v>
      </c>
      <c r="H518" s="48">
        <v>0</v>
      </c>
      <c r="I518" s="50">
        <v>0</v>
      </c>
      <c r="J518" s="50">
        <v>46262</v>
      </c>
      <c r="K518" s="54">
        <v>46267</v>
      </c>
      <c r="L518" s="54">
        <v>46261</v>
      </c>
      <c r="M518" s="54">
        <v>46266</v>
      </c>
      <c r="O518" s="51" t="str">
        <f t="shared" si="56"/>
        <v/>
      </c>
      <c r="P518" s="51" t="str">
        <f t="shared" si="57"/>
        <v/>
      </c>
      <c r="Q518" s="52" t="str">
        <f t="shared" si="58"/>
        <v/>
      </c>
      <c r="R518" s="52" t="str">
        <f t="shared" si="59"/>
        <v/>
      </c>
      <c r="S518" s="51" t="str">
        <f t="shared" si="60"/>
        <v/>
      </c>
      <c r="T518" t="str">
        <f t="shared" si="61"/>
        <v/>
      </c>
      <c r="U518" s="52" t="str">
        <f t="shared" si="62"/>
        <v/>
      </c>
    </row>
    <row r="519" spans="2:21" x14ac:dyDescent="0.25">
      <c r="B519">
        <v>537</v>
      </c>
      <c r="C519" t="s">
        <v>149</v>
      </c>
      <c r="D519" t="s">
        <v>914</v>
      </c>
      <c r="E519" t="s">
        <v>1518</v>
      </c>
      <c r="F519" t="s">
        <v>1519</v>
      </c>
      <c r="G519">
        <v>4</v>
      </c>
      <c r="H519" s="48">
        <v>0</v>
      </c>
      <c r="I519" s="50">
        <v>0</v>
      </c>
      <c r="J519" s="50">
        <v>46267</v>
      </c>
      <c r="K519" s="54">
        <v>46273</v>
      </c>
      <c r="L519" s="54">
        <v>46266</v>
      </c>
      <c r="M519" s="54">
        <v>46269</v>
      </c>
      <c r="O519" s="51" t="str">
        <f t="shared" si="56"/>
        <v/>
      </c>
      <c r="P519" s="51" t="str">
        <f t="shared" si="57"/>
        <v/>
      </c>
      <c r="Q519" s="52" t="str">
        <f t="shared" si="58"/>
        <v/>
      </c>
      <c r="R519" s="52" t="str">
        <f t="shared" si="59"/>
        <v/>
      </c>
      <c r="S519" s="51" t="str">
        <f t="shared" si="60"/>
        <v>SIM</v>
      </c>
      <c r="T519" t="str">
        <f t="shared" si="61"/>
        <v>BL1132-0001-EL-ETE-2000</v>
      </c>
      <c r="U519" s="52">
        <f t="shared" si="62"/>
        <v>46269</v>
      </c>
    </row>
    <row r="520" spans="2:21" x14ac:dyDescent="0.25">
      <c r="B520">
        <v>538</v>
      </c>
      <c r="C520" t="s">
        <v>149</v>
      </c>
      <c r="D520" t="s">
        <v>914</v>
      </c>
      <c r="E520" t="s">
        <v>1520</v>
      </c>
      <c r="F520" t="s">
        <v>1519</v>
      </c>
      <c r="G520">
        <v>7</v>
      </c>
      <c r="H520" s="48">
        <v>0</v>
      </c>
      <c r="I520" s="50">
        <v>0</v>
      </c>
      <c r="J520" s="50">
        <v>46273</v>
      </c>
      <c r="K520" s="54">
        <v>46276</v>
      </c>
      <c r="L520" s="54">
        <v>46269</v>
      </c>
      <c r="M520" s="54">
        <v>46275</v>
      </c>
      <c r="O520" s="51" t="str">
        <f t="shared" si="56"/>
        <v/>
      </c>
      <c r="P520" s="51" t="str">
        <f t="shared" si="57"/>
        <v/>
      </c>
      <c r="Q520" s="52" t="str">
        <f t="shared" si="58"/>
        <v/>
      </c>
      <c r="R520" s="52" t="str">
        <f t="shared" si="59"/>
        <v/>
      </c>
      <c r="S520" s="51" t="str">
        <f t="shared" si="60"/>
        <v/>
      </c>
      <c r="T520" t="str">
        <f t="shared" si="61"/>
        <v/>
      </c>
      <c r="U520" s="52" t="str">
        <f t="shared" si="62"/>
        <v/>
      </c>
    </row>
    <row r="521" spans="2:21" x14ac:dyDescent="0.25">
      <c r="B521">
        <v>539</v>
      </c>
      <c r="C521" t="s">
        <v>150</v>
      </c>
      <c r="D521" t="s">
        <v>919</v>
      </c>
      <c r="E521" t="s">
        <v>1682</v>
      </c>
      <c r="F521" t="s">
        <v>1535</v>
      </c>
      <c r="G521">
        <v>21</v>
      </c>
      <c r="H521" s="48">
        <v>0</v>
      </c>
      <c r="I521" s="50">
        <v>0</v>
      </c>
      <c r="J521" s="50">
        <v>46262</v>
      </c>
      <c r="K521" s="54">
        <v>46282</v>
      </c>
      <c r="L521" s="54">
        <v>46261</v>
      </c>
      <c r="M521" s="54">
        <v>46281</v>
      </c>
      <c r="O521" s="51" t="str">
        <f t="shared" si="56"/>
        <v/>
      </c>
      <c r="P521" s="51" t="str">
        <f t="shared" si="57"/>
        <v/>
      </c>
      <c r="Q521" s="52" t="str">
        <f t="shared" si="58"/>
        <v/>
      </c>
      <c r="R521" s="52" t="str">
        <f t="shared" si="59"/>
        <v/>
      </c>
      <c r="S521" s="51" t="str">
        <f t="shared" si="60"/>
        <v/>
      </c>
      <c r="T521" t="str">
        <f t="shared" si="61"/>
        <v/>
      </c>
      <c r="U521" s="52" t="str">
        <f t="shared" si="62"/>
        <v/>
      </c>
    </row>
    <row r="522" spans="2:21" x14ac:dyDescent="0.25">
      <c r="B522">
        <v>540</v>
      </c>
      <c r="C522" t="s">
        <v>150</v>
      </c>
      <c r="D522" t="s">
        <v>919</v>
      </c>
      <c r="E522" t="s">
        <v>1515</v>
      </c>
      <c r="F522" t="s">
        <v>1525</v>
      </c>
      <c r="G522">
        <v>7</v>
      </c>
      <c r="H522" s="48">
        <v>0</v>
      </c>
      <c r="I522" s="50">
        <v>0</v>
      </c>
      <c r="J522" s="50">
        <v>46262</v>
      </c>
      <c r="K522" s="54">
        <v>46268</v>
      </c>
      <c r="L522" s="54">
        <v>46261</v>
      </c>
      <c r="M522" s="54">
        <v>46267</v>
      </c>
      <c r="O522" s="51" t="str">
        <f t="shared" si="56"/>
        <v>SIM</v>
      </c>
      <c r="P522" s="51" t="str">
        <f t="shared" si="57"/>
        <v>BL1132-0001-EL-ETE-2001</v>
      </c>
      <c r="Q522" s="52">
        <f t="shared" si="58"/>
        <v>46267</v>
      </c>
      <c r="R522" s="52">
        <f t="shared" si="59"/>
        <v>46268</v>
      </c>
      <c r="S522" s="51" t="str">
        <f t="shared" si="60"/>
        <v/>
      </c>
      <c r="T522" t="str">
        <f t="shared" si="61"/>
        <v/>
      </c>
      <c r="U522" s="52" t="str">
        <f t="shared" si="62"/>
        <v/>
      </c>
    </row>
    <row r="523" spans="2:21" x14ac:dyDescent="0.25">
      <c r="B523">
        <v>541</v>
      </c>
      <c r="C523" t="s">
        <v>150</v>
      </c>
      <c r="D523" t="s">
        <v>919</v>
      </c>
      <c r="E523" t="s">
        <v>1517</v>
      </c>
      <c r="F523" t="s">
        <v>1519</v>
      </c>
      <c r="G523">
        <v>7</v>
      </c>
      <c r="H523" s="48">
        <v>0</v>
      </c>
      <c r="I523" s="50">
        <v>0</v>
      </c>
      <c r="J523" s="50">
        <v>46268</v>
      </c>
      <c r="K523" s="54">
        <v>46274</v>
      </c>
      <c r="L523" s="54">
        <v>46267</v>
      </c>
      <c r="M523" s="54">
        <v>46273</v>
      </c>
      <c r="O523" s="51" t="str">
        <f t="shared" si="56"/>
        <v/>
      </c>
      <c r="P523" s="51" t="str">
        <f t="shared" si="57"/>
        <v/>
      </c>
      <c r="Q523" s="52" t="str">
        <f t="shared" si="58"/>
        <v/>
      </c>
      <c r="R523" s="52" t="str">
        <f t="shared" si="59"/>
        <v/>
      </c>
      <c r="S523" s="51" t="str">
        <f t="shared" si="60"/>
        <v/>
      </c>
      <c r="T523" t="str">
        <f t="shared" si="61"/>
        <v/>
      </c>
      <c r="U523" s="52" t="str">
        <f t="shared" si="62"/>
        <v/>
      </c>
    </row>
    <row r="524" spans="2:21" x14ac:dyDescent="0.25">
      <c r="B524">
        <v>542</v>
      </c>
      <c r="C524" t="s">
        <v>150</v>
      </c>
      <c r="D524" t="s">
        <v>919</v>
      </c>
      <c r="E524" t="s">
        <v>1518</v>
      </c>
      <c r="F524" t="s">
        <v>1519</v>
      </c>
      <c r="G524">
        <v>4</v>
      </c>
      <c r="H524" s="48">
        <v>0</v>
      </c>
      <c r="I524" s="50">
        <v>0</v>
      </c>
      <c r="J524" s="50">
        <v>46274</v>
      </c>
      <c r="K524" s="54">
        <v>46279</v>
      </c>
      <c r="L524" s="54">
        <v>46273</v>
      </c>
      <c r="M524" s="54">
        <v>46276</v>
      </c>
      <c r="O524" s="51" t="str">
        <f t="shared" si="56"/>
        <v/>
      </c>
      <c r="P524" s="51" t="str">
        <f t="shared" si="57"/>
        <v/>
      </c>
      <c r="Q524" s="52" t="str">
        <f t="shared" si="58"/>
        <v/>
      </c>
      <c r="R524" s="52" t="str">
        <f t="shared" si="59"/>
        <v/>
      </c>
      <c r="S524" s="51" t="str">
        <f t="shared" si="60"/>
        <v>SIM</v>
      </c>
      <c r="T524" t="str">
        <f t="shared" si="61"/>
        <v>BL1132-0001-EL-ETE-2001</v>
      </c>
      <c r="U524" s="52">
        <f t="shared" si="62"/>
        <v>46276</v>
      </c>
    </row>
    <row r="525" spans="2:21" x14ac:dyDescent="0.25">
      <c r="B525">
        <v>543</v>
      </c>
      <c r="C525" t="s">
        <v>150</v>
      </c>
      <c r="D525" t="s">
        <v>919</v>
      </c>
      <c r="E525" t="s">
        <v>1520</v>
      </c>
      <c r="F525" t="s">
        <v>1519</v>
      </c>
      <c r="G525">
        <v>6</v>
      </c>
      <c r="H525" s="48">
        <v>0</v>
      </c>
      <c r="I525" s="50">
        <v>0</v>
      </c>
      <c r="J525" s="50">
        <v>46279</v>
      </c>
      <c r="K525" s="54">
        <v>46282</v>
      </c>
      <c r="L525" s="54">
        <v>46276</v>
      </c>
      <c r="M525" s="54">
        <v>46281</v>
      </c>
      <c r="O525" s="51" t="str">
        <f t="shared" si="56"/>
        <v/>
      </c>
      <c r="P525" s="51" t="str">
        <f t="shared" si="57"/>
        <v/>
      </c>
      <c r="Q525" s="52" t="str">
        <f t="shared" si="58"/>
        <v/>
      </c>
      <c r="R525" s="52" t="str">
        <f t="shared" si="59"/>
        <v/>
      </c>
      <c r="S525" s="51" t="str">
        <f t="shared" si="60"/>
        <v/>
      </c>
      <c r="T525" t="str">
        <f t="shared" si="61"/>
        <v/>
      </c>
      <c r="U525" s="52" t="str">
        <f t="shared" si="62"/>
        <v/>
      </c>
    </row>
    <row r="526" spans="2:21" x14ac:dyDescent="0.25">
      <c r="B526">
        <v>544</v>
      </c>
      <c r="C526" t="s">
        <v>175</v>
      </c>
      <c r="D526" t="s">
        <v>1024</v>
      </c>
      <c r="E526" t="s">
        <v>1683</v>
      </c>
      <c r="F526" t="s">
        <v>1641</v>
      </c>
      <c r="G526">
        <v>17</v>
      </c>
      <c r="H526" s="48">
        <v>0</v>
      </c>
      <c r="I526" s="50">
        <v>0</v>
      </c>
      <c r="J526" s="50">
        <v>46268</v>
      </c>
      <c r="K526" s="54">
        <v>46286</v>
      </c>
      <c r="L526" s="54">
        <v>46267</v>
      </c>
      <c r="M526" s="54">
        <v>46283</v>
      </c>
      <c r="O526" s="51" t="str">
        <f t="shared" si="56"/>
        <v/>
      </c>
      <c r="P526" s="51" t="str">
        <f t="shared" si="57"/>
        <v/>
      </c>
      <c r="Q526" s="52" t="str">
        <f t="shared" si="58"/>
        <v/>
      </c>
      <c r="R526" s="52" t="str">
        <f t="shared" si="59"/>
        <v/>
      </c>
      <c r="S526" s="51" t="str">
        <f t="shared" si="60"/>
        <v/>
      </c>
      <c r="T526" t="str">
        <f t="shared" si="61"/>
        <v/>
      </c>
      <c r="U526" s="52" t="str">
        <f t="shared" si="62"/>
        <v/>
      </c>
    </row>
    <row r="527" spans="2:21" x14ac:dyDescent="0.25">
      <c r="B527">
        <v>545</v>
      </c>
      <c r="C527" t="s">
        <v>175</v>
      </c>
      <c r="D527" t="s">
        <v>1024</v>
      </c>
      <c r="E527" t="s">
        <v>1515</v>
      </c>
      <c r="F527" t="s">
        <v>1642</v>
      </c>
      <c r="G527">
        <v>3</v>
      </c>
      <c r="H527" s="48">
        <v>0</v>
      </c>
      <c r="I527" s="50">
        <v>0</v>
      </c>
      <c r="J527" s="50">
        <v>46268</v>
      </c>
      <c r="K527" s="54">
        <v>46273</v>
      </c>
      <c r="L527" s="54">
        <v>46267</v>
      </c>
      <c r="M527" s="54">
        <v>46269</v>
      </c>
      <c r="O527" s="51" t="str">
        <f t="shared" si="56"/>
        <v>SIM</v>
      </c>
      <c r="P527" s="51" t="str">
        <f t="shared" si="57"/>
        <v>BL1132-0001-EL-MDE-2000</v>
      </c>
      <c r="Q527" s="52">
        <f t="shared" si="58"/>
        <v>46269</v>
      </c>
      <c r="R527" s="52">
        <f t="shared" si="59"/>
        <v>46273</v>
      </c>
      <c r="S527" s="51" t="str">
        <f t="shared" si="60"/>
        <v/>
      </c>
      <c r="T527" t="str">
        <f t="shared" si="61"/>
        <v/>
      </c>
      <c r="U527" s="52" t="str">
        <f t="shared" si="62"/>
        <v/>
      </c>
    </row>
    <row r="528" spans="2:21" x14ac:dyDescent="0.25">
      <c r="B528">
        <v>546</v>
      </c>
      <c r="C528" t="s">
        <v>175</v>
      </c>
      <c r="D528" t="s">
        <v>1024</v>
      </c>
      <c r="E528" t="s">
        <v>1517</v>
      </c>
      <c r="F528" t="s">
        <v>1519</v>
      </c>
      <c r="G528">
        <v>7</v>
      </c>
      <c r="H528" s="48">
        <v>0</v>
      </c>
      <c r="I528" s="50">
        <v>0</v>
      </c>
      <c r="J528" s="50">
        <v>46273</v>
      </c>
      <c r="K528" s="54">
        <v>46276</v>
      </c>
      <c r="L528" s="54">
        <v>46269</v>
      </c>
      <c r="M528" s="54">
        <v>46275</v>
      </c>
      <c r="O528" s="51" t="str">
        <f t="shared" si="56"/>
        <v/>
      </c>
      <c r="P528" s="51" t="str">
        <f t="shared" si="57"/>
        <v/>
      </c>
      <c r="Q528" s="52" t="str">
        <f t="shared" si="58"/>
        <v/>
      </c>
      <c r="R528" s="52" t="str">
        <f t="shared" si="59"/>
        <v/>
      </c>
      <c r="S528" s="51" t="str">
        <f t="shared" si="60"/>
        <v/>
      </c>
      <c r="T528" t="str">
        <f t="shared" si="61"/>
        <v/>
      </c>
      <c r="U528" s="52" t="str">
        <f t="shared" si="62"/>
        <v/>
      </c>
    </row>
    <row r="529" spans="2:21" x14ac:dyDescent="0.25">
      <c r="B529">
        <v>547</v>
      </c>
      <c r="C529" t="s">
        <v>175</v>
      </c>
      <c r="D529" t="s">
        <v>1024</v>
      </c>
      <c r="E529" t="s">
        <v>1518</v>
      </c>
      <c r="F529" t="s">
        <v>1519</v>
      </c>
      <c r="G529">
        <v>6</v>
      </c>
      <c r="H529" s="48">
        <v>0</v>
      </c>
      <c r="I529" s="50">
        <v>0</v>
      </c>
      <c r="J529" s="50">
        <v>46276</v>
      </c>
      <c r="K529" s="54">
        <v>46281</v>
      </c>
      <c r="L529" s="54">
        <v>46275</v>
      </c>
      <c r="M529" s="54">
        <v>46280</v>
      </c>
      <c r="O529" s="51" t="str">
        <f t="shared" si="56"/>
        <v/>
      </c>
      <c r="P529" s="51" t="str">
        <f t="shared" si="57"/>
        <v/>
      </c>
      <c r="Q529" s="52" t="str">
        <f t="shared" si="58"/>
        <v/>
      </c>
      <c r="R529" s="52" t="str">
        <f t="shared" si="59"/>
        <v/>
      </c>
      <c r="S529" s="51" t="str">
        <f t="shared" si="60"/>
        <v>SIM</v>
      </c>
      <c r="T529" t="str">
        <f t="shared" si="61"/>
        <v>BL1132-0001-EL-MDE-2000</v>
      </c>
      <c r="U529" s="52">
        <f t="shared" si="62"/>
        <v>46280</v>
      </c>
    </row>
    <row r="530" spans="2:21" x14ac:dyDescent="0.25">
      <c r="B530">
        <v>548</v>
      </c>
      <c r="C530" t="s">
        <v>175</v>
      </c>
      <c r="D530" t="s">
        <v>1024</v>
      </c>
      <c r="E530" t="s">
        <v>1520</v>
      </c>
      <c r="F530" t="s">
        <v>1519</v>
      </c>
      <c r="G530">
        <v>4</v>
      </c>
      <c r="H530" s="48">
        <v>0</v>
      </c>
      <c r="I530" s="50">
        <v>0</v>
      </c>
      <c r="J530" s="50">
        <v>46281</v>
      </c>
      <c r="K530" s="54">
        <v>46286</v>
      </c>
      <c r="L530" s="54">
        <v>46280</v>
      </c>
      <c r="M530" s="54">
        <v>46283</v>
      </c>
      <c r="O530" s="51" t="str">
        <f t="shared" si="56"/>
        <v/>
      </c>
      <c r="P530" s="51" t="str">
        <f t="shared" si="57"/>
        <v/>
      </c>
      <c r="Q530" s="52" t="str">
        <f t="shared" si="58"/>
        <v/>
      </c>
      <c r="R530" s="52" t="str">
        <f t="shared" si="59"/>
        <v/>
      </c>
      <c r="S530" s="51" t="str">
        <f t="shared" si="60"/>
        <v/>
      </c>
      <c r="T530" t="str">
        <f t="shared" si="61"/>
        <v/>
      </c>
      <c r="U530" s="52" t="str">
        <f t="shared" si="62"/>
        <v/>
      </c>
    </row>
    <row r="531" spans="2:21" x14ac:dyDescent="0.25">
      <c r="B531">
        <v>549</v>
      </c>
      <c r="C531" t="s">
        <v>177</v>
      </c>
      <c r="D531" t="s">
        <v>1031</v>
      </c>
      <c r="E531" t="s">
        <v>1684</v>
      </c>
      <c r="F531" t="s">
        <v>1641</v>
      </c>
      <c r="G531">
        <v>19</v>
      </c>
      <c r="H531" s="48">
        <v>0</v>
      </c>
      <c r="I531" s="50">
        <v>0</v>
      </c>
      <c r="J531" s="50">
        <v>46273</v>
      </c>
      <c r="K531" s="54">
        <v>46288</v>
      </c>
      <c r="L531" s="54">
        <v>46269</v>
      </c>
      <c r="M531" s="54">
        <v>46287</v>
      </c>
      <c r="O531" s="51" t="str">
        <f t="shared" si="56"/>
        <v/>
      </c>
      <c r="P531" s="51" t="str">
        <f t="shared" si="57"/>
        <v/>
      </c>
      <c r="Q531" s="52" t="str">
        <f t="shared" si="58"/>
        <v/>
      </c>
      <c r="R531" s="52" t="str">
        <f t="shared" si="59"/>
        <v/>
      </c>
      <c r="S531" s="51" t="str">
        <f t="shared" si="60"/>
        <v/>
      </c>
      <c r="T531" t="str">
        <f t="shared" si="61"/>
        <v/>
      </c>
      <c r="U531" s="52" t="str">
        <f t="shared" si="62"/>
        <v/>
      </c>
    </row>
    <row r="532" spans="2:21" x14ac:dyDescent="0.25">
      <c r="B532">
        <v>550</v>
      </c>
      <c r="C532" t="s">
        <v>177</v>
      </c>
      <c r="D532" t="s">
        <v>1031</v>
      </c>
      <c r="E532" t="s">
        <v>1515</v>
      </c>
      <c r="F532" t="s">
        <v>1642</v>
      </c>
      <c r="G532">
        <v>6</v>
      </c>
      <c r="H532" s="48">
        <v>0</v>
      </c>
      <c r="I532" s="50">
        <v>0</v>
      </c>
      <c r="J532" s="50">
        <v>46273</v>
      </c>
      <c r="K532" s="54">
        <v>46275</v>
      </c>
      <c r="L532" s="54">
        <v>46269</v>
      </c>
      <c r="M532" s="54">
        <v>46274</v>
      </c>
      <c r="O532" s="51" t="str">
        <f t="shared" si="56"/>
        <v>SIM</v>
      </c>
      <c r="P532" s="51" t="str">
        <f t="shared" si="57"/>
        <v>BL1132-0001-EL-PQU-2000</v>
      </c>
      <c r="Q532" s="52">
        <f t="shared" si="58"/>
        <v>46274</v>
      </c>
      <c r="R532" s="52">
        <f t="shared" si="59"/>
        <v>46275</v>
      </c>
      <c r="S532" s="51" t="str">
        <f t="shared" si="60"/>
        <v/>
      </c>
      <c r="T532" t="str">
        <f t="shared" si="61"/>
        <v/>
      </c>
      <c r="U532" s="52" t="str">
        <f t="shared" si="62"/>
        <v/>
      </c>
    </row>
    <row r="533" spans="2:21" x14ac:dyDescent="0.25">
      <c r="B533">
        <v>551</v>
      </c>
      <c r="C533" t="s">
        <v>177</v>
      </c>
      <c r="D533" t="s">
        <v>1031</v>
      </c>
      <c r="E533" t="s">
        <v>1517</v>
      </c>
      <c r="F533" t="s">
        <v>1519</v>
      </c>
      <c r="G533">
        <v>6</v>
      </c>
      <c r="H533" s="48">
        <v>0</v>
      </c>
      <c r="I533" s="50">
        <v>0</v>
      </c>
      <c r="J533" s="50">
        <v>46275</v>
      </c>
      <c r="K533" s="54">
        <v>46280</v>
      </c>
      <c r="L533" s="54">
        <v>46274</v>
      </c>
      <c r="M533" s="54">
        <v>46279</v>
      </c>
      <c r="O533" s="51" t="str">
        <f t="shared" si="56"/>
        <v/>
      </c>
      <c r="P533" s="51" t="str">
        <f t="shared" si="57"/>
        <v/>
      </c>
      <c r="Q533" s="52" t="str">
        <f t="shared" si="58"/>
        <v/>
      </c>
      <c r="R533" s="52" t="str">
        <f t="shared" si="59"/>
        <v/>
      </c>
      <c r="S533" s="51" t="str">
        <f t="shared" si="60"/>
        <v/>
      </c>
      <c r="T533" t="str">
        <f t="shared" si="61"/>
        <v/>
      </c>
      <c r="U533" s="52" t="str">
        <f t="shared" si="62"/>
        <v/>
      </c>
    </row>
    <row r="534" spans="2:21" x14ac:dyDescent="0.25">
      <c r="B534">
        <v>552</v>
      </c>
      <c r="C534" t="s">
        <v>177</v>
      </c>
      <c r="D534" t="s">
        <v>1031</v>
      </c>
      <c r="E534" t="s">
        <v>1518</v>
      </c>
      <c r="F534" t="s">
        <v>1519</v>
      </c>
      <c r="G534">
        <v>4</v>
      </c>
      <c r="H534" s="48">
        <v>0</v>
      </c>
      <c r="I534" s="50">
        <v>0</v>
      </c>
      <c r="J534" s="50">
        <v>46280</v>
      </c>
      <c r="K534" s="54">
        <v>46283</v>
      </c>
      <c r="L534" s="54">
        <v>46279</v>
      </c>
      <c r="M534" s="54">
        <v>46282</v>
      </c>
      <c r="O534" s="51" t="str">
        <f t="shared" si="56"/>
        <v/>
      </c>
      <c r="P534" s="51" t="str">
        <f t="shared" si="57"/>
        <v/>
      </c>
      <c r="Q534" s="52" t="str">
        <f t="shared" si="58"/>
        <v/>
      </c>
      <c r="R534" s="52" t="str">
        <f t="shared" si="59"/>
        <v/>
      </c>
      <c r="S534" s="51" t="str">
        <f t="shared" si="60"/>
        <v>SIM</v>
      </c>
      <c r="T534" t="str">
        <f t="shared" si="61"/>
        <v>BL1132-0001-EL-PQU-2000</v>
      </c>
      <c r="U534" s="52">
        <f t="shared" si="62"/>
        <v>46282</v>
      </c>
    </row>
    <row r="535" spans="2:21" x14ac:dyDescent="0.25">
      <c r="B535">
        <v>553</v>
      </c>
      <c r="C535" t="s">
        <v>177</v>
      </c>
      <c r="D535" t="s">
        <v>1031</v>
      </c>
      <c r="E535" t="s">
        <v>1520</v>
      </c>
      <c r="F535" t="s">
        <v>1519</v>
      </c>
      <c r="G535">
        <v>6</v>
      </c>
      <c r="H535" s="48">
        <v>0</v>
      </c>
      <c r="I535" s="50">
        <v>0</v>
      </c>
      <c r="J535" s="50">
        <v>46283</v>
      </c>
      <c r="K535" s="54">
        <v>46288</v>
      </c>
      <c r="L535" s="54">
        <v>46282</v>
      </c>
      <c r="M535" s="54">
        <v>46287</v>
      </c>
      <c r="O535" s="51" t="str">
        <f t="shared" si="56"/>
        <v/>
      </c>
      <c r="P535" s="51" t="str">
        <f t="shared" si="57"/>
        <v/>
      </c>
      <c r="Q535" s="52" t="str">
        <f t="shared" si="58"/>
        <v/>
      </c>
      <c r="R535" s="52" t="str">
        <f t="shared" si="59"/>
        <v/>
      </c>
      <c r="S535" s="51" t="str">
        <f t="shared" si="60"/>
        <v/>
      </c>
      <c r="T535" t="str">
        <f t="shared" si="61"/>
        <v/>
      </c>
      <c r="U535" s="52" t="str">
        <f t="shared" si="62"/>
        <v/>
      </c>
    </row>
    <row r="536" spans="2:21" x14ac:dyDescent="0.25">
      <c r="B536">
        <v>554</v>
      </c>
      <c r="E536" t="s">
        <v>1624</v>
      </c>
      <c r="F536" t="s">
        <v>1527</v>
      </c>
      <c r="G536">
        <v>19</v>
      </c>
      <c r="H536" s="48">
        <v>0</v>
      </c>
      <c r="I536" s="50">
        <v>0</v>
      </c>
      <c r="J536" s="50">
        <v>46251</v>
      </c>
      <c r="K536" s="54">
        <v>46269</v>
      </c>
      <c r="L536" s="54">
        <v>46230</v>
      </c>
      <c r="M536" s="54">
        <v>46248</v>
      </c>
      <c r="O536" s="51" t="str">
        <f t="shared" si="56"/>
        <v/>
      </c>
      <c r="P536" s="51" t="str">
        <f t="shared" si="57"/>
        <v/>
      </c>
      <c r="Q536" s="52" t="str">
        <f t="shared" si="58"/>
        <v/>
      </c>
      <c r="R536" s="52" t="str">
        <f t="shared" si="59"/>
        <v/>
      </c>
      <c r="S536" s="51" t="str">
        <f t="shared" si="60"/>
        <v/>
      </c>
      <c r="T536" t="str">
        <f t="shared" si="61"/>
        <v/>
      </c>
      <c r="U536" s="52" t="str">
        <f t="shared" si="62"/>
        <v/>
      </c>
    </row>
    <row r="537" spans="2:21" x14ac:dyDescent="0.25">
      <c r="B537">
        <v>555</v>
      </c>
      <c r="C537" t="s">
        <v>285</v>
      </c>
      <c r="D537" t="s">
        <v>1410</v>
      </c>
      <c r="E537" t="s">
        <v>1685</v>
      </c>
      <c r="F537" t="s">
        <v>1527</v>
      </c>
      <c r="G537">
        <v>19</v>
      </c>
      <c r="H537" s="48">
        <v>0</v>
      </c>
      <c r="I537" s="50">
        <v>0</v>
      </c>
      <c r="J537" s="50">
        <v>46251</v>
      </c>
      <c r="K537" s="54">
        <v>46269</v>
      </c>
      <c r="L537" s="54">
        <v>46230</v>
      </c>
      <c r="M537" s="54">
        <v>46248</v>
      </c>
      <c r="O537" s="51" t="str">
        <f t="shared" si="56"/>
        <v/>
      </c>
      <c r="P537" s="51" t="str">
        <f t="shared" si="57"/>
        <v/>
      </c>
      <c r="Q537" s="52" t="str">
        <f t="shared" si="58"/>
        <v/>
      </c>
      <c r="R537" s="52" t="str">
        <f t="shared" si="59"/>
        <v/>
      </c>
      <c r="S537" s="51" t="str">
        <f t="shared" si="60"/>
        <v/>
      </c>
      <c r="T537" t="str">
        <f t="shared" si="61"/>
        <v/>
      </c>
      <c r="U537" s="52" t="str">
        <f t="shared" si="62"/>
        <v/>
      </c>
    </row>
    <row r="538" spans="2:21" x14ac:dyDescent="0.25">
      <c r="B538">
        <v>556</v>
      </c>
      <c r="C538" t="s">
        <v>285</v>
      </c>
      <c r="D538" t="s">
        <v>1410</v>
      </c>
      <c r="E538" t="s">
        <v>1515</v>
      </c>
      <c r="F538" t="s">
        <v>1528</v>
      </c>
      <c r="G538">
        <v>8</v>
      </c>
      <c r="H538" s="48">
        <v>0</v>
      </c>
      <c r="I538" s="50">
        <v>0</v>
      </c>
      <c r="J538" s="50">
        <v>46251</v>
      </c>
      <c r="K538" s="54">
        <v>46258</v>
      </c>
      <c r="L538" s="54">
        <v>46230</v>
      </c>
      <c r="M538" s="54">
        <v>46237</v>
      </c>
      <c r="O538" s="51" t="str">
        <f t="shared" si="56"/>
        <v>SIM</v>
      </c>
      <c r="P538" s="51" t="str">
        <f t="shared" si="57"/>
        <v>BL1132-0001-UT-MCA-2005</v>
      </c>
      <c r="Q538" s="52">
        <f t="shared" si="58"/>
        <v>46237</v>
      </c>
      <c r="R538" s="52">
        <f t="shared" si="59"/>
        <v>46258</v>
      </c>
      <c r="S538" s="51" t="str">
        <f t="shared" si="60"/>
        <v/>
      </c>
      <c r="T538" t="str">
        <f t="shared" si="61"/>
        <v/>
      </c>
      <c r="U538" s="52" t="str">
        <f t="shared" si="62"/>
        <v/>
      </c>
    </row>
    <row r="539" spans="2:21" x14ac:dyDescent="0.25">
      <c r="B539">
        <v>557</v>
      </c>
      <c r="C539" t="s">
        <v>285</v>
      </c>
      <c r="D539" t="s">
        <v>1410</v>
      </c>
      <c r="E539" t="s">
        <v>1517</v>
      </c>
      <c r="F539" t="s">
        <v>1519</v>
      </c>
      <c r="G539">
        <v>4</v>
      </c>
      <c r="H539" s="48">
        <v>0</v>
      </c>
      <c r="I539" s="50">
        <v>0</v>
      </c>
      <c r="J539" s="50">
        <v>46258</v>
      </c>
      <c r="K539" s="54">
        <v>46261</v>
      </c>
      <c r="L539" s="54">
        <v>46237</v>
      </c>
      <c r="M539" s="54">
        <v>46240</v>
      </c>
      <c r="O539" s="51" t="str">
        <f t="shared" si="56"/>
        <v/>
      </c>
      <c r="P539" s="51" t="str">
        <f t="shared" si="57"/>
        <v/>
      </c>
      <c r="Q539" s="52" t="str">
        <f t="shared" si="58"/>
        <v/>
      </c>
      <c r="R539" s="52" t="str">
        <f t="shared" si="59"/>
        <v/>
      </c>
      <c r="S539" s="51" t="str">
        <f t="shared" si="60"/>
        <v/>
      </c>
      <c r="T539" t="str">
        <f t="shared" si="61"/>
        <v/>
      </c>
      <c r="U539" s="52" t="str">
        <f t="shared" si="62"/>
        <v/>
      </c>
    </row>
    <row r="540" spans="2:21" x14ac:dyDescent="0.25">
      <c r="B540">
        <v>558</v>
      </c>
      <c r="C540" t="s">
        <v>285</v>
      </c>
      <c r="D540" t="s">
        <v>1410</v>
      </c>
      <c r="E540" t="s">
        <v>1518</v>
      </c>
      <c r="F540" t="s">
        <v>1519</v>
      </c>
      <c r="G540">
        <v>6</v>
      </c>
      <c r="H540" s="48">
        <v>0</v>
      </c>
      <c r="I540" s="50">
        <v>0</v>
      </c>
      <c r="J540" s="50">
        <v>46261</v>
      </c>
      <c r="K540" s="54">
        <v>46266</v>
      </c>
      <c r="L540" s="54">
        <v>46240</v>
      </c>
      <c r="M540" s="54">
        <v>46245</v>
      </c>
      <c r="O540" s="51" t="str">
        <f t="shared" si="56"/>
        <v/>
      </c>
      <c r="P540" s="51" t="str">
        <f t="shared" si="57"/>
        <v/>
      </c>
      <c r="Q540" s="52" t="str">
        <f t="shared" si="58"/>
        <v/>
      </c>
      <c r="R540" s="52" t="str">
        <f t="shared" si="59"/>
        <v/>
      </c>
      <c r="S540" s="51" t="str">
        <f t="shared" si="60"/>
        <v>SIM</v>
      </c>
      <c r="T540" t="str">
        <f t="shared" si="61"/>
        <v>BL1132-0001-UT-MCA-2005</v>
      </c>
      <c r="U540" s="52">
        <f t="shared" si="62"/>
        <v>46245</v>
      </c>
    </row>
    <row r="541" spans="2:21" x14ac:dyDescent="0.25">
      <c r="B541">
        <v>559</v>
      </c>
      <c r="C541" t="s">
        <v>285</v>
      </c>
      <c r="D541" t="s">
        <v>1410</v>
      </c>
      <c r="E541" t="s">
        <v>1520</v>
      </c>
      <c r="F541" t="s">
        <v>1519</v>
      </c>
      <c r="G541">
        <v>4</v>
      </c>
      <c r="H541" s="48">
        <v>0</v>
      </c>
      <c r="I541" s="50">
        <v>0</v>
      </c>
      <c r="J541" s="50">
        <v>46266</v>
      </c>
      <c r="K541" s="54">
        <v>46269</v>
      </c>
      <c r="L541" s="54">
        <v>46245</v>
      </c>
      <c r="M541" s="54">
        <v>46248</v>
      </c>
      <c r="O541" s="51" t="str">
        <f t="shared" si="56"/>
        <v/>
      </c>
      <c r="P541" s="51" t="str">
        <f t="shared" si="57"/>
        <v/>
      </c>
      <c r="Q541" s="52" t="str">
        <f t="shared" si="58"/>
        <v/>
      </c>
      <c r="R541" s="52" t="str">
        <f t="shared" si="59"/>
        <v/>
      </c>
      <c r="S541" s="51" t="str">
        <f t="shared" si="60"/>
        <v/>
      </c>
      <c r="T541" t="str">
        <f t="shared" si="61"/>
        <v/>
      </c>
      <c r="U541" s="52" t="str">
        <f t="shared" si="62"/>
        <v/>
      </c>
    </row>
    <row r="542" spans="2:21" x14ac:dyDescent="0.25">
      <c r="B542">
        <v>560</v>
      </c>
      <c r="E542" t="s">
        <v>1686</v>
      </c>
      <c r="F542" t="s">
        <v>1687</v>
      </c>
      <c r="G542">
        <v>29</v>
      </c>
      <c r="H542" s="48">
        <v>0.93159999999999998</v>
      </c>
      <c r="I542" s="50">
        <v>0.88660000000000005</v>
      </c>
      <c r="J542" s="50">
        <v>46199</v>
      </c>
      <c r="K542" s="54">
        <v>46226</v>
      </c>
      <c r="L542" s="54">
        <v>46199</v>
      </c>
      <c r="M542" s="54">
        <v>46227</v>
      </c>
      <c r="O542" s="51" t="str">
        <f t="shared" si="56"/>
        <v/>
      </c>
      <c r="P542" s="51" t="str">
        <f t="shared" si="57"/>
        <v/>
      </c>
      <c r="Q542" s="52" t="str">
        <f t="shared" si="58"/>
        <v/>
      </c>
      <c r="R542" s="52" t="str">
        <f t="shared" si="59"/>
        <v/>
      </c>
      <c r="S542" s="51" t="str">
        <f t="shared" si="60"/>
        <v/>
      </c>
      <c r="T542" t="str">
        <f t="shared" si="61"/>
        <v/>
      </c>
      <c r="U542" s="52" t="str">
        <f t="shared" si="62"/>
        <v/>
      </c>
    </row>
    <row r="543" spans="2:21" x14ac:dyDescent="0.25">
      <c r="B543">
        <v>561</v>
      </c>
      <c r="E543" t="s">
        <v>1555</v>
      </c>
      <c r="F543" t="s">
        <v>1605</v>
      </c>
      <c r="G543">
        <v>11</v>
      </c>
      <c r="H543" s="48">
        <v>1</v>
      </c>
      <c r="I543" s="50">
        <v>1</v>
      </c>
      <c r="J543" s="50">
        <v>46199</v>
      </c>
      <c r="K543" s="54">
        <v>46209</v>
      </c>
      <c r="L543" s="54">
        <v>46199</v>
      </c>
      <c r="M543" s="54">
        <v>46209</v>
      </c>
      <c r="O543" s="51" t="str">
        <f t="shared" si="56"/>
        <v/>
      </c>
      <c r="P543" s="51" t="str">
        <f t="shared" si="57"/>
        <v/>
      </c>
      <c r="Q543" s="52" t="str">
        <f t="shared" si="58"/>
        <v/>
      </c>
      <c r="R543" s="52" t="str">
        <f t="shared" si="59"/>
        <v/>
      </c>
      <c r="S543" s="51" t="str">
        <f t="shared" si="60"/>
        <v/>
      </c>
      <c r="T543" t="str">
        <f t="shared" si="61"/>
        <v/>
      </c>
      <c r="U543" s="52" t="str">
        <f t="shared" si="62"/>
        <v/>
      </c>
    </row>
    <row r="544" spans="2:21" x14ac:dyDescent="0.25">
      <c r="B544">
        <v>562</v>
      </c>
      <c r="E544" t="s">
        <v>1688</v>
      </c>
      <c r="F544" t="s">
        <v>1528</v>
      </c>
      <c r="G544">
        <v>8</v>
      </c>
      <c r="H544" s="48">
        <v>1</v>
      </c>
      <c r="I544" s="50">
        <v>1</v>
      </c>
      <c r="J544" s="50">
        <v>46199</v>
      </c>
      <c r="K544" s="54">
        <v>46206</v>
      </c>
      <c r="L544" s="54">
        <v>46199</v>
      </c>
      <c r="M544" s="54">
        <v>46206</v>
      </c>
      <c r="O544" s="51" t="str">
        <f t="shared" si="56"/>
        <v/>
      </c>
      <c r="P544" s="51" t="str">
        <f t="shared" si="57"/>
        <v/>
      </c>
      <c r="Q544" s="52" t="str">
        <f t="shared" si="58"/>
        <v/>
      </c>
      <c r="R544" s="52" t="str">
        <f t="shared" si="59"/>
        <v/>
      </c>
      <c r="S544" s="51" t="str">
        <f t="shared" si="60"/>
        <v/>
      </c>
      <c r="T544" t="str">
        <f t="shared" si="61"/>
        <v/>
      </c>
      <c r="U544" s="52" t="str">
        <f t="shared" si="62"/>
        <v/>
      </c>
    </row>
    <row r="545" spans="2:21" x14ac:dyDescent="0.25">
      <c r="B545">
        <v>563</v>
      </c>
      <c r="E545" t="s">
        <v>1689</v>
      </c>
      <c r="F545" t="s">
        <v>1525</v>
      </c>
      <c r="G545">
        <v>7</v>
      </c>
      <c r="H545" s="48">
        <v>1</v>
      </c>
      <c r="I545" s="50">
        <v>1</v>
      </c>
      <c r="J545" s="50">
        <v>46203</v>
      </c>
      <c r="K545" s="54">
        <v>46209</v>
      </c>
      <c r="L545" s="54">
        <v>46203</v>
      </c>
      <c r="M545" s="54">
        <v>46209</v>
      </c>
      <c r="O545" s="51" t="str">
        <f t="shared" si="56"/>
        <v/>
      </c>
      <c r="P545" s="51" t="str">
        <f t="shared" si="57"/>
        <v/>
      </c>
      <c r="Q545" s="52" t="str">
        <f t="shared" si="58"/>
        <v/>
      </c>
      <c r="R545" s="52" t="str">
        <f t="shared" si="59"/>
        <v/>
      </c>
      <c r="S545" s="51" t="str">
        <f t="shared" si="60"/>
        <v/>
      </c>
      <c r="T545" t="str">
        <f t="shared" si="61"/>
        <v/>
      </c>
      <c r="U545" s="52" t="str">
        <f t="shared" si="62"/>
        <v/>
      </c>
    </row>
    <row r="546" spans="2:21" x14ac:dyDescent="0.25">
      <c r="B546">
        <v>564</v>
      </c>
      <c r="E546" t="s">
        <v>1560</v>
      </c>
      <c r="F546" t="s">
        <v>1687</v>
      </c>
      <c r="G546">
        <v>29</v>
      </c>
      <c r="H546" s="48">
        <v>0.84709999999999996</v>
      </c>
      <c r="I546" s="50">
        <v>0.74670000000000003</v>
      </c>
      <c r="J546" s="50">
        <v>46199</v>
      </c>
      <c r="K546" s="54">
        <v>46226</v>
      </c>
      <c r="L546" s="54">
        <v>46199</v>
      </c>
      <c r="M546" s="54">
        <v>46227</v>
      </c>
      <c r="O546" s="51" t="str">
        <f t="shared" si="56"/>
        <v/>
      </c>
      <c r="P546" s="51" t="str">
        <f t="shared" si="57"/>
        <v/>
      </c>
      <c r="Q546" s="52" t="str">
        <f t="shared" si="58"/>
        <v/>
      </c>
      <c r="R546" s="52" t="str">
        <f t="shared" si="59"/>
        <v/>
      </c>
      <c r="S546" s="51" t="str">
        <f t="shared" si="60"/>
        <v/>
      </c>
      <c r="T546" t="str">
        <f t="shared" si="61"/>
        <v/>
      </c>
      <c r="U546" s="52" t="str">
        <f t="shared" si="62"/>
        <v/>
      </c>
    </row>
    <row r="547" spans="2:21" x14ac:dyDescent="0.25">
      <c r="B547">
        <v>565</v>
      </c>
      <c r="E547" t="s">
        <v>1657</v>
      </c>
      <c r="F547" t="s">
        <v>1687</v>
      </c>
      <c r="G547">
        <v>29</v>
      </c>
      <c r="H547" s="48">
        <v>0.84709999999999996</v>
      </c>
      <c r="I547" s="50">
        <v>0.74670000000000003</v>
      </c>
      <c r="J547" s="50">
        <v>46199</v>
      </c>
      <c r="K547" s="54">
        <v>46226</v>
      </c>
      <c r="L547" s="54">
        <v>46199</v>
      </c>
      <c r="M547" s="54">
        <v>46227</v>
      </c>
      <c r="O547" s="51" t="str">
        <f t="shared" si="56"/>
        <v/>
      </c>
      <c r="P547" s="51" t="str">
        <f t="shared" si="57"/>
        <v/>
      </c>
      <c r="Q547" s="52" t="str">
        <f t="shared" si="58"/>
        <v/>
      </c>
      <c r="R547" s="52" t="str">
        <f t="shared" si="59"/>
        <v/>
      </c>
      <c r="S547" s="51" t="str">
        <f t="shared" si="60"/>
        <v/>
      </c>
      <c r="T547" t="str">
        <f t="shared" si="61"/>
        <v/>
      </c>
      <c r="U547" s="52" t="str">
        <f t="shared" si="62"/>
        <v/>
      </c>
    </row>
    <row r="548" spans="2:21" x14ac:dyDescent="0.25">
      <c r="B548">
        <v>566</v>
      </c>
      <c r="C548" t="s">
        <v>135</v>
      </c>
      <c r="D548" t="s">
        <v>860</v>
      </c>
      <c r="E548" t="s">
        <v>1690</v>
      </c>
      <c r="F548" t="s">
        <v>1687</v>
      </c>
      <c r="G548">
        <v>29</v>
      </c>
      <c r="H548" s="48">
        <v>0.95079999999999998</v>
      </c>
      <c r="I548" s="50">
        <v>0.69330000000000003</v>
      </c>
      <c r="J548" s="50">
        <v>46199</v>
      </c>
      <c r="K548" s="54">
        <v>46219</v>
      </c>
      <c r="L548" s="54">
        <v>46199</v>
      </c>
      <c r="M548" s="54">
        <v>46227</v>
      </c>
      <c r="O548" s="51" t="str">
        <f t="shared" si="56"/>
        <v/>
      </c>
      <c r="P548" s="51" t="str">
        <f t="shared" si="57"/>
        <v/>
      </c>
      <c r="Q548" s="52" t="str">
        <f t="shared" si="58"/>
        <v/>
      </c>
      <c r="R548" s="52" t="str">
        <f t="shared" si="59"/>
        <v/>
      </c>
      <c r="S548" s="51" t="str">
        <f t="shared" si="60"/>
        <v/>
      </c>
      <c r="T548" t="str">
        <f t="shared" si="61"/>
        <v/>
      </c>
      <c r="U548" s="52" t="str">
        <f t="shared" si="62"/>
        <v/>
      </c>
    </row>
    <row r="549" spans="2:21" x14ac:dyDescent="0.25">
      <c r="B549">
        <v>567</v>
      </c>
      <c r="C549" t="s">
        <v>135</v>
      </c>
      <c r="D549" t="s">
        <v>860</v>
      </c>
      <c r="E549" t="s">
        <v>1515</v>
      </c>
      <c r="F549" t="s">
        <v>1605</v>
      </c>
      <c r="G549">
        <v>11</v>
      </c>
      <c r="H549" s="48">
        <v>1</v>
      </c>
      <c r="I549" s="50">
        <v>1</v>
      </c>
      <c r="J549" s="50">
        <v>46199</v>
      </c>
      <c r="K549" s="54">
        <v>46206</v>
      </c>
      <c r="L549" s="54">
        <v>46199</v>
      </c>
      <c r="M549" s="54">
        <v>46209</v>
      </c>
      <c r="O549" s="51" t="str">
        <f t="shared" si="56"/>
        <v>SIM</v>
      </c>
      <c r="P549" s="51" t="str">
        <f t="shared" si="57"/>
        <v>BL1132-0001-EL-DUN-2001</v>
      </c>
      <c r="Q549" s="52">
        <f t="shared" si="58"/>
        <v>46209</v>
      </c>
      <c r="R549" s="52">
        <f t="shared" si="59"/>
        <v>46206</v>
      </c>
      <c r="S549" s="51" t="str">
        <f t="shared" si="60"/>
        <v/>
      </c>
      <c r="T549" t="str">
        <f t="shared" si="61"/>
        <v/>
      </c>
      <c r="U549" s="52" t="str">
        <f t="shared" si="62"/>
        <v/>
      </c>
    </row>
    <row r="550" spans="2:21" x14ac:dyDescent="0.25">
      <c r="B550">
        <v>568</v>
      </c>
      <c r="C550" t="s">
        <v>135</v>
      </c>
      <c r="D550" t="s">
        <v>860</v>
      </c>
      <c r="E550" t="s">
        <v>1517</v>
      </c>
      <c r="F550" t="s">
        <v>1516</v>
      </c>
      <c r="G550">
        <v>11</v>
      </c>
      <c r="H550" s="48">
        <v>1</v>
      </c>
      <c r="I550" s="50">
        <v>0</v>
      </c>
      <c r="J550" s="50">
        <v>46206</v>
      </c>
      <c r="K550" s="54">
        <v>46211</v>
      </c>
      <c r="L550" s="54">
        <v>46209</v>
      </c>
      <c r="M550" s="54">
        <v>46219</v>
      </c>
      <c r="O550" s="51" t="str">
        <f t="shared" si="56"/>
        <v/>
      </c>
      <c r="P550" s="51" t="str">
        <f t="shared" si="57"/>
        <v/>
      </c>
      <c r="Q550" s="52" t="str">
        <f t="shared" si="58"/>
        <v/>
      </c>
      <c r="R550" s="52" t="str">
        <f t="shared" si="59"/>
        <v/>
      </c>
      <c r="S550" s="51" t="str">
        <f t="shared" si="60"/>
        <v/>
      </c>
      <c r="T550" t="str">
        <f t="shared" si="61"/>
        <v/>
      </c>
      <c r="U550" s="52" t="str">
        <f t="shared" si="62"/>
        <v/>
      </c>
    </row>
    <row r="551" spans="2:21" x14ac:dyDescent="0.25">
      <c r="B551">
        <v>569</v>
      </c>
      <c r="C551" t="s">
        <v>135</v>
      </c>
      <c r="D551" t="s">
        <v>860</v>
      </c>
      <c r="E551" t="s">
        <v>1518</v>
      </c>
      <c r="F551" t="s">
        <v>1519</v>
      </c>
      <c r="G551">
        <v>6</v>
      </c>
      <c r="H551" s="48">
        <v>0.87</v>
      </c>
      <c r="I551" s="50">
        <v>0</v>
      </c>
      <c r="J551" s="50">
        <v>46211</v>
      </c>
      <c r="K551" s="54">
        <v>46216</v>
      </c>
      <c r="L551" s="54">
        <v>46219</v>
      </c>
      <c r="M551" s="54">
        <v>46224</v>
      </c>
      <c r="O551" s="51" t="str">
        <f t="shared" si="56"/>
        <v/>
      </c>
      <c r="P551" s="51" t="str">
        <f t="shared" si="57"/>
        <v/>
      </c>
      <c r="Q551" s="52" t="str">
        <f t="shared" si="58"/>
        <v/>
      </c>
      <c r="R551" s="52" t="str">
        <f t="shared" si="59"/>
        <v/>
      </c>
      <c r="S551" s="51" t="str">
        <f t="shared" si="60"/>
        <v>SIM</v>
      </c>
      <c r="T551" t="str">
        <f t="shared" si="61"/>
        <v>BL1132-0001-EL-DUN-2001</v>
      </c>
      <c r="U551" s="52">
        <f t="shared" si="62"/>
        <v>46224</v>
      </c>
    </row>
    <row r="552" spans="2:21" x14ac:dyDescent="0.25">
      <c r="B552">
        <v>570</v>
      </c>
      <c r="C552" t="s">
        <v>135</v>
      </c>
      <c r="D552" t="s">
        <v>860</v>
      </c>
      <c r="E552" t="s">
        <v>1520</v>
      </c>
      <c r="F552" t="s">
        <v>1519</v>
      </c>
      <c r="G552">
        <v>4</v>
      </c>
      <c r="H552" s="48">
        <v>0</v>
      </c>
      <c r="I552" s="50">
        <v>0</v>
      </c>
      <c r="J552" s="50">
        <v>46216</v>
      </c>
      <c r="K552" s="54">
        <v>46219</v>
      </c>
      <c r="L552" s="54">
        <v>46224</v>
      </c>
      <c r="M552" s="54">
        <v>46227</v>
      </c>
      <c r="O552" s="51" t="str">
        <f t="shared" si="56"/>
        <v/>
      </c>
      <c r="P552" s="51" t="str">
        <f t="shared" si="57"/>
        <v/>
      </c>
      <c r="Q552" s="52" t="str">
        <f t="shared" si="58"/>
        <v/>
      </c>
      <c r="R552" s="52" t="str">
        <f t="shared" si="59"/>
        <v/>
      </c>
      <c r="S552" s="51" t="str">
        <f t="shared" si="60"/>
        <v/>
      </c>
      <c r="T552" t="str">
        <f t="shared" si="61"/>
        <v/>
      </c>
      <c r="U552" s="52" t="str">
        <f t="shared" si="62"/>
        <v/>
      </c>
    </row>
    <row r="553" spans="2:21" x14ac:dyDescent="0.25">
      <c r="B553">
        <v>571</v>
      </c>
      <c r="C553" t="s">
        <v>136</v>
      </c>
      <c r="D553" t="s">
        <v>866</v>
      </c>
      <c r="E553" t="s">
        <v>1691</v>
      </c>
      <c r="F553" t="s">
        <v>1641</v>
      </c>
      <c r="G553">
        <v>18</v>
      </c>
      <c r="H553" s="48">
        <v>0.74350000000000005</v>
      </c>
      <c r="I553" s="50">
        <v>0.8</v>
      </c>
      <c r="J553" s="50">
        <v>46206</v>
      </c>
      <c r="K553" s="54">
        <v>46226</v>
      </c>
      <c r="L553" s="54">
        <v>46206</v>
      </c>
      <c r="M553" s="54">
        <v>46223</v>
      </c>
      <c r="O553" s="51" t="str">
        <f t="shared" si="56"/>
        <v/>
      </c>
      <c r="P553" s="51" t="str">
        <f t="shared" si="57"/>
        <v/>
      </c>
      <c r="Q553" s="52" t="str">
        <f t="shared" si="58"/>
        <v/>
      </c>
      <c r="R553" s="52" t="str">
        <f t="shared" si="59"/>
        <v/>
      </c>
      <c r="S553" s="51" t="str">
        <f t="shared" si="60"/>
        <v/>
      </c>
      <c r="T553" t="str">
        <f t="shared" si="61"/>
        <v/>
      </c>
      <c r="U553" s="52" t="str">
        <f t="shared" si="62"/>
        <v/>
      </c>
    </row>
    <row r="554" spans="2:21" x14ac:dyDescent="0.25">
      <c r="B554">
        <v>572</v>
      </c>
      <c r="C554" t="s">
        <v>136</v>
      </c>
      <c r="D554" t="s">
        <v>866</v>
      </c>
      <c r="E554" t="s">
        <v>1515</v>
      </c>
      <c r="F554" t="s">
        <v>1525</v>
      </c>
      <c r="G554">
        <v>7</v>
      </c>
      <c r="H554" s="48">
        <v>1</v>
      </c>
      <c r="I554" s="50">
        <v>1</v>
      </c>
      <c r="J554" s="50">
        <v>46206</v>
      </c>
      <c r="K554" s="54">
        <v>46213</v>
      </c>
      <c r="L554" s="54">
        <v>46206</v>
      </c>
      <c r="M554" s="54">
        <v>46212</v>
      </c>
      <c r="O554" s="51" t="str">
        <f t="shared" si="56"/>
        <v>SIM</v>
      </c>
      <c r="P554" s="51" t="str">
        <f t="shared" si="57"/>
        <v>BL1132-0001-EL-DUN-2002</v>
      </c>
      <c r="Q554" s="52">
        <f t="shared" si="58"/>
        <v>46212</v>
      </c>
      <c r="R554" s="52">
        <f t="shared" si="59"/>
        <v>46213</v>
      </c>
      <c r="S554" s="51" t="str">
        <f t="shared" si="60"/>
        <v/>
      </c>
      <c r="T554" t="str">
        <f t="shared" si="61"/>
        <v/>
      </c>
      <c r="U554" s="52" t="str">
        <f t="shared" si="62"/>
        <v/>
      </c>
    </row>
    <row r="555" spans="2:21" x14ac:dyDescent="0.25">
      <c r="B555">
        <v>573</v>
      </c>
      <c r="C555" t="s">
        <v>136</v>
      </c>
      <c r="D555" t="s">
        <v>866</v>
      </c>
      <c r="E555" t="s">
        <v>1517</v>
      </c>
      <c r="F555" t="s">
        <v>1692</v>
      </c>
      <c r="G555">
        <v>2</v>
      </c>
      <c r="H555" s="48">
        <v>0.47</v>
      </c>
      <c r="I555" s="50">
        <v>1</v>
      </c>
      <c r="J555" s="50">
        <v>46213</v>
      </c>
      <c r="K555" s="54">
        <v>46218</v>
      </c>
      <c r="L555" s="54">
        <v>46212</v>
      </c>
      <c r="M555" s="54">
        <v>46213</v>
      </c>
      <c r="O555" s="51" t="str">
        <f t="shared" si="56"/>
        <v/>
      </c>
      <c r="P555" s="51" t="str">
        <f t="shared" si="57"/>
        <v/>
      </c>
      <c r="Q555" s="52" t="str">
        <f t="shared" si="58"/>
        <v/>
      </c>
      <c r="R555" s="52" t="str">
        <f t="shared" si="59"/>
        <v/>
      </c>
      <c r="S555" s="51" t="str">
        <f t="shared" si="60"/>
        <v/>
      </c>
      <c r="T555" t="str">
        <f t="shared" si="61"/>
        <v/>
      </c>
      <c r="U555" s="52" t="str">
        <f t="shared" si="62"/>
        <v/>
      </c>
    </row>
    <row r="556" spans="2:21" x14ac:dyDescent="0.25">
      <c r="B556">
        <v>574</v>
      </c>
      <c r="C556" t="s">
        <v>136</v>
      </c>
      <c r="D556" t="s">
        <v>866</v>
      </c>
      <c r="E556" t="s">
        <v>1518</v>
      </c>
      <c r="F556" t="s">
        <v>1519</v>
      </c>
      <c r="G556">
        <v>6</v>
      </c>
      <c r="H556" s="48">
        <v>0</v>
      </c>
      <c r="I556" s="50">
        <v>0</v>
      </c>
      <c r="J556" s="50">
        <v>46218</v>
      </c>
      <c r="K556" s="54">
        <v>46223</v>
      </c>
      <c r="L556" s="54">
        <v>46213</v>
      </c>
      <c r="M556" s="54">
        <v>46218</v>
      </c>
      <c r="O556" s="51" t="str">
        <f t="shared" si="56"/>
        <v/>
      </c>
      <c r="P556" s="51" t="str">
        <f t="shared" si="57"/>
        <v/>
      </c>
      <c r="Q556" s="52" t="str">
        <f t="shared" si="58"/>
        <v/>
      </c>
      <c r="R556" s="52" t="str">
        <f t="shared" si="59"/>
        <v/>
      </c>
      <c r="S556" s="51" t="str">
        <f t="shared" si="60"/>
        <v>SIM</v>
      </c>
      <c r="T556" t="str">
        <f t="shared" si="61"/>
        <v>BL1132-0001-EL-DUN-2002</v>
      </c>
      <c r="U556" s="52">
        <f t="shared" si="62"/>
        <v>46218</v>
      </c>
    </row>
    <row r="557" spans="2:21" x14ac:dyDescent="0.25">
      <c r="B557">
        <v>575</v>
      </c>
      <c r="C557" t="s">
        <v>136</v>
      </c>
      <c r="D557" t="s">
        <v>866</v>
      </c>
      <c r="E557" t="s">
        <v>1520</v>
      </c>
      <c r="F557" t="s">
        <v>1519</v>
      </c>
      <c r="G557">
        <v>6</v>
      </c>
      <c r="H557" s="48">
        <v>0</v>
      </c>
      <c r="I557" s="50">
        <v>0</v>
      </c>
      <c r="J557" s="50">
        <v>46223</v>
      </c>
      <c r="K557" s="54">
        <v>46226</v>
      </c>
      <c r="L557" s="54">
        <v>46218</v>
      </c>
      <c r="M557" s="54">
        <v>46223</v>
      </c>
      <c r="O557" s="51" t="str">
        <f t="shared" si="56"/>
        <v/>
      </c>
      <c r="P557" s="51" t="str">
        <f t="shared" si="57"/>
        <v/>
      </c>
      <c r="Q557" s="52" t="str">
        <f t="shared" si="58"/>
        <v/>
      </c>
      <c r="R557" s="52" t="str">
        <f t="shared" si="59"/>
        <v/>
      </c>
      <c r="S557" s="51" t="str">
        <f t="shared" si="60"/>
        <v/>
      </c>
      <c r="T557" t="str">
        <f t="shared" si="61"/>
        <v/>
      </c>
      <c r="U557" s="52" t="str">
        <f t="shared" si="62"/>
        <v/>
      </c>
    </row>
    <row r="558" spans="2:21" x14ac:dyDescent="0.25">
      <c r="B558">
        <v>576</v>
      </c>
      <c r="E558" t="s">
        <v>1693</v>
      </c>
      <c r="F558" t="s">
        <v>1590</v>
      </c>
      <c r="G558">
        <v>54</v>
      </c>
      <c r="H558" s="48">
        <v>3.2399999999999998E-2</v>
      </c>
      <c r="I558" s="50">
        <v>0.1207</v>
      </c>
      <c r="J558" s="50">
        <v>46213</v>
      </c>
      <c r="K558" s="54">
        <v>46254</v>
      </c>
      <c r="L558" s="54">
        <v>46202</v>
      </c>
      <c r="M558" s="54">
        <v>46255</v>
      </c>
      <c r="O558" s="51" t="str">
        <f t="shared" si="56"/>
        <v/>
      </c>
      <c r="P558" s="51" t="str">
        <f t="shared" si="57"/>
        <v/>
      </c>
      <c r="Q558" s="52" t="str">
        <f t="shared" si="58"/>
        <v/>
      </c>
      <c r="R558" s="52" t="str">
        <f t="shared" si="59"/>
        <v/>
      </c>
      <c r="S558" s="51" t="str">
        <f t="shared" si="60"/>
        <v/>
      </c>
      <c r="T558" t="str">
        <f t="shared" si="61"/>
        <v/>
      </c>
      <c r="U558" s="52" t="str">
        <f t="shared" si="62"/>
        <v/>
      </c>
    </row>
    <row r="559" spans="2:21" x14ac:dyDescent="0.25">
      <c r="B559">
        <v>577</v>
      </c>
      <c r="E559" t="s">
        <v>1555</v>
      </c>
      <c r="F559" t="s">
        <v>1465</v>
      </c>
      <c r="G559">
        <v>45</v>
      </c>
      <c r="H559" s="48">
        <v>0</v>
      </c>
      <c r="I559" s="50">
        <v>0.2</v>
      </c>
      <c r="J559" s="50">
        <v>46218</v>
      </c>
      <c r="K559" s="54">
        <v>46245</v>
      </c>
      <c r="L559" s="54">
        <v>46202</v>
      </c>
      <c r="M559" s="54">
        <v>46246</v>
      </c>
      <c r="O559" s="51" t="str">
        <f t="shared" si="56"/>
        <v/>
      </c>
      <c r="P559" s="51" t="str">
        <f t="shared" si="57"/>
        <v/>
      </c>
      <c r="Q559" s="52" t="str">
        <f t="shared" si="58"/>
        <v/>
      </c>
      <c r="R559" s="52" t="str">
        <f t="shared" si="59"/>
        <v/>
      </c>
      <c r="S559" s="51" t="str">
        <f t="shared" si="60"/>
        <v/>
      </c>
      <c r="T559" t="str">
        <f t="shared" si="61"/>
        <v/>
      </c>
      <c r="U559" s="52" t="str">
        <f t="shared" si="62"/>
        <v/>
      </c>
    </row>
    <row r="560" spans="2:21" x14ac:dyDescent="0.25">
      <c r="B560">
        <v>578</v>
      </c>
      <c r="E560" t="s">
        <v>1688</v>
      </c>
      <c r="F560" t="s">
        <v>1528</v>
      </c>
      <c r="G560">
        <v>8</v>
      </c>
      <c r="H560" s="48">
        <v>0</v>
      </c>
      <c r="I560" s="50">
        <v>0</v>
      </c>
      <c r="J560" s="50">
        <v>46218</v>
      </c>
      <c r="K560" s="54">
        <v>46225</v>
      </c>
      <c r="L560" s="54">
        <v>46217</v>
      </c>
      <c r="M560" s="54">
        <v>46224</v>
      </c>
      <c r="O560" s="51" t="str">
        <f t="shared" si="56"/>
        <v/>
      </c>
      <c r="P560" s="51" t="str">
        <f t="shared" si="57"/>
        <v/>
      </c>
      <c r="Q560" s="52" t="str">
        <f t="shared" si="58"/>
        <v/>
      </c>
      <c r="R560" s="52" t="str">
        <f t="shared" si="59"/>
        <v/>
      </c>
      <c r="S560" s="51" t="str">
        <f t="shared" si="60"/>
        <v/>
      </c>
      <c r="T560" t="str">
        <f t="shared" si="61"/>
        <v/>
      </c>
      <c r="U560" s="52" t="str">
        <f t="shared" si="62"/>
        <v/>
      </c>
    </row>
    <row r="561" spans="2:21" x14ac:dyDescent="0.25">
      <c r="B561">
        <v>579</v>
      </c>
      <c r="E561" t="s">
        <v>1689</v>
      </c>
      <c r="F561" t="s">
        <v>1687</v>
      </c>
      <c r="G561">
        <v>29</v>
      </c>
      <c r="H561" s="48">
        <v>0</v>
      </c>
      <c r="I561" s="50">
        <v>0.8</v>
      </c>
      <c r="J561" s="50">
        <v>46223</v>
      </c>
      <c r="K561" s="54">
        <v>46227</v>
      </c>
      <c r="L561" s="54">
        <v>46202</v>
      </c>
      <c r="M561" s="54">
        <v>46230</v>
      </c>
      <c r="O561" s="51" t="str">
        <f t="shared" si="56"/>
        <v/>
      </c>
      <c r="P561" s="51" t="str">
        <f t="shared" si="57"/>
        <v/>
      </c>
      <c r="Q561" s="52" t="str">
        <f t="shared" si="58"/>
        <v/>
      </c>
      <c r="R561" s="52" t="str">
        <f t="shared" si="59"/>
        <v/>
      </c>
      <c r="S561" s="51" t="str">
        <f t="shared" si="60"/>
        <v/>
      </c>
      <c r="T561" t="str">
        <f t="shared" si="61"/>
        <v/>
      </c>
      <c r="U561" s="52" t="str">
        <f t="shared" si="62"/>
        <v/>
      </c>
    </row>
    <row r="562" spans="2:21" x14ac:dyDescent="0.25">
      <c r="B562">
        <v>580</v>
      </c>
      <c r="E562" t="s">
        <v>1572</v>
      </c>
      <c r="F562" t="s">
        <v>1528</v>
      </c>
      <c r="G562">
        <v>8</v>
      </c>
      <c r="H562" s="48">
        <v>0</v>
      </c>
      <c r="I562" s="50">
        <v>0</v>
      </c>
      <c r="J562" s="50">
        <v>46238</v>
      </c>
      <c r="K562" s="54">
        <v>46245</v>
      </c>
      <c r="L562" s="54">
        <v>46239</v>
      </c>
      <c r="M562" s="54">
        <v>46246</v>
      </c>
      <c r="O562" s="51" t="str">
        <f t="shared" si="56"/>
        <v/>
      </c>
      <c r="P562" s="51" t="str">
        <f t="shared" si="57"/>
        <v/>
      </c>
      <c r="Q562" s="52" t="str">
        <f t="shared" si="58"/>
        <v/>
      </c>
      <c r="R562" s="52" t="str">
        <f t="shared" si="59"/>
        <v/>
      </c>
      <c r="S562" s="51" t="str">
        <f t="shared" si="60"/>
        <v/>
      </c>
      <c r="T562" t="str">
        <f t="shared" si="61"/>
        <v/>
      </c>
      <c r="U562" s="52" t="str">
        <f t="shared" si="62"/>
        <v/>
      </c>
    </row>
    <row r="563" spans="2:21" x14ac:dyDescent="0.25">
      <c r="B563">
        <v>581</v>
      </c>
      <c r="E563" t="s">
        <v>1557</v>
      </c>
      <c r="F563" t="s">
        <v>1528</v>
      </c>
      <c r="G563">
        <v>8</v>
      </c>
      <c r="H563" s="48">
        <v>0</v>
      </c>
      <c r="I563" s="50">
        <v>0</v>
      </c>
      <c r="J563" s="50">
        <v>46231</v>
      </c>
      <c r="K563" s="54">
        <v>46238</v>
      </c>
      <c r="L563" s="54">
        <v>46232</v>
      </c>
      <c r="M563" s="54">
        <v>46239</v>
      </c>
      <c r="O563" s="51" t="str">
        <f t="shared" si="56"/>
        <v/>
      </c>
      <c r="P563" s="51" t="str">
        <f t="shared" si="57"/>
        <v/>
      </c>
      <c r="Q563" s="52" t="str">
        <f t="shared" si="58"/>
        <v/>
      </c>
      <c r="R563" s="52" t="str">
        <f t="shared" si="59"/>
        <v/>
      </c>
      <c r="S563" s="51" t="str">
        <f t="shared" si="60"/>
        <v/>
      </c>
      <c r="T563" t="str">
        <f t="shared" si="61"/>
        <v/>
      </c>
      <c r="U563" s="52" t="str">
        <f t="shared" si="62"/>
        <v/>
      </c>
    </row>
    <row r="564" spans="2:21" x14ac:dyDescent="0.25">
      <c r="B564">
        <v>582</v>
      </c>
      <c r="E564" t="s">
        <v>1560</v>
      </c>
      <c r="F564" t="s">
        <v>1479</v>
      </c>
      <c r="G564">
        <v>44</v>
      </c>
      <c r="H564" s="48">
        <v>4.3900000000000002E-2</v>
      </c>
      <c r="I564" s="50">
        <v>9.2399999999999996E-2</v>
      </c>
      <c r="J564" s="50">
        <v>46213</v>
      </c>
      <c r="K564" s="54">
        <v>46254</v>
      </c>
      <c r="L564" s="54">
        <v>46212</v>
      </c>
      <c r="M564" s="54">
        <v>46255</v>
      </c>
      <c r="O564" s="51" t="str">
        <f t="shared" si="56"/>
        <v/>
      </c>
      <c r="P564" s="51" t="str">
        <f t="shared" si="57"/>
        <v/>
      </c>
      <c r="Q564" s="52" t="str">
        <f t="shared" si="58"/>
        <v/>
      </c>
      <c r="R564" s="52" t="str">
        <f t="shared" si="59"/>
        <v/>
      </c>
      <c r="S564" s="51" t="str">
        <f t="shared" si="60"/>
        <v/>
      </c>
      <c r="T564" t="str">
        <f t="shared" si="61"/>
        <v/>
      </c>
      <c r="U564" s="52" t="str">
        <f t="shared" si="62"/>
        <v/>
      </c>
    </row>
    <row r="565" spans="2:21" x14ac:dyDescent="0.25">
      <c r="B565">
        <v>583</v>
      </c>
      <c r="E565" t="s">
        <v>1657</v>
      </c>
      <c r="F565" t="s">
        <v>1598</v>
      </c>
      <c r="G565">
        <v>26</v>
      </c>
      <c r="H565" s="48">
        <v>0.13170000000000001</v>
      </c>
      <c r="I565" s="50">
        <v>0.27729999999999999</v>
      </c>
      <c r="J565" s="50">
        <v>46213</v>
      </c>
      <c r="K565" s="54">
        <v>46238</v>
      </c>
      <c r="L565" s="54">
        <v>46212</v>
      </c>
      <c r="M565" s="54">
        <v>46237</v>
      </c>
      <c r="O565" s="51" t="str">
        <f t="shared" si="56"/>
        <v/>
      </c>
      <c r="P565" s="51" t="str">
        <f t="shared" si="57"/>
        <v/>
      </c>
      <c r="Q565" s="52" t="str">
        <f t="shared" si="58"/>
        <v/>
      </c>
      <c r="R565" s="52" t="str">
        <f t="shared" si="59"/>
        <v/>
      </c>
      <c r="S565" s="51" t="str">
        <f t="shared" si="60"/>
        <v/>
      </c>
      <c r="T565" t="str">
        <f t="shared" si="61"/>
        <v/>
      </c>
      <c r="U565" s="52" t="str">
        <f t="shared" si="62"/>
        <v/>
      </c>
    </row>
    <row r="566" spans="2:21" x14ac:dyDescent="0.25">
      <c r="B566">
        <v>584</v>
      </c>
      <c r="C566" t="s">
        <v>137</v>
      </c>
      <c r="D566" t="s">
        <v>871</v>
      </c>
      <c r="E566" t="s">
        <v>1694</v>
      </c>
      <c r="F566" t="s">
        <v>1598</v>
      </c>
      <c r="G566">
        <v>26</v>
      </c>
      <c r="H566" s="48">
        <v>0.13170000000000001</v>
      </c>
      <c r="I566" s="50">
        <v>0.27729999999999999</v>
      </c>
      <c r="J566" s="50">
        <v>46213</v>
      </c>
      <c r="K566" s="54">
        <v>46238</v>
      </c>
      <c r="L566" s="54">
        <v>46212</v>
      </c>
      <c r="M566" s="54">
        <v>46237</v>
      </c>
      <c r="O566" s="51" t="str">
        <f t="shared" si="56"/>
        <v/>
      </c>
      <c r="P566" s="51" t="str">
        <f t="shared" si="57"/>
        <v/>
      </c>
      <c r="Q566" s="52" t="str">
        <f t="shared" si="58"/>
        <v/>
      </c>
      <c r="R566" s="52" t="str">
        <f t="shared" si="59"/>
        <v/>
      </c>
      <c r="S566" s="51" t="str">
        <f t="shared" si="60"/>
        <v/>
      </c>
      <c r="T566" t="str">
        <f t="shared" si="61"/>
        <v/>
      </c>
      <c r="U566" s="52" t="str">
        <f t="shared" si="62"/>
        <v/>
      </c>
    </row>
    <row r="567" spans="2:21" x14ac:dyDescent="0.25">
      <c r="B567">
        <v>585</v>
      </c>
      <c r="C567" t="s">
        <v>137</v>
      </c>
      <c r="D567" t="s">
        <v>871</v>
      </c>
      <c r="E567" t="s">
        <v>1515</v>
      </c>
      <c r="F567" t="s">
        <v>1516</v>
      </c>
      <c r="G567">
        <v>13</v>
      </c>
      <c r="H567" s="48">
        <v>0.19</v>
      </c>
      <c r="I567" s="50">
        <v>0.4</v>
      </c>
      <c r="J567" s="50">
        <v>46213</v>
      </c>
      <c r="K567" s="54">
        <v>46225</v>
      </c>
      <c r="L567" s="54">
        <v>46212</v>
      </c>
      <c r="M567" s="54">
        <v>46224</v>
      </c>
      <c r="O567" s="51" t="str">
        <f t="shared" si="56"/>
        <v>SIM</v>
      </c>
      <c r="P567" s="51" t="str">
        <f t="shared" si="57"/>
        <v>BL1132-0001-EL-DUN-2003</v>
      </c>
      <c r="Q567" s="52">
        <f t="shared" si="58"/>
        <v>46224</v>
      </c>
      <c r="R567" s="52">
        <f t="shared" si="59"/>
        <v>46225</v>
      </c>
      <c r="S567" s="51" t="str">
        <f t="shared" si="60"/>
        <v/>
      </c>
      <c r="T567" t="str">
        <f t="shared" si="61"/>
        <v/>
      </c>
      <c r="U567" s="52" t="str">
        <f t="shared" si="62"/>
        <v/>
      </c>
    </row>
    <row r="568" spans="2:21" x14ac:dyDescent="0.25">
      <c r="B568">
        <v>586</v>
      </c>
      <c r="C568" t="s">
        <v>137</v>
      </c>
      <c r="D568" t="s">
        <v>871</v>
      </c>
      <c r="E568" t="s">
        <v>1517</v>
      </c>
      <c r="F568" t="s">
        <v>1519</v>
      </c>
      <c r="G568">
        <v>4</v>
      </c>
      <c r="H568" s="48">
        <v>0</v>
      </c>
      <c r="I568" s="50">
        <v>0</v>
      </c>
      <c r="J568" s="50">
        <v>46225</v>
      </c>
      <c r="K568" s="54">
        <v>46230</v>
      </c>
      <c r="L568" s="54">
        <v>46224</v>
      </c>
      <c r="M568" s="54">
        <v>46227</v>
      </c>
      <c r="O568" s="51" t="str">
        <f t="shared" si="56"/>
        <v/>
      </c>
      <c r="P568" s="51" t="str">
        <f t="shared" si="57"/>
        <v/>
      </c>
      <c r="Q568" s="52" t="str">
        <f t="shared" si="58"/>
        <v/>
      </c>
      <c r="R568" s="52" t="str">
        <f t="shared" si="59"/>
        <v/>
      </c>
      <c r="S568" s="51" t="str">
        <f t="shared" si="60"/>
        <v/>
      </c>
      <c r="T568" t="str">
        <f t="shared" si="61"/>
        <v/>
      </c>
      <c r="U568" s="52" t="str">
        <f t="shared" si="62"/>
        <v/>
      </c>
    </row>
    <row r="569" spans="2:21" x14ac:dyDescent="0.25">
      <c r="B569">
        <v>587</v>
      </c>
      <c r="C569" t="s">
        <v>137</v>
      </c>
      <c r="D569" t="s">
        <v>871</v>
      </c>
      <c r="E569" t="s">
        <v>1518</v>
      </c>
      <c r="F569" t="s">
        <v>1519</v>
      </c>
      <c r="G569">
        <v>6</v>
      </c>
      <c r="H569" s="48">
        <v>0</v>
      </c>
      <c r="I569" s="50">
        <v>0</v>
      </c>
      <c r="J569" s="50">
        <v>46230</v>
      </c>
      <c r="K569" s="54">
        <v>46233</v>
      </c>
      <c r="L569" s="54">
        <v>46227</v>
      </c>
      <c r="M569" s="54">
        <v>46232</v>
      </c>
      <c r="O569" s="51" t="str">
        <f t="shared" si="56"/>
        <v/>
      </c>
      <c r="P569" s="51" t="str">
        <f t="shared" si="57"/>
        <v/>
      </c>
      <c r="Q569" s="52" t="str">
        <f t="shared" si="58"/>
        <v/>
      </c>
      <c r="R569" s="52" t="str">
        <f t="shared" si="59"/>
        <v/>
      </c>
      <c r="S569" s="51" t="str">
        <f t="shared" si="60"/>
        <v>SIM</v>
      </c>
      <c r="T569" t="str">
        <f t="shared" si="61"/>
        <v>BL1132-0001-EL-DUN-2003</v>
      </c>
      <c r="U569" s="52">
        <f t="shared" si="62"/>
        <v>46232</v>
      </c>
    </row>
    <row r="570" spans="2:21" x14ac:dyDescent="0.25">
      <c r="B570">
        <v>588</v>
      </c>
      <c r="C570" t="s">
        <v>137</v>
      </c>
      <c r="D570" t="s">
        <v>871</v>
      </c>
      <c r="E570" t="s">
        <v>1520</v>
      </c>
      <c r="F570" t="s">
        <v>1519</v>
      </c>
      <c r="G570">
        <v>6</v>
      </c>
      <c r="H570" s="48">
        <v>0</v>
      </c>
      <c r="I570" s="50">
        <v>0</v>
      </c>
      <c r="J570" s="50">
        <v>46233</v>
      </c>
      <c r="K570" s="54">
        <v>46238</v>
      </c>
      <c r="L570" s="54">
        <v>46232</v>
      </c>
      <c r="M570" s="54">
        <v>46237</v>
      </c>
      <c r="O570" s="51" t="str">
        <f t="shared" si="56"/>
        <v/>
      </c>
      <c r="P570" s="51" t="str">
        <f t="shared" si="57"/>
        <v/>
      </c>
      <c r="Q570" s="52" t="str">
        <f t="shared" si="58"/>
        <v/>
      </c>
      <c r="R570" s="52" t="str">
        <f t="shared" si="59"/>
        <v/>
      </c>
      <c r="S570" s="51" t="str">
        <f t="shared" si="60"/>
        <v/>
      </c>
      <c r="T570" t="str">
        <f t="shared" si="61"/>
        <v/>
      </c>
      <c r="U570" s="52" t="str">
        <f t="shared" si="62"/>
        <v/>
      </c>
    </row>
    <row r="571" spans="2:21" x14ac:dyDescent="0.25">
      <c r="B571">
        <v>589</v>
      </c>
      <c r="C571" t="s">
        <v>138</v>
      </c>
      <c r="D571" t="s">
        <v>876</v>
      </c>
      <c r="E571" t="s">
        <v>1694</v>
      </c>
      <c r="F571" t="s">
        <v>1598</v>
      </c>
      <c r="G571">
        <v>26</v>
      </c>
      <c r="H571" s="48">
        <v>0.13170000000000001</v>
      </c>
      <c r="I571" s="50">
        <v>0.27729999999999999</v>
      </c>
      <c r="J571" s="50">
        <v>46213</v>
      </c>
      <c r="K571" s="54">
        <v>46238</v>
      </c>
      <c r="L571" s="54">
        <v>46212</v>
      </c>
      <c r="M571" s="54">
        <v>46237</v>
      </c>
      <c r="O571" s="51" t="str">
        <f t="shared" si="56"/>
        <v/>
      </c>
      <c r="P571" s="51" t="str">
        <f t="shared" si="57"/>
        <v/>
      </c>
      <c r="Q571" s="52" t="str">
        <f t="shared" si="58"/>
        <v/>
      </c>
      <c r="R571" s="52" t="str">
        <f t="shared" si="59"/>
        <v/>
      </c>
      <c r="S571" s="51" t="str">
        <f t="shared" si="60"/>
        <v/>
      </c>
      <c r="T571" t="str">
        <f t="shared" si="61"/>
        <v/>
      </c>
      <c r="U571" s="52" t="str">
        <f t="shared" si="62"/>
        <v/>
      </c>
    </row>
    <row r="572" spans="2:21" x14ac:dyDescent="0.25">
      <c r="B572">
        <v>590</v>
      </c>
      <c r="C572" t="s">
        <v>138</v>
      </c>
      <c r="D572" t="s">
        <v>876</v>
      </c>
      <c r="E572" t="s">
        <v>1515</v>
      </c>
      <c r="F572" t="s">
        <v>1516</v>
      </c>
      <c r="G572">
        <v>13</v>
      </c>
      <c r="H572" s="48">
        <v>0.19</v>
      </c>
      <c r="I572" s="50">
        <v>0.4</v>
      </c>
      <c r="J572" s="50">
        <v>46213</v>
      </c>
      <c r="K572" s="54">
        <v>46225</v>
      </c>
      <c r="L572" s="54">
        <v>46212</v>
      </c>
      <c r="M572" s="54">
        <v>46224</v>
      </c>
      <c r="O572" s="51" t="str">
        <f t="shared" si="56"/>
        <v>SIM</v>
      </c>
      <c r="P572" s="51" t="str">
        <f t="shared" si="57"/>
        <v>BL1132-0001-EL-DUN-2004</v>
      </c>
      <c r="Q572" s="52">
        <f t="shared" si="58"/>
        <v>46224</v>
      </c>
      <c r="R572" s="52">
        <f t="shared" si="59"/>
        <v>46225</v>
      </c>
      <c r="S572" s="51" t="str">
        <f t="shared" si="60"/>
        <v/>
      </c>
      <c r="T572" t="str">
        <f t="shared" si="61"/>
        <v/>
      </c>
      <c r="U572" s="52" t="str">
        <f t="shared" si="62"/>
        <v/>
      </c>
    </row>
    <row r="573" spans="2:21" x14ac:dyDescent="0.25">
      <c r="B573">
        <v>591</v>
      </c>
      <c r="C573" t="s">
        <v>138</v>
      </c>
      <c r="D573" t="s">
        <v>876</v>
      </c>
      <c r="E573" t="s">
        <v>1517</v>
      </c>
      <c r="F573" t="s">
        <v>1519</v>
      </c>
      <c r="G573">
        <v>4</v>
      </c>
      <c r="H573" s="48">
        <v>0</v>
      </c>
      <c r="I573" s="50">
        <v>0</v>
      </c>
      <c r="J573" s="50">
        <v>46225</v>
      </c>
      <c r="K573" s="54">
        <v>46230</v>
      </c>
      <c r="L573" s="54">
        <v>46224</v>
      </c>
      <c r="M573" s="54">
        <v>46227</v>
      </c>
      <c r="O573" s="51" t="str">
        <f t="shared" si="56"/>
        <v/>
      </c>
      <c r="P573" s="51" t="str">
        <f t="shared" si="57"/>
        <v/>
      </c>
      <c r="Q573" s="52" t="str">
        <f t="shared" si="58"/>
        <v/>
      </c>
      <c r="R573" s="52" t="str">
        <f t="shared" si="59"/>
        <v/>
      </c>
      <c r="S573" s="51" t="str">
        <f t="shared" si="60"/>
        <v/>
      </c>
      <c r="T573" t="str">
        <f t="shared" si="61"/>
        <v/>
      </c>
      <c r="U573" s="52" t="str">
        <f t="shared" si="62"/>
        <v/>
      </c>
    </row>
    <row r="574" spans="2:21" x14ac:dyDescent="0.25">
      <c r="B574">
        <v>592</v>
      </c>
      <c r="C574" t="s">
        <v>138</v>
      </c>
      <c r="D574" t="s">
        <v>876</v>
      </c>
      <c r="E574" t="s">
        <v>1518</v>
      </c>
      <c r="F574" t="s">
        <v>1519</v>
      </c>
      <c r="G574">
        <v>6</v>
      </c>
      <c r="H574" s="48">
        <v>0</v>
      </c>
      <c r="I574" s="50">
        <v>0</v>
      </c>
      <c r="J574" s="50">
        <v>46230</v>
      </c>
      <c r="K574" s="54">
        <v>46233</v>
      </c>
      <c r="L574" s="54">
        <v>46227</v>
      </c>
      <c r="M574" s="54">
        <v>46232</v>
      </c>
      <c r="O574" s="51" t="str">
        <f t="shared" si="56"/>
        <v/>
      </c>
      <c r="P574" s="51" t="str">
        <f t="shared" si="57"/>
        <v/>
      </c>
      <c r="Q574" s="52" t="str">
        <f t="shared" si="58"/>
        <v/>
      </c>
      <c r="R574" s="52" t="str">
        <f t="shared" si="59"/>
        <v/>
      </c>
      <c r="S574" s="51" t="str">
        <f t="shared" si="60"/>
        <v>SIM</v>
      </c>
      <c r="T574" t="str">
        <f t="shared" si="61"/>
        <v>BL1132-0001-EL-DUN-2004</v>
      </c>
      <c r="U574" s="52">
        <f t="shared" si="62"/>
        <v>46232</v>
      </c>
    </row>
    <row r="575" spans="2:21" x14ac:dyDescent="0.25">
      <c r="B575">
        <v>593</v>
      </c>
      <c r="C575" t="s">
        <v>138</v>
      </c>
      <c r="D575" t="s">
        <v>876</v>
      </c>
      <c r="E575" t="s">
        <v>1520</v>
      </c>
      <c r="F575" t="s">
        <v>1519</v>
      </c>
      <c r="G575">
        <v>6</v>
      </c>
      <c r="H575" s="48">
        <v>0</v>
      </c>
      <c r="I575" s="50">
        <v>0</v>
      </c>
      <c r="J575" s="50">
        <v>46233</v>
      </c>
      <c r="K575" s="54">
        <v>46238</v>
      </c>
      <c r="L575" s="54">
        <v>46232</v>
      </c>
      <c r="M575" s="54">
        <v>46237</v>
      </c>
      <c r="O575" s="51" t="str">
        <f t="shared" si="56"/>
        <v/>
      </c>
      <c r="P575" s="51" t="str">
        <f t="shared" si="57"/>
        <v/>
      </c>
      <c r="Q575" s="52" t="str">
        <f t="shared" si="58"/>
        <v/>
      </c>
      <c r="R575" s="52" t="str">
        <f t="shared" si="59"/>
        <v/>
      </c>
      <c r="S575" s="51" t="str">
        <f t="shared" si="60"/>
        <v/>
      </c>
      <c r="T575" t="str">
        <f t="shared" si="61"/>
        <v/>
      </c>
      <c r="U575" s="52" t="str">
        <f t="shared" si="62"/>
        <v/>
      </c>
    </row>
    <row r="576" spans="2:21" x14ac:dyDescent="0.25">
      <c r="B576">
        <v>594</v>
      </c>
      <c r="C576" t="s">
        <v>139</v>
      </c>
      <c r="D576" t="s">
        <v>880</v>
      </c>
      <c r="E576" t="s">
        <v>1694</v>
      </c>
      <c r="F576" t="s">
        <v>1598</v>
      </c>
      <c r="G576">
        <v>26</v>
      </c>
      <c r="H576" s="48">
        <v>0.13170000000000001</v>
      </c>
      <c r="I576" s="50">
        <v>0.27729999999999999</v>
      </c>
      <c r="J576" s="50">
        <v>46213</v>
      </c>
      <c r="K576" s="54">
        <v>46238</v>
      </c>
      <c r="L576" s="54">
        <v>46212</v>
      </c>
      <c r="M576" s="54">
        <v>46237</v>
      </c>
      <c r="O576" s="51" t="str">
        <f t="shared" si="56"/>
        <v/>
      </c>
      <c r="P576" s="51" t="str">
        <f t="shared" si="57"/>
        <v/>
      </c>
      <c r="Q576" s="52" t="str">
        <f t="shared" si="58"/>
        <v/>
      </c>
      <c r="R576" s="52" t="str">
        <f t="shared" si="59"/>
        <v/>
      </c>
      <c r="S576" s="51" t="str">
        <f t="shared" si="60"/>
        <v/>
      </c>
      <c r="T576" t="str">
        <f t="shared" si="61"/>
        <v/>
      </c>
      <c r="U576" s="52" t="str">
        <f t="shared" si="62"/>
        <v/>
      </c>
    </row>
    <row r="577" spans="2:21" x14ac:dyDescent="0.25">
      <c r="B577">
        <v>595</v>
      </c>
      <c r="C577" t="s">
        <v>139</v>
      </c>
      <c r="D577" t="s">
        <v>880</v>
      </c>
      <c r="E577" t="s">
        <v>1515</v>
      </c>
      <c r="F577" t="s">
        <v>1516</v>
      </c>
      <c r="G577">
        <v>13</v>
      </c>
      <c r="H577" s="48">
        <v>0.19</v>
      </c>
      <c r="I577" s="50">
        <v>0.4</v>
      </c>
      <c r="J577" s="50">
        <v>46213</v>
      </c>
      <c r="K577" s="54">
        <v>46225</v>
      </c>
      <c r="L577" s="54">
        <v>46212</v>
      </c>
      <c r="M577" s="54">
        <v>46224</v>
      </c>
      <c r="O577" s="51" t="str">
        <f t="shared" si="56"/>
        <v>SIM</v>
      </c>
      <c r="P577" s="51" t="str">
        <f t="shared" si="57"/>
        <v>BL1132-0001-EL-DUN-2005</v>
      </c>
      <c r="Q577" s="52">
        <f t="shared" si="58"/>
        <v>46224</v>
      </c>
      <c r="R577" s="52">
        <f t="shared" si="59"/>
        <v>46225</v>
      </c>
      <c r="S577" s="51" t="str">
        <f t="shared" si="60"/>
        <v/>
      </c>
      <c r="T577" t="str">
        <f t="shared" si="61"/>
        <v/>
      </c>
      <c r="U577" s="52" t="str">
        <f t="shared" si="62"/>
        <v/>
      </c>
    </row>
    <row r="578" spans="2:21" x14ac:dyDescent="0.25">
      <c r="B578">
        <v>596</v>
      </c>
      <c r="C578" t="s">
        <v>139</v>
      </c>
      <c r="D578" t="s">
        <v>880</v>
      </c>
      <c r="E578" t="s">
        <v>1517</v>
      </c>
      <c r="F578" t="s">
        <v>1519</v>
      </c>
      <c r="G578">
        <v>4</v>
      </c>
      <c r="H578" s="48">
        <v>0</v>
      </c>
      <c r="I578" s="50">
        <v>0</v>
      </c>
      <c r="J578" s="50">
        <v>46225</v>
      </c>
      <c r="K578" s="54">
        <v>46230</v>
      </c>
      <c r="L578" s="54">
        <v>46224</v>
      </c>
      <c r="M578" s="54">
        <v>46227</v>
      </c>
      <c r="O578" s="51" t="str">
        <f t="shared" si="56"/>
        <v/>
      </c>
      <c r="P578" s="51" t="str">
        <f t="shared" si="57"/>
        <v/>
      </c>
      <c r="Q578" s="52" t="str">
        <f t="shared" si="58"/>
        <v/>
      </c>
      <c r="R578" s="52" t="str">
        <f t="shared" si="59"/>
        <v/>
      </c>
      <c r="S578" s="51" t="str">
        <f t="shared" si="60"/>
        <v/>
      </c>
      <c r="T578" t="str">
        <f t="shared" si="61"/>
        <v/>
      </c>
      <c r="U578" s="52" t="str">
        <f t="shared" si="62"/>
        <v/>
      </c>
    </row>
    <row r="579" spans="2:21" x14ac:dyDescent="0.25">
      <c r="B579">
        <v>597</v>
      </c>
      <c r="C579" t="s">
        <v>139</v>
      </c>
      <c r="D579" t="s">
        <v>880</v>
      </c>
      <c r="E579" t="s">
        <v>1518</v>
      </c>
      <c r="F579" t="s">
        <v>1519</v>
      </c>
      <c r="G579">
        <v>6</v>
      </c>
      <c r="H579" s="48">
        <v>0</v>
      </c>
      <c r="I579" s="50">
        <v>0</v>
      </c>
      <c r="J579" s="50">
        <v>46230</v>
      </c>
      <c r="K579" s="54">
        <v>46233</v>
      </c>
      <c r="L579" s="54">
        <v>46227</v>
      </c>
      <c r="M579" s="54">
        <v>46232</v>
      </c>
      <c r="O579" s="51" t="str">
        <f t="shared" ref="O579:O642" si="63">IF(OR(E579 = "                           1 - Emissão Inicial",E579="                  1 - Emissão após Design Review 1",E579 = "                  1 - Emissão para conhecimento",E579 = "                  1 - Emissão Final",E579 = "         Lista de Documentos",E579 = "         Elaboração do cronograma",E579 = "         Norma de Coordenação"), "SIM", "")</f>
        <v/>
      </c>
      <c r="P579" s="51" t="str">
        <f t="shared" ref="P579:P642" si="64">IF(O579="SIM",C579,"")</f>
        <v/>
      </c>
      <c r="Q579" s="52" t="str">
        <f t="shared" ref="Q579:Q642" si="65">IF(O579="SIM",M579,"")</f>
        <v/>
      </c>
      <c r="R579" s="52" t="str">
        <f t="shared" ref="R579:R642" si="66">IF(O579="SIM",K579,"")</f>
        <v/>
      </c>
      <c r="S579" s="51" t="str">
        <f t="shared" ref="S579:S642" si="67">IF(OR(E579 = "                           3 - Atendimento de Comentários",E579="                  1 - Emissão após Design Review 1",E579 = "                  1 - Emissão para conhecimento",E579 = "                  1 - Emissão Final",E579 = "         Lista de Documentos",E579 = "         Elaboração do cronograma",E579 = "         Norma de Coordenação"), "SIM", "")</f>
        <v>SIM</v>
      </c>
      <c r="T579" t="str">
        <f t="shared" ref="T579:T642" si="68">IF(S579="SIM",C579,"")</f>
        <v>BL1132-0001-EL-DUN-2005</v>
      </c>
      <c r="U579" s="52">
        <f t="shared" ref="U579:U642" si="69">IF(S579="SIM",M579,"")</f>
        <v>46232</v>
      </c>
    </row>
    <row r="580" spans="2:21" x14ac:dyDescent="0.25">
      <c r="B580">
        <v>598</v>
      </c>
      <c r="C580" t="s">
        <v>139</v>
      </c>
      <c r="D580" t="s">
        <v>880</v>
      </c>
      <c r="E580" t="s">
        <v>1520</v>
      </c>
      <c r="F580" t="s">
        <v>1519</v>
      </c>
      <c r="G580">
        <v>6</v>
      </c>
      <c r="H580" s="48">
        <v>0</v>
      </c>
      <c r="I580" s="50">
        <v>0</v>
      </c>
      <c r="J580" s="50">
        <v>46233</v>
      </c>
      <c r="K580" s="54">
        <v>46238</v>
      </c>
      <c r="L580" s="54">
        <v>46232</v>
      </c>
      <c r="M580" s="54">
        <v>46237</v>
      </c>
      <c r="O580" s="51" t="str">
        <f t="shared" si="63"/>
        <v/>
      </c>
      <c r="P580" s="51" t="str">
        <f t="shared" si="64"/>
        <v/>
      </c>
      <c r="Q580" s="52" t="str">
        <f t="shared" si="65"/>
        <v/>
      </c>
      <c r="R580" s="52" t="str">
        <f t="shared" si="66"/>
        <v/>
      </c>
      <c r="S580" s="51" t="str">
        <f t="shared" si="67"/>
        <v/>
      </c>
      <c r="T580" t="str">
        <f t="shared" si="68"/>
        <v/>
      </c>
      <c r="U580" s="52" t="str">
        <f t="shared" si="69"/>
        <v/>
      </c>
    </row>
    <row r="581" spans="2:21" x14ac:dyDescent="0.25">
      <c r="B581">
        <v>599</v>
      </c>
      <c r="E581" t="s">
        <v>1689</v>
      </c>
      <c r="F581" t="s">
        <v>1559</v>
      </c>
      <c r="G581">
        <v>17</v>
      </c>
      <c r="H581" s="48">
        <v>0</v>
      </c>
      <c r="I581" s="50">
        <v>0</v>
      </c>
      <c r="J581" s="50">
        <v>46227</v>
      </c>
      <c r="K581" s="54">
        <v>46245</v>
      </c>
      <c r="L581" s="54">
        <v>46230</v>
      </c>
      <c r="M581" s="54">
        <v>46246</v>
      </c>
      <c r="O581" s="51" t="str">
        <f t="shared" si="63"/>
        <v/>
      </c>
      <c r="P581" s="51" t="str">
        <f t="shared" si="64"/>
        <v/>
      </c>
      <c r="Q581" s="52" t="str">
        <f t="shared" si="65"/>
        <v/>
      </c>
      <c r="R581" s="52" t="str">
        <f t="shared" si="66"/>
        <v/>
      </c>
      <c r="S581" s="51" t="str">
        <f t="shared" si="67"/>
        <v/>
      </c>
      <c r="T581" t="str">
        <f t="shared" si="68"/>
        <v/>
      </c>
      <c r="U581" s="52" t="str">
        <f t="shared" si="69"/>
        <v/>
      </c>
    </row>
    <row r="582" spans="2:21" x14ac:dyDescent="0.25">
      <c r="B582">
        <v>600</v>
      </c>
      <c r="C582" t="s">
        <v>73</v>
      </c>
      <c r="D582" t="s">
        <v>582</v>
      </c>
      <c r="E582" t="s">
        <v>1695</v>
      </c>
      <c r="F582" t="s">
        <v>1559</v>
      </c>
      <c r="G582">
        <v>17</v>
      </c>
      <c r="H582" s="48">
        <v>0</v>
      </c>
      <c r="I582" s="50">
        <v>0</v>
      </c>
      <c r="J582" s="50">
        <v>46227</v>
      </c>
      <c r="K582" s="54">
        <v>46245</v>
      </c>
      <c r="L582" s="54">
        <v>46230</v>
      </c>
      <c r="M582" s="54">
        <v>46246</v>
      </c>
      <c r="O582" s="51" t="str">
        <f t="shared" si="63"/>
        <v/>
      </c>
      <c r="P582" s="51" t="str">
        <f t="shared" si="64"/>
        <v/>
      </c>
      <c r="Q582" s="52" t="str">
        <f t="shared" si="65"/>
        <v/>
      </c>
      <c r="R582" s="52" t="str">
        <f t="shared" si="66"/>
        <v/>
      </c>
      <c r="S582" s="51" t="str">
        <f t="shared" si="67"/>
        <v/>
      </c>
      <c r="T582" t="str">
        <f t="shared" si="68"/>
        <v/>
      </c>
      <c r="U582" s="52" t="str">
        <f t="shared" si="69"/>
        <v/>
      </c>
    </row>
    <row r="583" spans="2:21" x14ac:dyDescent="0.25">
      <c r="B583">
        <v>601</v>
      </c>
      <c r="C583" t="s">
        <v>73</v>
      </c>
      <c r="D583" t="s">
        <v>582</v>
      </c>
      <c r="E583" t="s">
        <v>1515</v>
      </c>
      <c r="F583" t="s">
        <v>1519</v>
      </c>
      <c r="G583">
        <v>4</v>
      </c>
      <c r="H583" s="48">
        <v>0</v>
      </c>
      <c r="I583" s="50">
        <v>0</v>
      </c>
      <c r="J583" s="50">
        <v>46227</v>
      </c>
      <c r="K583" s="54">
        <v>46232</v>
      </c>
      <c r="L583" s="54">
        <v>46230</v>
      </c>
      <c r="M583" s="54">
        <v>46233</v>
      </c>
      <c r="O583" s="51" t="str">
        <f t="shared" si="63"/>
        <v>SIM</v>
      </c>
      <c r="P583" s="51" t="str">
        <f t="shared" si="64"/>
        <v>BL1132-0001-AR-DBA-2000</v>
      </c>
      <c r="Q583" s="52">
        <f t="shared" si="65"/>
        <v>46233</v>
      </c>
      <c r="R583" s="52">
        <f t="shared" si="66"/>
        <v>46232</v>
      </c>
      <c r="S583" s="51" t="str">
        <f t="shared" si="67"/>
        <v/>
      </c>
      <c r="T583" t="str">
        <f t="shared" si="68"/>
        <v/>
      </c>
      <c r="U583" s="52" t="str">
        <f t="shared" si="69"/>
        <v/>
      </c>
    </row>
    <row r="584" spans="2:21" x14ac:dyDescent="0.25">
      <c r="B584">
        <v>602</v>
      </c>
      <c r="C584" t="s">
        <v>73</v>
      </c>
      <c r="D584" t="s">
        <v>582</v>
      </c>
      <c r="E584" t="s">
        <v>1517</v>
      </c>
      <c r="F584" t="s">
        <v>1519</v>
      </c>
      <c r="G584">
        <v>6</v>
      </c>
      <c r="H584" s="48">
        <v>0</v>
      </c>
      <c r="I584" s="50">
        <v>0</v>
      </c>
      <c r="J584" s="50">
        <v>46232</v>
      </c>
      <c r="K584" s="54">
        <v>46237</v>
      </c>
      <c r="L584" s="54">
        <v>46233</v>
      </c>
      <c r="M584" s="54">
        <v>46238</v>
      </c>
      <c r="O584" s="51" t="str">
        <f t="shared" si="63"/>
        <v/>
      </c>
      <c r="P584" s="51" t="str">
        <f t="shared" si="64"/>
        <v/>
      </c>
      <c r="Q584" s="52" t="str">
        <f t="shared" si="65"/>
        <v/>
      </c>
      <c r="R584" s="52" t="str">
        <f t="shared" si="66"/>
        <v/>
      </c>
      <c r="S584" s="51" t="str">
        <f t="shared" si="67"/>
        <v/>
      </c>
      <c r="T584" t="str">
        <f t="shared" si="68"/>
        <v/>
      </c>
      <c r="U584" s="52" t="str">
        <f t="shared" si="69"/>
        <v/>
      </c>
    </row>
    <row r="585" spans="2:21" x14ac:dyDescent="0.25">
      <c r="B585">
        <v>603</v>
      </c>
      <c r="C585" t="s">
        <v>73</v>
      </c>
      <c r="D585" t="s">
        <v>582</v>
      </c>
      <c r="E585" t="s">
        <v>1518</v>
      </c>
      <c r="F585" t="s">
        <v>1519</v>
      </c>
      <c r="G585">
        <v>4</v>
      </c>
      <c r="H585" s="48">
        <v>0</v>
      </c>
      <c r="I585" s="50">
        <v>0</v>
      </c>
      <c r="J585" s="50">
        <v>46237</v>
      </c>
      <c r="K585" s="54">
        <v>46240</v>
      </c>
      <c r="L585" s="54">
        <v>46238</v>
      </c>
      <c r="M585" s="54">
        <v>46241</v>
      </c>
      <c r="O585" s="51" t="str">
        <f t="shared" si="63"/>
        <v/>
      </c>
      <c r="P585" s="51" t="str">
        <f t="shared" si="64"/>
        <v/>
      </c>
      <c r="Q585" s="52" t="str">
        <f t="shared" si="65"/>
        <v/>
      </c>
      <c r="R585" s="52" t="str">
        <f t="shared" si="66"/>
        <v/>
      </c>
      <c r="S585" s="51" t="str">
        <f t="shared" si="67"/>
        <v>SIM</v>
      </c>
      <c r="T585" t="str">
        <f t="shared" si="68"/>
        <v>BL1132-0001-AR-DBA-2000</v>
      </c>
      <c r="U585" s="52">
        <f t="shared" si="69"/>
        <v>46241</v>
      </c>
    </row>
    <row r="586" spans="2:21" x14ac:dyDescent="0.25">
      <c r="B586">
        <v>604</v>
      </c>
      <c r="C586" t="s">
        <v>73</v>
      </c>
      <c r="D586" t="s">
        <v>582</v>
      </c>
      <c r="E586" t="s">
        <v>1520</v>
      </c>
      <c r="F586" t="s">
        <v>1519</v>
      </c>
      <c r="G586">
        <v>6</v>
      </c>
      <c r="H586" s="48">
        <v>0</v>
      </c>
      <c r="I586" s="50">
        <v>0</v>
      </c>
      <c r="J586" s="50">
        <v>46240</v>
      </c>
      <c r="K586" s="54">
        <v>46245</v>
      </c>
      <c r="L586" s="54">
        <v>46241</v>
      </c>
      <c r="M586" s="54">
        <v>46246</v>
      </c>
      <c r="O586" s="51" t="str">
        <f t="shared" si="63"/>
        <v/>
      </c>
      <c r="P586" s="51" t="str">
        <f t="shared" si="64"/>
        <v/>
      </c>
      <c r="Q586" s="52" t="str">
        <f t="shared" si="65"/>
        <v/>
      </c>
      <c r="R586" s="52" t="str">
        <f t="shared" si="66"/>
        <v/>
      </c>
      <c r="S586" s="51" t="str">
        <f t="shared" si="67"/>
        <v/>
      </c>
      <c r="T586" t="str">
        <f t="shared" si="68"/>
        <v/>
      </c>
      <c r="U586" s="52" t="str">
        <f t="shared" si="69"/>
        <v/>
      </c>
    </row>
    <row r="587" spans="2:21" x14ac:dyDescent="0.25">
      <c r="B587">
        <v>605</v>
      </c>
      <c r="E587" t="s">
        <v>1572</v>
      </c>
      <c r="F587" t="s">
        <v>1527</v>
      </c>
      <c r="G587">
        <v>19</v>
      </c>
      <c r="H587" s="48">
        <v>0</v>
      </c>
      <c r="I587" s="50">
        <v>0</v>
      </c>
      <c r="J587" s="50">
        <v>46234</v>
      </c>
      <c r="K587" s="54">
        <v>46254</v>
      </c>
      <c r="L587" s="54">
        <v>46237</v>
      </c>
      <c r="M587" s="54">
        <v>46255</v>
      </c>
      <c r="O587" s="51" t="str">
        <f t="shared" si="63"/>
        <v/>
      </c>
      <c r="P587" s="51" t="str">
        <f t="shared" si="64"/>
        <v/>
      </c>
      <c r="Q587" s="52" t="str">
        <f t="shared" si="65"/>
        <v/>
      </c>
      <c r="R587" s="52" t="str">
        <f t="shared" si="66"/>
        <v/>
      </c>
      <c r="S587" s="51" t="str">
        <f t="shared" si="67"/>
        <v/>
      </c>
      <c r="T587" t="str">
        <f t="shared" si="68"/>
        <v/>
      </c>
      <c r="U587" s="52" t="str">
        <f t="shared" si="69"/>
        <v/>
      </c>
    </row>
    <row r="588" spans="2:21" x14ac:dyDescent="0.25">
      <c r="B588">
        <v>606</v>
      </c>
      <c r="C588" t="s">
        <v>91</v>
      </c>
      <c r="D588" t="s">
        <v>666</v>
      </c>
      <c r="E588" t="s">
        <v>1696</v>
      </c>
      <c r="F588" t="s">
        <v>1527</v>
      </c>
      <c r="G588">
        <v>19</v>
      </c>
      <c r="H588" s="48">
        <v>0</v>
      </c>
      <c r="I588" s="50">
        <v>0</v>
      </c>
      <c r="J588" s="50">
        <v>46234</v>
      </c>
      <c r="K588" s="54">
        <v>46254</v>
      </c>
      <c r="L588" s="54">
        <v>46237</v>
      </c>
      <c r="M588" s="54">
        <v>46255</v>
      </c>
      <c r="O588" s="51" t="str">
        <f t="shared" si="63"/>
        <v/>
      </c>
      <c r="P588" s="51" t="str">
        <f t="shared" si="64"/>
        <v/>
      </c>
      <c r="Q588" s="52" t="str">
        <f t="shared" si="65"/>
        <v/>
      </c>
      <c r="R588" s="52" t="str">
        <f t="shared" si="66"/>
        <v/>
      </c>
      <c r="S588" s="51" t="str">
        <f t="shared" si="67"/>
        <v/>
      </c>
      <c r="T588" t="str">
        <f t="shared" si="68"/>
        <v/>
      </c>
      <c r="U588" s="52" t="str">
        <f t="shared" si="69"/>
        <v/>
      </c>
    </row>
    <row r="589" spans="2:21" x14ac:dyDescent="0.25">
      <c r="B589">
        <v>607</v>
      </c>
      <c r="C589" t="s">
        <v>91</v>
      </c>
      <c r="D589" t="s">
        <v>666</v>
      </c>
      <c r="E589" t="s">
        <v>1515</v>
      </c>
      <c r="F589" t="s">
        <v>1528</v>
      </c>
      <c r="G589">
        <v>8</v>
      </c>
      <c r="H589" s="48">
        <v>0</v>
      </c>
      <c r="I589" s="50">
        <v>0</v>
      </c>
      <c r="J589" s="50">
        <v>46234</v>
      </c>
      <c r="K589" s="54">
        <v>46241</v>
      </c>
      <c r="L589" s="54">
        <v>46237</v>
      </c>
      <c r="M589" s="54">
        <v>46244</v>
      </c>
      <c r="O589" s="51" t="str">
        <f t="shared" si="63"/>
        <v>SIM</v>
      </c>
      <c r="P589" s="51" t="str">
        <f t="shared" si="64"/>
        <v>BL1132-0001-CC-MCA-2000</v>
      </c>
      <c r="Q589" s="52">
        <f t="shared" si="65"/>
        <v>46244</v>
      </c>
      <c r="R589" s="52">
        <f t="shared" si="66"/>
        <v>46241</v>
      </c>
      <c r="S589" s="51" t="str">
        <f t="shared" si="67"/>
        <v/>
      </c>
      <c r="T589" t="str">
        <f t="shared" si="68"/>
        <v/>
      </c>
      <c r="U589" s="52" t="str">
        <f t="shared" si="69"/>
        <v/>
      </c>
    </row>
    <row r="590" spans="2:21" x14ac:dyDescent="0.25">
      <c r="B590">
        <v>608</v>
      </c>
      <c r="C590" t="s">
        <v>91</v>
      </c>
      <c r="D590" t="s">
        <v>666</v>
      </c>
      <c r="E590" t="s">
        <v>1517</v>
      </c>
      <c r="F590" t="s">
        <v>1519</v>
      </c>
      <c r="G590">
        <v>4</v>
      </c>
      <c r="H590" s="48">
        <v>0</v>
      </c>
      <c r="I590" s="50">
        <v>0</v>
      </c>
      <c r="J590" s="50">
        <v>46241</v>
      </c>
      <c r="K590" s="54">
        <v>46246</v>
      </c>
      <c r="L590" s="54">
        <v>46244</v>
      </c>
      <c r="M590" s="54">
        <v>46247</v>
      </c>
      <c r="O590" s="51" t="str">
        <f t="shared" si="63"/>
        <v/>
      </c>
      <c r="P590" s="51" t="str">
        <f t="shared" si="64"/>
        <v/>
      </c>
      <c r="Q590" s="52" t="str">
        <f t="shared" si="65"/>
        <v/>
      </c>
      <c r="R590" s="52" t="str">
        <f t="shared" si="66"/>
        <v/>
      </c>
      <c r="S590" s="51" t="str">
        <f t="shared" si="67"/>
        <v/>
      </c>
      <c r="T590" t="str">
        <f t="shared" si="68"/>
        <v/>
      </c>
      <c r="U590" s="52" t="str">
        <f t="shared" si="69"/>
        <v/>
      </c>
    </row>
    <row r="591" spans="2:21" x14ac:dyDescent="0.25">
      <c r="B591">
        <v>609</v>
      </c>
      <c r="C591" t="s">
        <v>91</v>
      </c>
      <c r="D591" t="s">
        <v>666</v>
      </c>
      <c r="E591" t="s">
        <v>1518</v>
      </c>
      <c r="F591" t="s">
        <v>1519</v>
      </c>
      <c r="G591">
        <v>6</v>
      </c>
      <c r="H591" s="48">
        <v>0</v>
      </c>
      <c r="I591" s="50">
        <v>0</v>
      </c>
      <c r="J591" s="50">
        <v>46246</v>
      </c>
      <c r="K591" s="54">
        <v>46251</v>
      </c>
      <c r="L591" s="54">
        <v>46247</v>
      </c>
      <c r="M591" s="54">
        <v>46252</v>
      </c>
      <c r="O591" s="51" t="str">
        <f t="shared" si="63"/>
        <v/>
      </c>
      <c r="P591" s="51" t="str">
        <f t="shared" si="64"/>
        <v/>
      </c>
      <c r="Q591" s="52" t="str">
        <f t="shared" si="65"/>
        <v/>
      </c>
      <c r="R591" s="52" t="str">
        <f t="shared" si="66"/>
        <v/>
      </c>
      <c r="S591" s="51" t="str">
        <f t="shared" si="67"/>
        <v>SIM</v>
      </c>
      <c r="T591" t="str">
        <f t="shared" si="68"/>
        <v>BL1132-0001-CC-MCA-2000</v>
      </c>
      <c r="U591" s="52">
        <f t="shared" si="69"/>
        <v>46252</v>
      </c>
    </row>
    <row r="592" spans="2:21" x14ac:dyDescent="0.25">
      <c r="B592">
        <v>610</v>
      </c>
      <c r="C592" t="s">
        <v>91</v>
      </c>
      <c r="D592" t="s">
        <v>666</v>
      </c>
      <c r="E592" t="s">
        <v>1520</v>
      </c>
      <c r="F592" t="s">
        <v>1519</v>
      </c>
      <c r="G592">
        <v>4</v>
      </c>
      <c r="H592" s="48">
        <v>0</v>
      </c>
      <c r="I592" s="50">
        <v>0</v>
      </c>
      <c r="J592" s="50">
        <v>46251</v>
      </c>
      <c r="K592" s="54">
        <v>46254</v>
      </c>
      <c r="L592" s="54">
        <v>46252</v>
      </c>
      <c r="M592" s="54">
        <v>46255</v>
      </c>
      <c r="O592" s="51" t="str">
        <f t="shared" si="63"/>
        <v/>
      </c>
      <c r="P592" s="51" t="str">
        <f t="shared" si="64"/>
        <v/>
      </c>
      <c r="Q592" s="52" t="str">
        <f t="shared" si="65"/>
        <v/>
      </c>
      <c r="R592" s="52" t="str">
        <f t="shared" si="66"/>
        <v/>
      </c>
      <c r="S592" s="51" t="str">
        <f t="shared" si="67"/>
        <v/>
      </c>
      <c r="T592" t="str">
        <f t="shared" si="68"/>
        <v/>
      </c>
      <c r="U592" s="52" t="str">
        <f t="shared" si="69"/>
        <v/>
      </c>
    </row>
    <row r="593" spans="2:21" x14ac:dyDescent="0.25">
      <c r="B593">
        <v>611</v>
      </c>
      <c r="E593" t="s">
        <v>1557</v>
      </c>
      <c r="F593" t="s">
        <v>1527</v>
      </c>
      <c r="G593">
        <v>19</v>
      </c>
      <c r="H593" s="48">
        <v>0</v>
      </c>
      <c r="I593" s="50">
        <v>0</v>
      </c>
      <c r="J593" s="50">
        <v>46227</v>
      </c>
      <c r="K593" s="54">
        <v>46247</v>
      </c>
      <c r="L593" s="54">
        <v>46230</v>
      </c>
      <c r="M593" s="54">
        <v>46248</v>
      </c>
      <c r="O593" s="51" t="str">
        <f t="shared" si="63"/>
        <v/>
      </c>
      <c r="P593" s="51" t="str">
        <f t="shared" si="64"/>
        <v/>
      </c>
      <c r="Q593" s="52" t="str">
        <f t="shared" si="65"/>
        <v/>
      </c>
      <c r="R593" s="52" t="str">
        <f t="shared" si="66"/>
        <v/>
      </c>
      <c r="S593" s="51" t="str">
        <f t="shared" si="67"/>
        <v/>
      </c>
      <c r="T593" t="str">
        <f t="shared" si="68"/>
        <v/>
      </c>
      <c r="U593" s="52" t="str">
        <f t="shared" si="69"/>
        <v/>
      </c>
    </row>
    <row r="594" spans="2:21" x14ac:dyDescent="0.25">
      <c r="B594">
        <v>612</v>
      </c>
      <c r="C594" t="s">
        <v>180</v>
      </c>
      <c r="D594" t="s">
        <v>1039</v>
      </c>
      <c r="E594" t="s">
        <v>1697</v>
      </c>
      <c r="F594" t="s">
        <v>1527</v>
      </c>
      <c r="G594">
        <v>19</v>
      </c>
      <c r="H594" s="48">
        <v>0</v>
      </c>
      <c r="I594" s="50">
        <v>0</v>
      </c>
      <c r="J594" s="50">
        <v>46227</v>
      </c>
      <c r="K594" s="54">
        <v>46247</v>
      </c>
      <c r="L594" s="54">
        <v>46230</v>
      </c>
      <c r="M594" s="54">
        <v>46248</v>
      </c>
      <c r="O594" s="51" t="str">
        <f t="shared" si="63"/>
        <v/>
      </c>
      <c r="P594" s="51" t="str">
        <f t="shared" si="64"/>
        <v/>
      </c>
      <c r="Q594" s="52" t="str">
        <f t="shared" si="65"/>
        <v/>
      </c>
      <c r="R594" s="52" t="str">
        <f t="shared" si="66"/>
        <v/>
      </c>
      <c r="S594" s="51" t="str">
        <f t="shared" si="67"/>
        <v/>
      </c>
      <c r="T594" t="str">
        <f t="shared" si="68"/>
        <v/>
      </c>
      <c r="U594" s="52" t="str">
        <f t="shared" si="69"/>
        <v/>
      </c>
    </row>
    <row r="595" spans="2:21" x14ac:dyDescent="0.25">
      <c r="B595">
        <v>613</v>
      </c>
      <c r="C595" t="s">
        <v>180</v>
      </c>
      <c r="D595" t="s">
        <v>1039</v>
      </c>
      <c r="E595" t="s">
        <v>1515</v>
      </c>
      <c r="F595" t="s">
        <v>1528</v>
      </c>
      <c r="G595">
        <v>8</v>
      </c>
      <c r="H595" s="48">
        <v>0</v>
      </c>
      <c r="I595" s="50">
        <v>0</v>
      </c>
      <c r="J595" s="50">
        <v>46227</v>
      </c>
      <c r="K595" s="54">
        <v>46234</v>
      </c>
      <c r="L595" s="54">
        <v>46230</v>
      </c>
      <c r="M595" s="54">
        <v>46237</v>
      </c>
      <c r="O595" s="51" t="str">
        <f t="shared" si="63"/>
        <v>SIM</v>
      </c>
      <c r="P595" s="51" t="str">
        <f t="shared" si="64"/>
        <v>BL1132-0001-EM-MCA-2000</v>
      </c>
      <c r="Q595" s="52">
        <f t="shared" si="65"/>
        <v>46237</v>
      </c>
      <c r="R595" s="52">
        <f t="shared" si="66"/>
        <v>46234</v>
      </c>
      <c r="S595" s="51" t="str">
        <f t="shared" si="67"/>
        <v/>
      </c>
      <c r="T595" t="str">
        <f t="shared" si="68"/>
        <v/>
      </c>
      <c r="U595" s="52" t="str">
        <f t="shared" si="69"/>
        <v/>
      </c>
    </row>
    <row r="596" spans="2:21" x14ac:dyDescent="0.25">
      <c r="B596">
        <v>614</v>
      </c>
      <c r="C596" t="s">
        <v>180</v>
      </c>
      <c r="D596" t="s">
        <v>1039</v>
      </c>
      <c r="E596" t="s">
        <v>1517</v>
      </c>
      <c r="F596" t="s">
        <v>1519</v>
      </c>
      <c r="G596">
        <v>4</v>
      </c>
      <c r="H596" s="48">
        <v>0</v>
      </c>
      <c r="I596" s="50">
        <v>0</v>
      </c>
      <c r="J596" s="50">
        <v>46234</v>
      </c>
      <c r="K596" s="54">
        <v>46239</v>
      </c>
      <c r="L596" s="54">
        <v>46237</v>
      </c>
      <c r="M596" s="54">
        <v>46240</v>
      </c>
      <c r="O596" s="51" t="str">
        <f t="shared" si="63"/>
        <v/>
      </c>
      <c r="P596" s="51" t="str">
        <f t="shared" si="64"/>
        <v/>
      </c>
      <c r="Q596" s="52" t="str">
        <f t="shared" si="65"/>
        <v/>
      </c>
      <c r="R596" s="52" t="str">
        <f t="shared" si="66"/>
        <v/>
      </c>
      <c r="S596" s="51" t="str">
        <f t="shared" si="67"/>
        <v/>
      </c>
      <c r="T596" t="str">
        <f t="shared" si="68"/>
        <v/>
      </c>
      <c r="U596" s="52" t="str">
        <f t="shared" si="69"/>
        <v/>
      </c>
    </row>
    <row r="597" spans="2:21" x14ac:dyDescent="0.25">
      <c r="B597">
        <v>615</v>
      </c>
      <c r="C597" t="s">
        <v>180</v>
      </c>
      <c r="D597" t="s">
        <v>1039</v>
      </c>
      <c r="E597" t="s">
        <v>1518</v>
      </c>
      <c r="F597" t="s">
        <v>1519</v>
      </c>
      <c r="G597">
        <v>6</v>
      </c>
      <c r="H597" s="48">
        <v>0</v>
      </c>
      <c r="I597" s="50">
        <v>0</v>
      </c>
      <c r="J597" s="50">
        <v>46239</v>
      </c>
      <c r="K597" s="54">
        <v>46244</v>
      </c>
      <c r="L597" s="54">
        <v>46240</v>
      </c>
      <c r="M597" s="54">
        <v>46245</v>
      </c>
      <c r="O597" s="51" t="str">
        <f t="shared" si="63"/>
        <v/>
      </c>
      <c r="P597" s="51" t="str">
        <f t="shared" si="64"/>
        <v/>
      </c>
      <c r="Q597" s="52" t="str">
        <f t="shared" si="65"/>
        <v/>
      </c>
      <c r="R597" s="52" t="str">
        <f t="shared" si="66"/>
        <v/>
      </c>
      <c r="S597" s="51" t="str">
        <f t="shared" si="67"/>
        <v>SIM</v>
      </c>
      <c r="T597" t="str">
        <f t="shared" si="68"/>
        <v>BL1132-0001-EM-MCA-2000</v>
      </c>
      <c r="U597" s="52">
        <f t="shared" si="69"/>
        <v>46245</v>
      </c>
    </row>
    <row r="598" spans="2:21" x14ac:dyDescent="0.25">
      <c r="B598">
        <v>616</v>
      </c>
      <c r="C598" t="s">
        <v>180</v>
      </c>
      <c r="D598" t="s">
        <v>1039</v>
      </c>
      <c r="E598" t="s">
        <v>1520</v>
      </c>
      <c r="F598" t="s">
        <v>1519</v>
      </c>
      <c r="G598">
        <v>4</v>
      </c>
      <c r="H598" s="48">
        <v>0</v>
      </c>
      <c r="I598" s="50">
        <v>0</v>
      </c>
      <c r="J598" s="50">
        <v>46244</v>
      </c>
      <c r="K598" s="54">
        <v>46247</v>
      </c>
      <c r="L598" s="54">
        <v>46245</v>
      </c>
      <c r="M598" s="54">
        <v>46248</v>
      </c>
      <c r="O598" s="51" t="str">
        <f t="shared" si="63"/>
        <v/>
      </c>
      <c r="P598" s="51" t="str">
        <f t="shared" si="64"/>
        <v/>
      </c>
      <c r="Q598" s="52" t="str">
        <f t="shared" si="65"/>
        <v/>
      </c>
      <c r="R598" s="52" t="str">
        <f t="shared" si="66"/>
        <v/>
      </c>
      <c r="S598" s="51" t="str">
        <f t="shared" si="67"/>
        <v/>
      </c>
      <c r="T598" t="str">
        <f t="shared" si="68"/>
        <v/>
      </c>
      <c r="U598" s="52" t="str">
        <f t="shared" si="69"/>
        <v/>
      </c>
    </row>
    <row r="599" spans="2:21" x14ac:dyDescent="0.25">
      <c r="B599">
        <v>617</v>
      </c>
      <c r="E599" t="s">
        <v>1698</v>
      </c>
      <c r="F599" t="s">
        <v>1699</v>
      </c>
      <c r="G599">
        <v>52</v>
      </c>
      <c r="H599" s="48">
        <v>0</v>
      </c>
      <c r="I599" s="50">
        <v>5.2499999999999998E-2</v>
      </c>
      <c r="J599" s="50">
        <v>46225</v>
      </c>
      <c r="K599" s="54">
        <v>46262</v>
      </c>
      <c r="L599" s="54">
        <v>46202</v>
      </c>
      <c r="M599" s="54">
        <v>46253</v>
      </c>
      <c r="O599" s="51" t="str">
        <f t="shared" si="63"/>
        <v/>
      </c>
      <c r="P599" s="51" t="str">
        <f t="shared" si="64"/>
        <v/>
      </c>
      <c r="Q599" s="52" t="str">
        <f t="shared" si="65"/>
        <v/>
      </c>
      <c r="R599" s="52" t="str">
        <f t="shared" si="66"/>
        <v/>
      </c>
      <c r="S599" s="51" t="str">
        <f t="shared" si="67"/>
        <v/>
      </c>
      <c r="T599" t="str">
        <f t="shared" si="68"/>
        <v/>
      </c>
      <c r="U599" s="52" t="str">
        <f t="shared" si="69"/>
        <v/>
      </c>
    </row>
    <row r="600" spans="2:21" x14ac:dyDescent="0.25">
      <c r="B600">
        <v>618</v>
      </c>
      <c r="E600" t="s">
        <v>1555</v>
      </c>
      <c r="F600" t="s">
        <v>1479</v>
      </c>
      <c r="G600">
        <v>44</v>
      </c>
      <c r="H600" s="48">
        <v>0</v>
      </c>
      <c r="I600" s="50">
        <v>0.2</v>
      </c>
      <c r="J600" s="50">
        <v>46230</v>
      </c>
      <c r="K600" s="54">
        <v>46254</v>
      </c>
      <c r="L600" s="54">
        <v>46202</v>
      </c>
      <c r="M600" s="54">
        <v>46245</v>
      </c>
      <c r="O600" s="51" t="str">
        <f t="shared" si="63"/>
        <v/>
      </c>
      <c r="P600" s="51" t="str">
        <f t="shared" si="64"/>
        <v/>
      </c>
      <c r="Q600" s="52" t="str">
        <f t="shared" si="65"/>
        <v/>
      </c>
      <c r="R600" s="52" t="str">
        <f t="shared" si="66"/>
        <v/>
      </c>
      <c r="S600" s="51" t="str">
        <f t="shared" si="67"/>
        <v/>
      </c>
      <c r="T600" t="str">
        <f t="shared" si="68"/>
        <v/>
      </c>
      <c r="U600" s="52" t="str">
        <f t="shared" si="69"/>
        <v/>
      </c>
    </row>
    <row r="601" spans="2:21" x14ac:dyDescent="0.25">
      <c r="B601">
        <v>619</v>
      </c>
      <c r="E601" t="s">
        <v>1688</v>
      </c>
      <c r="F601" t="s">
        <v>1528</v>
      </c>
      <c r="G601">
        <v>8</v>
      </c>
      <c r="H601" s="48">
        <v>0</v>
      </c>
      <c r="I601" s="50">
        <v>0</v>
      </c>
      <c r="J601" s="50">
        <v>46230</v>
      </c>
      <c r="K601" s="54">
        <v>46237</v>
      </c>
      <c r="L601" s="54">
        <v>46227</v>
      </c>
      <c r="M601" s="54">
        <v>46234</v>
      </c>
      <c r="O601" s="51" t="str">
        <f t="shared" si="63"/>
        <v/>
      </c>
      <c r="P601" s="51" t="str">
        <f t="shared" si="64"/>
        <v/>
      </c>
      <c r="Q601" s="52" t="str">
        <f t="shared" si="65"/>
        <v/>
      </c>
      <c r="R601" s="52" t="str">
        <f t="shared" si="66"/>
        <v/>
      </c>
      <c r="S601" s="51" t="str">
        <f t="shared" si="67"/>
        <v/>
      </c>
      <c r="T601" t="str">
        <f t="shared" si="68"/>
        <v/>
      </c>
      <c r="U601" s="52" t="str">
        <f t="shared" si="69"/>
        <v/>
      </c>
    </row>
    <row r="602" spans="2:21" x14ac:dyDescent="0.25">
      <c r="B602">
        <v>620</v>
      </c>
      <c r="E602" t="s">
        <v>1689</v>
      </c>
      <c r="F602" t="s">
        <v>1687</v>
      </c>
      <c r="G602">
        <v>29</v>
      </c>
      <c r="H602" s="48">
        <v>0</v>
      </c>
      <c r="I602" s="50">
        <v>0.8</v>
      </c>
      <c r="J602" s="50">
        <v>46233</v>
      </c>
      <c r="K602" s="54">
        <v>46239</v>
      </c>
      <c r="L602" s="54">
        <v>46202</v>
      </c>
      <c r="M602" s="54">
        <v>46230</v>
      </c>
      <c r="O602" s="51" t="str">
        <f t="shared" si="63"/>
        <v/>
      </c>
      <c r="P602" s="51" t="str">
        <f t="shared" si="64"/>
        <v/>
      </c>
      <c r="Q602" s="52" t="str">
        <f t="shared" si="65"/>
        <v/>
      </c>
      <c r="R602" s="52" t="str">
        <f t="shared" si="66"/>
        <v/>
      </c>
      <c r="S602" s="51" t="str">
        <f t="shared" si="67"/>
        <v/>
      </c>
      <c r="T602" t="str">
        <f t="shared" si="68"/>
        <v/>
      </c>
      <c r="U602" s="52" t="str">
        <f t="shared" si="69"/>
        <v/>
      </c>
    </row>
    <row r="603" spans="2:21" x14ac:dyDescent="0.25">
      <c r="B603">
        <v>621</v>
      </c>
      <c r="E603" t="s">
        <v>1572</v>
      </c>
      <c r="F603" t="s">
        <v>1528</v>
      </c>
      <c r="G603">
        <v>8</v>
      </c>
      <c r="H603" s="48">
        <v>0</v>
      </c>
      <c r="I603" s="50">
        <v>0</v>
      </c>
      <c r="J603" s="50">
        <v>46247</v>
      </c>
      <c r="K603" s="54">
        <v>46254</v>
      </c>
      <c r="L603" s="54">
        <v>46238</v>
      </c>
      <c r="M603" s="54">
        <v>46245</v>
      </c>
      <c r="O603" s="51" t="str">
        <f t="shared" si="63"/>
        <v/>
      </c>
      <c r="P603" s="51" t="str">
        <f t="shared" si="64"/>
        <v/>
      </c>
      <c r="Q603" s="52" t="str">
        <f t="shared" si="65"/>
        <v/>
      </c>
      <c r="R603" s="52" t="str">
        <f t="shared" si="66"/>
        <v/>
      </c>
      <c r="S603" s="51" t="str">
        <f t="shared" si="67"/>
        <v/>
      </c>
      <c r="T603" t="str">
        <f t="shared" si="68"/>
        <v/>
      </c>
      <c r="U603" s="52" t="str">
        <f t="shared" si="69"/>
        <v/>
      </c>
    </row>
    <row r="604" spans="2:21" x14ac:dyDescent="0.25">
      <c r="B604">
        <v>622</v>
      </c>
      <c r="E604" t="s">
        <v>1557</v>
      </c>
      <c r="F604" t="s">
        <v>1528</v>
      </c>
      <c r="G604">
        <v>8</v>
      </c>
      <c r="H604" s="48">
        <v>0</v>
      </c>
      <c r="I604" s="50">
        <v>0</v>
      </c>
      <c r="J604" s="50">
        <v>46237</v>
      </c>
      <c r="K604" s="54">
        <v>46244</v>
      </c>
      <c r="L604" s="54">
        <v>46212</v>
      </c>
      <c r="M604" s="54">
        <v>46219</v>
      </c>
      <c r="O604" s="51" t="str">
        <f t="shared" si="63"/>
        <v/>
      </c>
      <c r="P604" s="51" t="str">
        <f t="shared" si="64"/>
        <v/>
      </c>
      <c r="Q604" s="52" t="str">
        <f t="shared" si="65"/>
        <v/>
      </c>
      <c r="R604" s="52" t="str">
        <f t="shared" si="66"/>
        <v/>
      </c>
      <c r="S604" s="51" t="str">
        <f t="shared" si="67"/>
        <v/>
      </c>
      <c r="T604" t="str">
        <f t="shared" si="68"/>
        <v/>
      </c>
      <c r="U604" s="52" t="str">
        <f t="shared" si="69"/>
        <v/>
      </c>
    </row>
    <row r="605" spans="2:21" x14ac:dyDescent="0.25">
      <c r="B605">
        <v>623</v>
      </c>
      <c r="E605" t="s">
        <v>1560</v>
      </c>
      <c r="F605" t="s">
        <v>1596</v>
      </c>
      <c r="G605">
        <v>30</v>
      </c>
      <c r="H605" s="48">
        <v>0</v>
      </c>
      <c r="I605" s="50">
        <v>0</v>
      </c>
      <c r="J605" s="50">
        <v>46225</v>
      </c>
      <c r="K605" s="54">
        <v>46262</v>
      </c>
      <c r="L605" s="54">
        <v>46224</v>
      </c>
      <c r="M605" s="54">
        <v>46253</v>
      </c>
      <c r="O605" s="51" t="str">
        <f t="shared" si="63"/>
        <v/>
      </c>
      <c r="P605" s="51" t="str">
        <f t="shared" si="64"/>
        <v/>
      </c>
      <c r="Q605" s="52" t="str">
        <f t="shared" si="65"/>
        <v/>
      </c>
      <c r="R605" s="52" t="str">
        <f t="shared" si="66"/>
        <v/>
      </c>
      <c r="S605" s="51" t="str">
        <f t="shared" si="67"/>
        <v/>
      </c>
      <c r="T605" t="str">
        <f t="shared" si="68"/>
        <v/>
      </c>
      <c r="U605" s="52" t="str">
        <f t="shared" si="69"/>
        <v/>
      </c>
    </row>
    <row r="606" spans="2:21" x14ac:dyDescent="0.25">
      <c r="B606">
        <v>624</v>
      </c>
      <c r="E606" t="s">
        <v>1657</v>
      </c>
      <c r="F606" t="s">
        <v>1598</v>
      </c>
      <c r="G606">
        <v>24</v>
      </c>
      <c r="H606" s="48">
        <v>0</v>
      </c>
      <c r="I606" s="50">
        <v>0</v>
      </c>
      <c r="J606" s="50">
        <v>46225</v>
      </c>
      <c r="K606" s="54">
        <v>46248</v>
      </c>
      <c r="L606" s="54">
        <v>46224</v>
      </c>
      <c r="M606" s="54">
        <v>46247</v>
      </c>
      <c r="O606" s="51" t="str">
        <f t="shared" si="63"/>
        <v/>
      </c>
      <c r="P606" s="51" t="str">
        <f t="shared" si="64"/>
        <v/>
      </c>
      <c r="Q606" s="52" t="str">
        <f t="shared" si="65"/>
        <v/>
      </c>
      <c r="R606" s="52" t="str">
        <f t="shared" si="66"/>
        <v/>
      </c>
      <c r="S606" s="51" t="str">
        <f t="shared" si="67"/>
        <v/>
      </c>
      <c r="T606" t="str">
        <f t="shared" si="68"/>
        <v/>
      </c>
      <c r="U606" s="52" t="str">
        <f t="shared" si="69"/>
        <v/>
      </c>
    </row>
    <row r="607" spans="2:21" x14ac:dyDescent="0.25">
      <c r="B607">
        <v>625</v>
      </c>
      <c r="C607" t="s">
        <v>140</v>
      </c>
      <c r="D607" t="s">
        <v>883</v>
      </c>
      <c r="E607" t="s">
        <v>1700</v>
      </c>
      <c r="F607" t="s">
        <v>1598</v>
      </c>
      <c r="G607">
        <v>24</v>
      </c>
      <c r="H607" s="48">
        <v>0</v>
      </c>
      <c r="I607" s="50">
        <v>0</v>
      </c>
      <c r="J607" s="50">
        <v>46225</v>
      </c>
      <c r="K607" s="54">
        <v>46248</v>
      </c>
      <c r="L607" s="54">
        <v>46224</v>
      </c>
      <c r="M607" s="54">
        <v>46247</v>
      </c>
      <c r="O607" s="51" t="str">
        <f t="shared" si="63"/>
        <v/>
      </c>
      <c r="P607" s="51" t="str">
        <f t="shared" si="64"/>
        <v/>
      </c>
      <c r="Q607" s="52" t="str">
        <f t="shared" si="65"/>
        <v/>
      </c>
      <c r="R607" s="52" t="str">
        <f t="shared" si="66"/>
        <v/>
      </c>
      <c r="S607" s="51" t="str">
        <f t="shared" si="67"/>
        <v/>
      </c>
      <c r="T607" t="str">
        <f t="shared" si="68"/>
        <v/>
      </c>
      <c r="U607" s="52" t="str">
        <f t="shared" si="69"/>
        <v/>
      </c>
    </row>
    <row r="608" spans="2:21" x14ac:dyDescent="0.25">
      <c r="B608">
        <v>626</v>
      </c>
      <c r="C608" t="s">
        <v>140</v>
      </c>
      <c r="D608" t="s">
        <v>883</v>
      </c>
      <c r="E608" t="s">
        <v>1515</v>
      </c>
      <c r="F608" t="s">
        <v>1516</v>
      </c>
      <c r="G608">
        <v>11</v>
      </c>
      <c r="H608" s="48">
        <v>0</v>
      </c>
      <c r="I608" s="50">
        <v>0</v>
      </c>
      <c r="J608" s="50">
        <v>46225</v>
      </c>
      <c r="K608" s="54">
        <v>46237</v>
      </c>
      <c r="L608" s="54">
        <v>46224</v>
      </c>
      <c r="M608" s="54">
        <v>46234</v>
      </c>
      <c r="O608" s="51" t="str">
        <f t="shared" si="63"/>
        <v>SIM</v>
      </c>
      <c r="P608" s="51" t="str">
        <f t="shared" si="64"/>
        <v>BL1132-0001-EL-DUN-2006</v>
      </c>
      <c r="Q608" s="52">
        <f t="shared" si="65"/>
        <v>46234</v>
      </c>
      <c r="R608" s="52">
        <f t="shared" si="66"/>
        <v>46237</v>
      </c>
      <c r="S608" s="51" t="str">
        <f t="shared" si="67"/>
        <v/>
      </c>
      <c r="T608" t="str">
        <f t="shared" si="68"/>
        <v/>
      </c>
      <c r="U608" s="52" t="str">
        <f t="shared" si="69"/>
        <v/>
      </c>
    </row>
    <row r="609" spans="2:21" x14ac:dyDescent="0.25">
      <c r="B609">
        <v>627</v>
      </c>
      <c r="C609" t="s">
        <v>140</v>
      </c>
      <c r="D609" t="s">
        <v>883</v>
      </c>
      <c r="E609" t="s">
        <v>1517</v>
      </c>
      <c r="F609" t="s">
        <v>1519</v>
      </c>
      <c r="G609">
        <v>6</v>
      </c>
      <c r="H609" s="48">
        <v>0</v>
      </c>
      <c r="I609" s="50">
        <v>0</v>
      </c>
      <c r="J609" s="50">
        <v>46237</v>
      </c>
      <c r="K609" s="54">
        <v>46240</v>
      </c>
      <c r="L609" s="54">
        <v>46234</v>
      </c>
      <c r="M609" s="54">
        <v>46239</v>
      </c>
      <c r="O609" s="51" t="str">
        <f t="shared" si="63"/>
        <v/>
      </c>
      <c r="P609" s="51" t="str">
        <f t="shared" si="64"/>
        <v/>
      </c>
      <c r="Q609" s="52" t="str">
        <f t="shared" si="65"/>
        <v/>
      </c>
      <c r="R609" s="52" t="str">
        <f t="shared" si="66"/>
        <v/>
      </c>
      <c r="S609" s="51" t="str">
        <f t="shared" si="67"/>
        <v/>
      </c>
      <c r="T609" t="str">
        <f t="shared" si="68"/>
        <v/>
      </c>
      <c r="U609" s="52" t="str">
        <f t="shared" si="69"/>
        <v/>
      </c>
    </row>
    <row r="610" spans="2:21" x14ac:dyDescent="0.25">
      <c r="B610">
        <v>628</v>
      </c>
      <c r="C610" t="s">
        <v>140</v>
      </c>
      <c r="D610" t="s">
        <v>883</v>
      </c>
      <c r="E610" t="s">
        <v>1518</v>
      </c>
      <c r="F610" t="s">
        <v>1519</v>
      </c>
      <c r="G610">
        <v>6</v>
      </c>
      <c r="H610" s="48">
        <v>0</v>
      </c>
      <c r="I610" s="50">
        <v>0</v>
      </c>
      <c r="J610" s="50">
        <v>46240</v>
      </c>
      <c r="K610" s="54">
        <v>46245</v>
      </c>
      <c r="L610" s="54">
        <v>46239</v>
      </c>
      <c r="M610" s="54">
        <v>46244</v>
      </c>
      <c r="O610" s="51" t="str">
        <f t="shared" si="63"/>
        <v/>
      </c>
      <c r="P610" s="51" t="str">
        <f t="shared" si="64"/>
        <v/>
      </c>
      <c r="Q610" s="52" t="str">
        <f t="shared" si="65"/>
        <v/>
      </c>
      <c r="R610" s="52" t="str">
        <f t="shared" si="66"/>
        <v/>
      </c>
      <c r="S610" s="51" t="str">
        <f t="shared" si="67"/>
        <v>SIM</v>
      </c>
      <c r="T610" t="str">
        <f t="shared" si="68"/>
        <v>BL1132-0001-EL-DUN-2006</v>
      </c>
      <c r="U610" s="52">
        <f t="shared" si="69"/>
        <v>46244</v>
      </c>
    </row>
    <row r="611" spans="2:21" x14ac:dyDescent="0.25">
      <c r="B611">
        <v>629</v>
      </c>
      <c r="C611" t="s">
        <v>140</v>
      </c>
      <c r="D611" t="s">
        <v>883</v>
      </c>
      <c r="E611" t="s">
        <v>1520</v>
      </c>
      <c r="F611" t="s">
        <v>1519</v>
      </c>
      <c r="G611">
        <v>4</v>
      </c>
      <c r="H611" s="48">
        <v>0</v>
      </c>
      <c r="I611" s="50">
        <v>0</v>
      </c>
      <c r="J611" s="50">
        <v>46245</v>
      </c>
      <c r="K611" s="54">
        <v>46248</v>
      </c>
      <c r="L611" s="54">
        <v>46244</v>
      </c>
      <c r="M611" s="54">
        <v>46247</v>
      </c>
      <c r="O611" s="51" t="str">
        <f t="shared" si="63"/>
        <v/>
      </c>
      <c r="P611" s="51" t="str">
        <f t="shared" si="64"/>
        <v/>
      </c>
      <c r="Q611" s="52" t="str">
        <f t="shared" si="65"/>
        <v/>
      </c>
      <c r="R611" s="52" t="str">
        <f t="shared" si="66"/>
        <v/>
      </c>
      <c r="S611" s="51" t="str">
        <f t="shared" si="67"/>
        <v/>
      </c>
      <c r="T611" t="str">
        <f t="shared" si="68"/>
        <v/>
      </c>
      <c r="U611" s="52" t="str">
        <f t="shared" si="69"/>
        <v/>
      </c>
    </row>
    <row r="612" spans="2:21" x14ac:dyDescent="0.25">
      <c r="B612">
        <v>630</v>
      </c>
      <c r="C612" t="s">
        <v>141</v>
      </c>
      <c r="D612" t="s">
        <v>887</v>
      </c>
      <c r="E612" t="s">
        <v>1700</v>
      </c>
      <c r="F612" t="s">
        <v>1598</v>
      </c>
      <c r="G612">
        <v>24</v>
      </c>
      <c r="H612" s="48">
        <v>0</v>
      </c>
      <c r="I612" s="50">
        <v>0</v>
      </c>
      <c r="J612" s="50">
        <v>46225</v>
      </c>
      <c r="K612" s="54">
        <v>46248</v>
      </c>
      <c r="L612" s="54">
        <v>46224</v>
      </c>
      <c r="M612" s="54">
        <v>46247</v>
      </c>
      <c r="O612" s="51" t="str">
        <f t="shared" si="63"/>
        <v/>
      </c>
      <c r="P612" s="51" t="str">
        <f t="shared" si="64"/>
        <v/>
      </c>
      <c r="Q612" s="52" t="str">
        <f t="shared" si="65"/>
        <v/>
      </c>
      <c r="R612" s="52" t="str">
        <f t="shared" si="66"/>
        <v/>
      </c>
      <c r="S612" s="51" t="str">
        <f t="shared" si="67"/>
        <v/>
      </c>
      <c r="T612" t="str">
        <f t="shared" si="68"/>
        <v/>
      </c>
      <c r="U612" s="52" t="str">
        <f t="shared" si="69"/>
        <v/>
      </c>
    </row>
    <row r="613" spans="2:21" x14ac:dyDescent="0.25">
      <c r="B613">
        <v>631</v>
      </c>
      <c r="C613" t="s">
        <v>141</v>
      </c>
      <c r="D613" t="s">
        <v>887</v>
      </c>
      <c r="E613" t="s">
        <v>1515</v>
      </c>
      <c r="F613" t="s">
        <v>1516</v>
      </c>
      <c r="G613">
        <v>11</v>
      </c>
      <c r="H613" s="48">
        <v>0</v>
      </c>
      <c r="I613" s="50">
        <v>0</v>
      </c>
      <c r="J613" s="50">
        <v>46225</v>
      </c>
      <c r="K613" s="54">
        <v>46237</v>
      </c>
      <c r="L613" s="54">
        <v>46224</v>
      </c>
      <c r="M613" s="54">
        <v>46234</v>
      </c>
      <c r="O613" s="51" t="str">
        <f t="shared" si="63"/>
        <v>SIM</v>
      </c>
      <c r="P613" s="51" t="str">
        <f t="shared" si="64"/>
        <v>BL1132-0001-EL-DUN-2007</v>
      </c>
      <c r="Q613" s="52">
        <f t="shared" si="65"/>
        <v>46234</v>
      </c>
      <c r="R613" s="52">
        <f t="shared" si="66"/>
        <v>46237</v>
      </c>
      <c r="S613" s="51" t="str">
        <f t="shared" si="67"/>
        <v/>
      </c>
      <c r="T613" t="str">
        <f t="shared" si="68"/>
        <v/>
      </c>
      <c r="U613" s="52" t="str">
        <f t="shared" si="69"/>
        <v/>
      </c>
    </row>
    <row r="614" spans="2:21" x14ac:dyDescent="0.25">
      <c r="B614">
        <v>632</v>
      </c>
      <c r="C614" t="s">
        <v>141</v>
      </c>
      <c r="D614" t="s">
        <v>887</v>
      </c>
      <c r="E614" t="s">
        <v>1517</v>
      </c>
      <c r="F614" t="s">
        <v>1519</v>
      </c>
      <c r="G614">
        <v>6</v>
      </c>
      <c r="H614" s="48">
        <v>0</v>
      </c>
      <c r="I614" s="50">
        <v>0</v>
      </c>
      <c r="J614" s="50">
        <v>46237</v>
      </c>
      <c r="K614" s="54">
        <v>46240</v>
      </c>
      <c r="L614" s="54">
        <v>46234</v>
      </c>
      <c r="M614" s="54">
        <v>46239</v>
      </c>
      <c r="O614" s="51" t="str">
        <f t="shared" si="63"/>
        <v/>
      </c>
      <c r="P614" s="51" t="str">
        <f t="shared" si="64"/>
        <v/>
      </c>
      <c r="Q614" s="52" t="str">
        <f t="shared" si="65"/>
        <v/>
      </c>
      <c r="R614" s="52" t="str">
        <f t="shared" si="66"/>
        <v/>
      </c>
      <c r="S614" s="51" t="str">
        <f t="shared" si="67"/>
        <v/>
      </c>
      <c r="T614" t="str">
        <f t="shared" si="68"/>
        <v/>
      </c>
      <c r="U614" s="52" t="str">
        <f t="shared" si="69"/>
        <v/>
      </c>
    </row>
    <row r="615" spans="2:21" x14ac:dyDescent="0.25">
      <c r="B615">
        <v>633</v>
      </c>
      <c r="C615" t="s">
        <v>141</v>
      </c>
      <c r="D615" t="s">
        <v>887</v>
      </c>
      <c r="E615" t="s">
        <v>1518</v>
      </c>
      <c r="F615" t="s">
        <v>1519</v>
      </c>
      <c r="G615">
        <v>6</v>
      </c>
      <c r="H615" s="48">
        <v>0</v>
      </c>
      <c r="I615" s="50">
        <v>0</v>
      </c>
      <c r="J615" s="50">
        <v>46240</v>
      </c>
      <c r="K615" s="54">
        <v>46245</v>
      </c>
      <c r="L615" s="54">
        <v>46239</v>
      </c>
      <c r="M615" s="54">
        <v>46244</v>
      </c>
      <c r="O615" s="51" t="str">
        <f t="shared" si="63"/>
        <v/>
      </c>
      <c r="P615" s="51" t="str">
        <f t="shared" si="64"/>
        <v/>
      </c>
      <c r="Q615" s="52" t="str">
        <f t="shared" si="65"/>
        <v/>
      </c>
      <c r="R615" s="52" t="str">
        <f t="shared" si="66"/>
        <v/>
      </c>
      <c r="S615" s="51" t="str">
        <f t="shared" si="67"/>
        <v>SIM</v>
      </c>
      <c r="T615" t="str">
        <f t="shared" si="68"/>
        <v>BL1132-0001-EL-DUN-2007</v>
      </c>
      <c r="U615" s="52">
        <f t="shared" si="69"/>
        <v>46244</v>
      </c>
    </row>
    <row r="616" spans="2:21" x14ac:dyDescent="0.25">
      <c r="B616">
        <v>634</v>
      </c>
      <c r="C616" t="s">
        <v>141</v>
      </c>
      <c r="D616" t="s">
        <v>887</v>
      </c>
      <c r="E616" t="s">
        <v>1520</v>
      </c>
      <c r="F616" t="s">
        <v>1519</v>
      </c>
      <c r="G616">
        <v>4</v>
      </c>
      <c r="H616" s="48">
        <v>0</v>
      </c>
      <c r="I616" s="50">
        <v>0</v>
      </c>
      <c r="J616" s="50">
        <v>46245</v>
      </c>
      <c r="K616" s="54">
        <v>46248</v>
      </c>
      <c r="L616" s="54">
        <v>46244</v>
      </c>
      <c r="M616" s="54">
        <v>46247</v>
      </c>
      <c r="O616" s="51" t="str">
        <f t="shared" si="63"/>
        <v/>
      </c>
      <c r="P616" s="51" t="str">
        <f t="shared" si="64"/>
        <v/>
      </c>
      <c r="Q616" s="52" t="str">
        <f t="shared" si="65"/>
        <v/>
      </c>
      <c r="R616" s="52" t="str">
        <f t="shared" si="66"/>
        <v/>
      </c>
      <c r="S616" s="51" t="str">
        <f t="shared" si="67"/>
        <v/>
      </c>
      <c r="T616" t="str">
        <f t="shared" si="68"/>
        <v/>
      </c>
      <c r="U616" s="52" t="str">
        <f t="shared" si="69"/>
        <v/>
      </c>
    </row>
    <row r="617" spans="2:21" x14ac:dyDescent="0.25">
      <c r="B617">
        <v>635</v>
      </c>
      <c r="C617" t="s">
        <v>142</v>
      </c>
      <c r="D617" t="s">
        <v>890</v>
      </c>
      <c r="E617" t="s">
        <v>1700</v>
      </c>
      <c r="F617" t="s">
        <v>1598</v>
      </c>
      <c r="G617">
        <v>24</v>
      </c>
      <c r="H617" s="48">
        <v>0</v>
      </c>
      <c r="I617" s="50">
        <v>0</v>
      </c>
      <c r="J617" s="50">
        <v>46225</v>
      </c>
      <c r="K617" s="54">
        <v>46248</v>
      </c>
      <c r="L617" s="54">
        <v>46224</v>
      </c>
      <c r="M617" s="54">
        <v>46247</v>
      </c>
      <c r="O617" s="51" t="str">
        <f t="shared" si="63"/>
        <v/>
      </c>
      <c r="P617" s="51" t="str">
        <f t="shared" si="64"/>
        <v/>
      </c>
      <c r="Q617" s="52" t="str">
        <f t="shared" si="65"/>
        <v/>
      </c>
      <c r="R617" s="52" t="str">
        <f t="shared" si="66"/>
        <v/>
      </c>
      <c r="S617" s="51" t="str">
        <f t="shared" si="67"/>
        <v/>
      </c>
      <c r="T617" t="str">
        <f t="shared" si="68"/>
        <v/>
      </c>
      <c r="U617" s="52" t="str">
        <f t="shared" si="69"/>
        <v/>
      </c>
    </row>
    <row r="618" spans="2:21" x14ac:dyDescent="0.25">
      <c r="B618">
        <v>636</v>
      </c>
      <c r="C618" t="s">
        <v>142</v>
      </c>
      <c r="D618" t="s">
        <v>890</v>
      </c>
      <c r="E618" t="s">
        <v>1515</v>
      </c>
      <c r="F618" t="s">
        <v>1516</v>
      </c>
      <c r="G618">
        <v>11</v>
      </c>
      <c r="H618" s="48">
        <v>0</v>
      </c>
      <c r="I618" s="50">
        <v>0</v>
      </c>
      <c r="J618" s="50">
        <v>46225</v>
      </c>
      <c r="K618" s="54">
        <v>46237</v>
      </c>
      <c r="L618" s="54">
        <v>46224</v>
      </c>
      <c r="M618" s="54">
        <v>46234</v>
      </c>
      <c r="O618" s="51" t="str">
        <f t="shared" si="63"/>
        <v>SIM</v>
      </c>
      <c r="P618" s="51" t="str">
        <f t="shared" si="64"/>
        <v>BL1132-0001-EL-DUN-2008</v>
      </c>
      <c r="Q618" s="52">
        <f t="shared" si="65"/>
        <v>46234</v>
      </c>
      <c r="R618" s="52">
        <f t="shared" si="66"/>
        <v>46237</v>
      </c>
      <c r="S618" s="51" t="str">
        <f t="shared" si="67"/>
        <v/>
      </c>
      <c r="T618" t="str">
        <f t="shared" si="68"/>
        <v/>
      </c>
      <c r="U618" s="52" t="str">
        <f t="shared" si="69"/>
        <v/>
      </c>
    </row>
    <row r="619" spans="2:21" x14ac:dyDescent="0.25">
      <c r="B619">
        <v>637</v>
      </c>
      <c r="C619" t="s">
        <v>142</v>
      </c>
      <c r="D619" t="s">
        <v>890</v>
      </c>
      <c r="E619" t="s">
        <v>1517</v>
      </c>
      <c r="F619" t="s">
        <v>1519</v>
      </c>
      <c r="G619">
        <v>6</v>
      </c>
      <c r="H619" s="48">
        <v>0</v>
      </c>
      <c r="I619" s="50">
        <v>0</v>
      </c>
      <c r="J619" s="50">
        <v>46237</v>
      </c>
      <c r="K619" s="54">
        <v>46240</v>
      </c>
      <c r="L619" s="54">
        <v>46234</v>
      </c>
      <c r="M619" s="54">
        <v>46239</v>
      </c>
      <c r="O619" s="51" t="str">
        <f t="shared" si="63"/>
        <v/>
      </c>
      <c r="P619" s="51" t="str">
        <f t="shared" si="64"/>
        <v/>
      </c>
      <c r="Q619" s="52" t="str">
        <f t="shared" si="65"/>
        <v/>
      </c>
      <c r="R619" s="52" t="str">
        <f t="shared" si="66"/>
        <v/>
      </c>
      <c r="S619" s="51" t="str">
        <f t="shared" si="67"/>
        <v/>
      </c>
      <c r="T619" t="str">
        <f t="shared" si="68"/>
        <v/>
      </c>
      <c r="U619" s="52" t="str">
        <f t="shared" si="69"/>
        <v/>
      </c>
    </row>
    <row r="620" spans="2:21" x14ac:dyDescent="0.25">
      <c r="B620">
        <v>638</v>
      </c>
      <c r="C620" t="s">
        <v>142</v>
      </c>
      <c r="D620" t="s">
        <v>890</v>
      </c>
      <c r="E620" t="s">
        <v>1518</v>
      </c>
      <c r="F620" t="s">
        <v>1519</v>
      </c>
      <c r="G620">
        <v>6</v>
      </c>
      <c r="H620" s="48">
        <v>0</v>
      </c>
      <c r="I620" s="50">
        <v>0</v>
      </c>
      <c r="J620" s="50">
        <v>46240</v>
      </c>
      <c r="K620" s="54">
        <v>46245</v>
      </c>
      <c r="L620" s="54">
        <v>46239</v>
      </c>
      <c r="M620" s="54">
        <v>46244</v>
      </c>
      <c r="O620" s="51" t="str">
        <f t="shared" si="63"/>
        <v/>
      </c>
      <c r="P620" s="51" t="str">
        <f t="shared" si="64"/>
        <v/>
      </c>
      <c r="Q620" s="52" t="str">
        <f t="shared" si="65"/>
        <v/>
      </c>
      <c r="R620" s="52" t="str">
        <f t="shared" si="66"/>
        <v/>
      </c>
      <c r="S620" s="51" t="str">
        <f t="shared" si="67"/>
        <v>SIM</v>
      </c>
      <c r="T620" t="str">
        <f t="shared" si="68"/>
        <v>BL1132-0001-EL-DUN-2008</v>
      </c>
      <c r="U620" s="52">
        <f t="shared" si="69"/>
        <v>46244</v>
      </c>
    </row>
    <row r="621" spans="2:21" x14ac:dyDescent="0.25">
      <c r="B621">
        <v>639</v>
      </c>
      <c r="C621" t="s">
        <v>142</v>
      </c>
      <c r="D621" t="s">
        <v>890</v>
      </c>
      <c r="E621" t="s">
        <v>1520</v>
      </c>
      <c r="F621" t="s">
        <v>1519</v>
      </c>
      <c r="G621">
        <v>4</v>
      </c>
      <c r="H621" s="48">
        <v>0</v>
      </c>
      <c r="I621" s="50">
        <v>0</v>
      </c>
      <c r="J621" s="50">
        <v>46245</v>
      </c>
      <c r="K621" s="54">
        <v>46248</v>
      </c>
      <c r="L621" s="54">
        <v>46244</v>
      </c>
      <c r="M621" s="54">
        <v>46247</v>
      </c>
      <c r="O621" s="51" t="str">
        <f t="shared" si="63"/>
        <v/>
      </c>
      <c r="P621" s="51" t="str">
        <f t="shared" si="64"/>
        <v/>
      </c>
      <c r="Q621" s="52" t="str">
        <f t="shared" si="65"/>
        <v/>
      </c>
      <c r="R621" s="52" t="str">
        <f t="shared" si="66"/>
        <v/>
      </c>
      <c r="S621" s="51" t="str">
        <f t="shared" si="67"/>
        <v/>
      </c>
      <c r="T621" t="str">
        <f t="shared" si="68"/>
        <v/>
      </c>
      <c r="U621" s="52" t="str">
        <f t="shared" si="69"/>
        <v/>
      </c>
    </row>
    <row r="622" spans="2:21" x14ac:dyDescent="0.25">
      <c r="B622">
        <v>640</v>
      </c>
      <c r="E622" t="s">
        <v>1689</v>
      </c>
      <c r="F622" t="s">
        <v>1559</v>
      </c>
      <c r="G622">
        <v>17</v>
      </c>
      <c r="H622" s="48">
        <v>0</v>
      </c>
      <c r="I622" s="50">
        <v>0</v>
      </c>
      <c r="J622" s="50">
        <v>46239</v>
      </c>
      <c r="K622" s="54">
        <v>46255</v>
      </c>
      <c r="L622" s="54">
        <v>46230</v>
      </c>
      <c r="M622" s="54">
        <v>46246</v>
      </c>
      <c r="O622" s="51" t="str">
        <f t="shared" si="63"/>
        <v/>
      </c>
      <c r="P622" s="51" t="str">
        <f t="shared" si="64"/>
        <v/>
      </c>
      <c r="Q622" s="52" t="str">
        <f t="shared" si="65"/>
        <v/>
      </c>
      <c r="R622" s="52" t="str">
        <f t="shared" si="66"/>
        <v/>
      </c>
      <c r="S622" s="51" t="str">
        <f t="shared" si="67"/>
        <v/>
      </c>
      <c r="T622" t="str">
        <f t="shared" si="68"/>
        <v/>
      </c>
      <c r="U622" s="52" t="str">
        <f t="shared" si="69"/>
        <v/>
      </c>
    </row>
    <row r="623" spans="2:21" x14ac:dyDescent="0.25">
      <c r="B623">
        <v>641</v>
      </c>
      <c r="C623" t="s">
        <v>74</v>
      </c>
      <c r="D623" t="s">
        <v>587</v>
      </c>
      <c r="E623" t="s">
        <v>1695</v>
      </c>
      <c r="F623" t="s">
        <v>1559</v>
      </c>
      <c r="G623">
        <v>17</v>
      </c>
      <c r="H623" s="48">
        <v>0</v>
      </c>
      <c r="I623" s="50">
        <v>0</v>
      </c>
      <c r="J623" s="50">
        <v>46239</v>
      </c>
      <c r="K623" s="54">
        <v>46255</v>
      </c>
      <c r="L623" s="54">
        <v>46230</v>
      </c>
      <c r="M623" s="54">
        <v>46246</v>
      </c>
      <c r="O623" s="51" t="str">
        <f t="shared" si="63"/>
        <v/>
      </c>
      <c r="P623" s="51" t="str">
        <f t="shared" si="64"/>
        <v/>
      </c>
      <c r="Q623" s="52" t="str">
        <f t="shared" si="65"/>
        <v/>
      </c>
      <c r="R623" s="52" t="str">
        <f t="shared" si="66"/>
        <v/>
      </c>
      <c r="S623" s="51" t="str">
        <f t="shared" si="67"/>
        <v/>
      </c>
      <c r="T623" t="str">
        <f t="shared" si="68"/>
        <v/>
      </c>
      <c r="U623" s="52" t="str">
        <f t="shared" si="69"/>
        <v/>
      </c>
    </row>
    <row r="624" spans="2:21" x14ac:dyDescent="0.25">
      <c r="B624">
        <v>642</v>
      </c>
      <c r="C624" t="s">
        <v>74</v>
      </c>
      <c r="D624" t="s">
        <v>587</v>
      </c>
      <c r="E624" t="s">
        <v>1515</v>
      </c>
      <c r="F624" t="s">
        <v>1519</v>
      </c>
      <c r="G624">
        <v>4</v>
      </c>
      <c r="H624" s="48">
        <v>0</v>
      </c>
      <c r="I624" s="50">
        <v>0</v>
      </c>
      <c r="J624" s="50">
        <v>46239</v>
      </c>
      <c r="K624" s="54">
        <v>46244</v>
      </c>
      <c r="L624" s="54">
        <v>46230</v>
      </c>
      <c r="M624" s="54">
        <v>46233</v>
      </c>
      <c r="O624" s="51" t="str">
        <f t="shared" si="63"/>
        <v>SIM</v>
      </c>
      <c r="P624" s="51" t="str">
        <f t="shared" si="64"/>
        <v>BL1132-0001-AR-DBA-2001</v>
      </c>
      <c r="Q624" s="52">
        <f t="shared" si="65"/>
        <v>46233</v>
      </c>
      <c r="R624" s="52">
        <f t="shared" si="66"/>
        <v>46244</v>
      </c>
      <c r="S624" s="51" t="str">
        <f t="shared" si="67"/>
        <v/>
      </c>
      <c r="T624" t="str">
        <f t="shared" si="68"/>
        <v/>
      </c>
      <c r="U624" s="52" t="str">
        <f t="shared" si="69"/>
        <v/>
      </c>
    </row>
    <row r="625" spans="2:21" x14ac:dyDescent="0.25">
      <c r="B625">
        <v>643</v>
      </c>
      <c r="C625" t="s">
        <v>74</v>
      </c>
      <c r="D625" t="s">
        <v>587</v>
      </c>
      <c r="E625" t="s">
        <v>1517</v>
      </c>
      <c r="F625" t="s">
        <v>1519</v>
      </c>
      <c r="G625">
        <v>6</v>
      </c>
      <c r="H625" s="48">
        <v>0</v>
      </c>
      <c r="I625" s="50">
        <v>0</v>
      </c>
      <c r="J625" s="50">
        <v>46244</v>
      </c>
      <c r="K625" s="54">
        <v>46247</v>
      </c>
      <c r="L625" s="54">
        <v>46233</v>
      </c>
      <c r="M625" s="54">
        <v>46238</v>
      </c>
      <c r="O625" s="51" t="str">
        <f t="shared" si="63"/>
        <v/>
      </c>
      <c r="P625" s="51" t="str">
        <f t="shared" si="64"/>
        <v/>
      </c>
      <c r="Q625" s="52" t="str">
        <f t="shared" si="65"/>
        <v/>
      </c>
      <c r="R625" s="52" t="str">
        <f t="shared" si="66"/>
        <v/>
      </c>
      <c r="S625" s="51" t="str">
        <f t="shared" si="67"/>
        <v/>
      </c>
      <c r="T625" t="str">
        <f t="shared" si="68"/>
        <v/>
      </c>
      <c r="U625" s="52" t="str">
        <f t="shared" si="69"/>
        <v/>
      </c>
    </row>
    <row r="626" spans="2:21" x14ac:dyDescent="0.25">
      <c r="B626">
        <v>644</v>
      </c>
      <c r="C626" t="s">
        <v>74</v>
      </c>
      <c r="D626" t="s">
        <v>587</v>
      </c>
      <c r="E626" t="s">
        <v>1518</v>
      </c>
      <c r="F626" t="s">
        <v>1519</v>
      </c>
      <c r="G626">
        <v>4</v>
      </c>
      <c r="H626" s="48">
        <v>0</v>
      </c>
      <c r="I626" s="50">
        <v>0</v>
      </c>
      <c r="J626" s="50">
        <v>46247</v>
      </c>
      <c r="K626" s="54">
        <v>46252</v>
      </c>
      <c r="L626" s="54">
        <v>46238</v>
      </c>
      <c r="M626" s="54">
        <v>46241</v>
      </c>
      <c r="O626" s="51" t="str">
        <f t="shared" si="63"/>
        <v/>
      </c>
      <c r="P626" s="51" t="str">
        <f t="shared" si="64"/>
        <v/>
      </c>
      <c r="Q626" s="52" t="str">
        <f t="shared" si="65"/>
        <v/>
      </c>
      <c r="R626" s="52" t="str">
        <f t="shared" si="66"/>
        <v/>
      </c>
      <c r="S626" s="51" t="str">
        <f t="shared" si="67"/>
        <v>SIM</v>
      </c>
      <c r="T626" t="str">
        <f t="shared" si="68"/>
        <v>BL1132-0001-AR-DBA-2001</v>
      </c>
      <c r="U626" s="52">
        <f t="shared" si="69"/>
        <v>46241</v>
      </c>
    </row>
    <row r="627" spans="2:21" x14ac:dyDescent="0.25">
      <c r="B627">
        <v>645</v>
      </c>
      <c r="C627" t="s">
        <v>74</v>
      </c>
      <c r="D627" t="s">
        <v>587</v>
      </c>
      <c r="E627" t="s">
        <v>1520</v>
      </c>
      <c r="F627" t="s">
        <v>1519</v>
      </c>
      <c r="G627">
        <v>6</v>
      </c>
      <c r="H627" s="48">
        <v>0</v>
      </c>
      <c r="I627" s="50">
        <v>0</v>
      </c>
      <c r="J627" s="50">
        <v>46252</v>
      </c>
      <c r="K627" s="54">
        <v>46255</v>
      </c>
      <c r="L627" s="54">
        <v>46241</v>
      </c>
      <c r="M627" s="54">
        <v>46246</v>
      </c>
      <c r="O627" s="51" t="str">
        <f t="shared" si="63"/>
        <v/>
      </c>
      <c r="P627" s="51" t="str">
        <f t="shared" si="64"/>
        <v/>
      </c>
      <c r="Q627" s="52" t="str">
        <f t="shared" si="65"/>
        <v/>
      </c>
      <c r="R627" s="52" t="str">
        <f t="shared" si="66"/>
        <v/>
      </c>
      <c r="S627" s="51" t="str">
        <f t="shared" si="67"/>
        <v/>
      </c>
      <c r="T627" t="str">
        <f t="shared" si="68"/>
        <v/>
      </c>
      <c r="U627" s="52" t="str">
        <f t="shared" si="69"/>
        <v/>
      </c>
    </row>
    <row r="628" spans="2:21" x14ac:dyDescent="0.25">
      <c r="B628">
        <v>646</v>
      </c>
      <c r="E628" t="s">
        <v>1572</v>
      </c>
      <c r="F628" t="s">
        <v>1535</v>
      </c>
      <c r="G628">
        <v>20</v>
      </c>
      <c r="H628" s="48">
        <v>0</v>
      </c>
      <c r="I628" s="50">
        <v>0</v>
      </c>
      <c r="J628" s="50">
        <v>46245</v>
      </c>
      <c r="K628" s="54">
        <v>46262</v>
      </c>
      <c r="L628" s="54">
        <v>46234</v>
      </c>
      <c r="M628" s="54">
        <v>46253</v>
      </c>
      <c r="O628" s="51" t="str">
        <f t="shared" si="63"/>
        <v/>
      </c>
      <c r="P628" s="51" t="str">
        <f t="shared" si="64"/>
        <v/>
      </c>
      <c r="Q628" s="52" t="str">
        <f t="shared" si="65"/>
        <v/>
      </c>
      <c r="R628" s="52" t="str">
        <f t="shared" si="66"/>
        <v/>
      </c>
      <c r="S628" s="51" t="str">
        <f t="shared" si="67"/>
        <v/>
      </c>
      <c r="T628" t="str">
        <f t="shared" si="68"/>
        <v/>
      </c>
      <c r="U628" s="52" t="str">
        <f t="shared" si="69"/>
        <v/>
      </c>
    </row>
    <row r="629" spans="2:21" x14ac:dyDescent="0.25">
      <c r="B629">
        <v>647</v>
      </c>
      <c r="C629" t="s">
        <v>92</v>
      </c>
      <c r="D629" t="s">
        <v>671</v>
      </c>
      <c r="E629" t="s">
        <v>1696</v>
      </c>
      <c r="F629" t="s">
        <v>1535</v>
      </c>
      <c r="G629">
        <v>20</v>
      </c>
      <c r="H629" s="48">
        <v>0</v>
      </c>
      <c r="I629" s="50">
        <v>0</v>
      </c>
      <c r="J629" s="50">
        <v>46245</v>
      </c>
      <c r="K629" s="54">
        <v>46262</v>
      </c>
      <c r="L629" s="54">
        <v>46234</v>
      </c>
      <c r="M629" s="54">
        <v>46253</v>
      </c>
      <c r="O629" s="51" t="str">
        <f t="shared" si="63"/>
        <v/>
      </c>
      <c r="P629" s="51" t="str">
        <f t="shared" si="64"/>
        <v/>
      </c>
      <c r="Q629" s="52" t="str">
        <f t="shared" si="65"/>
        <v/>
      </c>
      <c r="R629" s="52" t="str">
        <f t="shared" si="66"/>
        <v/>
      </c>
      <c r="S629" s="51" t="str">
        <f t="shared" si="67"/>
        <v/>
      </c>
      <c r="T629" t="str">
        <f t="shared" si="68"/>
        <v/>
      </c>
      <c r="U629" s="52" t="str">
        <f t="shared" si="69"/>
        <v/>
      </c>
    </row>
    <row r="630" spans="2:21" x14ac:dyDescent="0.25">
      <c r="B630">
        <v>648</v>
      </c>
      <c r="C630" t="s">
        <v>92</v>
      </c>
      <c r="D630" t="s">
        <v>671</v>
      </c>
      <c r="E630" t="s">
        <v>1515</v>
      </c>
      <c r="F630" t="s">
        <v>1525</v>
      </c>
      <c r="G630">
        <v>7</v>
      </c>
      <c r="H630" s="48">
        <v>0</v>
      </c>
      <c r="I630" s="50">
        <v>0</v>
      </c>
      <c r="J630" s="50">
        <v>46245</v>
      </c>
      <c r="K630" s="54">
        <v>46251</v>
      </c>
      <c r="L630" s="54">
        <v>46234</v>
      </c>
      <c r="M630" s="54">
        <v>46240</v>
      </c>
      <c r="O630" s="51" t="str">
        <f t="shared" si="63"/>
        <v>SIM</v>
      </c>
      <c r="P630" s="51" t="str">
        <f t="shared" si="64"/>
        <v>BL1132-0001-CC-MCA-2001</v>
      </c>
      <c r="Q630" s="52">
        <f t="shared" si="65"/>
        <v>46240</v>
      </c>
      <c r="R630" s="52">
        <f t="shared" si="66"/>
        <v>46251</v>
      </c>
      <c r="S630" s="51" t="str">
        <f t="shared" si="67"/>
        <v/>
      </c>
      <c r="T630" t="str">
        <f t="shared" si="68"/>
        <v/>
      </c>
      <c r="U630" s="52" t="str">
        <f t="shared" si="69"/>
        <v/>
      </c>
    </row>
    <row r="631" spans="2:21" x14ac:dyDescent="0.25">
      <c r="B631">
        <v>649</v>
      </c>
      <c r="C631" t="s">
        <v>92</v>
      </c>
      <c r="D631" t="s">
        <v>671</v>
      </c>
      <c r="E631" t="s">
        <v>1517</v>
      </c>
      <c r="F631" t="s">
        <v>1519</v>
      </c>
      <c r="G631">
        <v>6</v>
      </c>
      <c r="H631" s="48">
        <v>0</v>
      </c>
      <c r="I631" s="50">
        <v>0</v>
      </c>
      <c r="J631" s="50">
        <v>46251</v>
      </c>
      <c r="K631" s="54">
        <v>46254</v>
      </c>
      <c r="L631" s="54">
        <v>46240</v>
      </c>
      <c r="M631" s="54">
        <v>46245</v>
      </c>
      <c r="O631" s="51" t="str">
        <f t="shared" si="63"/>
        <v/>
      </c>
      <c r="P631" s="51" t="str">
        <f t="shared" si="64"/>
        <v/>
      </c>
      <c r="Q631" s="52" t="str">
        <f t="shared" si="65"/>
        <v/>
      </c>
      <c r="R631" s="52" t="str">
        <f t="shared" si="66"/>
        <v/>
      </c>
      <c r="S631" s="51" t="str">
        <f t="shared" si="67"/>
        <v/>
      </c>
      <c r="T631" t="str">
        <f t="shared" si="68"/>
        <v/>
      </c>
      <c r="U631" s="52" t="str">
        <f t="shared" si="69"/>
        <v/>
      </c>
    </row>
    <row r="632" spans="2:21" x14ac:dyDescent="0.25">
      <c r="B632">
        <v>650</v>
      </c>
      <c r="C632" t="s">
        <v>92</v>
      </c>
      <c r="D632" t="s">
        <v>671</v>
      </c>
      <c r="E632" t="s">
        <v>1518</v>
      </c>
      <c r="F632" t="s">
        <v>1519</v>
      </c>
      <c r="G632">
        <v>4</v>
      </c>
      <c r="H632" s="48">
        <v>0</v>
      </c>
      <c r="I632" s="50">
        <v>0</v>
      </c>
      <c r="J632" s="50">
        <v>46254</v>
      </c>
      <c r="K632" s="54">
        <v>46259</v>
      </c>
      <c r="L632" s="54">
        <v>46245</v>
      </c>
      <c r="M632" s="54">
        <v>46248</v>
      </c>
      <c r="O632" s="51" t="str">
        <f t="shared" si="63"/>
        <v/>
      </c>
      <c r="P632" s="51" t="str">
        <f t="shared" si="64"/>
        <v/>
      </c>
      <c r="Q632" s="52" t="str">
        <f t="shared" si="65"/>
        <v/>
      </c>
      <c r="R632" s="52" t="str">
        <f t="shared" si="66"/>
        <v/>
      </c>
      <c r="S632" s="51" t="str">
        <f t="shared" si="67"/>
        <v>SIM</v>
      </c>
      <c r="T632" t="str">
        <f t="shared" si="68"/>
        <v>BL1132-0001-CC-MCA-2001</v>
      </c>
      <c r="U632" s="52">
        <f t="shared" si="69"/>
        <v>46248</v>
      </c>
    </row>
    <row r="633" spans="2:21" x14ac:dyDescent="0.25">
      <c r="B633">
        <v>651</v>
      </c>
      <c r="C633" t="s">
        <v>92</v>
      </c>
      <c r="D633" t="s">
        <v>671</v>
      </c>
      <c r="E633" t="s">
        <v>1520</v>
      </c>
      <c r="F633" t="s">
        <v>1519</v>
      </c>
      <c r="G633">
        <v>6</v>
      </c>
      <c r="H633" s="48">
        <v>0</v>
      </c>
      <c r="I633" s="50">
        <v>0</v>
      </c>
      <c r="J633" s="50">
        <v>46259</v>
      </c>
      <c r="K633" s="54">
        <v>46262</v>
      </c>
      <c r="L633" s="54">
        <v>46248</v>
      </c>
      <c r="M633" s="54">
        <v>46253</v>
      </c>
      <c r="O633" s="51" t="str">
        <f t="shared" si="63"/>
        <v/>
      </c>
      <c r="P633" s="51" t="str">
        <f t="shared" si="64"/>
        <v/>
      </c>
      <c r="Q633" s="52" t="str">
        <f t="shared" si="65"/>
        <v/>
      </c>
      <c r="R633" s="52" t="str">
        <f t="shared" si="66"/>
        <v/>
      </c>
      <c r="S633" s="51" t="str">
        <f t="shared" si="67"/>
        <v/>
      </c>
      <c r="T633" t="str">
        <f t="shared" si="68"/>
        <v/>
      </c>
      <c r="U633" s="52" t="str">
        <f t="shared" si="69"/>
        <v/>
      </c>
    </row>
    <row r="634" spans="2:21" x14ac:dyDescent="0.25">
      <c r="B634">
        <v>652</v>
      </c>
      <c r="E634" t="s">
        <v>1557</v>
      </c>
      <c r="F634" t="s">
        <v>1535</v>
      </c>
      <c r="G634">
        <v>18</v>
      </c>
      <c r="H634" s="48">
        <v>0</v>
      </c>
      <c r="I634" s="50">
        <v>0</v>
      </c>
      <c r="J634" s="50">
        <v>46239</v>
      </c>
      <c r="K634" s="54">
        <v>46258</v>
      </c>
      <c r="L634" s="54">
        <v>46230</v>
      </c>
      <c r="M634" s="54">
        <v>46247</v>
      </c>
      <c r="O634" s="51" t="str">
        <f t="shared" si="63"/>
        <v/>
      </c>
      <c r="P634" s="51" t="str">
        <f t="shared" si="64"/>
        <v/>
      </c>
      <c r="Q634" s="52" t="str">
        <f t="shared" si="65"/>
        <v/>
      </c>
      <c r="R634" s="52" t="str">
        <f t="shared" si="66"/>
        <v/>
      </c>
      <c r="S634" s="51" t="str">
        <f t="shared" si="67"/>
        <v/>
      </c>
      <c r="T634" t="str">
        <f t="shared" si="68"/>
        <v/>
      </c>
      <c r="U634" s="52" t="str">
        <f t="shared" si="69"/>
        <v/>
      </c>
    </row>
    <row r="635" spans="2:21" x14ac:dyDescent="0.25">
      <c r="B635">
        <v>653</v>
      </c>
      <c r="C635" t="s">
        <v>181</v>
      </c>
      <c r="D635" t="s">
        <v>1044</v>
      </c>
      <c r="E635" t="s">
        <v>1697</v>
      </c>
      <c r="F635" t="s">
        <v>1535</v>
      </c>
      <c r="G635">
        <v>18</v>
      </c>
      <c r="H635" s="48">
        <v>0</v>
      </c>
      <c r="I635" s="50">
        <v>0</v>
      </c>
      <c r="J635" s="50">
        <v>46239</v>
      </c>
      <c r="K635" s="54">
        <v>46258</v>
      </c>
      <c r="L635" s="54">
        <v>46230</v>
      </c>
      <c r="M635" s="54">
        <v>46247</v>
      </c>
      <c r="O635" s="51" t="str">
        <f t="shared" si="63"/>
        <v/>
      </c>
      <c r="P635" s="51" t="str">
        <f t="shared" si="64"/>
        <v/>
      </c>
      <c r="Q635" s="52" t="str">
        <f t="shared" si="65"/>
        <v/>
      </c>
      <c r="R635" s="52" t="str">
        <f t="shared" si="66"/>
        <v/>
      </c>
      <c r="S635" s="51" t="str">
        <f t="shared" si="67"/>
        <v/>
      </c>
      <c r="T635" t="str">
        <f t="shared" si="68"/>
        <v/>
      </c>
      <c r="U635" s="52" t="str">
        <f t="shared" si="69"/>
        <v/>
      </c>
    </row>
    <row r="636" spans="2:21" x14ac:dyDescent="0.25">
      <c r="B636">
        <v>654</v>
      </c>
      <c r="C636" t="s">
        <v>181</v>
      </c>
      <c r="D636" t="s">
        <v>1044</v>
      </c>
      <c r="E636" t="s">
        <v>1515</v>
      </c>
      <c r="F636" t="s">
        <v>1525</v>
      </c>
      <c r="G636">
        <v>5</v>
      </c>
      <c r="H636" s="48">
        <v>0</v>
      </c>
      <c r="I636" s="50">
        <v>0</v>
      </c>
      <c r="J636" s="50">
        <v>46239</v>
      </c>
      <c r="K636" s="54">
        <v>46245</v>
      </c>
      <c r="L636" s="54">
        <v>46230</v>
      </c>
      <c r="M636" s="54">
        <v>46234</v>
      </c>
      <c r="O636" s="51" t="str">
        <f t="shared" si="63"/>
        <v>SIM</v>
      </c>
      <c r="P636" s="51" t="str">
        <f t="shared" si="64"/>
        <v>BL1132-0001-EM-MCA-2001</v>
      </c>
      <c r="Q636" s="52">
        <f t="shared" si="65"/>
        <v>46234</v>
      </c>
      <c r="R636" s="52">
        <f t="shared" si="66"/>
        <v>46245</v>
      </c>
      <c r="S636" s="51" t="str">
        <f t="shared" si="67"/>
        <v/>
      </c>
      <c r="T636" t="str">
        <f t="shared" si="68"/>
        <v/>
      </c>
      <c r="U636" s="52" t="str">
        <f t="shared" si="69"/>
        <v/>
      </c>
    </row>
    <row r="637" spans="2:21" x14ac:dyDescent="0.25">
      <c r="B637">
        <v>655</v>
      </c>
      <c r="C637" t="s">
        <v>181</v>
      </c>
      <c r="D637" t="s">
        <v>1044</v>
      </c>
      <c r="E637" t="s">
        <v>1517</v>
      </c>
      <c r="F637" t="s">
        <v>1519</v>
      </c>
      <c r="G637">
        <v>6</v>
      </c>
      <c r="H637" s="48">
        <v>0</v>
      </c>
      <c r="I637" s="50">
        <v>0</v>
      </c>
      <c r="J637" s="50">
        <v>46245</v>
      </c>
      <c r="K637" s="54">
        <v>46248</v>
      </c>
      <c r="L637" s="54">
        <v>46234</v>
      </c>
      <c r="M637" s="54">
        <v>46239</v>
      </c>
      <c r="O637" s="51" t="str">
        <f t="shared" si="63"/>
        <v/>
      </c>
      <c r="P637" s="51" t="str">
        <f t="shared" si="64"/>
        <v/>
      </c>
      <c r="Q637" s="52" t="str">
        <f t="shared" si="65"/>
        <v/>
      </c>
      <c r="R637" s="52" t="str">
        <f t="shared" si="66"/>
        <v/>
      </c>
      <c r="S637" s="51" t="str">
        <f t="shared" si="67"/>
        <v/>
      </c>
      <c r="T637" t="str">
        <f t="shared" si="68"/>
        <v/>
      </c>
      <c r="U637" s="52" t="str">
        <f t="shared" si="69"/>
        <v/>
      </c>
    </row>
    <row r="638" spans="2:21" x14ac:dyDescent="0.25">
      <c r="B638">
        <v>656</v>
      </c>
      <c r="C638" t="s">
        <v>181</v>
      </c>
      <c r="D638" t="s">
        <v>1044</v>
      </c>
      <c r="E638" t="s">
        <v>1518</v>
      </c>
      <c r="F638" t="s">
        <v>1519</v>
      </c>
      <c r="G638">
        <v>6</v>
      </c>
      <c r="H638" s="48">
        <v>0</v>
      </c>
      <c r="I638" s="50">
        <v>0</v>
      </c>
      <c r="J638" s="50">
        <v>46248</v>
      </c>
      <c r="K638" s="54">
        <v>46253</v>
      </c>
      <c r="L638" s="54">
        <v>46239</v>
      </c>
      <c r="M638" s="54">
        <v>46244</v>
      </c>
      <c r="O638" s="51" t="str">
        <f t="shared" si="63"/>
        <v/>
      </c>
      <c r="P638" s="51" t="str">
        <f t="shared" si="64"/>
        <v/>
      </c>
      <c r="Q638" s="52" t="str">
        <f t="shared" si="65"/>
        <v/>
      </c>
      <c r="R638" s="52" t="str">
        <f t="shared" si="66"/>
        <v/>
      </c>
      <c r="S638" s="51" t="str">
        <f t="shared" si="67"/>
        <v>SIM</v>
      </c>
      <c r="T638" t="str">
        <f t="shared" si="68"/>
        <v>BL1132-0001-EM-MCA-2001</v>
      </c>
      <c r="U638" s="52">
        <f t="shared" si="69"/>
        <v>46244</v>
      </c>
    </row>
    <row r="639" spans="2:21" x14ac:dyDescent="0.25">
      <c r="B639">
        <v>657</v>
      </c>
      <c r="C639" t="s">
        <v>181</v>
      </c>
      <c r="D639" t="s">
        <v>1044</v>
      </c>
      <c r="E639" t="s">
        <v>1520</v>
      </c>
      <c r="F639" t="s">
        <v>1519</v>
      </c>
      <c r="G639">
        <v>4</v>
      </c>
      <c r="H639" s="48">
        <v>0</v>
      </c>
      <c r="I639" s="50">
        <v>0</v>
      </c>
      <c r="J639" s="50">
        <v>46253</v>
      </c>
      <c r="K639" s="54">
        <v>46258</v>
      </c>
      <c r="L639" s="54">
        <v>46244</v>
      </c>
      <c r="M639" s="54">
        <v>46247</v>
      </c>
      <c r="O639" s="51" t="str">
        <f t="shared" si="63"/>
        <v/>
      </c>
      <c r="P639" s="51" t="str">
        <f t="shared" si="64"/>
        <v/>
      </c>
      <c r="Q639" s="52" t="str">
        <f t="shared" si="65"/>
        <v/>
      </c>
      <c r="R639" s="52" t="str">
        <f t="shared" si="66"/>
        <v/>
      </c>
      <c r="S639" s="51" t="str">
        <f t="shared" si="67"/>
        <v/>
      </c>
      <c r="T639" t="str">
        <f t="shared" si="68"/>
        <v/>
      </c>
      <c r="U639" s="52" t="str">
        <f t="shared" si="69"/>
        <v/>
      </c>
    </row>
    <row r="640" spans="2:21" x14ac:dyDescent="0.25">
      <c r="B640">
        <v>658</v>
      </c>
      <c r="E640" t="s">
        <v>1701</v>
      </c>
      <c r="F640" t="s">
        <v>1702</v>
      </c>
      <c r="G640">
        <v>58</v>
      </c>
      <c r="H640" s="48">
        <v>0</v>
      </c>
      <c r="I640" s="50">
        <v>5.2499999999999998E-2</v>
      </c>
      <c r="J640" s="50">
        <v>46237</v>
      </c>
      <c r="K640" s="54">
        <v>46273</v>
      </c>
      <c r="L640" s="54">
        <v>46202</v>
      </c>
      <c r="M640" s="54">
        <v>46259</v>
      </c>
      <c r="O640" s="51" t="str">
        <f t="shared" si="63"/>
        <v/>
      </c>
      <c r="P640" s="51" t="str">
        <f t="shared" si="64"/>
        <v/>
      </c>
      <c r="Q640" s="52" t="str">
        <f t="shared" si="65"/>
        <v/>
      </c>
      <c r="R640" s="52" t="str">
        <f t="shared" si="66"/>
        <v/>
      </c>
      <c r="S640" s="51" t="str">
        <f t="shared" si="67"/>
        <v/>
      </c>
      <c r="T640" t="str">
        <f t="shared" si="68"/>
        <v/>
      </c>
      <c r="U640" s="52" t="str">
        <f t="shared" si="69"/>
        <v/>
      </c>
    </row>
    <row r="641" spans="2:21" x14ac:dyDescent="0.25">
      <c r="B641">
        <v>659</v>
      </c>
      <c r="E641" t="s">
        <v>1555</v>
      </c>
      <c r="F641" t="s">
        <v>1465</v>
      </c>
      <c r="G641">
        <v>45</v>
      </c>
      <c r="H641" s="48">
        <v>0</v>
      </c>
      <c r="I641" s="50">
        <v>0.2</v>
      </c>
      <c r="J641" s="50">
        <v>46240</v>
      </c>
      <c r="K641" s="54">
        <v>46265</v>
      </c>
      <c r="L641" s="54">
        <v>46202</v>
      </c>
      <c r="M641" s="54">
        <v>46246</v>
      </c>
      <c r="O641" s="51" t="str">
        <f t="shared" si="63"/>
        <v/>
      </c>
      <c r="P641" s="51" t="str">
        <f t="shared" si="64"/>
        <v/>
      </c>
      <c r="Q641" s="52" t="str">
        <f t="shared" si="65"/>
        <v/>
      </c>
      <c r="R641" s="52" t="str">
        <f t="shared" si="66"/>
        <v/>
      </c>
      <c r="S641" s="51" t="str">
        <f t="shared" si="67"/>
        <v/>
      </c>
      <c r="T641" t="str">
        <f t="shared" si="68"/>
        <v/>
      </c>
      <c r="U641" s="52" t="str">
        <f t="shared" si="69"/>
        <v/>
      </c>
    </row>
    <row r="642" spans="2:21" x14ac:dyDescent="0.25">
      <c r="B642">
        <v>660</v>
      </c>
      <c r="E642" t="s">
        <v>1688</v>
      </c>
      <c r="F642" t="s">
        <v>1528</v>
      </c>
      <c r="G642">
        <v>8</v>
      </c>
      <c r="H642" s="48">
        <v>0</v>
      </c>
      <c r="I642" s="50">
        <v>0</v>
      </c>
      <c r="J642" s="50">
        <v>46240</v>
      </c>
      <c r="K642" s="54">
        <v>46247</v>
      </c>
      <c r="L642" s="54">
        <v>46239</v>
      </c>
      <c r="M642" s="54">
        <v>46246</v>
      </c>
      <c r="O642" s="51" t="str">
        <f t="shared" si="63"/>
        <v/>
      </c>
      <c r="P642" s="51" t="str">
        <f t="shared" si="64"/>
        <v/>
      </c>
      <c r="Q642" s="52" t="str">
        <f t="shared" si="65"/>
        <v/>
      </c>
      <c r="R642" s="52" t="str">
        <f t="shared" si="66"/>
        <v/>
      </c>
      <c r="S642" s="51" t="str">
        <f t="shared" si="67"/>
        <v/>
      </c>
      <c r="T642" t="str">
        <f t="shared" si="68"/>
        <v/>
      </c>
      <c r="U642" s="52" t="str">
        <f t="shared" si="69"/>
        <v/>
      </c>
    </row>
    <row r="643" spans="2:21" x14ac:dyDescent="0.25">
      <c r="B643">
        <v>661</v>
      </c>
      <c r="E643" t="s">
        <v>1689</v>
      </c>
      <c r="F643" t="s">
        <v>1687</v>
      </c>
      <c r="G643">
        <v>29</v>
      </c>
      <c r="H643" s="48">
        <v>0</v>
      </c>
      <c r="I643" s="50">
        <v>0.8</v>
      </c>
      <c r="J643" s="50">
        <v>46245</v>
      </c>
      <c r="K643" s="54">
        <v>46251</v>
      </c>
      <c r="L643" s="54">
        <v>46202</v>
      </c>
      <c r="M643" s="54">
        <v>46230</v>
      </c>
      <c r="O643" s="51" t="str">
        <f t="shared" ref="O643:O706" si="70">IF(OR(E643 = "                           1 - Emissão Inicial",E643="                  1 - Emissão após Design Review 1",E643 = "                  1 - Emissão para conhecimento",E643 = "                  1 - Emissão Final",E643 = "         Lista de Documentos",E643 = "         Elaboração do cronograma",E643 = "         Norma de Coordenação"), "SIM", "")</f>
        <v/>
      </c>
      <c r="P643" s="51" t="str">
        <f t="shared" ref="P643:P706" si="71">IF(O643="SIM",C643,"")</f>
        <v/>
      </c>
      <c r="Q643" s="52" t="str">
        <f t="shared" ref="Q643:Q706" si="72">IF(O643="SIM",M643,"")</f>
        <v/>
      </c>
      <c r="R643" s="52" t="str">
        <f t="shared" ref="R643:R706" si="73">IF(O643="SIM",K643,"")</f>
        <v/>
      </c>
      <c r="S643" s="51" t="str">
        <f t="shared" ref="S643:S706" si="74">IF(OR(E643 = "                           3 - Atendimento de Comentários",E643="                  1 - Emissão após Design Review 1",E643 = "                  1 - Emissão para conhecimento",E643 = "                  1 - Emissão Final",E643 = "         Lista de Documentos",E643 = "         Elaboração do cronograma",E643 = "         Norma de Coordenação"), "SIM", "")</f>
        <v/>
      </c>
      <c r="T643" t="str">
        <f t="shared" ref="T643:T706" si="75">IF(S643="SIM",C643,"")</f>
        <v/>
      </c>
      <c r="U643" s="52" t="str">
        <f t="shared" ref="U643:U706" si="76">IF(S643="SIM",M643,"")</f>
        <v/>
      </c>
    </row>
    <row r="644" spans="2:21" x14ac:dyDescent="0.25">
      <c r="B644">
        <v>662</v>
      </c>
      <c r="E644" t="s">
        <v>1572</v>
      </c>
      <c r="F644" t="s">
        <v>1528</v>
      </c>
      <c r="G644">
        <v>8</v>
      </c>
      <c r="H644" s="48">
        <v>0</v>
      </c>
      <c r="I644" s="50">
        <v>0</v>
      </c>
      <c r="J644" s="50">
        <v>46258</v>
      </c>
      <c r="K644" s="54">
        <v>46265</v>
      </c>
      <c r="L644" s="54">
        <v>46237</v>
      </c>
      <c r="M644" s="54">
        <v>46244</v>
      </c>
      <c r="O644" s="51" t="str">
        <f t="shared" si="70"/>
        <v/>
      </c>
      <c r="P644" s="51" t="str">
        <f t="shared" si="71"/>
        <v/>
      </c>
      <c r="Q644" s="52" t="str">
        <f t="shared" si="72"/>
        <v/>
      </c>
      <c r="R644" s="52" t="str">
        <f t="shared" si="73"/>
        <v/>
      </c>
      <c r="S644" s="51" t="str">
        <f t="shared" si="74"/>
        <v/>
      </c>
      <c r="T644" t="str">
        <f t="shared" si="75"/>
        <v/>
      </c>
      <c r="U644" s="52" t="str">
        <f t="shared" si="76"/>
        <v/>
      </c>
    </row>
    <row r="645" spans="2:21" x14ac:dyDescent="0.25">
      <c r="B645">
        <v>663</v>
      </c>
      <c r="E645" t="s">
        <v>1557</v>
      </c>
      <c r="F645" t="s">
        <v>1528</v>
      </c>
      <c r="G645">
        <v>8</v>
      </c>
      <c r="H645" s="48">
        <v>0</v>
      </c>
      <c r="I645" s="50">
        <v>0</v>
      </c>
      <c r="J645" s="50">
        <v>46253</v>
      </c>
      <c r="K645" s="54">
        <v>46260</v>
      </c>
      <c r="L645" s="54">
        <v>46232</v>
      </c>
      <c r="M645" s="54">
        <v>46239</v>
      </c>
      <c r="O645" s="51" t="str">
        <f t="shared" si="70"/>
        <v/>
      </c>
      <c r="P645" s="51" t="str">
        <f t="shared" si="71"/>
        <v/>
      </c>
      <c r="Q645" s="52" t="str">
        <f t="shared" si="72"/>
        <v/>
      </c>
      <c r="R645" s="52" t="str">
        <f t="shared" si="73"/>
        <v/>
      </c>
      <c r="S645" s="51" t="str">
        <f t="shared" si="74"/>
        <v/>
      </c>
      <c r="T645" t="str">
        <f t="shared" si="75"/>
        <v/>
      </c>
      <c r="U645" s="52" t="str">
        <f t="shared" si="76"/>
        <v/>
      </c>
    </row>
    <row r="646" spans="2:21" x14ac:dyDescent="0.25">
      <c r="B646">
        <v>664</v>
      </c>
      <c r="E646" t="s">
        <v>1560</v>
      </c>
      <c r="F646" t="s">
        <v>1596</v>
      </c>
      <c r="G646">
        <v>30</v>
      </c>
      <c r="H646" s="48">
        <v>0</v>
      </c>
      <c r="I646" s="50">
        <v>0</v>
      </c>
      <c r="J646" s="50">
        <v>46237</v>
      </c>
      <c r="K646" s="54">
        <v>46273</v>
      </c>
      <c r="L646" s="54">
        <v>46230</v>
      </c>
      <c r="M646" s="54">
        <v>46259</v>
      </c>
      <c r="O646" s="51" t="str">
        <f t="shared" si="70"/>
        <v/>
      </c>
      <c r="P646" s="51" t="str">
        <f t="shared" si="71"/>
        <v/>
      </c>
      <c r="Q646" s="52" t="str">
        <f t="shared" si="72"/>
        <v/>
      </c>
      <c r="R646" s="52" t="str">
        <f t="shared" si="73"/>
        <v/>
      </c>
      <c r="S646" s="51" t="str">
        <f t="shared" si="74"/>
        <v/>
      </c>
      <c r="T646" t="str">
        <f t="shared" si="75"/>
        <v/>
      </c>
      <c r="U646" s="52" t="str">
        <f t="shared" si="76"/>
        <v/>
      </c>
    </row>
    <row r="647" spans="2:21" x14ac:dyDescent="0.25">
      <c r="B647">
        <v>665</v>
      </c>
      <c r="E647" t="s">
        <v>1657</v>
      </c>
      <c r="F647" t="s">
        <v>1598</v>
      </c>
      <c r="G647">
        <v>26</v>
      </c>
      <c r="H647" s="48">
        <v>0</v>
      </c>
      <c r="I647" s="50">
        <v>0</v>
      </c>
      <c r="J647" s="50">
        <v>46237</v>
      </c>
      <c r="K647" s="54">
        <v>46260</v>
      </c>
      <c r="L647" s="54">
        <v>46234</v>
      </c>
      <c r="M647" s="54">
        <v>46259</v>
      </c>
      <c r="O647" s="51" t="str">
        <f t="shared" si="70"/>
        <v/>
      </c>
      <c r="P647" s="51" t="str">
        <f t="shared" si="71"/>
        <v/>
      </c>
      <c r="Q647" s="52" t="str">
        <f t="shared" si="72"/>
        <v/>
      </c>
      <c r="R647" s="52" t="str">
        <f t="shared" si="73"/>
        <v/>
      </c>
      <c r="S647" s="51" t="str">
        <f t="shared" si="74"/>
        <v/>
      </c>
      <c r="T647" t="str">
        <f t="shared" si="75"/>
        <v/>
      </c>
      <c r="U647" s="52" t="str">
        <f t="shared" si="76"/>
        <v/>
      </c>
    </row>
    <row r="648" spans="2:21" x14ac:dyDescent="0.25">
      <c r="B648">
        <v>666</v>
      </c>
      <c r="C648" t="s">
        <v>143</v>
      </c>
      <c r="D648" t="s">
        <v>893</v>
      </c>
      <c r="E648" t="s">
        <v>1703</v>
      </c>
      <c r="F648" t="s">
        <v>1598</v>
      </c>
      <c r="G648">
        <v>26</v>
      </c>
      <c r="H648" s="48">
        <v>0</v>
      </c>
      <c r="I648" s="50">
        <v>0</v>
      </c>
      <c r="J648" s="50">
        <v>46237</v>
      </c>
      <c r="K648" s="54">
        <v>46260</v>
      </c>
      <c r="L648" s="54">
        <v>46234</v>
      </c>
      <c r="M648" s="54">
        <v>46259</v>
      </c>
      <c r="O648" s="51" t="str">
        <f t="shared" si="70"/>
        <v/>
      </c>
      <c r="P648" s="51" t="str">
        <f t="shared" si="71"/>
        <v/>
      </c>
      <c r="Q648" s="52" t="str">
        <f t="shared" si="72"/>
        <v/>
      </c>
      <c r="R648" s="52" t="str">
        <f t="shared" si="73"/>
        <v/>
      </c>
      <c r="S648" s="51" t="str">
        <f t="shared" si="74"/>
        <v/>
      </c>
      <c r="T648" t="str">
        <f t="shared" si="75"/>
        <v/>
      </c>
      <c r="U648" s="52" t="str">
        <f t="shared" si="76"/>
        <v/>
      </c>
    </row>
    <row r="649" spans="2:21" x14ac:dyDescent="0.25">
      <c r="B649">
        <v>667</v>
      </c>
      <c r="C649" t="s">
        <v>143</v>
      </c>
      <c r="D649" t="s">
        <v>893</v>
      </c>
      <c r="E649" t="s">
        <v>1515</v>
      </c>
      <c r="F649" t="s">
        <v>1516</v>
      </c>
      <c r="G649">
        <v>13</v>
      </c>
      <c r="H649" s="48">
        <v>0</v>
      </c>
      <c r="I649" s="50">
        <v>0</v>
      </c>
      <c r="J649" s="50">
        <v>46237</v>
      </c>
      <c r="K649" s="54">
        <v>46247</v>
      </c>
      <c r="L649" s="54">
        <v>46234</v>
      </c>
      <c r="M649" s="54">
        <v>46246</v>
      </c>
      <c r="O649" s="51" t="str">
        <f t="shared" si="70"/>
        <v>SIM</v>
      </c>
      <c r="P649" s="51" t="str">
        <f t="shared" si="71"/>
        <v>BL1132-0001-EL-DUN-2009</v>
      </c>
      <c r="Q649" s="52">
        <f t="shared" si="72"/>
        <v>46246</v>
      </c>
      <c r="R649" s="52">
        <f t="shared" si="73"/>
        <v>46247</v>
      </c>
      <c r="S649" s="51" t="str">
        <f t="shared" si="74"/>
        <v/>
      </c>
      <c r="T649" t="str">
        <f t="shared" si="75"/>
        <v/>
      </c>
      <c r="U649" s="52" t="str">
        <f t="shared" si="76"/>
        <v/>
      </c>
    </row>
    <row r="650" spans="2:21" x14ac:dyDescent="0.25">
      <c r="B650">
        <v>668</v>
      </c>
      <c r="C650" t="s">
        <v>143</v>
      </c>
      <c r="D650" t="s">
        <v>893</v>
      </c>
      <c r="E650" t="s">
        <v>1517</v>
      </c>
      <c r="F650" t="s">
        <v>1519</v>
      </c>
      <c r="G650">
        <v>6</v>
      </c>
      <c r="H650" s="48">
        <v>0</v>
      </c>
      <c r="I650" s="50">
        <v>0</v>
      </c>
      <c r="J650" s="50">
        <v>46247</v>
      </c>
      <c r="K650" s="54">
        <v>46252</v>
      </c>
      <c r="L650" s="54">
        <v>46246</v>
      </c>
      <c r="M650" s="54">
        <v>46251</v>
      </c>
      <c r="O650" s="51" t="str">
        <f t="shared" si="70"/>
        <v/>
      </c>
      <c r="P650" s="51" t="str">
        <f t="shared" si="71"/>
        <v/>
      </c>
      <c r="Q650" s="52" t="str">
        <f t="shared" si="72"/>
        <v/>
      </c>
      <c r="R650" s="52" t="str">
        <f t="shared" si="73"/>
        <v/>
      </c>
      <c r="S650" s="51" t="str">
        <f t="shared" si="74"/>
        <v/>
      </c>
      <c r="T650" t="str">
        <f t="shared" si="75"/>
        <v/>
      </c>
      <c r="U650" s="52" t="str">
        <f t="shared" si="76"/>
        <v/>
      </c>
    </row>
    <row r="651" spans="2:21" x14ac:dyDescent="0.25">
      <c r="B651">
        <v>669</v>
      </c>
      <c r="C651" t="s">
        <v>143</v>
      </c>
      <c r="D651" t="s">
        <v>893</v>
      </c>
      <c r="E651" t="s">
        <v>1518</v>
      </c>
      <c r="F651" t="s">
        <v>1519</v>
      </c>
      <c r="G651">
        <v>4</v>
      </c>
      <c r="H651" s="48">
        <v>0</v>
      </c>
      <c r="I651" s="50">
        <v>0</v>
      </c>
      <c r="J651" s="50">
        <v>46252</v>
      </c>
      <c r="K651" s="54">
        <v>46255</v>
      </c>
      <c r="L651" s="54">
        <v>46251</v>
      </c>
      <c r="M651" s="54">
        <v>46254</v>
      </c>
      <c r="O651" s="51" t="str">
        <f t="shared" si="70"/>
        <v/>
      </c>
      <c r="P651" s="51" t="str">
        <f t="shared" si="71"/>
        <v/>
      </c>
      <c r="Q651" s="52" t="str">
        <f t="shared" si="72"/>
        <v/>
      </c>
      <c r="R651" s="52" t="str">
        <f t="shared" si="73"/>
        <v/>
      </c>
      <c r="S651" s="51" t="str">
        <f t="shared" si="74"/>
        <v>SIM</v>
      </c>
      <c r="T651" t="str">
        <f t="shared" si="75"/>
        <v>BL1132-0001-EL-DUN-2009</v>
      </c>
      <c r="U651" s="52">
        <f t="shared" si="76"/>
        <v>46254</v>
      </c>
    </row>
    <row r="652" spans="2:21" x14ac:dyDescent="0.25">
      <c r="B652">
        <v>670</v>
      </c>
      <c r="C652" t="s">
        <v>143</v>
      </c>
      <c r="D652" t="s">
        <v>893</v>
      </c>
      <c r="E652" t="s">
        <v>1520</v>
      </c>
      <c r="F652" t="s">
        <v>1519</v>
      </c>
      <c r="G652">
        <v>6</v>
      </c>
      <c r="H652" s="48">
        <v>0</v>
      </c>
      <c r="I652" s="50">
        <v>0</v>
      </c>
      <c r="J652" s="50">
        <v>46255</v>
      </c>
      <c r="K652" s="54">
        <v>46260</v>
      </c>
      <c r="L652" s="54">
        <v>46254</v>
      </c>
      <c r="M652" s="54">
        <v>46259</v>
      </c>
      <c r="O652" s="51" t="str">
        <f t="shared" si="70"/>
        <v/>
      </c>
      <c r="P652" s="51" t="str">
        <f t="shared" si="71"/>
        <v/>
      </c>
      <c r="Q652" s="52" t="str">
        <f t="shared" si="72"/>
        <v/>
      </c>
      <c r="R652" s="52" t="str">
        <f t="shared" si="73"/>
        <v/>
      </c>
      <c r="S652" s="51" t="str">
        <f t="shared" si="74"/>
        <v/>
      </c>
      <c r="T652" t="str">
        <f t="shared" si="75"/>
        <v/>
      </c>
      <c r="U652" s="52" t="str">
        <f t="shared" si="76"/>
        <v/>
      </c>
    </row>
    <row r="653" spans="2:21" x14ac:dyDescent="0.25">
      <c r="B653">
        <v>671</v>
      </c>
      <c r="C653" t="s">
        <v>144</v>
      </c>
      <c r="D653" t="s">
        <v>897</v>
      </c>
      <c r="E653" t="s">
        <v>1703</v>
      </c>
      <c r="F653" t="s">
        <v>1598</v>
      </c>
      <c r="G653">
        <v>26</v>
      </c>
      <c r="H653" s="48">
        <v>0</v>
      </c>
      <c r="I653" s="50">
        <v>0</v>
      </c>
      <c r="J653" s="50">
        <v>46237</v>
      </c>
      <c r="K653" s="54">
        <v>46260</v>
      </c>
      <c r="L653" s="54">
        <v>46234</v>
      </c>
      <c r="M653" s="54">
        <v>46259</v>
      </c>
      <c r="O653" s="51" t="str">
        <f t="shared" si="70"/>
        <v/>
      </c>
      <c r="P653" s="51" t="str">
        <f t="shared" si="71"/>
        <v/>
      </c>
      <c r="Q653" s="52" t="str">
        <f t="shared" si="72"/>
        <v/>
      </c>
      <c r="R653" s="52" t="str">
        <f t="shared" si="73"/>
        <v/>
      </c>
      <c r="S653" s="51" t="str">
        <f t="shared" si="74"/>
        <v/>
      </c>
      <c r="T653" t="str">
        <f t="shared" si="75"/>
        <v/>
      </c>
      <c r="U653" s="52" t="str">
        <f t="shared" si="76"/>
        <v/>
      </c>
    </row>
    <row r="654" spans="2:21" x14ac:dyDescent="0.25">
      <c r="B654">
        <v>672</v>
      </c>
      <c r="C654" t="s">
        <v>144</v>
      </c>
      <c r="D654" t="s">
        <v>897</v>
      </c>
      <c r="E654" t="s">
        <v>1515</v>
      </c>
      <c r="F654" t="s">
        <v>1516</v>
      </c>
      <c r="G654">
        <v>13</v>
      </c>
      <c r="H654" s="48">
        <v>0</v>
      </c>
      <c r="I654" s="50">
        <v>0</v>
      </c>
      <c r="J654" s="50">
        <v>46237</v>
      </c>
      <c r="K654" s="54">
        <v>46247</v>
      </c>
      <c r="L654" s="54">
        <v>46234</v>
      </c>
      <c r="M654" s="54">
        <v>46246</v>
      </c>
      <c r="O654" s="51" t="str">
        <f t="shared" si="70"/>
        <v>SIM</v>
      </c>
      <c r="P654" s="51" t="str">
        <f t="shared" si="71"/>
        <v>BL1132-0001-EL-DUN-2010</v>
      </c>
      <c r="Q654" s="52">
        <f t="shared" si="72"/>
        <v>46246</v>
      </c>
      <c r="R654" s="52">
        <f t="shared" si="73"/>
        <v>46247</v>
      </c>
      <c r="S654" s="51" t="str">
        <f t="shared" si="74"/>
        <v/>
      </c>
      <c r="T654" t="str">
        <f t="shared" si="75"/>
        <v/>
      </c>
      <c r="U654" s="52" t="str">
        <f t="shared" si="76"/>
        <v/>
      </c>
    </row>
    <row r="655" spans="2:21" x14ac:dyDescent="0.25">
      <c r="B655">
        <v>673</v>
      </c>
      <c r="C655" t="s">
        <v>144</v>
      </c>
      <c r="D655" t="s">
        <v>897</v>
      </c>
      <c r="E655" t="s">
        <v>1517</v>
      </c>
      <c r="F655" t="s">
        <v>1519</v>
      </c>
      <c r="G655">
        <v>6</v>
      </c>
      <c r="H655" s="48">
        <v>0</v>
      </c>
      <c r="I655" s="50">
        <v>0</v>
      </c>
      <c r="J655" s="50">
        <v>46247</v>
      </c>
      <c r="K655" s="54">
        <v>46252</v>
      </c>
      <c r="L655" s="54">
        <v>46246</v>
      </c>
      <c r="M655" s="54">
        <v>46251</v>
      </c>
      <c r="O655" s="51" t="str">
        <f t="shared" si="70"/>
        <v/>
      </c>
      <c r="P655" s="51" t="str">
        <f t="shared" si="71"/>
        <v/>
      </c>
      <c r="Q655" s="52" t="str">
        <f t="shared" si="72"/>
        <v/>
      </c>
      <c r="R655" s="52" t="str">
        <f t="shared" si="73"/>
        <v/>
      </c>
      <c r="S655" s="51" t="str">
        <f t="shared" si="74"/>
        <v/>
      </c>
      <c r="T655" t="str">
        <f t="shared" si="75"/>
        <v/>
      </c>
      <c r="U655" s="52" t="str">
        <f t="shared" si="76"/>
        <v/>
      </c>
    </row>
    <row r="656" spans="2:21" x14ac:dyDescent="0.25">
      <c r="B656">
        <v>674</v>
      </c>
      <c r="C656" t="s">
        <v>144</v>
      </c>
      <c r="D656" t="s">
        <v>897</v>
      </c>
      <c r="E656" t="s">
        <v>1518</v>
      </c>
      <c r="F656" t="s">
        <v>1519</v>
      </c>
      <c r="G656">
        <v>4</v>
      </c>
      <c r="H656" s="48">
        <v>0</v>
      </c>
      <c r="I656" s="50">
        <v>0</v>
      </c>
      <c r="J656" s="50">
        <v>46252</v>
      </c>
      <c r="K656" s="54">
        <v>46255</v>
      </c>
      <c r="L656" s="54">
        <v>46251</v>
      </c>
      <c r="M656" s="54">
        <v>46254</v>
      </c>
      <c r="O656" s="51" t="str">
        <f t="shared" si="70"/>
        <v/>
      </c>
      <c r="P656" s="51" t="str">
        <f t="shared" si="71"/>
        <v/>
      </c>
      <c r="Q656" s="52" t="str">
        <f t="shared" si="72"/>
        <v/>
      </c>
      <c r="R656" s="52" t="str">
        <f t="shared" si="73"/>
        <v/>
      </c>
      <c r="S656" s="51" t="str">
        <f t="shared" si="74"/>
        <v>SIM</v>
      </c>
      <c r="T656" t="str">
        <f t="shared" si="75"/>
        <v>BL1132-0001-EL-DUN-2010</v>
      </c>
      <c r="U656" s="52">
        <f t="shared" si="76"/>
        <v>46254</v>
      </c>
    </row>
    <row r="657" spans="2:21" x14ac:dyDescent="0.25">
      <c r="B657">
        <v>675</v>
      </c>
      <c r="C657" t="s">
        <v>144</v>
      </c>
      <c r="D657" t="s">
        <v>897</v>
      </c>
      <c r="E657" t="s">
        <v>1520</v>
      </c>
      <c r="F657" t="s">
        <v>1519</v>
      </c>
      <c r="G657">
        <v>6</v>
      </c>
      <c r="H657" s="48">
        <v>0</v>
      </c>
      <c r="I657" s="50">
        <v>0</v>
      </c>
      <c r="J657" s="50">
        <v>46255</v>
      </c>
      <c r="K657" s="54">
        <v>46260</v>
      </c>
      <c r="L657" s="54">
        <v>46254</v>
      </c>
      <c r="M657" s="54">
        <v>46259</v>
      </c>
      <c r="O657" s="51" t="str">
        <f t="shared" si="70"/>
        <v/>
      </c>
      <c r="P657" s="51" t="str">
        <f t="shared" si="71"/>
        <v/>
      </c>
      <c r="Q657" s="52" t="str">
        <f t="shared" si="72"/>
        <v/>
      </c>
      <c r="R657" s="52" t="str">
        <f t="shared" si="73"/>
        <v/>
      </c>
      <c r="S657" s="51" t="str">
        <f t="shared" si="74"/>
        <v/>
      </c>
      <c r="T657" t="str">
        <f t="shared" si="75"/>
        <v/>
      </c>
      <c r="U657" s="52" t="str">
        <f t="shared" si="76"/>
        <v/>
      </c>
    </row>
    <row r="658" spans="2:21" x14ac:dyDescent="0.25">
      <c r="B658">
        <v>676</v>
      </c>
      <c r="C658" t="s">
        <v>145</v>
      </c>
      <c r="D658" t="s">
        <v>900</v>
      </c>
      <c r="E658" t="s">
        <v>1703</v>
      </c>
      <c r="F658" t="s">
        <v>1598</v>
      </c>
      <c r="G658">
        <v>26</v>
      </c>
      <c r="H658" s="48">
        <v>0</v>
      </c>
      <c r="I658" s="50">
        <v>0</v>
      </c>
      <c r="J658" s="50">
        <v>46237</v>
      </c>
      <c r="K658" s="54">
        <v>46260</v>
      </c>
      <c r="L658" s="54">
        <v>46234</v>
      </c>
      <c r="M658" s="54">
        <v>46259</v>
      </c>
      <c r="O658" s="51" t="str">
        <f t="shared" si="70"/>
        <v/>
      </c>
      <c r="P658" s="51" t="str">
        <f t="shared" si="71"/>
        <v/>
      </c>
      <c r="Q658" s="52" t="str">
        <f t="shared" si="72"/>
        <v/>
      </c>
      <c r="R658" s="52" t="str">
        <f t="shared" si="73"/>
        <v/>
      </c>
      <c r="S658" s="51" t="str">
        <f t="shared" si="74"/>
        <v/>
      </c>
      <c r="T658" t="str">
        <f t="shared" si="75"/>
        <v/>
      </c>
      <c r="U658" s="52" t="str">
        <f t="shared" si="76"/>
        <v/>
      </c>
    </row>
    <row r="659" spans="2:21" x14ac:dyDescent="0.25">
      <c r="B659">
        <v>677</v>
      </c>
      <c r="C659" t="s">
        <v>145</v>
      </c>
      <c r="D659" t="s">
        <v>900</v>
      </c>
      <c r="E659" t="s">
        <v>1515</v>
      </c>
      <c r="F659" t="s">
        <v>1516</v>
      </c>
      <c r="G659">
        <v>13</v>
      </c>
      <c r="H659" s="48">
        <v>0</v>
      </c>
      <c r="I659" s="50">
        <v>0</v>
      </c>
      <c r="J659" s="50">
        <v>46237</v>
      </c>
      <c r="K659" s="54">
        <v>46247</v>
      </c>
      <c r="L659" s="54">
        <v>46234</v>
      </c>
      <c r="M659" s="54">
        <v>46246</v>
      </c>
      <c r="O659" s="51" t="str">
        <f t="shared" si="70"/>
        <v>SIM</v>
      </c>
      <c r="P659" s="51" t="str">
        <f t="shared" si="71"/>
        <v>BL1132-0001-EL-DUN-2011</v>
      </c>
      <c r="Q659" s="52">
        <f t="shared" si="72"/>
        <v>46246</v>
      </c>
      <c r="R659" s="52">
        <f t="shared" si="73"/>
        <v>46247</v>
      </c>
      <c r="S659" s="51" t="str">
        <f t="shared" si="74"/>
        <v/>
      </c>
      <c r="T659" t="str">
        <f t="shared" si="75"/>
        <v/>
      </c>
      <c r="U659" s="52" t="str">
        <f t="shared" si="76"/>
        <v/>
      </c>
    </row>
    <row r="660" spans="2:21" x14ac:dyDescent="0.25">
      <c r="B660">
        <v>678</v>
      </c>
      <c r="C660" t="s">
        <v>145</v>
      </c>
      <c r="D660" t="s">
        <v>900</v>
      </c>
      <c r="E660" t="s">
        <v>1517</v>
      </c>
      <c r="F660" t="s">
        <v>1519</v>
      </c>
      <c r="G660">
        <v>6</v>
      </c>
      <c r="H660" s="48">
        <v>0</v>
      </c>
      <c r="I660" s="50">
        <v>0</v>
      </c>
      <c r="J660" s="50">
        <v>46247</v>
      </c>
      <c r="K660" s="54">
        <v>46252</v>
      </c>
      <c r="L660" s="54">
        <v>46246</v>
      </c>
      <c r="M660" s="54">
        <v>46251</v>
      </c>
      <c r="O660" s="51" t="str">
        <f t="shared" si="70"/>
        <v/>
      </c>
      <c r="P660" s="51" t="str">
        <f t="shared" si="71"/>
        <v/>
      </c>
      <c r="Q660" s="52" t="str">
        <f t="shared" si="72"/>
        <v/>
      </c>
      <c r="R660" s="52" t="str">
        <f t="shared" si="73"/>
        <v/>
      </c>
      <c r="S660" s="51" t="str">
        <f t="shared" si="74"/>
        <v/>
      </c>
      <c r="T660" t="str">
        <f t="shared" si="75"/>
        <v/>
      </c>
      <c r="U660" s="52" t="str">
        <f t="shared" si="76"/>
        <v/>
      </c>
    </row>
    <row r="661" spans="2:21" x14ac:dyDescent="0.25">
      <c r="B661">
        <v>679</v>
      </c>
      <c r="C661" t="s">
        <v>145</v>
      </c>
      <c r="D661" t="s">
        <v>900</v>
      </c>
      <c r="E661" t="s">
        <v>1518</v>
      </c>
      <c r="F661" t="s">
        <v>1519</v>
      </c>
      <c r="G661">
        <v>4</v>
      </c>
      <c r="H661" s="48">
        <v>0</v>
      </c>
      <c r="I661" s="50">
        <v>0</v>
      </c>
      <c r="J661" s="50">
        <v>46252</v>
      </c>
      <c r="K661" s="54">
        <v>46255</v>
      </c>
      <c r="L661" s="54">
        <v>46251</v>
      </c>
      <c r="M661" s="54">
        <v>46254</v>
      </c>
      <c r="O661" s="51" t="str">
        <f t="shared" si="70"/>
        <v/>
      </c>
      <c r="P661" s="51" t="str">
        <f t="shared" si="71"/>
        <v/>
      </c>
      <c r="Q661" s="52" t="str">
        <f t="shared" si="72"/>
        <v/>
      </c>
      <c r="R661" s="52" t="str">
        <f t="shared" si="73"/>
        <v/>
      </c>
      <c r="S661" s="51" t="str">
        <f t="shared" si="74"/>
        <v>SIM</v>
      </c>
      <c r="T661" t="str">
        <f t="shared" si="75"/>
        <v>BL1132-0001-EL-DUN-2011</v>
      </c>
      <c r="U661" s="52">
        <f t="shared" si="76"/>
        <v>46254</v>
      </c>
    </row>
    <row r="662" spans="2:21" x14ac:dyDescent="0.25">
      <c r="B662">
        <v>680</v>
      </c>
      <c r="C662" t="s">
        <v>145</v>
      </c>
      <c r="D662" t="s">
        <v>900</v>
      </c>
      <c r="E662" t="s">
        <v>1520</v>
      </c>
      <c r="F662" t="s">
        <v>1519</v>
      </c>
      <c r="G662">
        <v>6</v>
      </c>
      <c r="H662" s="48">
        <v>0</v>
      </c>
      <c r="I662" s="50">
        <v>0</v>
      </c>
      <c r="J662" s="50">
        <v>46255</v>
      </c>
      <c r="K662" s="54">
        <v>46260</v>
      </c>
      <c r="L662" s="54">
        <v>46254</v>
      </c>
      <c r="M662" s="54">
        <v>46259</v>
      </c>
      <c r="O662" s="51" t="str">
        <f t="shared" si="70"/>
        <v/>
      </c>
      <c r="P662" s="51" t="str">
        <f t="shared" si="71"/>
        <v/>
      </c>
      <c r="Q662" s="52" t="str">
        <f t="shared" si="72"/>
        <v/>
      </c>
      <c r="R662" s="52" t="str">
        <f t="shared" si="73"/>
        <v/>
      </c>
      <c r="S662" s="51" t="str">
        <f t="shared" si="74"/>
        <v/>
      </c>
      <c r="T662" t="str">
        <f t="shared" si="75"/>
        <v/>
      </c>
      <c r="U662" s="52" t="str">
        <f t="shared" si="76"/>
        <v/>
      </c>
    </row>
    <row r="663" spans="2:21" x14ac:dyDescent="0.25">
      <c r="B663">
        <v>681</v>
      </c>
      <c r="E663" t="s">
        <v>1689</v>
      </c>
      <c r="F663" t="s">
        <v>1559</v>
      </c>
      <c r="G663">
        <v>17</v>
      </c>
      <c r="H663" s="48">
        <v>0</v>
      </c>
      <c r="I663" s="50">
        <v>0</v>
      </c>
      <c r="J663" s="50">
        <v>46251</v>
      </c>
      <c r="K663" s="54">
        <v>46267</v>
      </c>
      <c r="L663" s="54">
        <v>46230</v>
      </c>
      <c r="M663" s="54">
        <v>46246</v>
      </c>
      <c r="O663" s="51" t="str">
        <f t="shared" si="70"/>
        <v/>
      </c>
      <c r="P663" s="51" t="str">
        <f t="shared" si="71"/>
        <v/>
      </c>
      <c r="Q663" s="52" t="str">
        <f t="shared" si="72"/>
        <v/>
      </c>
      <c r="R663" s="52" t="str">
        <f t="shared" si="73"/>
        <v/>
      </c>
      <c r="S663" s="51" t="str">
        <f t="shared" si="74"/>
        <v/>
      </c>
      <c r="T663" t="str">
        <f t="shared" si="75"/>
        <v/>
      </c>
      <c r="U663" s="52" t="str">
        <f t="shared" si="76"/>
        <v/>
      </c>
    </row>
    <row r="664" spans="2:21" x14ac:dyDescent="0.25">
      <c r="B664">
        <v>682</v>
      </c>
      <c r="C664" t="s">
        <v>75</v>
      </c>
      <c r="D664" t="s">
        <v>591</v>
      </c>
      <c r="E664" t="s">
        <v>1695</v>
      </c>
      <c r="F664" t="s">
        <v>1559</v>
      </c>
      <c r="G664">
        <v>17</v>
      </c>
      <c r="H664" s="48">
        <v>0</v>
      </c>
      <c r="I664" s="50">
        <v>0</v>
      </c>
      <c r="J664" s="50">
        <v>46251</v>
      </c>
      <c r="K664" s="54">
        <v>46267</v>
      </c>
      <c r="L664" s="54">
        <v>46230</v>
      </c>
      <c r="M664" s="54">
        <v>46246</v>
      </c>
      <c r="O664" s="51" t="str">
        <f t="shared" si="70"/>
        <v/>
      </c>
      <c r="P664" s="51" t="str">
        <f t="shared" si="71"/>
        <v/>
      </c>
      <c r="Q664" s="52" t="str">
        <f t="shared" si="72"/>
        <v/>
      </c>
      <c r="R664" s="52" t="str">
        <f t="shared" si="73"/>
        <v/>
      </c>
      <c r="S664" s="51" t="str">
        <f t="shared" si="74"/>
        <v/>
      </c>
      <c r="T664" t="str">
        <f t="shared" si="75"/>
        <v/>
      </c>
      <c r="U664" s="52" t="str">
        <f t="shared" si="76"/>
        <v/>
      </c>
    </row>
    <row r="665" spans="2:21" x14ac:dyDescent="0.25">
      <c r="B665">
        <v>683</v>
      </c>
      <c r="C665" t="s">
        <v>75</v>
      </c>
      <c r="D665" t="s">
        <v>591</v>
      </c>
      <c r="E665" t="s">
        <v>1515</v>
      </c>
      <c r="F665" t="s">
        <v>1519</v>
      </c>
      <c r="G665">
        <v>4</v>
      </c>
      <c r="H665" s="48">
        <v>0</v>
      </c>
      <c r="I665" s="50">
        <v>0</v>
      </c>
      <c r="J665" s="50">
        <v>46251</v>
      </c>
      <c r="K665" s="54">
        <v>46254</v>
      </c>
      <c r="L665" s="54">
        <v>46230</v>
      </c>
      <c r="M665" s="54">
        <v>46233</v>
      </c>
      <c r="O665" s="51" t="str">
        <f t="shared" si="70"/>
        <v>SIM</v>
      </c>
      <c r="P665" s="51" t="str">
        <f t="shared" si="71"/>
        <v>BL1132-0001-AR-DBA-2002</v>
      </c>
      <c r="Q665" s="52">
        <f t="shared" si="72"/>
        <v>46233</v>
      </c>
      <c r="R665" s="52">
        <f t="shared" si="73"/>
        <v>46254</v>
      </c>
      <c r="S665" s="51" t="str">
        <f t="shared" si="74"/>
        <v/>
      </c>
      <c r="T665" t="str">
        <f t="shared" si="75"/>
        <v/>
      </c>
      <c r="U665" s="52" t="str">
        <f t="shared" si="76"/>
        <v/>
      </c>
    </row>
    <row r="666" spans="2:21" x14ac:dyDescent="0.25">
      <c r="B666">
        <v>684</v>
      </c>
      <c r="C666" t="s">
        <v>75</v>
      </c>
      <c r="D666" t="s">
        <v>591</v>
      </c>
      <c r="E666" t="s">
        <v>1517</v>
      </c>
      <c r="F666" t="s">
        <v>1519</v>
      </c>
      <c r="G666">
        <v>6</v>
      </c>
      <c r="H666" s="48">
        <v>0</v>
      </c>
      <c r="I666" s="50">
        <v>0</v>
      </c>
      <c r="J666" s="50">
        <v>46254</v>
      </c>
      <c r="K666" s="54">
        <v>46259</v>
      </c>
      <c r="L666" s="54">
        <v>46233</v>
      </c>
      <c r="M666" s="54">
        <v>46238</v>
      </c>
      <c r="O666" s="51" t="str">
        <f t="shared" si="70"/>
        <v/>
      </c>
      <c r="P666" s="51" t="str">
        <f t="shared" si="71"/>
        <v/>
      </c>
      <c r="Q666" s="52" t="str">
        <f t="shared" si="72"/>
        <v/>
      </c>
      <c r="R666" s="52" t="str">
        <f t="shared" si="73"/>
        <v/>
      </c>
      <c r="S666" s="51" t="str">
        <f t="shared" si="74"/>
        <v/>
      </c>
      <c r="T666" t="str">
        <f t="shared" si="75"/>
        <v/>
      </c>
      <c r="U666" s="52" t="str">
        <f t="shared" si="76"/>
        <v/>
      </c>
    </row>
    <row r="667" spans="2:21" x14ac:dyDescent="0.25">
      <c r="B667">
        <v>685</v>
      </c>
      <c r="C667" t="s">
        <v>75</v>
      </c>
      <c r="D667" t="s">
        <v>591</v>
      </c>
      <c r="E667" t="s">
        <v>1518</v>
      </c>
      <c r="F667" t="s">
        <v>1519</v>
      </c>
      <c r="G667">
        <v>4</v>
      </c>
      <c r="H667" s="48">
        <v>0</v>
      </c>
      <c r="I667" s="50">
        <v>0</v>
      </c>
      <c r="J667" s="50">
        <v>46259</v>
      </c>
      <c r="K667" s="54">
        <v>46262</v>
      </c>
      <c r="L667" s="54">
        <v>46238</v>
      </c>
      <c r="M667" s="54">
        <v>46241</v>
      </c>
      <c r="O667" s="51" t="str">
        <f t="shared" si="70"/>
        <v/>
      </c>
      <c r="P667" s="51" t="str">
        <f t="shared" si="71"/>
        <v/>
      </c>
      <c r="Q667" s="52" t="str">
        <f t="shared" si="72"/>
        <v/>
      </c>
      <c r="R667" s="52" t="str">
        <f t="shared" si="73"/>
        <v/>
      </c>
      <c r="S667" s="51" t="str">
        <f t="shared" si="74"/>
        <v>SIM</v>
      </c>
      <c r="T667" t="str">
        <f t="shared" si="75"/>
        <v>BL1132-0001-AR-DBA-2002</v>
      </c>
      <c r="U667" s="52">
        <f t="shared" si="76"/>
        <v>46241</v>
      </c>
    </row>
    <row r="668" spans="2:21" x14ac:dyDescent="0.25">
      <c r="B668">
        <v>686</v>
      </c>
      <c r="C668" t="s">
        <v>75</v>
      </c>
      <c r="D668" t="s">
        <v>591</v>
      </c>
      <c r="E668" t="s">
        <v>1520</v>
      </c>
      <c r="F668" t="s">
        <v>1519</v>
      </c>
      <c r="G668">
        <v>6</v>
      </c>
      <c r="H668" s="48">
        <v>0</v>
      </c>
      <c r="I668" s="50">
        <v>0</v>
      </c>
      <c r="J668" s="50">
        <v>46262</v>
      </c>
      <c r="K668" s="54">
        <v>46267</v>
      </c>
      <c r="L668" s="54">
        <v>46241</v>
      </c>
      <c r="M668" s="54">
        <v>46246</v>
      </c>
      <c r="O668" s="51" t="str">
        <f t="shared" si="70"/>
        <v/>
      </c>
      <c r="P668" s="51" t="str">
        <f t="shared" si="71"/>
        <v/>
      </c>
      <c r="Q668" s="52" t="str">
        <f t="shared" si="72"/>
        <v/>
      </c>
      <c r="R668" s="52" t="str">
        <f t="shared" si="73"/>
        <v/>
      </c>
      <c r="S668" s="51" t="str">
        <f t="shared" si="74"/>
        <v/>
      </c>
      <c r="T668" t="str">
        <f t="shared" si="75"/>
        <v/>
      </c>
      <c r="U668" s="52" t="str">
        <f t="shared" si="76"/>
        <v/>
      </c>
    </row>
    <row r="669" spans="2:21" x14ac:dyDescent="0.25">
      <c r="B669">
        <v>687</v>
      </c>
      <c r="E669" t="s">
        <v>1572</v>
      </c>
      <c r="F669" t="s">
        <v>1559</v>
      </c>
      <c r="G669">
        <v>19</v>
      </c>
      <c r="H669" s="48">
        <v>0</v>
      </c>
      <c r="I669" s="50">
        <v>0</v>
      </c>
      <c r="J669" s="50">
        <v>46254</v>
      </c>
      <c r="K669" s="54">
        <v>46273</v>
      </c>
      <c r="L669" s="54">
        <v>46233</v>
      </c>
      <c r="M669" s="54">
        <v>46251</v>
      </c>
      <c r="O669" s="51" t="str">
        <f t="shared" si="70"/>
        <v/>
      </c>
      <c r="P669" s="51" t="str">
        <f t="shared" si="71"/>
        <v/>
      </c>
      <c r="Q669" s="52" t="str">
        <f t="shared" si="72"/>
        <v/>
      </c>
      <c r="R669" s="52" t="str">
        <f t="shared" si="73"/>
        <v/>
      </c>
      <c r="S669" s="51" t="str">
        <f t="shared" si="74"/>
        <v/>
      </c>
      <c r="T669" t="str">
        <f t="shared" si="75"/>
        <v/>
      </c>
      <c r="U669" s="52" t="str">
        <f t="shared" si="76"/>
        <v/>
      </c>
    </row>
    <row r="670" spans="2:21" x14ac:dyDescent="0.25">
      <c r="B670">
        <v>688</v>
      </c>
      <c r="C670" t="s">
        <v>93</v>
      </c>
      <c r="D670" t="s">
        <v>674</v>
      </c>
      <c r="E670" t="s">
        <v>1696</v>
      </c>
      <c r="F670" t="s">
        <v>1559</v>
      </c>
      <c r="G670">
        <v>19</v>
      </c>
      <c r="H670" s="48">
        <v>0</v>
      </c>
      <c r="I670" s="50">
        <v>0</v>
      </c>
      <c r="J670" s="50">
        <v>46254</v>
      </c>
      <c r="K670" s="54">
        <v>46273</v>
      </c>
      <c r="L670" s="54">
        <v>46233</v>
      </c>
      <c r="M670" s="54">
        <v>46251</v>
      </c>
      <c r="O670" s="51" t="str">
        <f t="shared" si="70"/>
        <v/>
      </c>
      <c r="P670" s="51" t="str">
        <f t="shared" si="71"/>
        <v/>
      </c>
      <c r="Q670" s="52" t="str">
        <f t="shared" si="72"/>
        <v/>
      </c>
      <c r="R670" s="52" t="str">
        <f t="shared" si="73"/>
        <v/>
      </c>
      <c r="S670" s="51" t="str">
        <f t="shared" si="74"/>
        <v/>
      </c>
      <c r="T670" t="str">
        <f t="shared" si="75"/>
        <v/>
      </c>
      <c r="U670" s="52" t="str">
        <f t="shared" si="76"/>
        <v/>
      </c>
    </row>
    <row r="671" spans="2:21" x14ac:dyDescent="0.25">
      <c r="B671">
        <v>689</v>
      </c>
      <c r="C671" t="s">
        <v>93</v>
      </c>
      <c r="D671" t="s">
        <v>674</v>
      </c>
      <c r="E671" t="s">
        <v>1515</v>
      </c>
      <c r="F671" t="s">
        <v>1519</v>
      </c>
      <c r="G671">
        <v>6</v>
      </c>
      <c r="H671" s="48">
        <v>0</v>
      </c>
      <c r="I671" s="50">
        <v>0</v>
      </c>
      <c r="J671" s="50">
        <v>46254</v>
      </c>
      <c r="K671" s="54">
        <v>46259</v>
      </c>
      <c r="L671" s="54">
        <v>46233</v>
      </c>
      <c r="M671" s="54">
        <v>46238</v>
      </c>
      <c r="O671" s="51" t="str">
        <f t="shared" si="70"/>
        <v>SIM</v>
      </c>
      <c r="P671" s="51" t="str">
        <f t="shared" si="71"/>
        <v>BL1132-0001-CC-MCA-2002</v>
      </c>
      <c r="Q671" s="52">
        <f t="shared" si="72"/>
        <v>46238</v>
      </c>
      <c r="R671" s="52">
        <f t="shared" si="73"/>
        <v>46259</v>
      </c>
      <c r="S671" s="51" t="str">
        <f t="shared" si="74"/>
        <v/>
      </c>
      <c r="T671" t="str">
        <f t="shared" si="75"/>
        <v/>
      </c>
      <c r="U671" s="52" t="str">
        <f t="shared" si="76"/>
        <v/>
      </c>
    </row>
    <row r="672" spans="2:21" x14ac:dyDescent="0.25">
      <c r="B672">
        <v>690</v>
      </c>
      <c r="C672" t="s">
        <v>93</v>
      </c>
      <c r="D672" t="s">
        <v>674</v>
      </c>
      <c r="E672" t="s">
        <v>1517</v>
      </c>
      <c r="F672" t="s">
        <v>1519</v>
      </c>
      <c r="G672">
        <v>4</v>
      </c>
      <c r="H672" s="48">
        <v>0</v>
      </c>
      <c r="I672" s="50">
        <v>0</v>
      </c>
      <c r="J672" s="50">
        <v>46259</v>
      </c>
      <c r="K672" s="54">
        <v>46262</v>
      </c>
      <c r="L672" s="54">
        <v>46238</v>
      </c>
      <c r="M672" s="54">
        <v>46241</v>
      </c>
      <c r="O672" s="51" t="str">
        <f t="shared" si="70"/>
        <v/>
      </c>
      <c r="P672" s="51" t="str">
        <f t="shared" si="71"/>
        <v/>
      </c>
      <c r="Q672" s="52" t="str">
        <f t="shared" si="72"/>
        <v/>
      </c>
      <c r="R672" s="52" t="str">
        <f t="shared" si="73"/>
        <v/>
      </c>
      <c r="S672" s="51" t="str">
        <f t="shared" si="74"/>
        <v/>
      </c>
      <c r="T672" t="str">
        <f t="shared" si="75"/>
        <v/>
      </c>
      <c r="U672" s="52" t="str">
        <f t="shared" si="76"/>
        <v/>
      </c>
    </row>
    <row r="673" spans="2:21" x14ac:dyDescent="0.25">
      <c r="B673">
        <v>691</v>
      </c>
      <c r="C673" t="s">
        <v>93</v>
      </c>
      <c r="D673" t="s">
        <v>674</v>
      </c>
      <c r="E673" t="s">
        <v>1518</v>
      </c>
      <c r="F673" t="s">
        <v>1519</v>
      </c>
      <c r="G673">
        <v>6</v>
      </c>
      <c r="H673" s="48">
        <v>0</v>
      </c>
      <c r="I673" s="50">
        <v>0</v>
      </c>
      <c r="J673" s="50">
        <v>46262</v>
      </c>
      <c r="K673" s="54">
        <v>46267</v>
      </c>
      <c r="L673" s="54">
        <v>46241</v>
      </c>
      <c r="M673" s="54">
        <v>46246</v>
      </c>
      <c r="O673" s="51" t="str">
        <f t="shared" si="70"/>
        <v/>
      </c>
      <c r="P673" s="51" t="str">
        <f t="shared" si="71"/>
        <v/>
      </c>
      <c r="Q673" s="52" t="str">
        <f t="shared" si="72"/>
        <v/>
      </c>
      <c r="R673" s="52" t="str">
        <f t="shared" si="73"/>
        <v/>
      </c>
      <c r="S673" s="51" t="str">
        <f t="shared" si="74"/>
        <v>SIM</v>
      </c>
      <c r="T673" t="str">
        <f t="shared" si="75"/>
        <v>BL1132-0001-CC-MCA-2002</v>
      </c>
      <c r="U673" s="52">
        <f t="shared" si="76"/>
        <v>46246</v>
      </c>
    </row>
    <row r="674" spans="2:21" x14ac:dyDescent="0.25">
      <c r="B674">
        <v>692</v>
      </c>
      <c r="C674" t="s">
        <v>93</v>
      </c>
      <c r="D674" t="s">
        <v>674</v>
      </c>
      <c r="E674" t="s">
        <v>1520</v>
      </c>
      <c r="F674" t="s">
        <v>1519</v>
      </c>
      <c r="G674">
        <v>6</v>
      </c>
      <c r="H674" s="48">
        <v>0</v>
      </c>
      <c r="I674" s="50">
        <v>0</v>
      </c>
      <c r="J674" s="50">
        <v>46267</v>
      </c>
      <c r="K674" s="54">
        <v>46273</v>
      </c>
      <c r="L674" s="54">
        <v>46246</v>
      </c>
      <c r="M674" s="54">
        <v>46251</v>
      </c>
      <c r="O674" s="51" t="str">
        <f t="shared" si="70"/>
        <v/>
      </c>
      <c r="P674" s="51" t="str">
        <f t="shared" si="71"/>
        <v/>
      </c>
      <c r="Q674" s="52" t="str">
        <f t="shared" si="72"/>
        <v/>
      </c>
      <c r="R674" s="52" t="str">
        <f t="shared" si="73"/>
        <v/>
      </c>
      <c r="S674" s="51" t="str">
        <f t="shared" si="74"/>
        <v/>
      </c>
      <c r="T674" t="str">
        <f t="shared" si="75"/>
        <v/>
      </c>
      <c r="U674" s="52" t="str">
        <f t="shared" si="76"/>
        <v/>
      </c>
    </row>
    <row r="675" spans="2:21" x14ac:dyDescent="0.25">
      <c r="B675">
        <v>693</v>
      </c>
      <c r="E675" t="s">
        <v>1557</v>
      </c>
      <c r="F675" t="s">
        <v>1559</v>
      </c>
      <c r="G675">
        <v>17</v>
      </c>
      <c r="H675" s="48">
        <v>0</v>
      </c>
      <c r="I675" s="50">
        <v>0</v>
      </c>
      <c r="J675" s="50">
        <v>46251</v>
      </c>
      <c r="K675" s="54">
        <v>46267</v>
      </c>
      <c r="L675" s="54">
        <v>46230</v>
      </c>
      <c r="M675" s="54">
        <v>46246</v>
      </c>
      <c r="O675" s="51" t="str">
        <f t="shared" si="70"/>
        <v/>
      </c>
      <c r="P675" s="51" t="str">
        <f t="shared" si="71"/>
        <v/>
      </c>
      <c r="Q675" s="52" t="str">
        <f t="shared" si="72"/>
        <v/>
      </c>
      <c r="R675" s="52" t="str">
        <f t="shared" si="73"/>
        <v/>
      </c>
      <c r="S675" s="51" t="str">
        <f t="shared" si="74"/>
        <v/>
      </c>
      <c r="T675" t="str">
        <f t="shared" si="75"/>
        <v/>
      </c>
      <c r="U675" s="52" t="str">
        <f t="shared" si="76"/>
        <v/>
      </c>
    </row>
    <row r="676" spans="2:21" x14ac:dyDescent="0.25">
      <c r="B676">
        <v>694</v>
      </c>
      <c r="C676" t="s">
        <v>182</v>
      </c>
      <c r="D676" t="s">
        <v>1047</v>
      </c>
      <c r="E676" t="s">
        <v>1697</v>
      </c>
      <c r="F676" t="s">
        <v>1559</v>
      </c>
      <c r="G676">
        <v>17</v>
      </c>
      <c r="H676" s="48">
        <v>0</v>
      </c>
      <c r="I676" s="50">
        <v>0</v>
      </c>
      <c r="J676" s="50">
        <v>46251</v>
      </c>
      <c r="K676" s="54">
        <v>46267</v>
      </c>
      <c r="L676" s="54">
        <v>46230</v>
      </c>
      <c r="M676" s="54">
        <v>46246</v>
      </c>
      <c r="O676" s="51" t="str">
        <f t="shared" si="70"/>
        <v/>
      </c>
      <c r="P676" s="51" t="str">
        <f t="shared" si="71"/>
        <v/>
      </c>
      <c r="Q676" s="52" t="str">
        <f t="shared" si="72"/>
        <v/>
      </c>
      <c r="R676" s="52" t="str">
        <f t="shared" si="73"/>
        <v/>
      </c>
      <c r="S676" s="51" t="str">
        <f t="shared" si="74"/>
        <v/>
      </c>
      <c r="T676" t="str">
        <f t="shared" si="75"/>
        <v/>
      </c>
      <c r="U676" s="52" t="str">
        <f t="shared" si="76"/>
        <v/>
      </c>
    </row>
    <row r="677" spans="2:21" x14ac:dyDescent="0.25">
      <c r="B677">
        <v>695</v>
      </c>
      <c r="C677" t="s">
        <v>182</v>
      </c>
      <c r="D677" t="s">
        <v>1047</v>
      </c>
      <c r="E677" t="s">
        <v>1515</v>
      </c>
      <c r="F677" t="s">
        <v>1519</v>
      </c>
      <c r="G677">
        <v>4</v>
      </c>
      <c r="H677" s="48">
        <v>0</v>
      </c>
      <c r="I677" s="50">
        <v>0</v>
      </c>
      <c r="J677" s="50">
        <v>46251</v>
      </c>
      <c r="K677" s="54">
        <v>46254</v>
      </c>
      <c r="L677" s="54">
        <v>46230</v>
      </c>
      <c r="M677" s="54">
        <v>46233</v>
      </c>
      <c r="O677" s="51" t="str">
        <f t="shared" si="70"/>
        <v>SIM</v>
      </c>
      <c r="P677" s="51" t="str">
        <f t="shared" si="71"/>
        <v>BL1132-0001-EM-MCA-2002</v>
      </c>
      <c r="Q677" s="52">
        <f t="shared" si="72"/>
        <v>46233</v>
      </c>
      <c r="R677" s="52">
        <f t="shared" si="73"/>
        <v>46254</v>
      </c>
      <c r="S677" s="51" t="str">
        <f t="shared" si="74"/>
        <v/>
      </c>
      <c r="T677" t="str">
        <f t="shared" si="75"/>
        <v/>
      </c>
      <c r="U677" s="52" t="str">
        <f t="shared" si="76"/>
        <v/>
      </c>
    </row>
    <row r="678" spans="2:21" x14ac:dyDescent="0.25">
      <c r="B678">
        <v>696</v>
      </c>
      <c r="C678" t="s">
        <v>182</v>
      </c>
      <c r="D678" t="s">
        <v>1047</v>
      </c>
      <c r="E678" t="s">
        <v>1517</v>
      </c>
      <c r="F678" t="s">
        <v>1519</v>
      </c>
      <c r="G678">
        <v>6</v>
      </c>
      <c r="H678" s="48">
        <v>0</v>
      </c>
      <c r="I678" s="50">
        <v>0</v>
      </c>
      <c r="J678" s="50">
        <v>46254</v>
      </c>
      <c r="K678" s="54">
        <v>46259</v>
      </c>
      <c r="L678" s="54">
        <v>46233</v>
      </c>
      <c r="M678" s="54">
        <v>46238</v>
      </c>
      <c r="O678" s="51" t="str">
        <f t="shared" si="70"/>
        <v/>
      </c>
      <c r="P678" s="51" t="str">
        <f t="shared" si="71"/>
        <v/>
      </c>
      <c r="Q678" s="52" t="str">
        <f t="shared" si="72"/>
        <v/>
      </c>
      <c r="R678" s="52" t="str">
        <f t="shared" si="73"/>
        <v/>
      </c>
      <c r="S678" s="51" t="str">
        <f t="shared" si="74"/>
        <v/>
      </c>
      <c r="T678" t="str">
        <f t="shared" si="75"/>
        <v/>
      </c>
      <c r="U678" s="52" t="str">
        <f t="shared" si="76"/>
        <v/>
      </c>
    </row>
    <row r="679" spans="2:21" x14ac:dyDescent="0.25">
      <c r="B679">
        <v>697</v>
      </c>
      <c r="C679" t="s">
        <v>182</v>
      </c>
      <c r="D679" t="s">
        <v>1047</v>
      </c>
      <c r="E679" t="s">
        <v>1518</v>
      </c>
      <c r="F679" t="s">
        <v>1519</v>
      </c>
      <c r="G679">
        <v>4</v>
      </c>
      <c r="H679" s="48">
        <v>0</v>
      </c>
      <c r="I679" s="50">
        <v>0</v>
      </c>
      <c r="J679" s="50">
        <v>46259</v>
      </c>
      <c r="K679" s="54">
        <v>46262</v>
      </c>
      <c r="L679" s="54">
        <v>46238</v>
      </c>
      <c r="M679" s="54">
        <v>46241</v>
      </c>
      <c r="O679" s="51" t="str">
        <f t="shared" si="70"/>
        <v/>
      </c>
      <c r="P679" s="51" t="str">
        <f t="shared" si="71"/>
        <v/>
      </c>
      <c r="Q679" s="52" t="str">
        <f t="shared" si="72"/>
        <v/>
      </c>
      <c r="R679" s="52" t="str">
        <f t="shared" si="73"/>
        <v/>
      </c>
      <c r="S679" s="51" t="str">
        <f t="shared" si="74"/>
        <v>SIM</v>
      </c>
      <c r="T679" t="str">
        <f t="shared" si="75"/>
        <v>BL1132-0001-EM-MCA-2002</v>
      </c>
      <c r="U679" s="52">
        <f t="shared" si="76"/>
        <v>46241</v>
      </c>
    </row>
    <row r="680" spans="2:21" x14ac:dyDescent="0.25">
      <c r="B680">
        <v>698</v>
      </c>
      <c r="C680" t="s">
        <v>182</v>
      </c>
      <c r="D680" t="s">
        <v>1047</v>
      </c>
      <c r="E680" t="s">
        <v>1520</v>
      </c>
      <c r="F680" t="s">
        <v>1519</v>
      </c>
      <c r="G680">
        <v>6</v>
      </c>
      <c r="H680" s="48">
        <v>0</v>
      </c>
      <c r="I680" s="50">
        <v>0</v>
      </c>
      <c r="J680" s="50">
        <v>46262</v>
      </c>
      <c r="K680" s="54">
        <v>46267</v>
      </c>
      <c r="L680" s="54">
        <v>46241</v>
      </c>
      <c r="M680" s="54">
        <v>46246</v>
      </c>
      <c r="O680" s="51" t="str">
        <f t="shared" si="70"/>
        <v/>
      </c>
      <c r="P680" s="51" t="str">
        <f t="shared" si="71"/>
        <v/>
      </c>
      <c r="Q680" s="52" t="str">
        <f t="shared" si="72"/>
        <v/>
      </c>
      <c r="R680" s="52" t="str">
        <f t="shared" si="73"/>
        <v/>
      </c>
      <c r="S680" s="51" t="str">
        <f t="shared" si="74"/>
        <v/>
      </c>
      <c r="T680" t="str">
        <f t="shared" si="75"/>
        <v/>
      </c>
      <c r="U680" s="52" t="str">
        <f t="shared" si="76"/>
        <v/>
      </c>
    </row>
    <row r="681" spans="2:21" x14ac:dyDescent="0.25">
      <c r="B681">
        <v>699</v>
      </c>
      <c r="E681" t="s">
        <v>1472</v>
      </c>
      <c r="F681" t="s">
        <v>1473</v>
      </c>
      <c r="G681">
        <v>107</v>
      </c>
      <c r="H681" s="48">
        <v>0.17380000000000001</v>
      </c>
      <c r="I681" s="50">
        <v>0.16850000000000001</v>
      </c>
      <c r="J681" s="50">
        <v>46182</v>
      </c>
      <c r="K681" s="54">
        <v>46288</v>
      </c>
      <c r="L681" s="54">
        <v>46182</v>
      </c>
      <c r="M681" s="54">
        <v>46288</v>
      </c>
      <c r="O681" s="51" t="str">
        <f t="shared" si="70"/>
        <v/>
      </c>
      <c r="P681" s="51" t="str">
        <f t="shared" si="71"/>
        <v/>
      </c>
      <c r="Q681" s="52" t="str">
        <f t="shared" si="72"/>
        <v/>
      </c>
      <c r="R681" s="52" t="str">
        <f t="shared" si="73"/>
        <v/>
      </c>
      <c r="S681" s="51" t="str">
        <f t="shared" si="74"/>
        <v/>
      </c>
      <c r="T681" t="str">
        <f t="shared" si="75"/>
        <v/>
      </c>
      <c r="U681" s="52" t="str">
        <f t="shared" si="76"/>
        <v/>
      </c>
    </row>
    <row r="682" spans="2:21" x14ac:dyDescent="0.25">
      <c r="B682">
        <v>700</v>
      </c>
      <c r="E682" t="s">
        <v>1704</v>
      </c>
      <c r="F682" t="s">
        <v>1473</v>
      </c>
      <c r="G682">
        <v>107</v>
      </c>
      <c r="H682" s="48">
        <v>0.17380000000000001</v>
      </c>
      <c r="I682" s="50">
        <v>0.16850000000000001</v>
      </c>
      <c r="J682" s="50">
        <v>46182</v>
      </c>
      <c r="K682" s="54">
        <v>46288</v>
      </c>
      <c r="L682" s="54">
        <v>46182</v>
      </c>
      <c r="M682" s="54">
        <v>46288</v>
      </c>
      <c r="O682" s="51" t="str">
        <f t="shared" si="70"/>
        <v/>
      </c>
      <c r="P682" s="51" t="str">
        <f t="shared" si="71"/>
        <v/>
      </c>
      <c r="Q682" s="52" t="str">
        <f t="shared" si="72"/>
        <v/>
      </c>
      <c r="R682" s="52" t="str">
        <f t="shared" si="73"/>
        <v/>
      </c>
      <c r="S682" s="51" t="str">
        <f t="shared" si="74"/>
        <v/>
      </c>
      <c r="T682" t="str">
        <f t="shared" si="75"/>
        <v/>
      </c>
      <c r="U682" s="52" t="str">
        <f t="shared" si="76"/>
        <v/>
      </c>
    </row>
    <row r="683" spans="2:21" x14ac:dyDescent="0.25">
      <c r="B683">
        <v>701</v>
      </c>
      <c r="E683" t="s">
        <v>1705</v>
      </c>
      <c r="F683" t="s">
        <v>1473</v>
      </c>
      <c r="G683">
        <v>107</v>
      </c>
      <c r="H683" s="48">
        <v>0.17380000000000001</v>
      </c>
      <c r="I683" s="50">
        <v>0.16850000000000001</v>
      </c>
      <c r="J683" s="50">
        <v>46182</v>
      </c>
      <c r="K683" s="54">
        <v>46288</v>
      </c>
      <c r="L683" s="54">
        <v>46182</v>
      </c>
      <c r="M683" s="54">
        <v>46288</v>
      </c>
      <c r="O683" s="51" t="str">
        <f t="shared" si="70"/>
        <v/>
      </c>
      <c r="P683" s="51" t="str">
        <f t="shared" si="71"/>
        <v/>
      </c>
      <c r="Q683" s="52" t="str">
        <f t="shared" si="72"/>
        <v/>
      </c>
      <c r="R683" s="52" t="str">
        <f t="shared" si="73"/>
        <v/>
      </c>
      <c r="S683" s="51" t="str">
        <f t="shared" si="74"/>
        <v/>
      </c>
      <c r="T683" t="str">
        <f t="shared" si="75"/>
        <v/>
      </c>
      <c r="U683" s="52" t="str">
        <f t="shared" si="76"/>
        <v/>
      </c>
    </row>
    <row r="684" spans="2:21" x14ac:dyDescent="0.25">
      <c r="B684">
        <v>702</v>
      </c>
      <c r="E684" t="s">
        <v>1706</v>
      </c>
      <c r="F684" t="s">
        <v>1473</v>
      </c>
      <c r="G684">
        <v>107</v>
      </c>
      <c r="H684" s="48">
        <v>0.24879999999999999</v>
      </c>
      <c r="I684" s="50">
        <v>0.2412</v>
      </c>
      <c r="J684" s="50">
        <v>46182</v>
      </c>
      <c r="K684" s="54">
        <v>46288</v>
      </c>
      <c r="L684" s="54">
        <v>46182</v>
      </c>
      <c r="M684" s="54">
        <v>46288</v>
      </c>
      <c r="O684" s="51" t="str">
        <f t="shared" si="70"/>
        <v/>
      </c>
      <c r="P684" s="51" t="str">
        <f t="shared" si="71"/>
        <v/>
      </c>
      <c r="Q684" s="52" t="str">
        <f t="shared" si="72"/>
        <v/>
      </c>
      <c r="R684" s="52" t="str">
        <f t="shared" si="73"/>
        <v/>
      </c>
      <c r="S684" s="51" t="str">
        <f t="shared" si="74"/>
        <v/>
      </c>
      <c r="T684" t="str">
        <f t="shared" si="75"/>
        <v/>
      </c>
      <c r="U684" s="52" t="str">
        <f t="shared" si="76"/>
        <v/>
      </c>
    </row>
    <row r="685" spans="2:21" x14ac:dyDescent="0.25">
      <c r="B685">
        <v>703</v>
      </c>
      <c r="E685" t="s">
        <v>1560</v>
      </c>
      <c r="F685" t="s">
        <v>1473</v>
      </c>
      <c r="G685">
        <v>107</v>
      </c>
      <c r="H685" s="48">
        <v>0.24879999999999999</v>
      </c>
      <c r="I685" s="50">
        <v>0.2412</v>
      </c>
      <c r="J685" s="50">
        <v>46182</v>
      </c>
      <c r="K685" s="54">
        <v>46288</v>
      </c>
      <c r="L685" s="54">
        <v>46182</v>
      </c>
      <c r="M685" s="54">
        <v>46288</v>
      </c>
      <c r="O685" s="51" t="str">
        <f t="shared" si="70"/>
        <v/>
      </c>
      <c r="P685" s="51" t="str">
        <f t="shared" si="71"/>
        <v/>
      </c>
      <c r="Q685" s="52" t="str">
        <f t="shared" si="72"/>
        <v/>
      </c>
      <c r="R685" s="52" t="str">
        <f t="shared" si="73"/>
        <v/>
      </c>
      <c r="S685" s="51" t="str">
        <f t="shared" si="74"/>
        <v/>
      </c>
      <c r="T685" t="str">
        <f t="shared" si="75"/>
        <v/>
      </c>
      <c r="U685" s="52" t="str">
        <f t="shared" si="76"/>
        <v/>
      </c>
    </row>
    <row r="686" spans="2:21" x14ac:dyDescent="0.25">
      <c r="B686">
        <v>704</v>
      </c>
      <c r="E686" t="s">
        <v>1707</v>
      </c>
      <c r="F686" t="s">
        <v>1473</v>
      </c>
      <c r="G686">
        <v>107</v>
      </c>
      <c r="H686" s="48">
        <v>0.24879999999999999</v>
      </c>
      <c r="I686" s="50">
        <v>0.2412</v>
      </c>
      <c r="J686" s="50">
        <v>46182</v>
      </c>
      <c r="K686" s="54">
        <v>46288</v>
      </c>
      <c r="L686" s="54">
        <v>46182</v>
      </c>
      <c r="M686" s="54">
        <v>46288</v>
      </c>
      <c r="O686" s="51" t="str">
        <f t="shared" si="70"/>
        <v/>
      </c>
      <c r="P686" s="51" t="str">
        <f t="shared" si="71"/>
        <v/>
      </c>
      <c r="Q686" s="52" t="str">
        <f t="shared" si="72"/>
        <v/>
      </c>
      <c r="R686" s="52" t="str">
        <f t="shared" si="73"/>
        <v/>
      </c>
      <c r="S686" s="51" t="str">
        <f t="shared" si="74"/>
        <v/>
      </c>
      <c r="T686" t="str">
        <f t="shared" si="75"/>
        <v/>
      </c>
      <c r="U686" s="52" t="str">
        <f t="shared" si="76"/>
        <v/>
      </c>
    </row>
    <row r="687" spans="2:21" x14ac:dyDescent="0.25">
      <c r="B687">
        <v>705</v>
      </c>
      <c r="C687" t="s">
        <v>66</v>
      </c>
      <c r="D687" t="s">
        <v>558</v>
      </c>
      <c r="E687" t="s">
        <v>1708</v>
      </c>
      <c r="F687" t="s">
        <v>1709</v>
      </c>
      <c r="G687">
        <v>38</v>
      </c>
      <c r="H687" s="48">
        <v>1</v>
      </c>
      <c r="I687" s="50">
        <v>0.97330000000000005</v>
      </c>
      <c r="J687" s="50">
        <v>46182</v>
      </c>
      <c r="K687" s="54">
        <v>46209</v>
      </c>
      <c r="L687" s="54">
        <v>46182</v>
      </c>
      <c r="M687" s="54">
        <v>46219</v>
      </c>
      <c r="O687" s="51" t="str">
        <f t="shared" si="70"/>
        <v/>
      </c>
      <c r="P687" s="51" t="str">
        <f t="shared" si="71"/>
        <v/>
      </c>
      <c r="Q687" s="52" t="str">
        <f t="shared" si="72"/>
        <v/>
      </c>
      <c r="R687" s="52" t="str">
        <f t="shared" si="73"/>
        <v/>
      </c>
      <c r="S687" s="51" t="str">
        <f t="shared" si="74"/>
        <v/>
      </c>
      <c r="T687" t="str">
        <f t="shared" si="75"/>
        <v/>
      </c>
      <c r="U687" s="52" t="str">
        <f t="shared" si="76"/>
        <v/>
      </c>
    </row>
    <row r="688" spans="2:21" x14ac:dyDescent="0.25">
      <c r="B688">
        <v>706</v>
      </c>
      <c r="C688" t="s">
        <v>66</v>
      </c>
      <c r="D688" t="s">
        <v>558</v>
      </c>
      <c r="E688" t="s">
        <v>1515</v>
      </c>
      <c r="F688" t="s">
        <v>1535</v>
      </c>
      <c r="G688">
        <v>18</v>
      </c>
      <c r="H688" s="48">
        <v>1</v>
      </c>
      <c r="I688" s="50">
        <v>1</v>
      </c>
      <c r="J688" s="50">
        <v>46182</v>
      </c>
      <c r="K688" s="54">
        <v>46196</v>
      </c>
      <c r="L688" s="54">
        <v>46182</v>
      </c>
      <c r="M688" s="54">
        <v>46199</v>
      </c>
      <c r="O688" s="51" t="str">
        <f t="shared" si="70"/>
        <v>SIM</v>
      </c>
      <c r="P688" s="51" t="str">
        <f t="shared" si="71"/>
        <v>BL1132-0001-AI-LEI-2002</v>
      </c>
      <c r="Q688" s="52">
        <f t="shared" si="72"/>
        <v>46199</v>
      </c>
      <c r="R688" s="52">
        <f t="shared" si="73"/>
        <v>46196</v>
      </c>
      <c r="S688" s="51" t="str">
        <f t="shared" si="74"/>
        <v/>
      </c>
      <c r="T688" t="str">
        <f t="shared" si="75"/>
        <v/>
      </c>
      <c r="U688" s="52" t="str">
        <f t="shared" si="76"/>
        <v/>
      </c>
    </row>
    <row r="689" spans="2:21" x14ac:dyDescent="0.25">
      <c r="B689">
        <v>707</v>
      </c>
      <c r="C689" t="s">
        <v>66</v>
      </c>
      <c r="D689" t="s">
        <v>558</v>
      </c>
      <c r="E689" t="s">
        <v>1517</v>
      </c>
      <c r="F689" t="s">
        <v>1519</v>
      </c>
      <c r="G689">
        <v>6</v>
      </c>
      <c r="H689" s="48">
        <v>1</v>
      </c>
      <c r="I689" s="50">
        <v>1</v>
      </c>
      <c r="J689" s="50">
        <v>46196</v>
      </c>
      <c r="K689" s="54">
        <v>46199</v>
      </c>
      <c r="L689" s="54">
        <v>46199</v>
      </c>
      <c r="M689" s="54">
        <v>46204</v>
      </c>
      <c r="O689" s="51" t="str">
        <f t="shared" si="70"/>
        <v/>
      </c>
      <c r="P689" s="51" t="str">
        <f t="shared" si="71"/>
        <v/>
      </c>
      <c r="Q689" s="52" t="str">
        <f t="shared" si="72"/>
        <v/>
      </c>
      <c r="R689" s="52" t="str">
        <f t="shared" si="73"/>
        <v/>
      </c>
      <c r="S689" s="51" t="str">
        <f t="shared" si="74"/>
        <v/>
      </c>
      <c r="T689" t="str">
        <f t="shared" si="75"/>
        <v/>
      </c>
      <c r="U689" s="52" t="str">
        <f t="shared" si="76"/>
        <v/>
      </c>
    </row>
    <row r="690" spans="2:21" x14ac:dyDescent="0.25">
      <c r="B690">
        <v>708</v>
      </c>
      <c r="C690" t="s">
        <v>66</v>
      </c>
      <c r="D690" t="s">
        <v>558</v>
      </c>
      <c r="E690" t="s">
        <v>1518</v>
      </c>
      <c r="F690" t="s">
        <v>1516</v>
      </c>
      <c r="G690">
        <v>13</v>
      </c>
      <c r="H690" s="48">
        <v>1</v>
      </c>
      <c r="I690" s="50">
        <v>1</v>
      </c>
      <c r="J690" s="50">
        <v>46199</v>
      </c>
      <c r="K690" s="54">
        <v>46204</v>
      </c>
      <c r="L690" s="54">
        <v>46204</v>
      </c>
      <c r="M690" s="54">
        <v>46216</v>
      </c>
      <c r="O690" s="51" t="str">
        <f t="shared" si="70"/>
        <v/>
      </c>
      <c r="P690" s="51" t="str">
        <f t="shared" si="71"/>
        <v/>
      </c>
      <c r="Q690" s="52" t="str">
        <f t="shared" si="72"/>
        <v/>
      </c>
      <c r="R690" s="52" t="str">
        <f t="shared" si="73"/>
        <v/>
      </c>
      <c r="S690" s="51" t="str">
        <f t="shared" si="74"/>
        <v>SIM</v>
      </c>
      <c r="T690" t="str">
        <f t="shared" si="75"/>
        <v>BL1132-0001-AI-LEI-2002</v>
      </c>
      <c r="U690" s="52">
        <f t="shared" si="76"/>
        <v>46216</v>
      </c>
    </row>
    <row r="691" spans="2:21" x14ac:dyDescent="0.25">
      <c r="B691">
        <v>709</v>
      </c>
      <c r="C691" t="s">
        <v>66</v>
      </c>
      <c r="D691" t="s">
        <v>558</v>
      </c>
      <c r="E691" t="s">
        <v>1520</v>
      </c>
      <c r="F691" t="s">
        <v>1519</v>
      </c>
      <c r="G691">
        <v>4</v>
      </c>
      <c r="H691" s="48">
        <v>1</v>
      </c>
      <c r="I691" s="50">
        <v>0</v>
      </c>
      <c r="J691" s="50">
        <v>46204</v>
      </c>
      <c r="K691" s="54">
        <v>46209</v>
      </c>
      <c r="L691" s="54">
        <v>46216</v>
      </c>
      <c r="M691" s="54">
        <v>46219</v>
      </c>
      <c r="O691" s="51" t="str">
        <f t="shared" si="70"/>
        <v/>
      </c>
      <c r="P691" s="51" t="str">
        <f t="shared" si="71"/>
        <v/>
      </c>
      <c r="Q691" s="52" t="str">
        <f t="shared" si="72"/>
        <v/>
      </c>
      <c r="R691" s="52" t="str">
        <f t="shared" si="73"/>
        <v/>
      </c>
      <c r="S691" s="51" t="str">
        <f t="shared" si="74"/>
        <v/>
      </c>
      <c r="T691" t="str">
        <f t="shared" si="75"/>
        <v/>
      </c>
      <c r="U691" s="52" t="str">
        <f t="shared" si="76"/>
        <v/>
      </c>
    </row>
    <row r="692" spans="2:21" x14ac:dyDescent="0.25">
      <c r="B692">
        <v>710</v>
      </c>
      <c r="C692" t="s">
        <v>28</v>
      </c>
      <c r="D692" t="s">
        <v>414</v>
      </c>
      <c r="E692" t="s">
        <v>1710</v>
      </c>
      <c r="F692" t="s">
        <v>1523</v>
      </c>
      <c r="G692">
        <v>10</v>
      </c>
      <c r="H692" s="48">
        <v>1</v>
      </c>
      <c r="I692" s="50">
        <v>1</v>
      </c>
      <c r="J692" s="50">
        <v>46196</v>
      </c>
      <c r="K692" s="54">
        <v>46212</v>
      </c>
      <c r="L692" s="54">
        <v>46196</v>
      </c>
      <c r="M692" s="54">
        <v>46205</v>
      </c>
      <c r="O692" s="51" t="str">
        <f t="shared" si="70"/>
        <v/>
      </c>
      <c r="P692" s="51" t="str">
        <f t="shared" si="71"/>
        <v/>
      </c>
      <c r="Q692" s="52" t="str">
        <f t="shared" si="72"/>
        <v/>
      </c>
      <c r="R692" s="52" t="str">
        <f t="shared" si="73"/>
        <v/>
      </c>
      <c r="S692" s="51" t="str">
        <f t="shared" si="74"/>
        <v/>
      </c>
      <c r="T692" t="str">
        <f t="shared" si="75"/>
        <v/>
      </c>
      <c r="U692" s="52" t="str">
        <f t="shared" si="76"/>
        <v/>
      </c>
    </row>
    <row r="693" spans="2:21" x14ac:dyDescent="0.25">
      <c r="B693">
        <v>711</v>
      </c>
      <c r="C693" t="s">
        <v>28</v>
      </c>
      <c r="D693" t="s">
        <v>414</v>
      </c>
      <c r="E693" t="s">
        <v>1515</v>
      </c>
      <c r="F693" t="s">
        <v>1525</v>
      </c>
      <c r="G693">
        <v>7</v>
      </c>
      <c r="H693" s="48">
        <v>1</v>
      </c>
      <c r="I693" s="50">
        <v>1</v>
      </c>
      <c r="J693" s="50">
        <v>46196</v>
      </c>
      <c r="K693" s="54">
        <v>46199</v>
      </c>
      <c r="L693" s="54">
        <v>46196</v>
      </c>
      <c r="M693" s="54">
        <v>46202</v>
      </c>
      <c r="O693" s="51" t="str">
        <f t="shared" si="70"/>
        <v>SIM</v>
      </c>
      <c r="P693" s="51" t="str">
        <f t="shared" si="71"/>
        <v>BL1132-0001-AI-FDA-2002</v>
      </c>
      <c r="Q693" s="52">
        <f t="shared" si="72"/>
        <v>46202</v>
      </c>
      <c r="R693" s="52">
        <f t="shared" si="73"/>
        <v>46199</v>
      </c>
      <c r="S693" s="51" t="str">
        <f t="shared" si="74"/>
        <v/>
      </c>
      <c r="T693" t="str">
        <f t="shared" si="75"/>
        <v/>
      </c>
      <c r="U693" s="52" t="str">
        <f t="shared" si="76"/>
        <v/>
      </c>
    </row>
    <row r="694" spans="2:21" x14ac:dyDescent="0.25">
      <c r="B694">
        <v>712</v>
      </c>
      <c r="C694" t="s">
        <v>28</v>
      </c>
      <c r="D694" t="s">
        <v>414</v>
      </c>
      <c r="E694" t="s">
        <v>1517</v>
      </c>
      <c r="F694" t="s">
        <v>1519</v>
      </c>
      <c r="G694">
        <v>4</v>
      </c>
      <c r="H694" s="48">
        <v>1</v>
      </c>
      <c r="I694" s="50">
        <v>1</v>
      </c>
      <c r="J694" s="50">
        <v>46199</v>
      </c>
      <c r="K694" s="54">
        <v>46204</v>
      </c>
      <c r="L694" s="54">
        <v>46202</v>
      </c>
      <c r="M694" s="54">
        <v>46205</v>
      </c>
      <c r="O694" s="51" t="str">
        <f t="shared" si="70"/>
        <v/>
      </c>
      <c r="P694" s="51" t="str">
        <f t="shared" si="71"/>
        <v/>
      </c>
      <c r="Q694" s="52" t="str">
        <f t="shared" si="72"/>
        <v/>
      </c>
      <c r="R694" s="52" t="str">
        <f t="shared" si="73"/>
        <v/>
      </c>
      <c r="S694" s="51" t="str">
        <f t="shared" si="74"/>
        <v/>
      </c>
      <c r="T694" t="str">
        <f t="shared" si="75"/>
        <v/>
      </c>
      <c r="U694" s="52" t="str">
        <f t="shared" si="76"/>
        <v/>
      </c>
    </row>
    <row r="695" spans="2:21" x14ac:dyDescent="0.25">
      <c r="B695">
        <v>713</v>
      </c>
      <c r="C695" t="s">
        <v>28</v>
      </c>
      <c r="D695" t="s">
        <v>414</v>
      </c>
      <c r="E695" t="s">
        <v>1518</v>
      </c>
      <c r="F695" t="s">
        <v>1525</v>
      </c>
      <c r="G695">
        <v>7</v>
      </c>
      <c r="H695" s="48">
        <v>1</v>
      </c>
      <c r="I695" s="50">
        <v>1</v>
      </c>
      <c r="J695" s="50">
        <v>46204</v>
      </c>
      <c r="K695" s="54">
        <v>46209</v>
      </c>
      <c r="L695" s="54">
        <v>46199</v>
      </c>
      <c r="M695" s="54">
        <v>46205</v>
      </c>
      <c r="O695" s="51" t="str">
        <f t="shared" si="70"/>
        <v/>
      </c>
      <c r="P695" s="51" t="str">
        <f t="shared" si="71"/>
        <v/>
      </c>
      <c r="Q695" s="52" t="str">
        <f t="shared" si="72"/>
        <v/>
      </c>
      <c r="R695" s="52" t="str">
        <f t="shared" si="73"/>
        <v/>
      </c>
      <c r="S695" s="51" t="str">
        <f t="shared" si="74"/>
        <v>SIM</v>
      </c>
      <c r="T695" t="str">
        <f t="shared" si="75"/>
        <v>BL1132-0001-AI-FDA-2002</v>
      </c>
      <c r="U695" s="52">
        <f t="shared" si="76"/>
        <v>46205</v>
      </c>
    </row>
    <row r="696" spans="2:21" x14ac:dyDescent="0.25">
      <c r="B696">
        <v>714</v>
      </c>
      <c r="C696" t="s">
        <v>28</v>
      </c>
      <c r="D696" t="s">
        <v>414</v>
      </c>
      <c r="E696" t="s">
        <v>1520</v>
      </c>
      <c r="F696" t="s">
        <v>1519</v>
      </c>
      <c r="G696">
        <v>4</v>
      </c>
      <c r="H696" s="48">
        <v>1</v>
      </c>
      <c r="I696" s="50">
        <v>1</v>
      </c>
      <c r="J696" s="50">
        <v>46209</v>
      </c>
      <c r="K696" s="54">
        <v>46212</v>
      </c>
      <c r="L696" s="54">
        <v>46202</v>
      </c>
      <c r="M696" s="54">
        <v>46205</v>
      </c>
      <c r="O696" s="51" t="str">
        <f t="shared" si="70"/>
        <v/>
      </c>
      <c r="P696" s="51" t="str">
        <f t="shared" si="71"/>
        <v/>
      </c>
      <c r="Q696" s="52" t="str">
        <f t="shared" si="72"/>
        <v/>
      </c>
      <c r="R696" s="52" t="str">
        <f t="shared" si="73"/>
        <v/>
      </c>
      <c r="S696" s="51" t="str">
        <f t="shared" si="74"/>
        <v/>
      </c>
      <c r="T696" t="str">
        <f t="shared" si="75"/>
        <v/>
      </c>
      <c r="U696" s="52" t="str">
        <f t="shared" si="76"/>
        <v/>
      </c>
    </row>
    <row r="697" spans="2:21" x14ac:dyDescent="0.25">
      <c r="B697">
        <v>715</v>
      </c>
      <c r="C697" t="s">
        <v>37</v>
      </c>
      <c r="D697" t="s">
        <v>455</v>
      </c>
      <c r="E697" t="s">
        <v>1711</v>
      </c>
      <c r="F697" t="s">
        <v>1528</v>
      </c>
      <c r="G697">
        <v>8</v>
      </c>
      <c r="H697" s="48">
        <v>0.99119999999999997</v>
      </c>
      <c r="I697" s="50">
        <v>1</v>
      </c>
      <c r="J697" s="50">
        <v>46199</v>
      </c>
      <c r="K697" s="54">
        <v>46217</v>
      </c>
      <c r="L697" s="54">
        <v>46195</v>
      </c>
      <c r="M697" s="54">
        <v>46202</v>
      </c>
      <c r="O697" s="51" t="str">
        <f t="shared" si="70"/>
        <v/>
      </c>
      <c r="P697" s="51" t="str">
        <f t="shared" si="71"/>
        <v/>
      </c>
      <c r="Q697" s="52" t="str">
        <f t="shared" si="72"/>
        <v/>
      </c>
      <c r="R697" s="52" t="str">
        <f t="shared" si="73"/>
        <v/>
      </c>
      <c r="S697" s="51" t="str">
        <f t="shared" si="74"/>
        <v/>
      </c>
      <c r="T697" t="str">
        <f t="shared" si="75"/>
        <v/>
      </c>
      <c r="U697" s="52" t="str">
        <f t="shared" si="76"/>
        <v/>
      </c>
    </row>
    <row r="698" spans="2:21" x14ac:dyDescent="0.25">
      <c r="B698">
        <v>716</v>
      </c>
      <c r="C698" t="s">
        <v>37</v>
      </c>
      <c r="D698" t="s">
        <v>455</v>
      </c>
      <c r="E698" t="s">
        <v>1515</v>
      </c>
      <c r="F698" t="s">
        <v>1519</v>
      </c>
      <c r="G698">
        <v>6</v>
      </c>
      <c r="H698" s="48">
        <v>1</v>
      </c>
      <c r="I698" s="50">
        <v>1</v>
      </c>
      <c r="J698" s="50">
        <v>46199</v>
      </c>
      <c r="K698" s="54">
        <v>46204</v>
      </c>
      <c r="L698" s="54">
        <v>46197</v>
      </c>
      <c r="M698" s="54">
        <v>46202</v>
      </c>
      <c r="O698" s="51" t="str">
        <f t="shared" si="70"/>
        <v>SIM</v>
      </c>
      <c r="P698" s="51" t="str">
        <f t="shared" si="71"/>
        <v>BL1132-0001-AI-FDA-2011</v>
      </c>
      <c r="Q698" s="52">
        <f t="shared" si="72"/>
        <v>46202</v>
      </c>
      <c r="R698" s="52">
        <f t="shared" si="73"/>
        <v>46204</v>
      </c>
      <c r="S698" s="51" t="str">
        <f t="shared" si="74"/>
        <v/>
      </c>
      <c r="T698" t="str">
        <f t="shared" si="75"/>
        <v/>
      </c>
      <c r="U698" s="52" t="str">
        <f t="shared" si="76"/>
        <v/>
      </c>
    </row>
    <row r="699" spans="2:21" x14ac:dyDescent="0.25">
      <c r="B699">
        <v>717</v>
      </c>
      <c r="C699" t="s">
        <v>37</v>
      </c>
      <c r="D699" t="s">
        <v>455</v>
      </c>
      <c r="E699" t="s">
        <v>1517</v>
      </c>
      <c r="F699" t="s">
        <v>1528</v>
      </c>
      <c r="G699">
        <v>8</v>
      </c>
      <c r="H699" s="48">
        <v>1</v>
      </c>
      <c r="I699" s="50">
        <v>1</v>
      </c>
      <c r="J699" s="50">
        <v>46204</v>
      </c>
      <c r="K699" s="54">
        <v>46209</v>
      </c>
      <c r="L699" s="54">
        <v>46195</v>
      </c>
      <c r="M699" s="54">
        <v>46202</v>
      </c>
      <c r="O699" s="51" t="str">
        <f t="shared" si="70"/>
        <v/>
      </c>
      <c r="P699" s="51" t="str">
        <f t="shared" si="71"/>
        <v/>
      </c>
      <c r="Q699" s="52" t="str">
        <f t="shared" si="72"/>
        <v/>
      </c>
      <c r="R699" s="52" t="str">
        <f t="shared" si="73"/>
        <v/>
      </c>
      <c r="S699" s="51" t="str">
        <f t="shared" si="74"/>
        <v/>
      </c>
      <c r="T699" t="str">
        <f t="shared" si="75"/>
        <v/>
      </c>
      <c r="U699" s="52" t="str">
        <f t="shared" si="76"/>
        <v/>
      </c>
    </row>
    <row r="700" spans="2:21" x14ac:dyDescent="0.25">
      <c r="B700">
        <v>718</v>
      </c>
      <c r="C700" t="s">
        <v>37</v>
      </c>
      <c r="D700" t="s">
        <v>455</v>
      </c>
      <c r="E700" t="s">
        <v>1518</v>
      </c>
      <c r="F700" t="s">
        <v>1519</v>
      </c>
      <c r="G700">
        <v>6</v>
      </c>
      <c r="H700" s="48">
        <v>1</v>
      </c>
      <c r="I700" s="50">
        <v>1</v>
      </c>
      <c r="J700" s="50">
        <v>46209</v>
      </c>
      <c r="K700" s="54">
        <v>46212</v>
      </c>
      <c r="L700" s="54">
        <v>46197</v>
      </c>
      <c r="M700" s="54">
        <v>46202</v>
      </c>
      <c r="O700" s="51" t="str">
        <f t="shared" si="70"/>
        <v/>
      </c>
      <c r="P700" s="51" t="str">
        <f t="shared" si="71"/>
        <v/>
      </c>
      <c r="Q700" s="52" t="str">
        <f t="shared" si="72"/>
        <v/>
      </c>
      <c r="R700" s="52" t="str">
        <f t="shared" si="73"/>
        <v/>
      </c>
      <c r="S700" s="51" t="str">
        <f t="shared" si="74"/>
        <v>SIM</v>
      </c>
      <c r="T700" t="str">
        <f t="shared" si="75"/>
        <v>BL1132-0001-AI-FDA-2011</v>
      </c>
      <c r="U700" s="52">
        <f t="shared" si="76"/>
        <v>46202</v>
      </c>
    </row>
    <row r="701" spans="2:21" x14ac:dyDescent="0.25">
      <c r="B701">
        <v>719</v>
      </c>
      <c r="C701" t="s">
        <v>37</v>
      </c>
      <c r="D701" t="s">
        <v>455</v>
      </c>
      <c r="E701" t="s">
        <v>1520</v>
      </c>
      <c r="F701" t="s">
        <v>1519</v>
      </c>
      <c r="G701">
        <v>6</v>
      </c>
      <c r="H701" s="48">
        <v>0.67</v>
      </c>
      <c r="I701" s="50">
        <v>1</v>
      </c>
      <c r="J701" s="50">
        <v>46212</v>
      </c>
      <c r="K701" s="54">
        <v>46217</v>
      </c>
      <c r="L701" s="54">
        <v>46197</v>
      </c>
      <c r="M701" s="54">
        <v>46202</v>
      </c>
      <c r="O701" s="51" t="str">
        <f t="shared" si="70"/>
        <v/>
      </c>
      <c r="P701" s="51" t="str">
        <f t="shared" si="71"/>
        <v/>
      </c>
      <c r="Q701" s="52" t="str">
        <f t="shared" si="72"/>
        <v/>
      </c>
      <c r="R701" s="52" t="str">
        <f t="shared" si="73"/>
        <v/>
      </c>
      <c r="S701" s="51" t="str">
        <f t="shared" si="74"/>
        <v/>
      </c>
      <c r="T701" t="str">
        <f t="shared" si="75"/>
        <v/>
      </c>
      <c r="U701" s="52" t="str">
        <f t="shared" si="76"/>
        <v/>
      </c>
    </row>
    <row r="702" spans="2:21" x14ac:dyDescent="0.25">
      <c r="B702">
        <v>720</v>
      </c>
      <c r="C702" t="s">
        <v>40</v>
      </c>
      <c r="D702" t="s">
        <v>475</v>
      </c>
      <c r="E702" t="s">
        <v>1712</v>
      </c>
      <c r="F702" t="s">
        <v>1528</v>
      </c>
      <c r="G702">
        <v>8</v>
      </c>
      <c r="H702" s="48">
        <v>0.99119999999999997</v>
      </c>
      <c r="I702" s="50">
        <v>1</v>
      </c>
      <c r="J702" s="50">
        <v>46199</v>
      </c>
      <c r="K702" s="54">
        <v>46217</v>
      </c>
      <c r="L702" s="54">
        <v>46199</v>
      </c>
      <c r="M702" s="54">
        <v>46206</v>
      </c>
      <c r="O702" s="51" t="str">
        <f t="shared" si="70"/>
        <v/>
      </c>
      <c r="P702" s="51" t="str">
        <f t="shared" si="71"/>
        <v/>
      </c>
      <c r="Q702" s="52" t="str">
        <f t="shared" si="72"/>
        <v/>
      </c>
      <c r="R702" s="52" t="str">
        <f t="shared" si="73"/>
        <v/>
      </c>
      <c r="S702" s="51" t="str">
        <f t="shared" si="74"/>
        <v/>
      </c>
      <c r="T702" t="str">
        <f t="shared" si="75"/>
        <v/>
      </c>
      <c r="U702" s="52" t="str">
        <f t="shared" si="76"/>
        <v/>
      </c>
    </row>
    <row r="703" spans="2:21" x14ac:dyDescent="0.25">
      <c r="B703">
        <v>721</v>
      </c>
      <c r="C703" t="s">
        <v>40</v>
      </c>
      <c r="D703" t="s">
        <v>475</v>
      </c>
      <c r="E703" t="s">
        <v>1515</v>
      </c>
      <c r="F703" t="s">
        <v>1519</v>
      </c>
      <c r="G703">
        <v>6</v>
      </c>
      <c r="H703" s="48">
        <v>1</v>
      </c>
      <c r="I703" s="50">
        <v>1</v>
      </c>
      <c r="J703" s="50">
        <v>46199</v>
      </c>
      <c r="K703" s="54">
        <v>46204</v>
      </c>
      <c r="L703" s="54">
        <v>46199</v>
      </c>
      <c r="M703" s="54">
        <v>46204</v>
      </c>
      <c r="O703" s="51" t="str">
        <f t="shared" si="70"/>
        <v>SIM</v>
      </c>
      <c r="P703" s="51" t="str">
        <f t="shared" si="71"/>
        <v>BL1132-0001-AI-FDA-2014</v>
      </c>
      <c r="Q703" s="52">
        <f t="shared" si="72"/>
        <v>46204</v>
      </c>
      <c r="R703" s="52">
        <f t="shared" si="73"/>
        <v>46204</v>
      </c>
      <c r="S703" s="51" t="str">
        <f t="shared" si="74"/>
        <v/>
      </c>
      <c r="T703" t="str">
        <f t="shared" si="75"/>
        <v/>
      </c>
      <c r="U703" s="52" t="str">
        <f t="shared" si="76"/>
        <v/>
      </c>
    </row>
    <row r="704" spans="2:21" x14ac:dyDescent="0.25">
      <c r="B704">
        <v>722</v>
      </c>
      <c r="C704" t="s">
        <v>40</v>
      </c>
      <c r="D704" t="s">
        <v>475</v>
      </c>
      <c r="E704" t="s">
        <v>1517</v>
      </c>
      <c r="F704" t="s">
        <v>1642</v>
      </c>
      <c r="G704">
        <v>3</v>
      </c>
      <c r="H704" s="48">
        <v>1</v>
      </c>
      <c r="I704" s="50">
        <v>1</v>
      </c>
      <c r="J704" s="50">
        <v>46204</v>
      </c>
      <c r="K704" s="54">
        <v>46209</v>
      </c>
      <c r="L704" s="54">
        <v>46204</v>
      </c>
      <c r="M704" s="54">
        <v>46206</v>
      </c>
      <c r="O704" s="51" t="str">
        <f t="shared" si="70"/>
        <v/>
      </c>
      <c r="P704" s="51" t="str">
        <f t="shared" si="71"/>
        <v/>
      </c>
      <c r="Q704" s="52" t="str">
        <f t="shared" si="72"/>
        <v/>
      </c>
      <c r="R704" s="52" t="str">
        <f t="shared" si="73"/>
        <v/>
      </c>
      <c r="S704" s="51" t="str">
        <f t="shared" si="74"/>
        <v/>
      </c>
      <c r="T704" t="str">
        <f t="shared" si="75"/>
        <v/>
      </c>
      <c r="U704" s="52" t="str">
        <f t="shared" si="76"/>
        <v/>
      </c>
    </row>
    <row r="705" spans="2:21" x14ac:dyDescent="0.25">
      <c r="B705">
        <v>723</v>
      </c>
      <c r="C705" t="s">
        <v>40</v>
      </c>
      <c r="D705" t="s">
        <v>475</v>
      </c>
      <c r="E705" t="s">
        <v>1518</v>
      </c>
      <c r="F705" t="s">
        <v>1519</v>
      </c>
      <c r="G705">
        <v>4</v>
      </c>
      <c r="H705" s="48">
        <v>1</v>
      </c>
      <c r="I705" s="50">
        <v>1</v>
      </c>
      <c r="J705" s="50">
        <v>46209</v>
      </c>
      <c r="K705" s="54">
        <v>46212</v>
      </c>
      <c r="L705" s="54">
        <v>46203</v>
      </c>
      <c r="M705" s="54">
        <v>46206</v>
      </c>
      <c r="O705" s="51" t="str">
        <f t="shared" si="70"/>
        <v/>
      </c>
      <c r="P705" s="51" t="str">
        <f t="shared" si="71"/>
        <v/>
      </c>
      <c r="Q705" s="52" t="str">
        <f t="shared" si="72"/>
        <v/>
      </c>
      <c r="R705" s="52" t="str">
        <f t="shared" si="73"/>
        <v/>
      </c>
      <c r="S705" s="51" t="str">
        <f t="shared" si="74"/>
        <v>SIM</v>
      </c>
      <c r="T705" t="str">
        <f t="shared" si="75"/>
        <v>BL1132-0001-AI-FDA-2014</v>
      </c>
      <c r="U705" s="52">
        <f t="shared" si="76"/>
        <v>46206</v>
      </c>
    </row>
    <row r="706" spans="2:21" x14ac:dyDescent="0.25">
      <c r="B706">
        <v>724</v>
      </c>
      <c r="C706" t="s">
        <v>40</v>
      </c>
      <c r="D706" t="s">
        <v>475</v>
      </c>
      <c r="E706" t="s">
        <v>1520</v>
      </c>
      <c r="F706" t="s">
        <v>1519</v>
      </c>
      <c r="G706">
        <v>4</v>
      </c>
      <c r="H706" s="48">
        <v>0.67</v>
      </c>
      <c r="I706" s="50">
        <v>1</v>
      </c>
      <c r="J706" s="50">
        <v>46212</v>
      </c>
      <c r="K706" s="54">
        <v>46217</v>
      </c>
      <c r="L706" s="54">
        <v>46203</v>
      </c>
      <c r="M706" s="54">
        <v>46206</v>
      </c>
      <c r="O706" s="51" t="str">
        <f t="shared" si="70"/>
        <v/>
      </c>
      <c r="P706" s="51" t="str">
        <f t="shared" si="71"/>
        <v/>
      </c>
      <c r="Q706" s="52" t="str">
        <f t="shared" si="72"/>
        <v/>
      </c>
      <c r="R706" s="52" t="str">
        <f t="shared" si="73"/>
        <v/>
      </c>
      <c r="S706" s="51" t="str">
        <f t="shared" si="74"/>
        <v/>
      </c>
      <c r="T706" t="str">
        <f t="shared" si="75"/>
        <v/>
      </c>
      <c r="U706" s="52" t="str">
        <f t="shared" si="76"/>
        <v/>
      </c>
    </row>
    <row r="707" spans="2:21" x14ac:dyDescent="0.25">
      <c r="B707">
        <v>725</v>
      </c>
      <c r="C707" t="s">
        <v>41</v>
      </c>
      <c r="D707" t="s">
        <v>481</v>
      </c>
      <c r="E707" t="s">
        <v>1713</v>
      </c>
      <c r="F707" t="s">
        <v>1523</v>
      </c>
      <c r="G707">
        <v>10</v>
      </c>
      <c r="H707" s="48">
        <v>0.91610000000000003</v>
      </c>
      <c r="I707" s="50">
        <v>1</v>
      </c>
      <c r="J707" s="50">
        <v>46204</v>
      </c>
      <c r="K707" s="54">
        <v>46220</v>
      </c>
      <c r="L707" s="54">
        <v>46204</v>
      </c>
      <c r="M707" s="54">
        <v>46213</v>
      </c>
      <c r="O707" s="51" t="str">
        <f t="shared" ref="O707:O770" si="77">IF(OR(E707 = "                           1 - Emissão Inicial",E707="                  1 - Emissão após Design Review 1",E707 = "                  1 - Emissão para conhecimento",E707 = "                  1 - Emissão Final",E707 = "         Lista de Documentos",E707 = "         Elaboração do cronograma",E707 = "         Norma de Coordenação"), "SIM", "")</f>
        <v/>
      </c>
      <c r="P707" s="51" t="str">
        <f t="shared" ref="P707:P770" si="78">IF(O707="SIM",C707,"")</f>
        <v/>
      </c>
      <c r="Q707" s="52" t="str">
        <f t="shared" ref="Q707:Q770" si="79">IF(O707="SIM",M707,"")</f>
        <v/>
      </c>
      <c r="R707" s="52" t="str">
        <f t="shared" ref="R707:R770" si="80">IF(O707="SIM",K707,"")</f>
        <v/>
      </c>
      <c r="S707" s="51" t="str">
        <f t="shared" ref="S707:S770" si="81">IF(OR(E707 = "                           3 - Atendimento de Comentários",E707="                  1 - Emissão após Design Review 1",E707 = "                  1 - Emissão para conhecimento",E707 = "                  1 - Emissão Final",E707 = "         Lista de Documentos",E707 = "         Elaboração do cronograma",E707 = "         Norma de Coordenação"), "SIM", "")</f>
        <v/>
      </c>
      <c r="T707" t="str">
        <f t="shared" ref="T707:T770" si="82">IF(S707="SIM",C707,"")</f>
        <v/>
      </c>
      <c r="U707" s="52" t="str">
        <f t="shared" ref="U707:U770" si="83">IF(S707="SIM",M707,"")</f>
        <v/>
      </c>
    </row>
    <row r="708" spans="2:21" x14ac:dyDescent="0.25">
      <c r="B708">
        <v>726</v>
      </c>
      <c r="C708" t="s">
        <v>41</v>
      </c>
      <c r="D708" t="s">
        <v>481</v>
      </c>
      <c r="E708" t="s">
        <v>1515</v>
      </c>
      <c r="F708" t="s">
        <v>1519</v>
      </c>
      <c r="G708">
        <v>6</v>
      </c>
      <c r="H708" s="48">
        <v>1</v>
      </c>
      <c r="I708" s="50">
        <v>1</v>
      </c>
      <c r="J708" s="50">
        <v>46204</v>
      </c>
      <c r="K708" s="54">
        <v>46209</v>
      </c>
      <c r="L708" s="54">
        <v>46204</v>
      </c>
      <c r="M708" s="54">
        <v>46209</v>
      </c>
      <c r="O708" s="51" t="str">
        <f t="shared" si="77"/>
        <v>SIM</v>
      </c>
      <c r="P708" s="51" t="str">
        <f t="shared" si="78"/>
        <v>BL1132-0001-AI-FDA-2015</v>
      </c>
      <c r="Q708" s="52">
        <f t="shared" si="79"/>
        <v>46209</v>
      </c>
      <c r="R708" s="52">
        <f t="shared" si="80"/>
        <v>46209</v>
      </c>
      <c r="S708" s="51" t="str">
        <f t="shared" si="81"/>
        <v/>
      </c>
      <c r="T708" t="str">
        <f t="shared" si="82"/>
        <v/>
      </c>
      <c r="U708" s="52" t="str">
        <f t="shared" si="83"/>
        <v/>
      </c>
    </row>
    <row r="709" spans="2:21" x14ac:dyDescent="0.25">
      <c r="B709">
        <v>727</v>
      </c>
      <c r="C709" t="s">
        <v>41</v>
      </c>
      <c r="D709" t="s">
        <v>481</v>
      </c>
      <c r="E709" t="s">
        <v>1517</v>
      </c>
      <c r="F709" t="s">
        <v>1519</v>
      </c>
      <c r="G709">
        <v>4</v>
      </c>
      <c r="H709" s="48">
        <v>1</v>
      </c>
      <c r="I709" s="50">
        <v>1</v>
      </c>
      <c r="J709" s="50">
        <v>46209</v>
      </c>
      <c r="K709" s="54">
        <v>46212</v>
      </c>
      <c r="L709" s="54">
        <v>46209</v>
      </c>
      <c r="M709" s="54">
        <v>46212</v>
      </c>
      <c r="O709" s="51" t="str">
        <f t="shared" si="77"/>
        <v/>
      </c>
      <c r="P709" s="51" t="str">
        <f t="shared" si="78"/>
        <v/>
      </c>
      <c r="Q709" s="52" t="str">
        <f t="shared" si="79"/>
        <v/>
      </c>
      <c r="R709" s="52" t="str">
        <f t="shared" si="80"/>
        <v/>
      </c>
      <c r="S709" s="51" t="str">
        <f t="shared" si="81"/>
        <v/>
      </c>
      <c r="T709" t="str">
        <f t="shared" si="82"/>
        <v/>
      </c>
      <c r="U709" s="52" t="str">
        <f t="shared" si="83"/>
        <v/>
      </c>
    </row>
    <row r="710" spans="2:21" x14ac:dyDescent="0.25">
      <c r="B710">
        <v>728</v>
      </c>
      <c r="C710" t="s">
        <v>41</v>
      </c>
      <c r="D710" t="s">
        <v>481</v>
      </c>
      <c r="E710" t="s">
        <v>1518</v>
      </c>
      <c r="F710" t="s">
        <v>1692</v>
      </c>
      <c r="G710">
        <v>2</v>
      </c>
      <c r="H710" s="48">
        <v>0.67</v>
      </c>
      <c r="I710" s="50">
        <v>1</v>
      </c>
      <c r="J710" s="50">
        <v>46212</v>
      </c>
      <c r="K710" s="54">
        <v>46217</v>
      </c>
      <c r="L710" s="54">
        <v>46212</v>
      </c>
      <c r="M710" s="54">
        <v>46213</v>
      </c>
      <c r="O710" s="51" t="str">
        <f t="shared" si="77"/>
        <v/>
      </c>
      <c r="P710" s="51" t="str">
        <f t="shared" si="78"/>
        <v/>
      </c>
      <c r="Q710" s="52" t="str">
        <f t="shared" si="79"/>
        <v/>
      </c>
      <c r="R710" s="52" t="str">
        <f t="shared" si="80"/>
        <v/>
      </c>
      <c r="S710" s="51" t="str">
        <f t="shared" si="81"/>
        <v>SIM</v>
      </c>
      <c r="T710" t="str">
        <f t="shared" si="82"/>
        <v>BL1132-0001-AI-FDA-2015</v>
      </c>
      <c r="U710" s="52">
        <f t="shared" si="83"/>
        <v>46213</v>
      </c>
    </row>
    <row r="711" spans="2:21" x14ac:dyDescent="0.25">
      <c r="B711">
        <v>729</v>
      </c>
      <c r="C711" t="s">
        <v>41</v>
      </c>
      <c r="D711" t="s">
        <v>481</v>
      </c>
      <c r="E711" t="s">
        <v>1520</v>
      </c>
      <c r="F711" t="s">
        <v>1519</v>
      </c>
      <c r="G711">
        <v>4</v>
      </c>
      <c r="H711" s="48">
        <v>0</v>
      </c>
      <c r="I711" s="50">
        <v>1</v>
      </c>
      <c r="J711" s="50">
        <v>46217</v>
      </c>
      <c r="K711" s="54">
        <v>46220</v>
      </c>
      <c r="L711" s="54">
        <v>46210</v>
      </c>
      <c r="M711" s="54">
        <v>46213</v>
      </c>
      <c r="O711" s="51" t="str">
        <f t="shared" si="77"/>
        <v/>
      </c>
      <c r="P711" s="51" t="str">
        <f t="shared" si="78"/>
        <v/>
      </c>
      <c r="Q711" s="52" t="str">
        <f t="shared" si="79"/>
        <v/>
      </c>
      <c r="R711" s="52" t="str">
        <f t="shared" si="80"/>
        <v/>
      </c>
      <c r="S711" s="51" t="str">
        <f t="shared" si="81"/>
        <v/>
      </c>
      <c r="T711" t="str">
        <f t="shared" si="82"/>
        <v/>
      </c>
      <c r="U711" s="52" t="str">
        <f t="shared" si="83"/>
        <v/>
      </c>
    </row>
    <row r="712" spans="2:21" x14ac:dyDescent="0.25">
      <c r="B712">
        <v>730</v>
      </c>
      <c r="C712" t="s">
        <v>47</v>
      </c>
      <c r="D712" t="s">
        <v>507</v>
      </c>
      <c r="E712" t="s">
        <v>1714</v>
      </c>
      <c r="F712" t="s">
        <v>1559</v>
      </c>
      <c r="G712">
        <v>17</v>
      </c>
      <c r="H712" s="48">
        <v>0.91610000000000003</v>
      </c>
      <c r="I712" s="50">
        <v>1</v>
      </c>
      <c r="J712" s="50">
        <v>46204</v>
      </c>
      <c r="K712" s="54">
        <v>46220</v>
      </c>
      <c r="L712" s="54">
        <v>46204</v>
      </c>
      <c r="M712" s="54">
        <v>46220</v>
      </c>
      <c r="O712" s="51" t="str">
        <f t="shared" si="77"/>
        <v/>
      </c>
      <c r="P712" s="51" t="str">
        <f t="shared" si="78"/>
        <v/>
      </c>
      <c r="Q712" s="52" t="str">
        <f t="shared" si="79"/>
        <v/>
      </c>
      <c r="R712" s="52" t="str">
        <f t="shared" si="80"/>
        <v/>
      </c>
      <c r="S712" s="51" t="str">
        <f t="shared" si="81"/>
        <v/>
      </c>
      <c r="T712" t="str">
        <f t="shared" si="82"/>
        <v/>
      </c>
      <c r="U712" s="52" t="str">
        <f t="shared" si="83"/>
        <v/>
      </c>
    </row>
    <row r="713" spans="2:21" x14ac:dyDescent="0.25">
      <c r="B713">
        <v>731</v>
      </c>
      <c r="C713" t="s">
        <v>47</v>
      </c>
      <c r="D713" t="s">
        <v>507</v>
      </c>
      <c r="E713" t="s">
        <v>1515</v>
      </c>
      <c r="F713" t="s">
        <v>1519</v>
      </c>
      <c r="G713">
        <v>6</v>
      </c>
      <c r="H713" s="48">
        <v>1</v>
      </c>
      <c r="I713" s="50">
        <v>1</v>
      </c>
      <c r="J713" s="50">
        <v>46204</v>
      </c>
      <c r="K713" s="54">
        <v>46209</v>
      </c>
      <c r="L713" s="54">
        <v>46204</v>
      </c>
      <c r="M713" s="54">
        <v>46209</v>
      </c>
      <c r="O713" s="51" t="str">
        <f t="shared" si="77"/>
        <v>SIM</v>
      </c>
      <c r="P713" s="51" t="str">
        <f t="shared" si="78"/>
        <v>BL1132-0001-AI-FDA-2021</v>
      </c>
      <c r="Q713" s="52">
        <f t="shared" si="79"/>
        <v>46209</v>
      </c>
      <c r="R713" s="52">
        <f t="shared" si="80"/>
        <v>46209</v>
      </c>
      <c r="S713" s="51" t="str">
        <f t="shared" si="81"/>
        <v/>
      </c>
      <c r="T713" t="str">
        <f t="shared" si="82"/>
        <v/>
      </c>
      <c r="U713" s="52" t="str">
        <f t="shared" si="83"/>
        <v/>
      </c>
    </row>
    <row r="714" spans="2:21" x14ac:dyDescent="0.25">
      <c r="B714">
        <v>732</v>
      </c>
      <c r="C714" t="s">
        <v>47</v>
      </c>
      <c r="D714" t="s">
        <v>507</v>
      </c>
      <c r="E714" t="s">
        <v>1517</v>
      </c>
      <c r="F714" t="s">
        <v>1516</v>
      </c>
      <c r="G714">
        <v>11</v>
      </c>
      <c r="H714" s="48">
        <v>1</v>
      </c>
      <c r="I714" s="50">
        <v>1</v>
      </c>
      <c r="J714" s="50">
        <v>46209</v>
      </c>
      <c r="K714" s="54">
        <v>46212</v>
      </c>
      <c r="L714" s="54">
        <v>46209</v>
      </c>
      <c r="M714" s="54">
        <v>46219</v>
      </c>
      <c r="O714" s="51" t="str">
        <f t="shared" si="77"/>
        <v/>
      </c>
      <c r="P714" s="51" t="str">
        <f t="shared" si="78"/>
        <v/>
      </c>
      <c r="Q714" s="52" t="str">
        <f t="shared" si="79"/>
        <v/>
      </c>
      <c r="R714" s="52" t="str">
        <f t="shared" si="80"/>
        <v/>
      </c>
      <c r="S714" s="51" t="str">
        <f t="shared" si="81"/>
        <v/>
      </c>
      <c r="T714" t="str">
        <f t="shared" si="82"/>
        <v/>
      </c>
      <c r="U714" s="52" t="str">
        <f t="shared" si="83"/>
        <v/>
      </c>
    </row>
    <row r="715" spans="2:21" x14ac:dyDescent="0.25">
      <c r="B715">
        <v>733</v>
      </c>
      <c r="C715" t="s">
        <v>47</v>
      </c>
      <c r="D715" t="s">
        <v>507</v>
      </c>
      <c r="E715" t="s">
        <v>1518</v>
      </c>
      <c r="F715" t="s">
        <v>1692</v>
      </c>
      <c r="G715">
        <v>2</v>
      </c>
      <c r="H715" s="48">
        <v>0.67</v>
      </c>
      <c r="I715" s="50">
        <v>1</v>
      </c>
      <c r="J715" s="50">
        <v>46212</v>
      </c>
      <c r="K715" s="54">
        <v>46217</v>
      </c>
      <c r="L715" s="54">
        <v>46219</v>
      </c>
      <c r="M715" s="54">
        <v>46220</v>
      </c>
      <c r="O715" s="51" t="str">
        <f t="shared" si="77"/>
        <v/>
      </c>
      <c r="P715" s="51" t="str">
        <f t="shared" si="78"/>
        <v/>
      </c>
      <c r="Q715" s="52" t="str">
        <f t="shared" si="79"/>
        <v/>
      </c>
      <c r="R715" s="52" t="str">
        <f t="shared" si="80"/>
        <v/>
      </c>
      <c r="S715" s="51" t="str">
        <f t="shared" si="81"/>
        <v>SIM</v>
      </c>
      <c r="T715" t="str">
        <f t="shared" si="82"/>
        <v>BL1132-0001-AI-FDA-2021</v>
      </c>
      <c r="U715" s="52">
        <f t="shared" si="83"/>
        <v>46220</v>
      </c>
    </row>
    <row r="716" spans="2:21" x14ac:dyDescent="0.25">
      <c r="B716">
        <v>734</v>
      </c>
      <c r="C716" t="s">
        <v>47</v>
      </c>
      <c r="D716" t="s">
        <v>507</v>
      </c>
      <c r="E716" t="s">
        <v>1520</v>
      </c>
      <c r="F716" t="s">
        <v>1519</v>
      </c>
      <c r="G716">
        <v>4</v>
      </c>
      <c r="H716" s="48">
        <v>0</v>
      </c>
      <c r="I716" s="50">
        <v>1</v>
      </c>
      <c r="J716" s="50">
        <v>46217</v>
      </c>
      <c r="K716" s="54">
        <v>46220</v>
      </c>
      <c r="L716" s="54">
        <v>46217</v>
      </c>
      <c r="M716" s="54">
        <v>46220</v>
      </c>
      <c r="O716" s="51" t="str">
        <f t="shared" si="77"/>
        <v/>
      </c>
      <c r="P716" s="51" t="str">
        <f t="shared" si="78"/>
        <v/>
      </c>
      <c r="Q716" s="52" t="str">
        <f t="shared" si="79"/>
        <v/>
      </c>
      <c r="R716" s="52" t="str">
        <f t="shared" si="80"/>
        <v/>
      </c>
      <c r="S716" s="51" t="str">
        <f t="shared" si="81"/>
        <v/>
      </c>
      <c r="T716" t="str">
        <f t="shared" si="82"/>
        <v/>
      </c>
      <c r="U716" s="52" t="str">
        <f t="shared" si="83"/>
        <v/>
      </c>
    </row>
    <row r="717" spans="2:21" x14ac:dyDescent="0.25">
      <c r="B717">
        <v>735</v>
      </c>
      <c r="C717" t="s">
        <v>39</v>
      </c>
      <c r="D717" t="s">
        <v>468</v>
      </c>
      <c r="E717" t="s">
        <v>1715</v>
      </c>
      <c r="F717" t="s">
        <v>1559</v>
      </c>
      <c r="G717">
        <v>17</v>
      </c>
      <c r="H717" s="48">
        <v>0.91610000000000003</v>
      </c>
      <c r="I717" s="50">
        <v>0.8</v>
      </c>
      <c r="J717" s="50">
        <v>46204</v>
      </c>
      <c r="K717" s="54">
        <v>46220</v>
      </c>
      <c r="L717" s="54">
        <v>46204</v>
      </c>
      <c r="M717" s="54">
        <v>46220</v>
      </c>
      <c r="O717" s="51" t="str">
        <f t="shared" si="77"/>
        <v/>
      </c>
      <c r="P717" s="51" t="str">
        <f t="shared" si="78"/>
        <v/>
      </c>
      <c r="Q717" s="52" t="str">
        <f t="shared" si="79"/>
        <v/>
      </c>
      <c r="R717" s="52" t="str">
        <f t="shared" si="80"/>
        <v/>
      </c>
      <c r="S717" s="51" t="str">
        <f t="shared" si="81"/>
        <v/>
      </c>
      <c r="T717" t="str">
        <f t="shared" si="82"/>
        <v/>
      </c>
      <c r="U717" s="52" t="str">
        <f t="shared" si="83"/>
        <v/>
      </c>
    </row>
    <row r="718" spans="2:21" x14ac:dyDescent="0.25">
      <c r="B718">
        <v>736</v>
      </c>
      <c r="C718" t="s">
        <v>39</v>
      </c>
      <c r="D718" t="s">
        <v>468</v>
      </c>
      <c r="E718" t="s">
        <v>1515</v>
      </c>
      <c r="F718" t="s">
        <v>1519</v>
      </c>
      <c r="G718">
        <v>6</v>
      </c>
      <c r="H718" s="48">
        <v>1</v>
      </c>
      <c r="I718" s="50">
        <v>1</v>
      </c>
      <c r="J718" s="50">
        <v>46204</v>
      </c>
      <c r="K718" s="54">
        <v>46209</v>
      </c>
      <c r="L718" s="54">
        <v>46204</v>
      </c>
      <c r="M718" s="54">
        <v>46209</v>
      </c>
      <c r="O718" s="51" t="str">
        <f t="shared" si="77"/>
        <v>SIM</v>
      </c>
      <c r="P718" s="51" t="str">
        <f t="shared" si="78"/>
        <v>BL1132-0001-AI-FDA-2013</v>
      </c>
      <c r="Q718" s="52">
        <f t="shared" si="79"/>
        <v>46209</v>
      </c>
      <c r="R718" s="52">
        <f t="shared" si="80"/>
        <v>46209</v>
      </c>
      <c r="S718" s="51" t="str">
        <f t="shared" si="81"/>
        <v/>
      </c>
      <c r="T718" t="str">
        <f t="shared" si="82"/>
        <v/>
      </c>
      <c r="U718" s="52" t="str">
        <f t="shared" si="83"/>
        <v/>
      </c>
    </row>
    <row r="719" spans="2:21" x14ac:dyDescent="0.25">
      <c r="B719">
        <v>737</v>
      </c>
      <c r="C719" t="s">
        <v>39</v>
      </c>
      <c r="D719" t="s">
        <v>468</v>
      </c>
      <c r="E719" t="s">
        <v>1517</v>
      </c>
      <c r="F719" t="s">
        <v>1519</v>
      </c>
      <c r="G719">
        <v>4</v>
      </c>
      <c r="H719" s="48">
        <v>1</v>
      </c>
      <c r="I719" s="50">
        <v>1</v>
      </c>
      <c r="J719" s="50">
        <v>46209</v>
      </c>
      <c r="K719" s="54">
        <v>46212</v>
      </c>
      <c r="L719" s="54">
        <v>46209</v>
      </c>
      <c r="M719" s="54">
        <v>46212</v>
      </c>
      <c r="O719" s="51" t="str">
        <f t="shared" si="77"/>
        <v/>
      </c>
      <c r="P719" s="51" t="str">
        <f t="shared" si="78"/>
        <v/>
      </c>
      <c r="Q719" s="52" t="str">
        <f t="shared" si="79"/>
        <v/>
      </c>
      <c r="R719" s="52" t="str">
        <f t="shared" si="80"/>
        <v/>
      </c>
      <c r="S719" s="51" t="str">
        <f t="shared" si="81"/>
        <v/>
      </c>
      <c r="T719" t="str">
        <f t="shared" si="82"/>
        <v/>
      </c>
      <c r="U719" s="52" t="str">
        <f t="shared" si="83"/>
        <v/>
      </c>
    </row>
    <row r="720" spans="2:21" x14ac:dyDescent="0.25">
      <c r="B720">
        <v>738</v>
      </c>
      <c r="C720" t="s">
        <v>39</v>
      </c>
      <c r="D720" t="s">
        <v>468</v>
      </c>
      <c r="E720" t="s">
        <v>1518</v>
      </c>
      <c r="F720" t="s">
        <v>1519</v>
      </c>
      <c r="G720">
        <v>6</v>
      </c>
      <c r="H720" s="48">
        <v>0.67</v>
      </c>
      <c r="I720" s="50">
        <v>0</v>
      </c>
      <c r="J720" s="50">
        <v>46212</v>
      </c>
      <c r="K720" s="54">
        <v>46217</v>
      </c>
      <c r="L720" s="54">
        <v>46212</v>
      </c>
      <c r="M720" s="54">
        <v>46217</v>
      </c>
      <c r="O720" s="51" t="str">
        <f t="shared" si="77"/>
        <v/>
      </c>
      <c r="P720" s="51" t="str">
        <f t="shared" si="78"/>
        <v/>
      </c>
      <c r="Q720" s="52" t="str">
        <f t="shared" si="79"/>
        <v/>
      </c>
      <c r="R720" s="52" t="str">
        <f t="shared" si="80"/>
        <v/>
      </c>
      <c r="S720" s="51" t="str">
        <f t="shared" si="81"/>
        <v>SIM</v>
      </c>
      <c r="T720" t="str">
        <f t="shared" si="82"/>
        <v>BL1132-0001-AI-FDA-2013</v>
      </c>
      <c r="U720" s="52">
        <f t="shared" si="83"/>
        <v>46217</v>
      </c>
    </row>
    <row r="721" spans="2:21" x14ac:dyDescent="0.25">
      <c r="B721">
        <v>739</v>
      </c>
      <c r="C721" t="s">
        <v>39</v>
      </c>
      <c r="D721" t="s">
        <v>468</v>
      </c>
      <c r="E721" t="s">
        <v>1520</v>
      </c>
      <c r="F721" t="s">
        <v>1519</v>
      </c>
      <c r="G721">
        <v>4</v>
      </c>
      <c r="H721" s="48">
        <v>0</v>
      </c>
      <c r="I721" s="50">
        <v>0</v>
      </c>
      <c r="J721" s="50">
        <v>46217</v>
      </c>
      <c r="K721" s="54">
        <v>46220</v>
      </c>
      <c r="L721" s="54">
        <v>46217</v>
      </c>
      <c r="M721" s="54">
        <v>46220</v>
      </c>
      <c r="O721" s="51" t="str">
        <f t="shared" si="77"/>
        <v/>
      </c>
      <c r="P721" s="51" t="str">
        <f t="shared" si="78"/>
        <v/>
      </c>
      <c r="Q721" s="52" t="str">
        <f t="shared" si="79"/>
        <v/>
      </c>
      <c r="R721" s="52" t="str">
        <f t="shared" si="80"/>
        <v/>
      </c>
      <c r="S721" s="51" t="str">
        <f t="shared" si="81"/>
        <v/>
      </c>
      <c r="T721" t="str">
        <f t="shared" si="82"/>
        <v/>
      </c>
      <c r="U721" s="52" t="str">
        <f t="shared" si="83"/>
        <v/>
      </c>
    </row>
    <row r="722" spans="2:21" x14ac:dyDescent="0.25">
      <c r="B722">
        <v>740</v>
      </c>
      <c r="C722" t="s">
        <v>63</v>
      </c>
      <c r="D722" t="s">
        <v>543</v>
      </c>
      <c r="E722" t="s">
        <v>1716</v>
      </c>
      <c r="F722" t="s">
        <v>1535</v>
      </c>
      <c r="G722">
        <v>18</v>
      </c>
      <c r="H722" s="48">
        <v>0.93610000000000004</v>
      </c>
      <c r="I722" s="50">
        <v>0.69330000000000003</v>
      </c>
      <c r="J722" s="50">
        <v>46204</v>
      </c>
      <c r="K722" s="54">
        <v>46220</v>
      </c>
      <c r="L722" s="54">
        <v>46209</v>
      </c>
      <c r="M722" s="54">
        <v>46226</v>
      </c>
      <c r="O722" s="51" t="str">
        <f t="shared" si="77"/>
        <v/>
      </c>
      <c r="P722" s="51" t="str">
        <f t="shared" si="78"/>
        <v/>
      </c>
      <c r="Q722" s="52" t="str">
        <f t="shared" si="79"/>
        <v/>
      </c>
      <c r="R722" s="52" t="str">
        <f t="shared" si="80"/>
        <v/>
      </c>
      <c r="S722" s="51" t="str">
        <f t="shared" si="81"/>
        <v/>
      </c>
      <c r="T722" t="str">
        <f t="shared" si="82"/>
        <v/>
      </c>
      <c r="U722" s="52" t="str">
        <f t="shared" si="83"/>
        <v/>
      </c>
    </row>
    <row r="723" spans="2:21" x14ac:dyDescent="0.25">
      <c r="B723">
        <v>741</v>
      </c>
      <c r="C723" t="s">
        <v>63</v>
      </c>
      <c r="D723" t="s">
        <v>543</v>
      </c>
      <c r="E723" t="s">
        <v>1515</v>
      </c>
      <c r="F723" t="s">
        <v>1525</v>
      </c>
      <c r="G723">
        <v>5</v>
      </c>
      <c r="H723" s="48">
        <v>1</v>
      </c>
      <c r="I723" s="50">
        <v>1</v>
      </c>
      <c r="J723" s="50">
        <v>46204</v>
      </c>
      <c r="K723" s="54">
        <v>46209</v>
      </c>
      <c r="L723" s="54">
        <v>46209</v>
      </c>
      <c r="M723" s="54">
        <v>46213</v>
      </c>
      <c r="O723" s="51" t="str">
        <f t="shared" si="77"/>
        <v>SIM</v>
      </c>
      <c r="P723" s="51" t="str">
        <f t="shared" si="78"/>
        <v>BL1132-0001-AI-FDA-2037</v>
      </c>
      <c r="Q723" s="52">
        <f t="shared" si="79"/>
        <v>46213</v>
      </c>
      <c r="R723" s="52">
        <f t="shared" si="80"/>
        <v>46209</v>
      </c>
      <c r="S723" s="51" t="str">
        <f t="shared" si="81"/>
        <v/>
      </c>
      <c r="T723" t="str">
        <f t="shared" si="82"/>
        <v/>
      </c>
      <c r="U723" s="52" t="str">
        <f t="shared" si="83"/>
        <v/>
      </c>
    </row>
    <row r="724" spans="2:21" x14ac:dyDescent="0.25">
      <c r="B724">
        <v>742</v>
      </c>
      <c r="C724" t="s">
        <v>63</v>
      </c>
      <c r="D724" t="s">
        <v>543</v>
      </c>
      <c r="E724" t="s">
        <v>1517</v>
      </c>
      <c r="F724" t="s">
        <v>1519</v>
      </c>
      <c r="G724">
        <v>6</v>
      </c>
      <c r="H724" s="48">
        <v>1</v>
      </c>
      <c r="I724" s="50">
        <v>0</v>
      </c>
      <c r="J724" s="50">
        <v>46209</v>
      </c>
      <c r="K724" s="54">
        <v>46212</v>
      </c>
      <c r="L724" s="54">
        <v>46213</v>
      </c>
      <c r="M724" s="54">
        <v>46218</v>
      </c>
      <c r="O724" s="51" t="str">
        <f t="shared" si="77"/>
        <v/>
      </c>
      <c r="P724" s="51" t="str">
        <f t="shared" si="78"/>
        <v/>
      </c>
      <c r="Q724" s="52" t="str">
        <f t="shared" si="79"/>
        <v/>
      </c>
      <c r="R724" s="52" t="str">
        <f t="shared" si="80"/>
        <v/>
      </c>
      <c r="S724" s="51" t="str">
        <f t="shared" si="81"/>
        <v/>
      </c>
      <c r="T724" t="str">
        <f t="shared" si="82"/>
        <v/>
      </c>
      <c r="U724" s="52" t="str">
        <f t="shared" si="83"/>
        <v/>
      </c>
    </row>
    <row r="725" spans="2:21" x14ac:dyDescent="0.25">
      <c r="B725">
        <v>743</v>
      </c>
      <c r="C725" t="s">
        <v>63</v>
      </c>
      <c r="D725" t="s">
        <v>543</v>
      </c>
      <c r="E725" t="s">
        <v>1518</v>
      </c>
      <c r="F725" t="s">
        <v>1519</v>
      </c>
      <c r="G725">
        <v>6</v>
      </c>
      <c r="H725" s="48">
        <v>0.67</v>
      </c>
      <c r="I725" s="50">
        <v>0</v>
      </c>
      <c r="J725" s="50">
        <v>46212</v>
      </c>
      <c r="K725" s="54">
        <v>46217</v>
      </c>
      <c r="L725" s="54">
        <v>46218</v>
      </c>
      <c r="M725" s="54">
        <v>46223</v>
      </c>
      <c r="O725" s="51" t="str">
        <f t="shared" si="77"/>
        <v/>
      </c>
      <c r="P725" s="51" t="str">
        <f t="shared" si="78"/>
        <v/>
      </c>
      <c r="Q725" s="52" t="str">
        <f t="shared" si="79"/>
        <v/>
      </c>
      <c r="R725" s="52" t="str">
        <f t="shared" si="80"/>
        <v/>
      </c>
      <c r="S725" s="51" t="str">
        <f t="shared" si="81"/>
        <v>SIM</v>
      </c>
      <c r="T725" t="str">
        <f t="shared" si="82"/>
        <v>BL1132-0001-AI-FDA-2037</v>
      </c>
      <c r="U725" s="52">
        <f t="shared" si="83"/>
        <v>46223</v>
      </c>
    </row>
    <row r="726" spans="2:21" x14ac:dyDescent="0.25">
      <c r="B726">
        <v>744</v>
      </c>
      <c r="C726" t="s">
        <v>63</v>
      </c>
      <c r="D726" t="s">
        <v>543</v>
      </c>
      <c r="E726" t="s">
        <v>1520</v>
      </c>
      <c r="F726" t="s">
        <v>1519</v>
      </c>
      <c r="G726">
        <v>4</v>
      </c>
      <c r="H726" s="48">
        <v>0</v>
      </c>
      <c r="I726" s="50">
        <v>0</v>
      </c>
      <c r="J726" s="50">
        <v>46217</v>
      </c>
      <c r="K726" s="54">
        <v>46220</v>
      </c>
      <c r="L726" s="54">
        <v>46223</v>
      </c>
      <c r="M726" s="54">
        <v>46226</v>
      </c>
      <c r="O726" s="51" t="str">
        <f t="shared" si="77"/>
        <v/>
      </c>
      <c r="P726" s="51" t="str">
        <f t="shared" si="78"/>
        <v/>
      </c>
      <c r="Q726" s="52" t="str">
        <f t="shared" si="79"/>
        <v/>
      </c>
      <c r="R726" s="52" t="str">
        <f t="shared" si="80"/>
        <v/>
      </c>
      <c r="S726" s="51" t="str">
        <f t="shared" si="81"/>
        <v/>
      </c>
      <c r="T726" t="str">
        <f t="shared" si="82"/>
        <v/>
      </c>
      <c r="U726" s="52" t="str">
        <f t="shared" si="83"/>
        <v/>
      </c>
    </row>
    <row r="727" spans="2:21" x14ac:dyDescent="0.25">
      <c r="B727">
        <v>745</v>
      </c>
      <c r="C727" t="s">
        <v>15</v>
      </c>
      <c r="D727" t="s">
        <v>344</v>
      </c>
      <c r="E727" t="s">
        <v>1717</v>
      </c>
      <c r="F727" t="s">
        <v>1559</v>
      </c>
      <c r="G727">
        <v>17</v>
      </c>
      <c r="H727" s="48">
        <v>0.76480000000000004</v>
      </c>
      <c r="I727" s="50">
        <v>0.69330000000000003</v>
      </c>
      <c r="J727" s="50">
        <v>46209</v>
      </c>
      <c r="K727" s="54">
        <v>46225</v>
      </c>
      <c r="L727" s="54">
        <v>46210</v>
      </c>
      <c r="M727" s="54">
        <v>46226</v>
      </c>
      <c r="O727" s="51" t="str">
        <f t="shared" si="77"/>
        <v/>
      </c>
      <c r="P727" s="51" t="str">
        <f t="shared" si="78"/>
        <v/>
      </c>
      <c r="Q727" s="52" t="str">
        <f t="shared" si="79"/>
        <v/>
      </c>
      <c r="R727" s="52" t="str">
        <f t="shared" si="80"/>
        <v/>
      </c>
      <c r="S727" s="51" t="str">
        <f t="shared" si="81"/>
        <v/>
      </c>
      <c r="T727" t="str">
        <f t="shared" si="82"/>
        <v/>
      </c>
      <c r="U727" s="52" t="str">
        <f t="shared" si="83"/>
        <v/>
      </c>
    </row>
    <row r="728" spans="2:21" x14ac:dyDescent="0.25">
      <c r="B728">
        <v>746</v>
      </c>
      <c r="C728" t="s">
        <v>15</v>
      </c>
      <c r="D728" t="s">
        <v>344</v>
      </c>
      <c r="E728" t="s">
        <v>1515</v>
      </c>
      <c r="F728" t="s">
        <v>1519</v>
      </c>
      <c r="G728">
        <v>4</v>
      </c>
      <c r="H728" s="48">
        <v>1</v>
      </c>
      <c r="I728" s="50">
        <v>1</v>
      </c>
      <c r="J728" s="50">
        <v>46209</v>
      </c>
      <c r="K728" s="54">
        <v>46212</v>
      </c>
      <c r="L728" s="54">
        <v>46210</v>
      </c>
      <c r="M728" s="54">
        <v>46213</v>
      </c>
      <c r="O728" s="51" t="str">
        <f t="shared" si="77"/>
        <v>SIM</v>
      </c>
      <c r="P728" s="51" t="str">
        <f t="shared" si="78"/>
        <v>BL1132-0001-AI-DPR-2002</v>
      </c>
      <c r="Q728" s="52">
        <f t="shared" si="79"/>
        <v>46213</v>
      </c>
      <c r="R728" s="52">
        <f t="shared" si="80"/>
        <v>46212</v>
      </c>
      <c r="S728" s="51" t="str">
        <f t="shared" si="81"/>
        <v/>
      </c>
      <c r="T728" t="str">
        <f t="shared" si="82"/>
        <v/>
      </c>
      <c r="U728" s="52" t="str">
        <f t="shared" si="83"/>
        <v/>
      </c>
    </row>
    <row r="729" spans="2:21" x14ac:dyDescent="0.25">
      <c r="B729">
        <v>747</v>
      </c>
      <c r="C729" t="s">
        <v>15</v>
      </c>
      <c r="D729" t="s">
        <v>344</v>
      </c>
      <c r="E729" t="s">
        <v>1517</v>
      </c>
      <c r="F729" t="s">
        <v>1519</v>
      </c>
      <c r="G729">
        <v>6</v>
      </c>
      <c r="H729" s="48">
        <v>0.67</v>
      </c>
      <c r="I729" s="50">
        <v>0</v>
      </c>
      <c r="J729" s="50">
        <v>46212</v>
      </c>
      <c r="K729" s="54">
        <v>46217</v>
      </c>
      <c r="L729" s="54">
        <v>46213</v>
      </c>
      <c r="M729" s="54">
        <v>46218</v>
      </c>
      <c r="O729" s="51" t="str">
        <f t="shared" si="77"/>
        <v/>
      </c>
      <c r="P729" s="51" t="str">
        <f t="shared" si="78"/>
        <v/>
      </c>
      <c r="Q729" s="52" t="str">
        <f t="shared" si="79"/>
        <v/>
      </c>
      <c r="R729" s="52" t="str">
        <f t="shared" si="80"/>
        <v/>
      </c>
      <c r="S729" s="51" t="str">
        <f t="shared" si="81"/>
        <v/>
      </c>
      <c r="T729" t="str">
        <f t="shared" si="82"/>
        <v/>
      </c>
      <c r="U729" s="52" t="str">
        <f t="shared" si="83"/>
        <v/>
      </c>
    </row>
    <row r="730" spans="2:21" x14ac:dyDescent="0.25">
      <c r="B730">
        <v>748</v>
      </c>
      <c r="C730" t="s">
        <v>15</v>
      </c>
      <c r="D730" t="s">
        <v>344</v>
      </c>
      <c r="E730" t="s">
        <v>1518</v>
      </c>
      <c r="F730" t="s">
        <v>1519</v>
      </c>
      <c r="G730">
        <v>6</v>
      </c>
      <c r="H730" s="48">
        <v>0</v>
      </c>
      <c r="I730" s="50">
        <v>0</v>
      </c>
      <c r="J730" s="50">
        <v>46217</v>
      </c>
      <c r="K730" s="54">
        <v>46220</v>
      </c>
      <c r="L730" s="54">
        <v>46218</v>
      </c>
      <c r="M730" s="54">
        <v>46223</v>
      </c>
      <c r="O730" s="51" t="str">
        <f t="shared" si="77"/>
        <v/>
      </c>
      <c r="P730" s="51" t="str">
        <f t="shared" si="78"/>
        <v/>
      </c>
      <c r="Q730" s="52" t="str">
        <f t="shared" si="79"/>
        <v/>
      </c>
      <c r="R730" s="52" t="str">
        <f t="shared" si="80"/>
        <v/>
      </c>
      <c r="S730" s="51" t="str">
        <f t="shared" si="81"/>
        <v>SIM</v>
      </c>
      <c r="T730" t="str">
        <f t="shared" si="82"/>
        <v>BL1132-0001-AI-DPR-2002</v>
      </c>
      <c r="U730" s="52">
        <f t="shared" si="83"/>
        <v>46223</v>
      </c>
    </row>
    <row r="731" spans="2:21" x14ac:dyDescent="0.25">
      <c r="B731">
        <v>749</v>
      </c>
      <c r="C731" t="s">
        <v>15</v>
      </c>
      <c r="D731" t="s">
        <v>344</v>
      </c>
      <c r="E731" t="s">
        <v>1520</v>
      </c>
      <c r="F731" t="s">
        <v>1519</v>
      </c>
      <c r="G731">
        <v>4</v>
      </c>
      <c r="H731" s="48">
        <v>0</v>
      </c>
      <c r="I731" s="50">
        <v>0</v>
      </c>
      <c r="J731" s="50">
        <v>46220</v>
      </c>
      <c r="K731" s="54">
        <v>46225</v>
      </c>
      <c r="L731" s="54">
        <v>46223</v>
      </c>
      <c r="M731" s="54">
        <v>46226</v>
      </c>
      <c r="O731" s="51" t="str">
        <f t="shared" si="77"/>
        <v/>
      </c>
      <c r="P731" s="51" t="str">
        <f t="shared" si="78"/>
        <v/>
      </c>
      <c r="Q731" s="52" t="str">
        <f t="shared" si="79"/>
        <v/>
      </c>
      <c r="R731" s="52" t="str">
        <f t="shared" si="80"/>
        <v/>
      </c>
      <c r="S731" s="51" t="str">
        <f t="shared" si="81"/>
        <v/>
      </c>
      <c r="T731" t="str">
        <f t="shared" si="82"/>
        <v/>
      </c>
      <c r="U731" s="52" t="str">
        <f t="shared" si="83"/>
        <v/>
      </c>
    </row>
    <row r="732" spans="2:21" x14ac:dyDescent="0.25">
      <c r="B732">
        <v>750</v>
      </c>
      <c r="C732" t="s">
        <v>16</v>
      </c>
      <c r="D732" t="s">
        <v>347</v>
      </c>
      <c r="E732" t="s">
        <v>1718</v>
      </c>
      <c r="F732" t="s">
        <v>1559</v>
      </c>
      <c r="G732">
        <v>19</v>
      </c>
      <c r="H732" s="48">
        <v>0.46450000000000002</v>
      </c>
      <c r="I732" s="50">
        <v>0.46450000000000002</v>
      </c>
      <c r="J732" s="50">
        <v>46212</v>
      </c>
      <c r="K732" s="54">
        <v>46230</v>
      </c>
      <c r="L732" s="54">
        <v>46212</v>
      </c>
      <c r="M732" s="54">
        <v>46230</v>
      </c>
      <c r="O732" s="51" t="str">
        <f t="shared" si="77"/>
        <v/>
      </c>
      <c r="P732" s="51" t="str">
        <f t="shared" si="78"/>
        <v/>
      </c>
      <c r="Q732" s="52" t="str">
        <f t="shared" si="79"/>
        <v/>
      </c>
      <c r="R732" s="52" t="str">
        <f t="shared" si="80"/>
        <v/>
      </c>
      <c r="S732" s="51" t="str">
        <f t="shared" si="81"/>
        <v/>
      </c>
      <c r="T732" t="str">
        <f t="shared" si="82"/>
        <v/>
      </c>
      <c r="U732" s="52" t="str">
        <f t="shared" si="83"/>
        <v/>
      </c>
    </row>
    <row r="733" spans="2:21" x14ac:dyDescent="0.25">
      <c r="B733">
        <v>751</v>
      </c>
      <c r="C733" t="s">
        <v>16</v>
      </c>
      <c r="D733" t="s">
        <v>347</v>
      </c>
      <c r="E733" t="s">
        <v>1515</v>
      </c>
      <c r="F733" t="s">
        <v>1519</v>
      </c>
      <c r="G733">
        <v>6</v>
      </c>
      <c r="H733" s="48">
        <v>0.67</v>
      </c>
      <c r="I733" s="50">
        <v>0.67</v>
      </c>
      <c r="J733" s="50">
        <v>46212</v>
      </c>
      <c r="K733" s="54">
        <v>46217</v>
      </c>
      <c r="L733" s="54">
        <v>46212</v>
      </c>
      <c r="M733" s="54">
        <v>46217</v>
      </c>
      <c r="O733" s="51" t="str">
        <f t="shared" si="77"/>
        <v>SIM</v>
      </c>
      <c r="P733" s="51" t="str">
        <f t="shared" si="78"/>
        <v>BL1132-0001-AI-DPR-2003</v>
      </c>
      <c r="Q733" s="52">
        <f t="shared" si="79"/>
        <v>46217</v>
      </c>
      <c r="R733" s="52">
        <f t="shared" si="80"/>
        <v>46217</v>
      </c>
      <c r="S733" s="51" t="str">
        <f t="shared" si="81"/>
        <v/>
      </c>
      <c r="T733" t="str">
        <f t="shared" si="82"/>
        <v/>
      </c>
      <c r="U733" s="52" t="str">
        <f t="shared" si="83"/>
        <v/>
      </c>
    </row>
    <row r="734" spans="2:21" x14ac:dyDescent="0.25">
      <c r="B734">
        <v>752</v>
      </c>
      <c r="C734" t="s">
        <v>16</v>
      </c>
      <c r="D734" t="s">
        <v>347</v>
      </c>
      <c r="E734" t="s">
        <v>1517</v>
      </c>
      <c r="F734" t="s">
        <v>1519</v>
      </c>
      <c r="G734">
        <v>4</v>
      </c>
      <c r="H734" s="48">
        <v>0</v>
      </c>
      <c r="I734" s="50">
        <v>0</v>
      </c>
      <c r="J734" s="50">
        <v>46217</v>
      </c>
      <c r="K734" s="54">
        <v>46220</v>
      </c>
      <c r="L734" s="54">
        <v>46217</v>
      </c>
      <c r="M734" s="54">
        <v>46220</v>
      </c>
      <c r="O734" s="51" t="str">
        <f t="shared" si="77"/>
        <v/>
      </c>
      <c r="P734" s="51" t="str">
        <f t="shared" si="78"/>
        <v/>
      </c>
      <c r="Q734" s="52" t="str">
        <f t="shared" si="79"/>
        <v/>
      </c>
      <c r="R734" s="52" t="str">
        <f t="shared" si="80"/>
        <v/>
      </c>
      <c r="S734" s="51" t="str">
        <f t="shared" si="81"/>
        <v/>
      </c>
      <c r="T734" t="str">
        <f t="shared" si="82"/>
        <v/>
      </c>
      <c r="U734" s="52" t="str">
        <f t="shared" si="83"/>
        <v/>
      </c>
    </row>
    <row r="735" spans="2:21" x14ac:dyDescent="0.25">
      <c r="B735">
        <v>753</v>
      </c>
      <c r="C735" t="s">
        <v>16</v>
      </c>
      <c r="D735" t="s">
        <v>347</v>
      </c>
      <c r="E735" t="s">
        <v>1518</v>
      </c>
      <c r="F735" t="s">
        <v>1519</v>
      </c>
      <c r="G735">
        <v>6</v>
      </c>
      <c r="H735" s="48">
        <v>0</v>
      </c>
      <c r="I735" s="50">
        <v>0</v>
      </c>
      <c r="J735" s="50">
        <v>46220</v>
      </c>
      <c r="K735" s="54">
        <v>46225</v>
      </c>
      <c r="L735" s="54">
        <v>46220</v>
      </c>
      <c r="M735" s="54">
        <v>46225</v>
      </c>
      <c r="O735" s="51" t="str">
        <f t="shared" si="77"/>
        <v/>
      </c>
      <c r="P735" s="51" t="str">
        <f t="shared" si="78"/>
        <v/>
      </c>
      <c r="Q735" s="52" t="str">
        <f t="shared" si="79"/>
        <v/>
      </c>
      <c r="R735" s="52" t="str">
        <f t="shared" si="80"/>
        <v/>
      </c>
      <c r="S735" s="51" t="str">
        <f t="shared" si="81"/>
        <v>SIM</v>
      </c>
      <c r="T735" t="str">
        <f t="shared" si="82"/>
        <v>BL1132-0001-AI-DPR-2003</v>
      </c>
      <c r="U735" s="52">
        <f t="shared" si="83"/>
        <v>46225</v>
      </c>
    </row>
    <row r="736" spans="2:21" x14ac:dyDescent="0.25">
      <c r="B736">
        <v>754</v>
      </c>
      <c r="C736" t="s">
        <v>16</v>
      </c>
      <c r="D736" t="s">
        <v>347</v>
      </c>
      <c r="E736" t="s">
        <v>1520</v>
      </c>
      <c r="F736" t="s">
        <v>1519</v>
      </c>
      <c r="G736">
        <v>6</v>
      </c>
      <c r="H736" s="48">
        <v>0</v>
      </c>
      <c r="I736" s="50">
        <v>0</v>
      </c>
      <c r="J736" s="50">
        <v>46225</v>
      </c>
      <c r="K736" s="54">
        <v>46230</v>
      </c>
      <c r="L736" s="54">
        <v>46225</v>
      </c>
      <c r="M736" s="54">
        <v>46230</v>
      </c>
      <c r="O736" s="51" t="str">
        <f t="shared" si="77"/>
        <v/>
      </c>
      <c r="P736" s="51" t="str">
        <f t="shared" si="78"/>
        <v/>
      </c>
      <c r="Q736" s="52" t="str">
        <f t="shared" si="79"/>
        <v/>
      </c>
      <c r="R736" s="52" t="str">
        <f t="shared" si="80"/>
        <v/>
      </c>
      <c r="S736" s="51" t="str">
        <f t="shared" si="81"/>
        <v/>
      </c>
      <c r="T736" t="str">
        <f t="shared" si="82"/>
        <v/>
      </c>
      <c r="U736" s="52" t="str">
        <f t="shared" si="83"/>
        <v/>
      </c>
    </row>
    <row r="737" spans="2:21" x14ac:dyDescent="0.25">
      <c r="B737">
        <v>755</v>
      </c>
      <c r="C737" t="s">
        <v>70</v>
      </c>
      <c r="D737" t="s">
        <v>565</v>
      </c>
      <c r="E737" t="s">
        <v>1719</v>
      </c>
      <c r="F737" t="s">
        <v>1559</v>
      </c>
      <c r="G737">
        <v>17</v>
      </c>
      <c r="H737" s="48">
        <v>0</v>
      </c>
      <c r="I737" s="50">
        <v>0</v>
      </c>
      <c r="J737" s="50">
        <v>46217</v>
      </c>
      <c r="K737" s="54">
        <v>46233</v>
      </c>
      <c r="L737" s="54">
        <v>46217</v>
      </c>
      <c r="M737" s="54">
        <v>46233</v>
      </c>
      <c r="O737" s="51" t="str">
        <f t="shared" si="77"/>
        <v/>
      </c>
      <c r="P737" s="51" t="str">
        <f t="shared" si="78"/>
        <v/>
      </c>
      <c r="Q737" s="52" t="str">
        <f t="shared" si="79"/>
        <v/>
      </c>
      <c r="R737" s="52" t="str">
        <f t="shared" si="80"/>
        <v/>
      </c>
      <c r="S737" s="51" t="str">
        <f t="shared" si="81"/>
        <v/>
      </c>
      <c r="T737" t="str">
        <f t="shared" si="82"/>
        <v/>
      </c>
      <c r="U737" s="52" t="str">
        <f t="shared" si="83"/>
        <v/>
      </c>
    </row>
    <row r="738" spans="2:21" x14ac:dyDescent="0.25">
      <c r="B738">
        <v>756</v>
      </c>
      <c r="C738" t="s">
        <v>70</v>
      </c>
      <c r="D738" t="s">
        <v>565</v>
      </c>
      <c r="E738" t="s">
        <v>1515</v>
      </c>
      <c r="F738" t="s">
        <v>1519</v>
      </c>
      <c r="G738">
        <v>4</v>
      </c>
      <c r="H738" s="48">
        <v>0</v>
      </c>
      <c r="I738" s="50">
        <v>0</v>
      </c>
      <c r="J738" s="50">
        <v>46217</v>
      </c>
      <c r="K738" s="54">
        <v>46220</v>
      </c>
      <c r="L738" s="54">
        <v>46217</v>
      </c>
      <c r="M738" s="54">
        <v>46220</v>
      </c>
      <c r="O738" s="51" t="str">
        <f t="shared" si="77"/>
        <v>SIM</v>
      </c>
      <c r="P738" s="51" t="str">
        <f t="shared" si="78"/>
        <v>BL1132-0001-AI-RES-2000</v>
      </c>
      <c r="Q738" s="52">
        <f t="shared" si="79"/>
        <v>46220</v>
      </c>
      <c r="R738" s="52">
        <f t="shared" si="80"/>
        <v>46220</v>
      </c>
      <c r="S738" s="51" t="str">
        <f t="shared" si="81"/>
        <v/>
      </c>
      <c r="T738" t="str">
        <f t="shared" si="82"/>
        <v/>
      </c>
      <c r="U738" s="52" t="str">
        <f t="shared" si="83"/>
        <v/>
      </c>
    </row>
    <row r="739" spans="2:21" x14ac:dyDescent="0.25">
      <c r="B739">
        <v>757</v>
      </c>
      <c r="C739" t="s">
        <v>70</v>
      </c>
      <c r="D739" t="s">
        <v>565</v>
      </c>
      <c r="E739" t="s">
        <v>1517</v>
      </c>
      <c r="F739" t="s">
        <v>1519</v>
      </c>
      <c r="G739">
        <v>6</v>
      </c>
      <c r="H739" s="48">
        <v>0</v>
      </c>
      <c r="I739" s="50">
        <v>0</v>
      </c>
      <c r="J739" s="50">
        <v>46220</v>
      </c>
      <c r="K739" s="54">
        <v>46225</v>
      </c>
      <c r="L739" s="54">
        <v>46220</v>
      </c>
      <c r="M739" s="54">
        <v>46225</v>
      </c>
      <c r="O739" s="51" t="str">
        <f t="shared" si="77"/>
        <v/>
      </c>
      <c r="P739" s="51" t="str">
        <f t="shared" si="78"/>
        <v/>
      </c>
      <c r="Q739" s="52" t="str">
        <f t="shared" si="79"/>
        <v/>
      </c>
      <c r="R739" s="52" t="str">
        <f t="shared" si="80"/>
        <v/>
      </c>
      <c r="S739" s="51" t="str">
        <f t="shared" si="81"/>
        <v/>
      </c>
      <c r="T739" t="str">
        <f t="shared" si="82"/>
        <v/>
      </c>
      <c r="U739" s="52" t="str">
        <f t="shared" si="83"/>
        <v/>
      </c>
    </row>
    <row r="740" spans="2:21" x14ac:dyDescent="0.25">
      <c r="B740">
        <v>758</v>
      </c>
      <c r="C740" t="s">
        <v>70</v>
      </c>
      <c r="D740" t="s">
        <v>565</v>
      </c>
      <c r="E740" t="s">
        <v>1518</v>
      </c>
      <c r="F740" t="s">
        <v>1519</v>
      </c>
      <c r="G740">
        <v>6</v>
      </c>
      <c r="H740" s="48">
        <v>0</v>
      </c>
      <c r="I740" s="50">
        <v>0</v>
      </c>
      <c r="J740" s="50">
        <v>46225</v>
      </c>
      <c r="K740" s="54">
        <v>46230</v>
      </c>
      <c r="L740" s="54">
        <v>46225</v>
      </c>
      <c r="M740" s="54">
        <v>46230</v>
      </c>
      <c r="O740" s="51" t="str">
        <f t="shared" si="77"/>
        <v/>
      </c>
      <c r="P740" s="51" t="str">
        <f t="shared" si="78"/>
        <v/>
      </c>
      <c r="Q740" s="52" t="str">
        <f t="shared" si="79"/>
        <v/>
      </c>
      <c r="R740" s="52" t="str">
        <f t="shared" si="80"/>
        <v/>
      </c>
      <c r="S740" s="51" t="str">
        <f t="shared" si="81"/>
        <v>SIM</v>
      </c>
      <c r="T740" t="str">
        <f t="shared" si="82"/>
        <v>BL1132-0001-AI-RES-2000</v>
      </c>
      <c r="U740" s="52">
        <f t="shared" si="83"/>
        <v>46230</v>
      </c>
    </row>
    <row r="741" spans="2:21" x14ac:dyDescent="0.25">
      <c r="B741">
        <v>759</v>
      </c>
      <c r="C741" t="s">
        <v>70</v>
      </c>
      <c r="D741" t="s">
        <v>565</v>
      </c>
      <c r="E741" t="s">
        <v>1520</v>
      </c>
      <c r="F741" t="s">
        <v>1519</v>
      </c>
      <c r="G741">
        <v>4</v>
      </c>
      <c r="H741" s="48">
        <v>0</v>
      </c>
      <c r="I741" s="50">
        <v>0</v>
      </c>
      <c r="J741" s="50">
        <v>46230</v>
      </c>
      <c r="K741" s="54">
        <v>46233</v>
      </c>
      <c r="L741" s="54">
        <v>46230</v>
      </c>
      <c r="M741" s="54">
        <v>46233</v>
      </c>
      <c r="O741" s="51" t="str">
        <f t="shared" si="77"/>
        <v/>
      </c>
      <c r="P741" s="51" t="str">
        <f t="shared" si="78"/>
        <v/>
      </c>
      <c r="Q741" s="52" t="str">
        <f t="shared" si="79"/>
        <v/>
      </c>
      <c r="R741" s="52" t="str">
        <f t="shared" si="80"/>
        <v/>
      </c>
      <c r="S741" s="51" t="str">
        <f t="shared" si="81"/>
        <v/>
      </c>
      <c r="T741" t="str">
        <f t="shared" si="82"/>
        <v/>
      </c>
      <c r="U741" s="52" t="str">
        <f t="shared" si="83"/>
        <v/>
      </c>
    </row>
    <row r="742" spans="2:21" x14ac:dyDescent="0.25">
      <c r="B742">
        <v>760</v>
      </c>
      <c r="C742" t="s">
        <v>27</v>
      </c>
      <c r="D742" t="s">
        <v>410</v>
      </c>
      <c r="E742" t="s">
        <v>1720</v>
      </c>
      <c r="F742" t="s">
        <v>1559</v>
      </c>
      <c r="G742">
        <v>17</v>
      </c>
      <c r="H742" s="48">
        <v>0</v>
      </c>
      <c r="I742" s="50">
        <v>0</v>
      </c>
      <c r="J742" s="50">
        <v>46217</v>
      </c>
      <c r="K742" s="54">
        <v>46233</v>
      </c>
      <c r="L742" s="54">
        <v>46217</v>
      </c>
      <c r="M742" s="54">
        <v>46233</v>
      </c>
      <c r="O742" s="51" t="str">
        <f t="shared" si="77"/>
        <v/>
      </c>
      <c r="P742" s="51" t="str">
        <f t="shared" si="78"/>
        <v/>
      </c>
      <c r="Q742" s="52" t="str">
        <f t="shared" si="79"/>
        <v/>
      </c>
      <c r="R742" s="52" t="str">
        <f t="shared" si="80"/>
        <v/>
      </c>
      <c r="S742" s="51" t="str">
        <f t="shared" si="81"/>
        <v/>
      </c>
      <c r="T742" t="str">
        <f t="shared" si="82"/>
        <v/>
      </c>
      <c r="U742" s="52" t="str">
        <f t="shared" si="83"/>
        <v/>
      </c>
    </row>
    <row r="743" spans="2:21" x14ac:dyDescent="0.25">
      <c r="B743">
        <v>761</v>
      </c>
      <c r="C743" t="s">
        <v>27</v>
      </c>
      <c r="D743" t="s">
        <v>410</v>
      </c>
      <c r="E743" t="s">
        <v>1515</v>
      </c>
      <c r="F743" t="s">
        <v>1519</v>
      </c>
      <c r="G743">
        <v>4</v>
      </c>
      <c r="H743" s="48">
        <v>0</v>
      </c>
      <c r="I743" s="50">
        <v>0</v>
      </c>
      <c r="J743" s="50">
        <v>46217</v>
      </c>
      <c r="K743" s="54">
        <v>46220</v>
      </c>
      <c r="L743" s="54">
        <v>46217</v>
      </c>
      <c r="M743" s="54">
        <v>46220</v>
      </c>
      <c r="O743" s="51" t="str">
        <f t="shared" si="77"/>
        <v>SIM</v>
      </c>
      <c r="P743" s="51" t="str">
        <f t="shared" si="78"/>
        <v>BL1132-0001-AI-FDA-2001</v>
      </c>
      <c r="Q743" s="52">
        <f t="shared" si="79"/>
        <v>46220</v>
      </c>
      <c r="R743" s="52">
        <f t="shared" si="80"/>
        <v>46220</v>
      </c>
      <c r="S743" s="51" t="str">
        <f t="shared" si="81"/>
        <v/>
      </c>
      <c r="T743" t="str">
        <f t="shared" si="82"/>
        <v/>
      </c>
      <c r="U743" s="52" t="str">
        <f t="shared" si="83"/>
        <v/>
      </c>
    </row>
    <row r="744" spans="2:21" x14ac:dyDescent="0.25">
      <c r="B744">
        <v>762</v>
      </c>
      <c r="C744" t="s">
        <v>27</v>
      </c>
      <c r="D744" t="s">
        <v>410</v>
      </c>
      <c r="E744" t="s">
        <v>1517</v>
      </c>
      <c r="F744" t="s">
        <v>1519</v>
      </c>
      <c r="G744">
        <v>6</v>
      </c>
      <c r="H744" s="48">
        <v>0</v>
      </c>
      <c r="I744" s="50">
        <v>0</v>
      </c>
      <c r="J744" s="50">
        <v>46220</v>
      </c>
      <c r="K744" s="54">
        <v>46225</v>
      </c>
      <c r="L744" s="54">
        <v>46220</v>
      </c>
      <c r="M744" s="54">
        <v>46225</v>
      </c>
      <c r="O744" s="51" t="str">
        <f t="shared" si="77"/>
        <v/>
      </c>
      <c r="P744" s="51" t="str">
        <f t="shared" si="78"/>
        <v/>
      </c>
      <c r="Q744" s="52" t="str">
        <f t="shared" si="79"/>
        <v/>
      </c>
      <c r="R744" s="52" t="str">
        <f t="shared" si="80"/>
        <v/>
      </c>
      <c r="S744" s="51" t="str">
        <f t="shared" si="81"/>
        <v/>
      </c>
      <c r="T744" t="str">
        <f t="shared" si="82"/>
        <v/>
      </c>
      <c r="U744" s="52" t="str">
        <f t="shared" si="83"/>
        <v/>
      </c>
    </row>
    <row r="745" spans="2:21" x14ac:dyDescent="0.25">
      <c r="B745">
        <v>763</v>
      </c>
      <c r="C745" t="s">
        <v>27</v>
      </c>
      <c r="D745" t="s">
        <v>410</v>
      </c>
      <c r="E745" t="s">
        <v>1518</v>
      </c>
      <c r="F745" t="s">
        <v>1519</v>
      </c>
      <c r="G745">
        <v>6</v>
      </c>
      <c r="H745" s="48">
        <v>0</v>
      </c>
      <c r="I745" s="50">
        <v>0</v>
      </c>
      <c r="J745" s="50">
        <v>46225</v>
      </c>
      <c r="K745" s="54">
        <v>46230</v>
      </c>
      <c r="L745" s="54">
        <v>46225</v>
      </c>
      <c r="M745" s="54">
        <v>46230</v>
      </c>
      <c r="O745" s="51" t="str">
        <f t="shared" si="77"/>
        <v/>
      </c>
      <c r="P745" s="51" t="str">
        <f t="shared" si="78"/>
        <v/>
      </c>
      <c r="Q745" s="52" t="str">
        <f t="shared" si="79"/>
        <v/>
      </c>
      <c r="R745" s="52" t="str">
        <f t="shared" si="80"/>
        <v/>
      </c>
      <c r="S745" s="51" t="str">
        <f t="shared" si="81"/>
        <v>SIM</v>
      </c>
      <c r="T745" t="str">
        <f t="shared" si="82"/>
        <v>BL1132-0001-AI-FDA-2001</v>
      </c>
      <c r="U745" s="52">
        <f t="shared" si="83"/>
        <v>46230</v>
      </c>
    </row>
    <row r="746" spans="2:21" x14ac:dyDescent="0.25">
      <c r="B746">
        <v>764</v>
      </c>
      <c r="C746" t="s">
        <v>27</v>
      </c>
      <c r="D746" t="s">
        <v>410</v>
      </c>
      <c r="E746" t="s">
        <v>1520</v>
      </c>
      <c r="F746" t="s">
        <v>1519</v>
      </c>
      <c r="G746">
        <v>4</v>
      </c>
      <c r="H746" s="48">
        <v>0</v>
      </c>
      <c r="I746" s="50">
        <v>0</v>
      </c>
      <c r="J746" s="50">
        <v>46230</v>
      </c>
      <c r="K746" s="54">
        <v>46233</v>
      </c>
      <c r="L746" s="54">
        <v>46230</v>
      </c>
      <c r="M746" s="54">
        <v>46233</v>
      </c>
      <c r="O746" s="51" t="str">
        <f t="shared" si="77"/>
        <v/>
      </c>
      <c r="P746" s="51" t="str">
        <f t="shared" si="78"/>
        <v/>
      </c>
      <c r="Q746" s="52" t="str">
        <f t="shared" si="79"/>
        <v/>
      </c>
      <c r="R746" s="52" t="str">
        <f t="shared" si="80"/>
        <v/>
      </c>
      <c r="S746" s="51" t="str">
        <f t="shared" si="81"/>
        <v/>
      </c>
      <c r="T746" t="str">
        <f t="shared" si="82"/>
        <v/>
      </c>
      <c r="U746" s="52" t="str">
        <f t="shared" si="83"/>
        <v/>
      </c>
    </row>
    <row r="747" spans="2:21" x14ac:dyDescent="0.25">
      <c r="B747">
        <v>765</v>
      </c>
      <c r="C747" t="s">
        <v>51</v>
      </c>
      <c r="D747" t="s">
        <v>524</v>
      </c>
      <c r="E747" t="s">
        <v>1721</v>
      </c>
      <c r="F747" t="s">
        <v>1559</v>
      </c>
      <c r="G747">
        <v>17</v>
      </c>
      <c r="H747" s="48">
        <v>0</v>
      </c>
      <c r="I747" s="50">
        <v>0</v>
      </c>
      <c r="J747" s="50">
        <v>46217</v>
      </c>
      <c r="K747" s="54">
        <v>46233</v>
      </c>
      <c r="L747" s="54">
        <v>46217</v>
      </c>
      <c r="M747" s="54">
        <v>46233</v>
      </c>
      <c r="O747" s="51" t="str">
        <f t="shared" si="77"/>
        <v/>
      </c>
      <c r="P747" s="51" t="str">
        <f t="shared" si="78"/>
        <v/>
      </c>
      <c r="Q747" s="52" t="str">
        <f t="shared" si="79"/>
        <v/>
      </c>
      <c r="R747" s="52" t="str">
        <f t="shared" si="80"/>
        <v/>
      </c>
      <c r="S747" s="51" t="str">
        <f t="shared" si="81"/>
        <v/>
      </c>
      <c r="T747" t="str">
        <f t="shared" si="82"/>
        <v/>
      </c>
      <c r="U747" s="52" t="str">
        <f t="shared" si="83"/>
        <v/>
      </c>
    </row>
    <row r="748" spans="2:21" x14ac:dyDescent="0.25">
      <c r="B748">
        <v>766</v>
      </c>
      <c r="C748" t="s">
        <v>51</v>
      </c>
      <c r="D748" t="s">
        <v>524</v>
      </c>
      <c r="E748" t="s">
        <v>1515</v>
      </c>
      <c r="F748" t="s">
        <v>1519</v>
      </c>
      <c r="G748">
        <v>4</v>
      </c>
      <c r="H748" s="48">
        <v>0</v>
      </c>
      <c r="I748" s="50">
        <v>0</v>
      </c>
      <c r="J748" s="50">
        <v>46217</v>
      </c>
      <c r="K748" s="54">
        <v>46220</v>
      </c>
      <c r="L748" s="54">
        <v>46217</v>
      </c>
      <c r="M748" s="54">
        <v>46220</v>
      </c>
      <c r="O748" s="51" t="str">
        <f t="shared" si="77"/>
        <v>SIM</v>
      </c>
      <c r="P748" s="51" t="str">
        <f t="shared" si="78"/>
        <v>BL1132-0001-AI-FDA-2025</v>
      </c>
      <c r="Q748" s="52">
        <f t="shared" si="79"/>
        <v>46220</v>
      </c>
      <c r="R748" s="52">
        <f t="shared" si="80"/>
        <v>46220</v>
      </c>
      <c r="S748" s="51" t="str">
        <f t="shared" si="81"/>
        <v/>
      </c>
      <c r="T748" t="str">
        <f t="shared" si="82"/>
        <v/>
      </c>
      <c r="U748" s="52" t="str">
        <f t="shared" si="83"/>
        <v/>
      </c>
    </row>
    <row r="749" spans="2:21" x14ac:dyDescent="0.25">
      <c r="B749">
        <v>767</v>
      </c>
      <c r="C749" t="s">
        <v>51</v>
      </c>
      <c r="D749" t="s">
        <v>524</v>
      </c>
      <c r="E749" t="s">
        <v>1517</v>
      </c>
      <c r="F749" t="s">
        <v>1519</v>
      </c>
      <c r="G749">
        <v>6</v>
      </c>
      <c r="H749" s="48">
        <v>0</v>
      </c>
      <c r="I749" s="50">
        <v>0</v>
      </c>
      <c r="J749" s="50">
        <v>46220</v>
      </c>
      <c r="K749" s="54">
        <v>46225</v>
      </c>
      <c r="L749" s="54">
        <v>46220</v>
      </c>
      <c r="M749" s="54">
        <v>46225</v>
      </c>
      <c r="O749" s="51" t="str">
        <f t="shared" si="77"/>
        <v/>
      </c>
      <c r="P749" s="51" t="str">
        <f t="shared" si="78"/>
        <v/>
      </c>
      <c r="Q749" s="52" t="str">
        <f t="shared" si="79"/>
        <v/>
      </c>
      <c r="R749" s="52" t="str">
        <f t="shared" si="80"/>
        <v/>
      </c>
      <c r="S749" s="51" t="str">
        <f t="shared" si="81"/>
        <v/>
      </c>
      <c r="T749" t="str">
        <f t="shared" si="82"/>
        <v/>
      </c>
      <c r="U749" s="52" t="str">
        <f t="shared" si="83"/>
        <v/>
      </c>
    </row>
    <row r="750" spans="2:21" x14ac:dyDescent="0.25">
      <c r="B750">
        <v>768</v>
      </c>
      <c r="C750" t="s">
        <v>51</v>
      </c>
      <c r="D750" t="s">
        <v>524</v>
      </c>
      <c r="E750" t="s">
        <v>1518</v>
      </c>
      <c r="F750" t="s">
        <v>1519</v>
      </c>
      <c r="G750">
        <v>6</v>
      </c>
      <c r="H750" s="48">
        <v>0</v>
      </c>
      <c r="I750" s="50">
        <v>0</v>
      </c>
      <c r="J750" s="50">
        <v>46225</v>
      </c>
      <c r="K750" s="54">
        <v>46230</v>
      </c>
      <c r="L750" s="54">
        <v>46225</v>
      </c>
      <c r="M750" s="54">
        <v>46230</v>
      </c>
      <c r="O750" s="51" t="str">
        <f t="shared" si="77"/>
        <v/>
      </c>
      <c r="P750" s="51" t="str">
        <f t="shared" si="78"/>
        <v/>
      </c>
      <c r="Q750" s="52" t="str">
        <f t="shared" si="79"/>
        <v/>
      </c>
      <c r="R750" s="52" t="str">
        <f t="shared" si="80"/>
        <v/>
      </c>
      <c r="S750" s="51" t="str">
        <f t="shared" si="81"/>
        <v>SIM</v>
      </c>
      <c r="T750" t="str">
        <f t="shared" si="82"/>
        <v>BL1132-0001-AI-FDA-2025</v>
      </c>
      <c r="U750" s="52">
        <f t="shared" si="83"/>
        <v>46230</v>
      </c>
    </row>
    <row r="751" spans="2:21" x14ac:dyDescent="0.25">
      <c r="B751">
        <v>769</v>
      </c>
      <c r="C751" t="s">
        <v>51</v>
      </c>
      <c r="D751" t="s">
        <v>524</v>
      </c>
      <c r="E751" t="s">
        <v>1520</v>
      </c>
      <c r="F751" t="s">
        <v>1519</v>
      </c>
      <c r="G751">
        <v>4</v>
      </c>
      <c r="H751" s="48">
        <v>0</v>
      </c>
      <c r="I751" s="50">
        <v>0</v>
      </c>
      <c r="J751" s="50">
        <v>46230</v>
      </c>
      <c r="K751" s="54">
        <v>46233</v>
      </c>
      <c r="L751" s="54">
        <v>46230</v>
      </c>
      <c r="M751" s="54">
        <v>46233</v>
      </c>
      <c r="O751" s="51" t="str">
        <f t="shared" si="77"/>
        <v/>
      </c>
      <c r="P751" s="51" t="str">
        <f t="shared" si="78"/>
        <v/>
      </c>
      <c r="Q751" s="52" t="str">
        <f t="shared" si="79"/>
        <v/>
      </c>
      <c r="R751" s="52" t="str">
        <f t="shared" si="80"/>
        <v/>
      </c>
      <c r="S751" s="51" t="str">
        <f t="shared" si="81"/>
        <v/>
      </c>
      <c r="T751" t="str">
        <f t="shared" si="82"/>
        <v/>
      </c>
      <c r="U751" s="52" t="str">
        <f t="shared" si="83"/>
        <v/>
      </c>
    </row>
    <row r="752" spans="2:21" x14ac:dyDescent="0.25">
      <c r="B752">
        <v>770</v>
      </c>
      <c r="C752" t="s">
        <v>49</v>
      </c>
      <c r="D752" t="s">
        <v>515</v>
      </c>
      <c r="E752" t="s">
        <v>1722</v>
      </c>
      <c r="F752" t="s">
        <v>1559</v>
      </c>
      <c r="G752">
        <v>19</v>
      </c>
      <c r="H752" s="48">
        <v>0</v>
      </c>
      <c r="I752" s="50">
        <v>0</v>
      </c>
      <c r="J752" s="50">
        <v>46220</v>
      </c>
      <c r="K752" s="54">
        <v>46238</v>
      </c>
      <c r="L752" s="54">
        <v>46220</v>
      </c>
      <c r="M752" s="54">
        <v>46238</v>
      </c>
      <c r="O752" s="51" t="str">
        <f t="shared" si="77"/>
        <v/>
      </c>
      <c r="P752" s="51" t="str">
        <f t="shared" si="78"/>
        <v/>
      </c>
      <c r="Q752" s="52" t="str">
        <f t="shared" si="79"/>
        <v/>
      </c>
      <c r="R752" s="52" t="str">
        <f t="shared" si="80"/>
        <v/>
      </c>
      <c r="S752" s="51" t="str">
        <f t="shared" si="81"/>
        <v/>
      </c>
      <c r="T752" t="str">
        <f t="shared" si="82"/>
        <v/>
      </c>
      <c r="U752" s="52" t="str">
        <f t="shared" si="83"/>
        <v/>
      </c>
    </row>
    <row r="753" spans="2:21" x14ac:dyDescent="0.25">
      <c r="B753">
        <v>771</v>
      </c>
      <c r="C753" t="s">
        <v>49</v>
      </c>
      <c r="D753" t="s">
        <v>515</v>
      </c>
      <c r="E753" t="s">
        <v>1515</v>
      </c>
      <c r="F753" t="s">
        <v>1519</v>
      </c>
      <c r="G753">
        <v>6</v>
      </c>
      <c r="H753" s="48">
        <v>0</v>
      </c>
      <c r="I753" s="50">
        <v>0</v>
      </c>
      <c r="J753" s="50">
        <v>46220</v>
      </c>
      <c r="K753" s="54">
        <v>46225</v>
      </c>
      <c r="L753" s="54">
        <v>46220</v>
      </c>
      <c r="M753" s="54">
        <v>46225</v>
      </c>
      <c r="O753" s="51" t="str">
        <f t="shared" si="77"/>
        <v>SIM</v>
      </c>
      <c r="P753" s="51" t="str">
        <f t="shared" si="78"/>
        <v>BL1132-0001-AI-FDA-2023</v>
      </c>
      <c r="Q753" s="52">
        <f t="shared" si="79"/>
        <v>46225</v>
      </c>
      <c r="R753" s="52">
        <f t="shared" si="80"/>
        <v>46225</v>
      </c>
      <c r="S753" s="51" t="str">
        <f t="shared" si="81"/>
        <v/>
      </c>
      <c r="T753" t="str">
        <f t="shared" si="82"/>
        <v/>
      </c>
      <c r="U753" s="52" t="str">
        <f t="shared" si="83"/>
        <v/>
      </c>
    </row>
    <row r="754" spans="2:21" x14ac:dyDescent="0.25">
      <c r="B754">
        <v>772</v>
      </c>
      <c r="C754" t="s">
        <v>49</v>
      </c>
      <c r="D754" t="s">
        <v>515</v>
      </c>
      <c r="E754" t="s">
        <v>1517</v>
      </c>
      <c r="F754" t="s">
        <v>1519</v>
      </c>
      <c r="G754">
        <v>6</v>
      </c>
      <c r="H754" s="48">
        <v>0</v>
      </c>
      <c r="I754" s="50">
        <v>0</v>
      </c>
      <c r="J754" s="50">
        <v>46225</v>
      </c>
      <c r="K754" s="54">
        <v>46230</v>
      </c>
      <c r="L754" s="54">
        <v>46225</v>
      </c>
      <c r="M754" s="54">
        <v>46230</v>
      </c>
      <c r="O754" s="51" t="str">
        <f t="shared" si="77"/>
        <v/>
      </c>
      <c r="P754" s="51" t="str">
        <f t="shared" si="78"/>
        <v/>
      </c>
      <c r="Q754" s="52" t="str">
        <f t="shared" si="79"/>
        <v/>
      </c>
      <c r="R754" s="52" t="str">
        <f t="shared" si="80"/>
        <v/>
      </c>
      <c r="S754" s="51" t="str">
        <f t="shared" si="81"/>
        <v/>
      </c>
      <c r="T754" t="str">
        <f t="shared" si="82"/>
        <v/>
      </c>
      <c r="U754" s="52" t="str">
        <f t="shared" si="83"/>
        <v/>
      </c>
    </row>
    <row r="755" spans="2:21" x14ac:dyDescent="0.25">
      <c r="B755">
        <v>773</v>
      </c>
      <c r="C755" t="s">
        <v>49</v>
      </c>
      <c r="D755" t="s">
        <v>515</v>
      </c>
      <c r="E755" t="s">
        <v>1518</v>
      </c>
      <c r="F755" t="s">
        <v>1519</v>
      </c>
      <c r="G755">
        <v>4</v>
      </c>
      <c r="H755" s="48">
        <v>0</v>
      </c>
      <c r="I755" s="50">
        <v>0</v>
      </c>
      <c r="J755" s="50">
        <v>46230</v>
      </c>
      <c r="K755" s="54">
        <v>46233</v>
      </c>
      <c r="L755" s="54">
        <v>46230</v>
      </c>
      <c r="M755" s="54">
        <v>46233</v>
      </c>
      <c r="O755" s="51" t="str">
        <f t="shared" si="77"/>
        <v/>
      </c>
      <c r="P755" s="51" t="str">
        <f t="shared" si="78"/>
        <v/>
      </c>
      <c r="Q755" s="52" t="str">
        <f t="shared" si="79"/>
        <v/>
      </c>
      <c r="R755" s="52" t="str">
        <f t="shared" si="80"/>
        <v/>
      </c>
      <c r="S755" s="51" t="str">
        <f t="shared" si="81"/>
        <v>SIM</v>
      </c>
      <c r="T755" t="str">
        <f t="shared" si="82"/>
        <v>BL1132-0001-AI-FDA-2023</v>
      </c>
      <c r="U755" s="52">
        <f t="shared" si="83"/>
        <v>46233</v>
      </c>
    </row>
    <row r="756" spans="2:21" x14ac:dyDescent="0.25">
      <c r="B756">
        <v>774</v>
      </c>
      <c r="C756" t="s">
        <v>49</v>
      </c>
      <c r="D756" t="s">
        <v>515</v>
      </c>
      <c r="E756" t="s">
        <v>1520</v>
      </c>
      <c r="F756" t="s">
        <v>1519</v>
      </c>
      <c r="G756">
        <v>6</v>
      </c>
      <c r="H756" s="48">
        <v>0</v>
      </c>
      <c r="I756" s="50">
        <v>0</v>
      </c>
      <c r="J756" s="50">
        <v>46233</v>
      </c>
      <c r="K756" s="54">
        <v>46238</v>
      </c>
      <c r="L756" s="54">
        <v>46233</v>
      </c>
      <c r="M756" s="54">
        <v>46238</v>
      </c>
      <c r="O756" s="51" t="str">
        <f t="shared" si="77"/>
        <v/>
      </c>
      <c r="P756" s="51" t="str">
        <f t="shared" si="78"/>
        <v/>
      </c>
      <c r="Q756" s="52" t="str">
        <f t="shared" si="79"/>
        <v/>
      </c>
      <c r="R756" s="52" t="str">
        <f t="shared" si="80"/>
        <v/>
      </c>
      <c r="S756" s="51" t="str">
        <f t="shared" si="81"/>
        <v/>
      </c>
      <c r="T756" t="str">
        <f t="shared" si="82"/>
        <v/>
      </c>
      <c r="U756" s="52" t="str">
        <f t="shared" si="83"/>
        <v/>
      </c>
    </row>
    <row r="757" spans="2:21" x14ac:dyDescent="0.25">
      <c r="B757">
        <v>775</v>
      </c>
      <c r="C757" t="s">
        <v>22</v>
      </c>
      <c r="D757" t="s">
        <v>386</v>
      </c>
      <c r="E757" t="s">
        <v>1723</v>
      </c>
      <c r="F757" t="s">
        <v>1509</v>
      </c>
      <c r="G757">
        <v>15</v>
      </c>
      <c r="H757" s="48">
        <v>0</v>
      </c>
      <c r="I757" s="50">
        <v>0</v>
      </c>
      <c r="J757" s="50">
        <v>46225</v>
      </c>
      <c r="K757" s="54">
        <v>46239</v>
      </c>
      <c r="L757" s="54">
        <v>46225</v>
      </c>
      <c r="M757" s="54">
        <v>46239</v>
      </c>
      <c r="O757" s="51" t="str">
        <f t="shared" si="77"/>
        <v/>
      </c>
      <c r="P757" s="51" t="str">
        <f t="shared" si="78"/>
        <v/>
      </c>
      <c r="Q757" s="52" t="str">
        <f t="shared" si="79"/>
        <v/>
      </c>
      <c r="R757" s="52" t="str">
        <f t="shared" si="80"/>
        <v/>
      </c>
      <c r="S757" s="51" t="str">
        <f t="shared" si="81"/>
        <v/>
      </c>
      <c r="T757" t="str">
        <f t="shared" si="82"/>
        <v/>
      </c>
      <c r="U757" s="52" t="str">
        <f t="shared" si="83"/>
        <v/>
      </c>
    </row>
    <row r="758" spans="2:21" x14ac:dyDescent="0.25">
      <c r="B758">
        <v>776</v>
      </c>
      <c r="C758" t="s">
        <v>22</v>
      </c>
      <c r="D758" t="s">
        <v>386</v>
      </c>
      <c r="E758" t="s">
        <v>1515</v>
      </c>
      <c r="F758" t="s">
        <v>1692</v>
      </c>
      <c r="G758">
        <v>2</v>
      </c>
      <c r="H758" s="48">
        <v>0</v>
      </c>
      <c r="I758" s="50">
        <v>0</v>
      </c>
      <c r="J758" s="50">
        <v>46225</v>
      </c>
      <c r="K758" s="54">
        <v>46226</v>
      </c>
      <c r="L758" s="54">
        <v>46225</v>
      </c>
      <c r="M758" s="54">
        <v>46226</v>
      </c>
      <c r="O758" s="51" t="str">
        <f t="shared" si="77"/>
        <v>SIM</v>
      </c>
      <c r="P758" s="51" t="str">
        <f t="shared" si="78"/>
        <v>BL1132-0001-AI-ETE-2001</v>
      </c>
      <c r="Q758" s="52">
        <f t="shared" si="79"/>
        <v>46226</v>
      </c>
      <c r="R758" s="52">
        <f t="shared" si="80"/>
        <v>46226</v>
      </c>
      <c r="S758" s="51" t="str">
        <f t="shared" si="81"/>
        <v/>
      </c>
      <c r="T758" t="str">
        <f t="shared" si="82"/>
        <v/>
      </c>
      <c r="U758" s="52" t="str">
        <f t="shared" si="83"/>
        <v/>
      </c>
    </row>
    <row r="759" spans="2:21" x14ac:dyDescent="0.25">
      <c r="B759">
        <v>777</v>
      </c>
      <c r="C759" t="s">
        <v>22</v>
      </c>
      <c r="D759" t="s">
        <v>386</v>
      </c>
      <c r="E759" t="s">
        <v>1517</v>
      </c>
      <c r="F759" t="s">
        <v>1519</v>
      </c>
      <c r="G759">
        <v>6</v>
      </c>
      <c r="H759" s="48">
        <v>0</v>
      </c>
      <c r="I759" s="50">
        <v>0</v>
      </c>
      <c r="J759" s="50">
        <v>46226</v>
      </c>
      <c r="K759" s="54">
        <v>46231</v>
      </c>
      <c r="L759" s="54">
        <v>46226</v>
      </c>
      <c r="M759" s="54">
        <v>46231</v>
      </c>
      <c r="O759" s="51" t="str">
        <f t="shared" si="77"/>
        <v/>
      </c>
      <c r="P759" s="51" t="str">
        <f t="shared" si="78"/>
        <v/>
      </c>
      <c r="Q759" s="52" t="str">
        <f t="shared" si="79"/>
        <v/>
      </c>
      <c r="R759" s="52" t="str">
        <f t="shared" si="80"/>
        <v/>
      </c>
      <c r="S759" s="51" t="str">
        <f t="shared" si="81"/>
        <v/>
      </c>
      <c r="T759" t="str">
        <f t="shared" si="82"/>
        <v/>
      </c>
      <c r="U759" s="52" t="str">
        <f t="shared" si="83"/>
        <v/>
      </c>
    </row>
    <row r="760" spans="2:21" x14ac:dyDescent="0.25">
      <c r="B760">
        <v>778</v>
      </c>
      <c r="C760" t="s">
        <v>22</v>
      </c>
      <c r="D760" t="s">
        <v>386</v>
      </c>
      <c r="E760" t="s">
        <v>1518</v>
      </c>
      <c r="F760" t="s">
        <v>1519</v>
      </c>
      <c r="G760">
        <v>4</v>
      </c>
      <c r="H760" s="48">
        <v>0</v>
      </c>
      <c r="I760" s="50">
        <v>0</v>
      </c>
      <c r="J760" s="50">
        <v>46231</v>
      </c>
      <c r="K760" s="54">
        <v>46234</v>
      </c>
      <c r="L760" s="54">
        <v>46231</v>
      </c>
      <c r="M760" s="54">
        <v>46234</v>
      </c>
      <c r="O760" s="51" t="str">
        <f t="shared" si="77"/>
        <v/>
      </c>
      <c r="P760" s="51" t="str">
        <f t="shared" si="78"/>
        <v/>
      </c>
      <c r="Q760" s="52" t="str">
        <f t="shared" si="79"/>
        <v/>
      </c>
      <c r="R760" s="52" t="str">
        <f t="shared" si="80"/>
        <v/>
      </c>
      <c r="S760" s="51" t="str">
        <f t="shared" si="81"/>
        <v>SIM</v>
      </c>
      <c r="T760" t="str">
        <f t="shared" si="82"/>
        <v>BL1132-0001-AI-ETE-2001</v>
      </c>
      <c r="U760" s="52">
        <f t="shared" si="83"/>
        <v>46234</v>
      </c>
    </row>
    <row r="761" spans="2:21" x14ac:dyDescent="0.25">
      <c r="B761">
        <v>779</v>
      </c>
      <c r="C761" t="s">
        <v>22</v>
      </c>
      <c r="D761" t="s">
        <v>386</v>
      </c>
      <c r="E761" t="s">
        <v>1520</v>
      </c>
      <c r="F761" t="s">
        <v>1519</v>
      </c>
      <c r="G761">
        <v>6</v>
      </c>
      <c r="H761" s="48">
        <v>0</v>
      </c>
      <c r="I761" s="50">
        <v>0</v>
      </c>
      <c r="J761" s="50">
        <v>46234</v>
      </c>
      <c r="K761" s="54">
        <v>46239</v>
      </c>
      <c r="L761" s="54">
        <v>46234</v>
      </c>
      <c r="M761" s="54">
        <v>46239</v>
      </c>
      <c r="O761" s="51" t="str">
        <f t="shared" si="77"/>
        <v/>
      </c>
      <c r="P761" s="51" t="str">
        <f t="shared" si="78"/>
        <v/>
      </c>
      <c r="Q761" s="52" t="str">
        <f t="shared" si="79"/>
        <v/>
      </c>
      <c r="R761" s="52" t="str">
        <f t="shared" si="80"/>
        <v/>
      </c>
      <c r="S761" s="51" t="str">
        <f t="shared" si="81"/>
        <v/>
      </c>
      <c r="T761" t="str">
        <f t="shared" si="82"/>
        <v/>
      </c>
      <c r="U761" s="52" t="str">
        <f t="shared" si="83"/>
        <v/>
      </c>
    </row>
    <row r="762" spans="2:21" x14ac:dyDescent="0.25">
      <c r="B762">
        <v>780</v>
      </c>
      <c r="C762" t="s">
        <v>64</v>
      </c>
      <c r="D762" t="s">
        <v>548</v>
      </c>
      <c r="E762" t="s">
        <v>1724</v>
      </c>
      <c r="F762" t="s">
        <v>1509</v>
      </c>
      <c r="G762">
        <v>15</v>
      </c>
      <c r="H762" s="48">
        <v>0</v>
      </c>
      <c r="I762" s="50">
        <v>0</v>
      </c>
      <c r="J762" s="50">
        <v>46226</v>
      </c>
      <c r="K762" s="54">
        <v>46240</v>
      </c>
      <c r="L762" s="54">
        <v>46226</v>
      </c>
      <c r="M762" s="54">
        <v>46240</v>
      </c>
      <c r="O762" s="51" t="str">
        <f t="shared" si="77"/>
        <v/>
      </c>
      <c r="P762" s="51" t="str">
        <f t="shared" si="78"/>
        <v/>
      </c>
      <c r="Q762" s="52" t="str">
        <f t="shared" si="79"/>
        <v/>
      </c>
      <c r="R762" s="52" t="str">
        <f t="shared" si="80"/>
        <v/>
      </c>
      <c r="S762" s="51" t="str">
        <f t="shared" si="81"/>
        <v/>
      </c>
      <c r="T762" t="str">
        <f t="shared" si="82"/>
        <v/>
      </c>
      <c r="U762" s="52" t="str">
        <f t="shared" si="83"/>
        <v/>
      </c>
    </row>
    <row r="763" spans="2:21" x14ac:dyDescent="0.25">
      <c r="B763">
        <v>781</v>
      </c>
      <c r="C763" t="s">
        <v>64</v>
      </c>
      <c r="D763" t="s">
        <v>548</v>
      </c>
      <c r="E763" t="s">
        <v>1515</v>
      </c>
      <c r="F763" t="s">
        <v>1692</v>
      </c>
      <c r="G763">
        <v>2</v>
      </c>
      <c r="H763" s="48">
        <v>0</v>
      </c>
      <c r="I763" s="50">
        <v>0</v>
      </c>
      <c r="J763" s="50">
        <v>46226</v>
      </c>
      <c r="K763" s="54">
        <v>46227</v>
      </c>
      <c r="L763" s="54">
        <v>46226</v>
      </c>
      <c r="M763" s="54">
        <v>46227</v>
      </c>
      <c r="O763" s="51" t="str">
        <f t="shared" si="77"/>
        <v>SIM</v>
      </c>
      <c r="P763" s="51" t="str">
        <f t="shared" si="78"/>
        <v>BL1132-0001-AI-LEI-2000</v>
      </c>
      <c r="Q763" s="52">
        <f t="shared" si="79"/>
        <v>46227</v>
      </c>
      <c r="R763" s="52">
        <f t="shared" si="80"/>
        <v>46227</v>
      </c>
      <c r="S763" s="51" t="str">
        <f t="shared" si="81"/>
        <v/>
      </c>
      <c r="T763" t="str">
        <f t="shared" si="82"/>
        <v/>
      </c>
      <c r="U763" s="52" t="str">
        <f t="shared" si="83"/>
        <v/>
      </c>
    </row>
    <row r="764" spans="2:21" x14ac:dyDescent="0.25">
      <c r="B764">
        <v>782</v>
      </c>
      <c r="C764" t="s">
        <v>64</v>
      </c>
      <c r="D764" t="s">
        <v>548</v>
      </c>
      <c r="E764" t="s">
        <v>1517</v>
      </c>
      <c r="F764" t="s">
        <v>1519</v>
      </c>
      <c r="G764">
        <v>6</v>
      </c>
      <c r="H764" s="48">
        <v>0</v>
      </c>
      <c r="I764" s="50">
        <v>0</v>
      </c>
      <c r="J764" s="50">
        <v>46227</v>
      </c>
      <c r="K764" s="54">
        <v>46232</v>
      </c>
      <c r="L764" s="54">
        <v>46227</v>
      </c>
      <c r="M764" s="54">
        <v>46232</v>
      </c>
      <c r="O764" s="51" t="str">
        <f t="shared" si="77"/>
        <v/>
      </c>
      <c r="P764" s="51" t="str">
        <f t="shared" si="78"/>
        <v/>
      </c>
      <c r="Q764" s="52" t="str">
        <f t="shared" si="79"/>
        <v/>
      </c>
      <c r="R764" s="52" t="str">
        <f t="shared" si="80"/>
        <v/>
      </c>
      <c r="S764" s="51" t="str">
        <f t="shared" si="81"/>
        <v/>
      </c>
      <c r="T764" t="str">
        <f t="shared" si="82"/>
        <v/>
      </c>
      <c r="U764" s="52" t="str">
        <f t="shared" si="83"/>
        <v/>
      </c>
    </row>
    <row r="765" spans="2:21" x14ac:dyDescent="0.25">
      <c r="B765">
        <v>783</v>
      </c>
      <c r="C765" t="s">
        <v>64</v>
      </c>
      <c r="D765" t="s">
        <v>548</v>
      </c>
      <c r="E765" t="s">
        <v>1518</v>
      </c>
      <c r="F765" t="s">
        <v>1519</v>
      </c>
      <c r="G765">
        <v>6</v>
      </c>
      <c r="H765" s="48">
        <v>0</v>
      </c>
      <c r="I765" s="50">
        <v>0</v>
      </c>
      <c r="J765" s="50">
        <v>46232</v>
      </c>
      <c r="K765" s="54">
        <v>46237</v>
      </c>
      <c r="L765" s="54">
        <v>46232</v>
      </c>
      <c r="M765" s="54">
        <v>46237</v>
      </c>
      <c r="O765" s="51" t="str">
        <f t="shared" si="77"/>
        <v/>
      </c>
      <c r="P765" s="51" t="str">
        <f t="shared" si="78"/>
        <v/>
      </c>
      <c r="Q765" s="52" t="str">
        <f t="shared" si="79"/>
        <v/>
      </c>
      <c r="R765" s="52" t="str">
        <f t="shared" si="80"/>
        <v/>
      </c>
      <c r="S765" s="51" t="str">
        <f t="shared" si="81"/>
        <v>SIM</v>
      </c>
      <c r="T765" t="str">
        <f t="shared" si="82"/>
        <v>BL1132-0001-AI-LEI-2000</v>
      </c>
      <c r="U765" s="52">
        <f t="shared" si="83"/>
        <v>46237</v>
      </c>
    </row>
    <row r="766" spans="2:21" x14ac:dyDescent="0.25">
      <c r="B766">
        <v>784</v>
      </c>
      <c r="C766" t="s">
        <v>64</v>
      </c>
      <c r="D766" t="s">
        <v>548</v>
      </c>
      <c r="E766" t="s">
        <v>1520</v>
      </c>
      <c r="F766" t="s">
        <v>1519</v>
      </c>
      <c r="G766">
        <v>4</v>
      </c>
      <c r="H766" s="48">
        <v>0</v>
      </c>
      <c r="I766" s="50">
        <v>0</v>
      </c>
      <c r="J766" s="50">
        <v>46237</v>
      </c>
      <c r="K766" s="54">
        <v>46240</v>
      </c>
      <c r="L766" s="54">
        <v>46237</v>
      </c>
      <c r="M766" s="54">
        <v>46240</v>
      </c>
      <c r="O766" s="51" t="str">
        <f t="shared" si="77"/>
        <v/>
      </c>
      <c r="P766" s="51" t="str">
        <f t="shared" si="78"/>
        <v/>
      </c>
      <c r="Q766" s="52" t="str">
        <f t="shared" si="79"/>
        <v/>
      </c>
      <c r="R766" s="52" t="str">
        <f t="shared" si="80"/>
        <v/>
      </c>
      <c r="S766" s="51" t="str">
        <f t="shared" si="81"/>
        <v/>
      </c>
      <c r="T766" t="str">
        <f t="shared" si="82"/>
        <v/>
      </c>
      <c r="U766" s="52" t="str">
        <f t="shared" si="83"/>
        <v/>
      </c>
    </row>
    <row r="767" spans="2:21" x14ac:dyDescent="0.25">
      <c r="B767">
        <v>785</v>
      </c>
      <c r="C767" t="s">
        <v>26</v>
      </c>
      <c r="D767" t="s">
        <v>405</v>
      </c>
      <c r="E767" t="s">
        <v>1725</v>
      </c>
      <c r="F767" t="s">
        <v>1509</v>
      </c>
      <c r="G767">
        <v>15</v>
      </c>
      <c r="H767" s="48">
        <v>0</v>
      </c>
      <c r="I767" s="50">
        <v>0</v>
      </c>
      <c r="J767" s="50">
        <v>46254</v>
      </c>
      <c r="K767" s="54">
        <v>46268</v>
      </c>
      <c r="L767" s="54">
        <v>46254</v>
      </c>
      <c r="M767" s="54">
        <v>46268</v>
      </c>
      <c r="O767" s="51" t="str">
        <f t="shared" si="77"/>
        <v/>
      </c>
      <c r="P767" s="51" t="str">
        <f t="shared" si="78"/>
        <v/>
      </c>
      <c r="Q767" s="52" t="str">
        <f t="shared" si="79"/>
        <v/>
      </c>
      <c r="R767" s="52" t="str">
        <f t="shared" si="80"/>
        <v/>
      </c>
      <c r="S767" s="51" t="str">
        <f t="shared" si="81"/>
        <v/>
      </c>
      <c r="T767" t="str">
        <f t="shared" si="82"/>
        <v/>
      </c>
      <c r="U767" s="52" t="str">
        <f t="shared" si="83"/>
        <v/>
      </c>
    </row>
    <row r="768" spans="2:21" x14ac:dyDescent="0.25">
      <c r="B768">
        <v>786</v>
      </c>
      <c r="C768" t="s">
        <v>26</v>
      </c>
      <c r="D768" t="s">
        <v>405</v>
      </c>
      <c r="E768" t="s">
        <v>1515</v>
      </c>
      <c r="F768" t="s">
        <v>1692</v>
      </c>
      <c r="G768">
        <v>2</v>
      </c>
      <c r="H768" s="48">
        <v>0</v>
      </c>
      <c r="I768" s="50">
        <v>0</v>
      </c>
      <c r="J768" s="50">
        <v>46254</v>
      </c>
      <c r="K768" s="54">
        <v>46255</v>
      </c>
      <c r="L768" s="54">
        <v>46254</v>
      </c>
      <c r="M768" s="54">
        <v>46255</v>
      </c>
      <c r="O768" s="51" t="str">
        <f t="shared" si="77"/>
        <v>SIM</v>
      </c>
      <c r="P768" s="51" t="str">
        <f t="shared" si="78"/>
        <v>BL1132-0001-AI-FDA-2000</v>
      </c>
      <c r="Q768" s="52">
        <f t="shared" si="79"/>
        <v>46255</v>
      </c>
      <c r="R768" s="52">
        <f t="shared" si="80"/>
        <v>46255</v>
      </c>
      <c r="S768" s="51" t="str">
        <f t="shared" si="81"/>
        <v/>
      </c>
      <c r="T768" t="str">
        <f t="shared" si="82"/>
        <v/>
      </c>
      <c r="U768" s="52" t="str">
        <f t="shared" si="83"/>
        <v/>
      </c>
    </row>
    <row r="769" spans="2:21" x14ac:dyDescent="0.25">
      <c r="B769">
        <v>787</v>
      </c>
      <c r="C769" t="s">
        <v>26</v>
      </c>
      <c r="D769" t="s">
        <v>405</v>
      </c>
      <c r="E769" t="s">
        <v>1517</v>
      </c>
      <c r="F769" t="s">
        <v>1519</v>
      </c>
      <c r="G769">
        <v>6</v>
      </c>
      <c r="H769" s="48">
        <v>0</v>
      </c>
      <c r="I769" s="50">
        <v>0</v>
      </c>
      <c r="J769" s="50">
        <v>46255</v>
      </c>
      <c r="K769" s="54">
        <v>46260</v>
      </c>
      <c r="L769" s="54">
        <v>46255</v>
      </c>
      <c r="M769" s="54">
        <v>46260</v>
      </c>
      <c r="O769" s="51" t="str">
        <f t="shared" si="77"/>
        <v/>
      </c>
      <c r="P769" s="51" t="str">
        <f t="shared" si="78"/>
        <v/>
      </c>
      <c r="Q769" s="52" t="str">
        <f t="shared" si="79"/>
        <v/>
      </c>
      <c r="R769" s="52" t="str">
        <f t="shared" si="80"/>
        <v/>
      </c>
      <c r="S769" s="51" t="str">
        <f t="shared" si="81"/>
        <v/>
      </c>
      <c r="T769" t="str">
        <f t="shared" si="82"/>
        <v/>
      </c>
      <c r="U769" s="52" t="str">
        <f t="shared" si="83"/>
        <v/>
      </c>
    </row>
    <row r="770" spans="2:21" x14ac:dyDescent="0.25">
      <c r="B770">
        <v>788</v>
      </c>
      <c r="C770" t="s">
        <v>26</v>
      </c>
      <c r="D770" t="s">
        <v>405</v>
      </c>
      <c r="E770" t="s">
        <v>1518</v>
      </c>
      <c r="F770" t="s">
        <v>1519</v>
      </c>
      <c r="G770">
        <v>6</v>
      </c>
      <c r="H770" s="48">
        <v>0</v>
      </c>
      <c r="I770" s="50">
        <v>0</v>
      </c>
      <c r="J770" s="50">
        <v>46260</v>
      </c>
      <c r="K770" s="54">
        <v>46265</v>
      </c>
      <c r="L770" s="54">
        <v>46260</v>
      </c>
      <c r="M770" s="54">
        <v>46265</v>
      </c>
      <c r="O770" s="51" t="str">
        <f t="shared" si="77"/>
        <v/>
      </c>
      <c r="P770" s="51" t="str">
        <f t="shared" si="78"/>
        <v/>
      </c>
      <c r="Q770" s="52" t="str">
        <f t="shared" si="79"/>
        <v/>
      </c>
      <c r="R770" s="52" t="str">
        <f t="shared" si="80"/>
        <v/>
      </c>
      <c r="S770" s="51" t="str">
        <f t="shared" si="81"/>
        <v>SIM</v>
      </c>
      <c r="T770" t="str">
        <f t="shared" si="82"/>
        <v>BL1132-0001-AI-FDA-2000</v>
      </c>
      <c r="U770" s="52">
        <f t="shared" si="83"/>
        <v>46265</v>
      </c>
    </row>
    <row r="771" spans="2:21" x14ac:dyDescent="0.25">
      <c r="B771">
        <v>789</v>
      </c>
      <c r="C771" t="s">
        <v>26</v>
      </c>
      <c r="D771" t="s">
        <v>405</v>
      </c>
      <c r="E771" t="s">
        <v>1520</v>
      </c>
      <c r="F771" t="s">
        <v>1519</v>
      </c>
      <c r="G771">
        <v>4</v>
      </c>
      <c r="H771" s="48">
        <v>0</v>
      </c>
      <c r="I771" s="50">
        <v>0</v>
      </c>
      <c r="J771" s="50">
        <v>46265</v>
      </c>
      <c r="K771" s="54">
        <v>46268</v>
      </c>
      <c r="L771" s="54">
        <v>46265</v>
      </c>
      <c r="M771" s="54">
        <v>46268</v>
      </c>
      <c r="O771" s="51" t="str">
        <f t="shared" ref="O771:O834" si="84">IF(OR(E771 = "                           1 - Emissão Inicial",E771="                  1 - Emissão após Design Review 1",E771 = "                  1 - Emissão para conhecimento",E771 = "                  1 - Emissão Final",E771 = "         Lista de Documentos",E771 = "         Elaboração do cronograma",E771 = "         Norma de Coordenação"), "SIM", "")</f>
        <v/>
      </c>
      <c r="P771" s="51" t="str">
        <f t="shared" ref="P771:P834" si="85">IF(O771="SIM",C771,"")</f>
        <v/>
      </c>
      <c r="Q771" s="52" t="str">
        <f t="shared" ref="Q771:Q834" si="86">IF(O771="SIM",M771,"")</f>
        <v/>
      </c>
      <c r="R771" s="52" t="str">
        <f t="shared" ref="R771:R834" si="87">IF(O771="SIM",K771,"")</f>
        <v/>
      </c>
      <c r="S771" s="51" t="str">
        <f t="shared" ref="S771:S834" si="88">IF(OR(E771 = "                           3 - Atendimento de Comentários",E771="                  1 - Emissão após Design Review 1",E771 = "                  1 - Emissão para conhecimento",E771 = "                  1 - Emissão Final",E771 = "         Lista de Documentos",E771 = "         Elaboração do cronograma",E771 = "         Norma de Coordenação"), "SIM", "")</f>
        <v/>
      </c>
      <c r="T771" t="str">
        <f t="shared" ref="T771:T834" si="89">IF(S771="SIM",C771,"")</f>
        <v/>
      </c>
      <c r="U771" s="52" t="str">
        <f t="shared" ref="U771:U834" si="90">IF(S771="SIM",M771,"")</f>
        <v/>
      </c>
    </row>
    <row r="772" spans="2:21" x14ac:dyDescent="0.25">
      <c r="B772">
        <v>790</v>
      </c>
      <c r="C772" t="s">
        <v>43</v>
      </c>
      <c r="D772" t="s">
        <v>491</v>
      </c>
      <c r="E772" t="s">
        <v>1726</v>
      </c>
      <c r="F772" t="s">
        <v>1509</v>
      </c>
      <c r="G772">
        <v>15</v>
      </c>
      <c r="H772" s="48">
        <v>0</v>
      </c>
      <c r="I772" s="50">
        <v>0</v>
      </c>
      <c r="J772" s="50">
        <v>46254</v>
      </c>
      <c r="K772" s="54">
        <v>46268</v>
      </c>
      <c r="L772" s="54">
        <v>46254</v>
      </c>
      <c r="M772" s="54">
        <v>46268</v>
      </c>
      <c r="O772" s="51" t="str">
        <f t="shared" si="84"/>
        <v/>
      </c>
      <c r="P772" s="51" t="str">
        <f t="shared" si="85"/>
        <v/>
      </c>
      <c r="Q772" s="52" t="str">
        <f t="shared" si="86"/>
        <v/>
      </c>
      <c r="R772" s="52" t="str">
        <f t="shared" si="87"/>
        <v/>
      </c>
      <c r="S772" s="51" t="str">
        <f t="shared" si="88"/>
        <v/>
      </c>
      <c r="T772" t="str">
        <f t="shared" si="89"/>
        <v/>
      </c>
      <c r="U772" s="52" t="str">
        <f t="shared" si="90"/>
        <v/>
      </c>
    </row>
    <row r="773" spans="2:21" x14ac:dyDescent="0.25">
      <c r="B773">
        <v>791</v>
      </c>
      <c r="C773" t="s">
        <v>43</v>
      </c>
      <c r="D773" t="s">
        <v>491</v>
      </c>
      <c r="E773" t="s">
        <v>1515</v>
      </c>
      <c r="F773" t="s">
        <v>1692</v>
      </c>
      <c r="G773">
        <v>2</v>
      </c>
      <c r="H773" s="48">
        <v>0</v>
      </c>
      <c r="I773" s="50">
        <v>0</v>
      </c>
      <c r="J773" s="50">
        <v>46254</v>
      </c>
      <c r="K773" s="54">
        <v>46255</v>
      </c>
      <c r="L773" s="54">
        <v>46254</v>
      </c>
      <c r="M773" s="54">
        <v>46255</v>
      </c>
      <c r="O773" s="51" t="str">
        <f t="shared" si="84"/>
        <v>SIM</v>
      </c>
      <c r="P773" s="51" t="str">
        <f t="shared" si="85"/>
        <v>BL1132-0001-AI-FDA-2017</v>
      </c>
      <c r="Q773" s="52">
        <f t="shared" si="86"/>
        <v>46255</v>
      </c>
      <c r="R773" s="52">
        <f t="shared" si="87"/>
        <v>46255</v>
      </c>
      <c r="S773" s="51" t="str">
        <f t="shared" si="88"/>
        <v/>
      </c>
      <c r="T773" t="str">
        <f t="shared" si="89"/>
        <v/>
      </c>
      <c r="U773" s="52" t="str">
        <f t="shared" si="90"/>
        <v/>
      </c>
    </row>
    <row r="774" spans="2:21" x14ac:dyDescent="0.25">
      <c r="B774">
        <v>792</v>
      </c>
      <c r="C774" t="s">
        <v>43</v>
      </c>
      <c r="D774" t="s">
        <v>491</v>
      </c>
      <c r="E774" t="s">
        <v>1517</v>
      </c>
      <c r="F774" t="s">
        <v>1519</v>
      </c>
      <c r="G774">
        <v>6</v>
      </c>
      <c r="H774" s="48">
        <v>0</v>
      </c>
      <c r="I774" s="50">
        <v>0</v>
      </c>
      <c r="J774" s="50">
        <v>46255</v>
      </c>
      <c r="K774" s="54">
        <v>46260</v>
      </c>
      <c r="L774" s="54">
        <v>46255</v>
      </c>
      <c r="M774" s="54">
        <v>46260</v>
      </c>
      <c r="O774" s="51" t="str">
        <f t="shared" si="84"/>
        <v/>
      </c>
      <c r="P774" s="51" t="str">
        <f t="shared" si="85"/>
        <v/>
      </c>
      <c r="Q774" s="52" t="str">
        <f t="shared" si="86"/>
        <v/>
      </c>
      <c r="R774" s="52" t="str">
        <f t="shared" si="87"/>
        <v/>
      </c>
      <c r="S774" s="51" t="str">
        <f t="shared" si="88"/>
        <v/>
      </c>
      <c r="T774" t="str">
        <f t="shared" si="89"/>
        <v/>
      </c>
      <c r="U774" s="52" t="str">
        <f t="shared" si="90"/>
        <v/>
      </c>
    </row>
    <row r="775" spans="2:21" x14ac:dyDescent="0.25">
      <c r="B775">
        <v>793</v>
      </c>
      <c r="C775" t="s">
        <v>43</v>
      </c>
      <c r="D775" t="s">
        <v>491</v>
      </c>
      <c r="E775" t="s">
        <v>1518</v>
      </c>
      <c r="F775" t="s">
        <v>1519</v>
      </c>
      <c r="G775">
        <v>6</v>
      </c>
      <c r="H775" s="48">
        <v>0</v>
      </c>
      <c r="I775" s="50">
        <v>0</v>
      </c>
      <c r="J775" s="50">
        <v>46260</v>
      </c>
      <c r="K775" s="54">
        <v>46265</v>
      </c>
      <c r="L775" s="54">
        <v>46260</v>
      </c>
      <c r="M775" s="54">
        <v>46265</v>
      </c>
      <c r="O775" s="51" t="str">
        <f t="shared" si="84"/>
        <v/>
      </c>
      <c r="P775" s="51" t="str">
        <f t="shared" si="85"/>
        <v/>
      </c>
      <c r="Q775" s="52" t="str">
        <f t="shared" si="86"/>
        <v/>
      </c>
      <c r="R775" s="52" t="str">
        <f t="shared" si="87"/>
        <v/>
      </c>
      <c r="S775" s="51" t="str">
        <f t="shared" si="88"/>
        <v>SIM</v>
      </c>
      <c r="T775" t="str">
        <f t="shared" si="89"/>
        <v>BL1132-0001-AI-FDA-2017</v>
      </c>
      <c r="U775" s="52">
        <f t="shared" si="90"/>
        <v>46265</v>
      </c>
    </row>
    <row r="776" spans="2:21" x14ac:dyDescent="0.25">
      <c r="B776">
        <v>794</v>
      </c>
      <c r="C776" t="s">
        <v>43</v>
      </c>
      <c r="D776" t="s">
        <v>491</v>
      </c>
      <c r="E776" t="s">
        <v>1520</v>
      </c>
      <c r="F776" t="s">
        <v>1519</v>
      </c>
      <c r="G776">
        <v>4</v>
      </c>
      <c r="H776" s="48">
        <v>0</v>
      </c>
      <c r="I776" s="50">
        <v>0</v>
      </c>
      <c r="J776" s="50">
        <v>46265</v>
      </c>
      <c r="K776" s="54">
        <v>46268</v>
      </c>
      <c r="L776" s="54">
        <v>46265</v>
      </c>
      <c r="M776" s="54">
        <v>46268</v>
      </c>
      <c r="O776" s="51" t="str">
        <f t="shared" si="84"/>
        <v/>
      </c>
      <c r="P776" s="51" t="str">
        <f t="shared" si="85"/>
        <v/>
      </c>
      <c r="Q776" s="52" t="str">
        <f t="shared" si="86"/>
        <v/>
      </c>
      <c r="R776" s="52" t="str">
        <f t="shared" si="87"/>
        <v/>
      </c>
      <c r="S776" s="51" t="str">
        <f t="shared" si="88"/>
        <v/>
      </c>
      <c r="T776" t="str">
        <f t="shared" si="89"/>
        <v/>
      </c>
      <c r="U776" s="52" t="str">
        <f t="shared" si="90"/>
        <v/>
      </c>
    </row>
    <row r="777" spans="2:21" x14ac:dyDescent="0.25">
      <c r="B777">
        <v>795</v>
      </c>
      <c r="C777" t="s">
        <v>33</v>
      </c>
      <c r="D777" t="s">
        <v>439</v>
      </c>
      <c r="E777" t="s">
        <v>1727</v>
      </c>
      <c r="F777" t="s">
        <v>1509</v>
      </c>
      <c r="G777">
        <v>15</v>
      </c>
      <c r="H777" s="48">
        <v>0</v>
      </c>
      <c r="I777" s="50">
        <v>0</v>
      </c>
      <c r="J777" s="50">
        <v>46255</v>
      </c>
      <c r="K777" s="54">
        <v>46269</v>
      </c>
      <c r="L777" s="54">
        <v>46255</v>
      </c>
      <c r="M777" s="54">
        <v>46269</v>
      </c>
      <c r="O777" s="51" t="str">
        <f t="shared" si="84"/>
        <v/>
      </c>
      <c r="P777" s="51" t="str">
        <f t="shared" si="85"/>
        <v/>
      </c>
      <c r="Q777" s="52" t="str">
        <f t="shared" si="86"/>
        <v/>
      </c>
      <c r="R777" s="52" t="str">
        <f t="shared" si="87"/>
        <v/>
      </c>
      <c r="S777" s="51" t="str">
        <f t="shared" si="88"/>
        <v/>
      </c>
      <c r="T777" t="str">
        <f t="shared" si="89"/>
        <v/>
      </c>
      <c r="U777" s="52" t="str">
        <f t="shared" si="90"/>
        <v/>
      </c>
    </row>
    <row r="778" spans="2:21" x14ac:dyDescent="0.25">
      <c r="B778">
        <v>796</v>
      </c>
      <c r="C778" t="s">
        <v>33</v>
      </c>
      <c r="D778" t="s">
        <v>439</v>
      </c>
      <c r="E778" t="s">
        <v>1515</v>
      </c>
      <c r="F778" t="s">
        <v>1692</v>
      </c>
      <c r="G778">
        <v>4</v>
      </c>
      <c r="H778" s="48">
        <v>0</v>
      </c>
      <c r="I778" s="50">
        <v>0</v>
      </c>
      <c r="J778" s="50">
        <v>46255</v>
      </c>
      <c r="K778" s="54">
        <v>46258</v>
      </c>
      <c r="L778" s="54">
        <v>46255</v>
      </c>
      <c r="M778" s="54">
        <v>46258</v>
      </c>
      <c r="O778" s="51" t="str">
        <f t="shared" si="84"/>
        <v>SIM</v>
      </c>
      <c r="P778" s="51" t="str">
        <f t="shared" si="85"/>
        <v>BL1132-0001-AI-FDA-2007</v>
      </c>
      <c r="Q778" s="52">
        <f t="shared" si="86"/>
        <v>46258</v>
      </c>
      <c r="R778" s="52">
        <f t="shared" si="87"/>
        <v>46258</v>
      </c>
      <c r="S778" s="51" t="str">
        <f t="shared" si="88"/>
        <v/>
      </c>
      <c r="T778" t="str">
        <f t="shared" si="89"/>
        <v/>
      </c>
      <c r="U778" s="52" t="str">
        <f t="shared" si="90"/>
        <v/>
      </c>
    </row>
    <row r="779" spans="2:21" x14ac:dyDescent="0.25">
      <c r="B779">
        <v>797</v>
      </c>
      <c r="C779" t="s">
        <v>33</v>
      </c>
      <c r="D779" t="s">
        <v>439</v>
      </c>
      <c r="E779" t="s">
        <v>1517</v>
      </c>
      <c r="F779" t="s">
        <v>1519</v>
      </c>
      <c r="G779">
        <v>4</v>
      </c>
      <c r="H779" s="48">
        <v>0</v>
      </c>
      <c r="I779" s="50">
        <v>0</v>
      </c>
      <c r="J779" s="50">
        <v>46258</v>
      </c>
      <c r="K779" s="54">
        <v>46261</v>
      </c>
      <c r="L779" s="54">
        <v>46258</v>
      </c>
      <c r="M779" s="54">
        <v>46261</v>
      </c>
      <c r="O779" s="51" t="str">
        <f t="shared" si="84"/>
        <v/>
      </c>
      <c r="P779" s="51" t="str">
        <f t="shared" si="85"/>
        <v/>
      </c>
      <c r="Q779" s="52" t="str">
        <f t="shared" si="86"/>
        <v/>
      </c>
      <c r="R779" s="52" t="str">
        <f t="shared" si="87"/>
        <v/>
      </c>
      <c r="S779" s="51" t="str">
        <f t="shared" si="88"/>
        <v/>
      </c>
      <c r="T779" t="str">
        <f t="shared" si="89"/>
        <v/>
      </c>
      <c r="U779" s="52" t="str">
        <f t="shared" si="90"/>
        <v/>
      </c>
    </row>
    <row r="780" spans="2:21" x14ac:dyDescent="0.25">
      <c r="B780">
        <v>798</v>
      </c>
      <c r="C780" t="s">
        <v>33</v>
      </c>
      <c r="D780" t="s">
        <v>439</v>
      </c>
      <c r="E780" t="s">
        <v>1518</v>
      </c>
      <c r="F780" t="s">
        <v>1519</v>
      </c>
      <c r="G780">
        <v>6</v>
      </c>
      <c r="H780" s="48">
        <v>0</v>
      </c>
      <c r="I780" s="50">
        <v>0</v>
      </c>
      <c r="J780" s="50">
        <v>46261</v>
      </c>
      <c r="K780" s="54">
        <v>46266</v>
      </c>
      <c r="L780" s="54">
        <v>46261</v>
      </c>
      <c r="M780" s="54">
        <v>46266</v>
      </c>
      <c r="O780" s="51" t="str">
        <f t="shared" si="84"/>
        <v/>
      </c>
      <c r="P780" s="51" t="str">
        <f t="shared" si="85"/>
        <v/>
      </c>
      <c r="Q780" s="52" t="str">
        <f t="shared" si="86"/>
        <v/>
      </c>
      <c r="R780" s="52" t="str">
        <f t="shared" si="87"/>
        <v/>
      </c>
      <c r="S780" s="51" t="str">
        <f t="shared" si="88"/>
        <v>SIM</v>
      </c>
      <c r="T780" t="str">
        <f t="shared" si="89"/>
        <v>BL1132-0001-AI-FDA-2007</v>
      </c>
      <c r="U780" s="52">
        <f t="shared" si="90"/>
        <v>46266</v>
      </c>
    </row>
    <row r="781" spans="2:21" x14ac:dyDescent="0.25">
      <c r="B781">
        <v>799</v>
      </c>
      <c r="C781" t="s">
        <v>33</v>
      </c>
      <c r="D781" t="s">
        <v>439</v>
      </c>
      <c r="E781" t="s">
        <v>1520</v>
      </c>
      <c r="F781" t="s">
        <v>1519</v>
      </c>
      <c r="G781">
        <v>4</v>
      </c>
      <c r="H781" s="48">
        <v>0</v>
      </c>
      <c r="I781" s="50">
        <v>0</v>
      </c>
      <c r="J781" s="50">
        <v>46266</v>
      </c>
      <c r="K781" s="54">
        <v>46269</v>
      </c>
      <c r="L781" s="54">
        <v>46266</v>
      </c>
      <c r="M781" s="54">
        <v>46269</v>
      </c>
      <c r="O781" s="51" t="str">
        <f t="shared" si="84"/>
        <v/>
      </c>
      <c r="P781" s="51" t="str">
        <f t="shared" si="85"/>
        <v/>
      </c>
      <c r="Q781" s="52" t="str">
        <f t="shared" si="86"/>
        <v/>
      </c>
      <c r="R781" s="52" t="str">
        <f t="shared" si="87"/>
        <v/>
      </c>
      <c r="S781" s="51" t="str">
        <f t="shared" si="88"/>
        <v/>
      </c>
      <c r="T781" t="str">
        <f t="shared" si="89"/>
        <v/>
      </c>
      <c r="U781" s="52" t="str">
        <f t="shared" si="90"/>
        <v/>
      </c>
    </row>
    <row r="782" spans="2:21" x14ac:dyDescent="0.25">
      <c r="B782">
        <v>800</v>
      </c>
      <c r="C782" t="s">
        <v>32</v>
      </c>
      <c r="D782" t="s">
        <v>435</v>
      </c>
      <c r="E782" t="s">
        <v>1728</v>
      </c>
      <c r="F782" t="s">
        <v>1509</v>
      </c>
      <c r="G782">
        <v>15</v>
      </c>
      <c r="H782" s="48">
        <v>0</v>
      </c>
      <c r="I782" s="50">
        <v>0</v>
      </c>
      <c r="J782" s="50">
        <v>46255</v>
      </c>
      <c r="K782" s="54">
        <v>46269</v>
      </c>
      <c r="L782" s="54">
        <v>46255</v>
      </c>
      <c r="M782" s="54">
        <v>46269</v>
      </c>
      <c r="O782" s="51" t="str">
        <f t="shared" si="84"/>
        <v/>
      </c>
      <c r="P782" s="51" t="str">
        <f t="shared" si="85"/>
        <v/>
      </c>
      <c r="Q782" s="52" t="str">
        <f t="shared" si="86"/>
        <v/>
      </c>
      <c r="R782" s="52" t="str">
        <f t="shared" si="87"/>
        <v/>
      </c>
      <c r="S782" s="51" t="str">
        <f t="shared" si="88"/>
        <v/>
      </c>
      <c r="T782" t="str">
        <f t="shared" si="89"/>
        <v/>
      </c>
      <c r="U782" s="52" t="str">
        <f t="shared" si="90"/>
        <v/>
      </c>
    </row>
    <row r="783" spans="2:21" x14ac:dyDescent="0.25">
      <c r="B783">
        <v>801</v>
      </c>
      <c r="C783" t="s">
        <v>32</v>
      </c>
      <c r="D783" t="s">
        <v>435</v>
      </c>
      <c r="E783" t="s">
        <v>1515</v>
      </c>
      <c r="F783" t="s">
        <v>1692</v>
      </c>
      <c r="G783">
        <v>4</v>
      </c>
      <c r="H783" s="48">
        <v>0</v>
      </c>
      <c r="I783" s="50">
        <v>0</v>
      </c>
      <c r="J783" s="50">
        <v>46255</v>
      </c>
      <c r="K783" s="54">
        <v>46258</v>
      </c>
      <c r="L783" s="54">
        <v>46255</v>
      </c>
      <c r="M783" s="54">
        <v>46258</v>
      </c>
      <c r="O783" s="51" t="str">
        <f t="shared" si="84"/>
        <v>SIM</v>
      </c>
      <c r="P783" s="51" t="str">
        <f t="shared" si="85"/>
        <v>BL1132-0001-AI-FDA-2006</v>
      </c>
      <c r="Q783" s="52">
        <f t="shared" si="86"/>
        <v>46258</v>
      </c>
      <c r="R783" s="52">
        <f t="shared" si="87"/>
        <v>46258</v>
      </c>
      <c r="S783" s="51" t="str">
        <f t="shared" si="88"/>
        <v/>
      </c>
      <c r="T783" t="str">
        <f t="shared" si="89"/>
        <v/>
      </c>
      <c r="U783" s="52" t="str">
        <f t="shared" si="90"/>
        <v/>
      </c>
    </row>
    <row r="784" spans="2:21" x14ac:dyDescent="0.25">
      <c r="B784">
        <v>802</v>
      </c>
      <c r="C784" t="s">
        <v>32</v>
      </c>
      <c r="D784" t="s">
        <v>435</v>
      </c>
      <c r="E784" t="s">
        <v>1517</v>
      </c>
      <c r="F784" t="s">
        <v>1519</v>
      </c>
      <c r="G784">
        <v>4</v>
      </c>
      <c r="H784" s="48">
        <v>0</v>
      </c>
      <c r="I784" s="50">
        <v>0</v>
      </c>
      <c r="J784" s="50">
        <v>46258</v>
      </c>
      <c r="K784" s="54">
        <v>46261</v>
      </c>
      <c r="L784" s="54">
        <v>46258</v>
      </c>
      <c r="M784" s="54">
        <v>46261</v>
      </c>
      <c r="O784" s="51" t="str">
        <f t="shared" si="84"/>
        <v/>
      </c>
      <c r="P784" s="51" t="str">
        <f t="shared" si="85"/>
        <v/>
      </c>
      <c r="Q784" s="52" t="str">
        <f t="shared" si="86"/>
        <v/>
      </c>
      <c r="R784" s="52" t="str">
        <f t="shared" si="87"/>
        <v/>
      </c>
      <c r="S784" s="51" t="str">
        <f t="shared" si="88"/>
        <v/>
      </c>
      <c r="T784" t="str">
        <f t="shared" si="89"/>
        <v/>
      </c>
      <c r="U784" s="52" t="str">
        <f t="shared" si="90"/>
        <v/>
      </c>
    </row>
    <row r="785" spans="2:21" x14ac:dyDescent="0.25">
      <c r="B785">
        <v>803</v>
      </c>
      <c r="C785" t="s">
        <v>32</v>
      </c>
      <c r="D785" t="s">
        <v>435</v>
      </c>
      <c r="E785" t="s">
        <v>1518</v>
      </c>
      <c r="F785" t="s">
        <v>1519</v>
      </c>
      <c r="G785">
        <v>6</v>
      </c>
      <c r="H785" s="48">
        <v>0</v>
      </c>
      <c r="I785" s="50">
        <v>0</v>
      </c>
      <c r="J785" s="50">
        <v>46261</v>
      </c>
      <c r="K785" s="54">
        <v>46266</v>
      </c>
      <c r="L785" s="54">
        <v>46261</v>
      </c>
      <c r="M785" s="54">
        <v>46266</v>
      </c>
      <c r="O785" s="51" t="str">
        <f t="shared" si="84"/>
        <v/>
      </c>
      <c r="P785" s="51" t="str">
        <f t="shared" si="85"/>
        <v/>
      </c>
      <c r="Q785" s="52" t="str">
        <f t="shared" si="86"/>
        <v/>
      </c>
      <c r="R785" s="52" t="str">
        <f t="shared" si="87"/>
        <v/>
      </c>
      <c r="S785" s="51" t="str">
        <f t="shared" si="88"/>
        <v>SIM</v>
      </c>
      <c r="T785" t="str">
        <f t="shared" si="89"/>
        <v>BL1132-0001-AI-FDA-2006</v>
      </c>
      <c r="U785" s="52">
        <f t="shared" si="90"/>
        <v>46266</v>
      </c>
    </row>
    <row r="786" spans="2:21" x14ac:dyDescent="0.25">
      <c r="B786">
        <v>804</v>
      </c>
      <c r="C786" t="s">
        <v>32</v>
      </c>
      <c r="D786" t="s">
        <v>435</v>
      </c>
      <c r="E786" t="s">
        <v>1520</v>
      </c>
      <c r="F786" t="s">
        <v>1519</v>
      </c>
      <c r="G786">
        <v>4</v>
      </c>
      <c r="H786" s="48">
        <v>0</v>
      </c>
      <c r="I786" s="50">
        <v>0</v>
      </c>
      <c r="J786" s="50">
        <v>46266</v>
      </c>
      <c r="K786" s="54">
        <v>46269</v>
      </c>
      <c r="L786" s="54">
        <v>46266</v>
      </c>
      <c r="M786" s="54">
        <v>46269</v>
      </c>
      <c r="O786" s="51" t="str">
        <f t="shared" si="84"/>
        <v/>
      </c>
      <c r="P786" s="51" t="str">
        <f t="shared" si="85"/>
        <v/>
      </c>
      <c r="Q786" s="52" t="str">
        <f t="shared" si="86"/>
        <v/>
      </c>
      <c r="R786" s="52" t="str">
        <f t="shared" si="87"/>
        <v/>
      </c>
      <c r="S786" s="51" t="str">
        <f t="shared" si="88"/>
        <v/>
      </c>
      <c r="T786" t="str">
        <f t="shared" si="89"/>
        <v/>
      </c>
      <c r="U786" s="52" t="str">
        <f t="shared" si="90"/>
        <v/>
      </c>
    </row>
    <row r="787" spans="2:21" x14ac:dyDescent="0.25">
      <c r="B787">
        <v>805</v>
      </c>
      <c r="C787" t="s">
        <v>42</v>
      </c>
      <c r="D787" t="s">
        <v>487</v>
      </c>
      <c r="E787" t="s">
        <v>1729</v>
      </c>
      <c r="F787" t="s">
        <v>1509</v>
      </c>
      <c r="G787">
        <v>16</v>
      </c>
      <c r="H787" s="48">
        <v>0</v>
      </c>
      <c r="I787" s="50">
        <v>0</v>
      </c>
      <c r="J787" s="50">
        <v>46258</v>
      </c>
      <c r="K787" s="54">
        <v>46273</v>
      </c>
      <c r="L787" s="54">
        <v>46258</v>
      </c>
      <c r="M787" s="54">
        <v>46273</v>
      </c>
      <c r="O787" s="51" t="str">
        <f t="shared" si="84"/>
        <v/>
      </c>
      <c r="P787" s="51" t="str">
        <f t="shared" si="85"/>
        <v/>
      </c>
      <c r="Q787" s="52" t="str">
        <f t="shared" si="86"/>
        <v/>
      </c>
      <c r="R787" s="52" t="str">
        <f t="shared" si="87"/>
        <v/>
      </c>
      <c r="S787" s="51" t="str">
        <f t="shared" si="88"/>
        <v/>
      </c>
      <c r="T787" t="str">
        <f t="shared" si="89"/>
        <v/>
      </c>
      <c r="U787" s="52" t="str">
        <f t="shared" si="90"/>
        <v/>
      </c>
    </row>
    <row r="788" spans="2:21" x14ac:dyDescent="0.25">
      <c r="B788">
        <v>806</v>
      </c>
      <c r="C788" t="s">
        <v>42</v>
      </c>
      <c r="D788" t="s">
        <v>487</v>
      </c>
      <c r="E788" t="s">
        <v>1515</v>
      </c>
      <c r="F788" t="s">
        <v>1692</v>
      </c>
      <c r="G788">
        <v>2</v>
      </c>
      <c r="H788" s="48">
        <v>0</v>
      </c>
      <c r="I788" s="50">
        <v>0</v>
      </c>
      <c r="J788" s="50">
        <v>46258</v>
      </c>
      <c r="K788" s="54">
        <v>46259</v>
      </c>
      <c r="L788" s="54">
        <v>46258</v>
      </c>
      <c r="M788" s="54">
        <v>46259</v>
      </c>
      <c r="O788" s="51" t="str">
        <f t="shared" si="84"/>
        <v>SIM</v>
      </c>
      <c r="P788" s="51" t="str">
        <f t="shared" si="85"/>
        <v>BL1132-0001-AI-FDA-2016</v>
      </c>
      <c r="Q788" s="52">
        <f t="shared" si="86"/>
        <v>46259</v>
      </c>
      <c r="R788" s="52">
        <f t="shared" si="87"/>
        <v>46259</v>
      </c>
      <c r="S788" s="51" t="str">
        <f t="shared" si="88"/>
        <v/>
      </c>
      <c r="T788" t="str">
        <f t="shared" si="89"/>
        <v/>
      </c>
      <c r="U788" s="52" t="str">
        <f t="shared" si="90"/>
        <v/>
      </c>
    </row>
    <row r="789" spans="2:21" x14ac:dyDescent="0.25">
      <c r="B789">
        <v>807</v>
      </c>
      <c r="C789" t="s">
        <v>42</v>
      </c>
      <c r="D789" t="s">
        <v>487</v>
      </c>
      <c r="E789" t="s">
        <v>1517</v>
      </c>
      <c r="F789" t="s">
        <v>1519</v>
      </c>
      <c r="G789">
        <v>4</v>
      </c>
      <c r="H789" s="48">
        <v>0</v>
      </c>
      <c r="I789" s="50">
        <v>0</v>
      </c>
      <c r="J789" s="50">
        <v>46259</v>
      </c>
      <c r="K789" s="54">
        <v>46262</v>
      </c>
      <c r="L789" s="54">
        <v>46259</v>
      </c>
      <c r="M789" s="54">
        <v>46262</v>
      </c>
      <c r="O789" s="51" t="str">
        <f t="shared" si="84"/>
        <v/>
      </c>
      <c r="P789" s="51" t="str">
        <f t="shared" si="85"/>
        <v/>
      </c>
      <c r="Q789" s="52" t="str">
        <f t="shared" si="86"/>
        <v/>
      </c>
      <c r="R789" s="52" t="str">
        <f t="shared" si="87"/>
        <v/>
      </c>
      <c r="S789" s="51" t="str">
        <f t="shared" si="88"/>
        <v/>
      </c>
      <c r="T789" t="str">
        <f t="shared" si="89"/>
        <v/>
      </c>
      <c r="U789" s="52" t="str">
        <f t="shared" si="90"/>
        <v/>
      </c>
    </row>
    <row r="790" spans="2:21" x14ac:dyDescent="0.25">
      <c r="B790">
        <v>808</v>
      </c>
      <c r="C790" t="s">
        <v>42</v>
      </c>
      <c r="D790" t="s">
        <v>487</v>
      </c>
      <c r="E790" t="s">
        <v>1518</v>
      </c>
      <c r="F790" t="s">
        <v>1519</v>
      </c>
      <c r="G790">
        <v>6</v>
      </c>
      <c r="H790" s="48">
        <v>0</v>
      </c>
      <c r="I790" s="50">
        <v>0</v>
      </c>
      <c r="J790" s="50">
        <v>46262</v>
      </c>
      <c r="K790" s="54">
        <v>46267</v>
      </c>
      <c r="L790" s="54">
        <v>46262</v>
      </c>
      <c r="M790" s="54">
        <v>46267</v>
      </c>
      <c r="O790" s="51" t="str">
        <f t="shared" si="84"/>
        <v/>
      </c>
      <c r="P790" s="51" t="str">
        <f t="shared" si="85"/>
        <v/>
      </c>
      <c r="Q790" s="52" t="str">
        <f t="shared" si="86"/>
        <v/>
      </c>
      <c r="R790" s="52" t="str">
        <f t="shared" si="87"/>
        <v/>
      </c>
      <c r="S790" s="51" t="str">
        <f t="shared" si="88"/>
        <v>SIM</v>
      </c>
      <c r="T790" t="str">
        <f t="shared" si="89"/>
        <v>BL1132-0001-AI-FDA-2016</v>
      </c>
      <c r="U790" s="52">
        <f t="shared" si="90"/>
        <v>46267</v>
      </c>
    </row>
    <row r="791" spans="2:21" x14ac:dyDescent="0.25">
      <c r="B791">
        <v>809</v>
      </c>
      <c r="C791" t="s">
        <v>42</v>
      </c>
      <c r="D791" t="s">
        <v>487</v>
      </c>
      <c r="E791" t="s">
        <v>1520</v>
      </c>
      <c r="F791" t="s">
        <v>1519</v>
      </c>
      <c r="G791">
        <v>7</v>
      </c>
      <c r="H791" s="48">
        <v>0</v>
      </c>
      <c r="I791" s="50">
        <v>0</v>
      </c>
      <c r="J791" s="50">
        <v>46267</v>
      </c>
      <c r="K791" s="54">
        <v>46273</v>
      </c>
      <c r="L791" s="54">
        <v>46267</v>
      </c>
      <c r="M791" s="54">
        <v>46273</v>
      </c>
      <c r="O791" s="51" t="str">
        <f t="shared" si="84"/>
        <v/>
      </c>
      <c r="P791" s="51" t="str">
        <f t="shared" si="85"/>
        <v/>
      </c>
      <c r="Q791" s="52" t="str">
        <f t="shared" si="86"/>
        <v/>
      </c>
      <c r="R791" s="52" t="str">
        <f t="shared" si="87"/>
        <v/>
      </c>
      <c r="S791" s="51" t="str">
        <f t="shared" si="88"/>
        <v/>
      </c>
      <c r="T791" t="str">
        <f t="shared" si="89"/>
        <v/>
      </c>
      <c r="U791" s="52" t="str">
        <f t="shared" si="90"/>
        <v/>
      </c>
    </row>
    <row r="792" spans="2:21" x14ac:dyDescent="0.25">
      <c r="B792">
        <v>810</v>
      </c>
      <c r="C792" t="s">
        <v>44</v>
      </c>
      <c r="D792" t="s">
        <v>495</v>
      </c>
      <c r="E792" t="s">
        <v>1730</v>
      </c>
      <c r="F792" t="s">
        <v>1509</v>
      </c>
      <c r="G792">
        <v>16</v>
      </c>
      <c r="H792" s="48">
        <v>0</v>
      </c>
      <c r="I792" s="50">
        <v>0</v>
      </c>
      <c r="J792" s="50">
        <v>46258</v>
      </c>
      <c r="K792" s="54">
        <v>46273</v>
      </c>
      <c r="L792" s="54">
        <v>46258</v>
      </c>
      <c r="M792" s="54">
        <v>46273</v>
      </c>
      <c r="O792" s="51" t="str">
        <f t="shared" si="84"/>
        <v/>
      </c>
      <c r="P792" s="51" t="str">
        <f t="shared" si="85"/>
        <v/>
      </c>
      <c r="Q792" s="52" t="str">
        <f t="shared" si="86"/>
        <v/>
      </c>
      <c r="R792" s="52" t="str">
        <f t="shared" si="87"/>
        <v/>
      </c>
      <c r="S792" s="51" t="str">
        <f t="shared" si="88"/>
        <v/>
      </c>
      <c r="T792" t="str">
        <f t="shared" si="89"/>
        <v/>
      </c>
      <c r="U792" s="52" t="str">
        <f t="shared" si="90"/>
        <v/>
      </c>
    </row>
    <row r="793" spans="2:21" x14ac:dyDescent="0.25">
      <c r="B793">
        <v>811</v>
      </c>
      <c r="C793" t="s">
        <v>44</v>
      </c>
      <c r="D793" t="s">
        <v>495</v>
      </c>
      <c r="E793" t="s">
        <v>1515</v>
      </c>
      <c r="F793" t="s">
        <v>1692</v>
      </c>
      <c r="G793">
        <v>2</v>
      </c>
      <c r="H793" s="48">
        <v>0</v>
      </c>
      <c r="I793" s="50">
        <v>0</v>
      </c>
      <c r="J793" s="50">
        <v>46258</v>
      </c>
      <c r="K793" s="54">
        <v>46259</v>
      </c>
      <c r="L793" s="54">
        <v>46258</v>
      </c>
      <c r="M793" s="54">
        <v>46259</v>
      </c>
      <c r="O793" s="51" t="str">
        <f t="shared" si="84"/>
        <v>SIM</v>
      </c>
      <c r="P793" s="51" t="str">
        <f t="shared" si="85"/>
        <v>BL1132-0001-AI-FDA-2018</v>
      </c>
      <c r="Q793" s="52">
        <f t="shared" si="86"/>
        <v>46259</v>
      </c>
      <c r="R793" s="52">
        <f t="shared" si="87"/>
        <v>46259</v>
      </c>
      <c r="S793" s="51" t="str">
        <f t="shared" si="88"/>
        <v/>
      </c>
      <c r="T793" t="str">
        <f t="shared" si="89"/>
        <v/>
      </c>
      <c r="U793" s="52" t="str">
        <f t="shared" si="90"/>
        <v/>
      </c>
    </row>
    <row r="794" spans="2:21" x14ac:dyDescent="0.25">
      <c r="B794">
        <v>812</v>
      </c>
      <c r="C794" t="s">
        <v>44</v>
      </c>
      <c r="D794" t="s">
        <v>495</v>
      </c>
      <c r="E794" t="s">
        <v>1517</v>
      </c>
      <c r="F794" t="s">
        <v>1519</v>
      </c>
      <c r="G794">
        <v>4</v>
      </c>
      <c r="H794" s="48">
        <v>0</v>
      </c>
      <c r="I794" s="50">
        <v>0</v>
      </c>
      <c r="J794" s="50">
        <v>46259</v>
      </c>
      <c r="K794" s="54">
        <v>46262</v>
      </c>
      <c r="L794" s="54">
        <v>46259</v>
      </c>
      <c r="M794" s="54">
        <v>46262</v>
      </c>
      <c r="O794" s="51" t="str">
        <f t="shared" si="84"/>
        <v/>
      </c>
      <c r="P794" s="51" t="str">
        <f t="shared" si="85"/>
        <v/>
      </c>
      <c r="Q794" s="52" t="str">
        <f t="shared" si="86"/>
        <v/>
      </c>
      <c r="R794" s="52" t="str">
        <f t="shared" si="87"/>
        <v/>
      </c>
      <c r="S794" s="51" t="str">
        <f t="shared" si="88"/>
        <v/>
      </c>
      <c r="T794" t="str">
        <f t="shared" si="89"/>
        <v/>
      </c>
      <c r="U794" s="52" t="str">
        <f t="shared" si="90"/>
        <v/>
      </c>
    </row>
    <row r="795" spans="2:21" x14ac:dyDescent="0.25">
      <c r="B795">
        <v>813</v>
      </c>
      <c r="C795" t="s">
        <v>44</v>
      </c>
      <c r="D795" t="s">
        <v>495</v>
      </c>
      <c r="E795" t="s">
        <v>1518</v>
      </c>
      <c r="F795" t="s">
        <v>1519</v>
      </c>
      <c r="G795">
        <v>6</v>
      </c>
      <c r="H795" s="48">
        <v>0</v>
      </c>
      <c r="I795" s="50">
        <v>0</v>
      </c>
      <c r="J795" s="50">
        <v>46262</v>
      </c>
      <c r="K795" s="54">
        <v>46267</v>
      </c>
      <c r="L795" s="54">
        <v>46262</v>
      </c>
      <c r="M795" s="54">
        <v>46267</v>
      </c>
      <c r="O795" s="51" t="str">
        <f t="shared" si="84"/>
        <v/>
      </c>
      <c r="P795" s="51" t="str">
        <f t="shared" si="85"/>
        <v/>
      </c>
      <c r="Q795" s="52" t="str">
        <f t="shared" si="86"/>
        <v/>
      </c>
      <c r="R795" s="52" t="str">
        <f t="shared" si="87"/>
        <v/>
      </c>
      <c r="S795" s="51" t="str">
        <f t="shared" si="88"/>
        <v>SIM</v>
      </c>
      <c r="T795" t="str">
        <f t="shared" si="89"/>
        <v>BL1132-0001-AI-FDA-2018</v>
      </c>
      <c r="U795" s="52">
        <f t="shared" si="90"/>
        <v>46267</v>
      </c>
    </row>
    <row r="796" spans="2:21" x14ac:dyDescent="0.25">
      <c r="B796">
        <v>814</v>
      </c>
      <c r="C796" t="s">
        <v>44</v>
      </c>
      <c r="D796" t="s">
        <v>495</v>
      </c>
      <c r="E796" t="s">
        <v>1520</v>
      </c>
      <c r="F796" t="s">
        <v>1519</v>
      </c>
      <c r="G796">
        <v>7</v>
      </c>
      <c r="H796" s="48">
        <v>0</v>
      </c>
      <c r="I796" s="50">
        <v>0</v>
      </c>
      <c r="J796" s="50">
        <v>46267</v>
      </c>
      <c r="K796" s="54">
        <v>46273</v>
      </c>
      <c r="L796" s="54">
        <v>46267</v>
      </c>
      <c r="M796" s="54">
        <v>46273</v>
      </c>
      <c r="O796" s="51" t="str">
        <f t="shared" si="84"/>
        <v/>
      </c>
      <c r="P796" s="51" t="str">
        <f t="shared" si="85"/>
        <v/>
      </c>
      <c r="Q796" s="52" t="str">
        <f t="shared" si="86"/>
        <v/>
      </c>
      <c r="R796" s="52" t="str">
        <f t="shared" si="87"/>
        <v/>
      </c>
      <c r="S796" s="51" t="str">
        <f t="shared" si="88"/>
        <v/>
      </c>
      <c r="T796" t="str">
        <f t="shared" si="89"/>
        <v/>
      </c>
      <c r="U796" s="52" t="str">
        <f t="shared" si="90"/>
        <v/>
      </c>
    </row>
    <row r="797" spans="2:21" x14ac:dyDescent="0.25">
      <c r="B797">
        <v>815</v>
      </c>
      <c r="C797" t="s">
        <v>45</v>
      </c>
      <c r="D797" t="s">
        <v>499</v>
      </c>
      <c r="E797" t="s">
        <v>1731</v>
      </c>
      <c r="F797" t="s">
        <v>1509</v>
      </c>
      <c r="G797">
        <v>16</v>
      </c>
      <c r="H797" s="48">
        <v>0</v>
      </c>
      <c r="I797" s="50">
        <v>0</v>
      </c>
      <c r="J797" s="50">
        <v>46258</v>
      </c>
      <c r="K797" s="54">
        <v>46273</v>
      </c>
      <c r="L797" s="54">
        <v>46258</v>
      </c>
      <c r="M797" s="54">
        <v>46273</v>
      </c>
      <c r="O797" s="51" t="str">
        <f t="shared" si="84"/>
        <v/>
      </c>
      <c r="P797" s="51" t="str">
        <f t="shared" si="85"/>
        <v/>
      </c>
      <c r="Q797" s="52" t="str">
        <f t="shared" si="86"/>
        <v/>
      </c>
      <c r="R797" s="52" t="str">
        <f t="shared" si="87"/>
        <v/>
      </c>
      <c r="S797" s="51" t="str">
        <f t="shared" si="88"/>
        <v/>
      </c>
      <c r="T797" t="str">
        <f t="shared" si="89"/>
        <v/>
      </c>
      <c r="U797" s="52" t="str">
        <f t="shared" si="90"/>
        <v/>
      </c>
    </row>
    <row r="798" spans="2:21" x14ac:dyDescent="0.25">
      <c r="B798">
        <v>816</v>
      </c>
      <c r="C798" t="s">
        <v>45</v>
      </c>
      <c r="D798" t="s">
        <v>499</v>
      </c>
      <c r="E798" t="s">
        <v>1515</v>
      </c>
      <c r="F798" t="s">
        <v>1692</v>
      </c>
      <c r="G798">
        <v>2</v>
      </c>
      <c r="H798" s="48">
        <v>0</v>
      </c>
      <c r="I798" s="50">
        <v>0</v>
      </c>
      <c r="J798" s="50">
        <v>46258</v>
      </c>
      <c r="K798" s="54">
        <v>46259</v>
      </c>
      <c r="L798" s="54">
        <v>46258</v>
      </c>
      <c r="M798" s="54">
        <v>46259</v>
      </c>
      <c r="O798" s="51" t="str">
        <f t="shared" si="84"/>
        <v>SIM</v>
      </c>
      <c r="P798" s="51" t="str">
        <f t="shared" si="85"/>
        <v>BL1132-0001-AI-FDA-2019</v>
      </c>
      <c r="Q798" s="52">
        <f t="shared" si="86"/>
        <v>46259</v>
      </c>
      <c r="R798" s="52">
        <f t="shared" si="87"/>
        <v>46259</v>
      </c>
      <c r="S798" s="51" t="str">
        <f t="shared" si="88"/>
        <v/>
      </c>
      <c r="T798" t="str">
        <f t="shared" si="89"/>
        <v/>
      </c>
      <c r="U798" s="52" t="str">
        <f t="shared" si="90"/>
        <v/>
      </c>
    </row>
    <row r="799" spans="2:21" x14ac:dyDescent="0.25">
      <c r="B799">
        <v>817</v>
      </c>
      <c r="C799" t="s">
        <v>45</v>
      </c>
      <c r="D799" t="s">
        <v>499</v>
      </c>
      <c r="E799" t="s">
        <v>1517</v>
      </c>
      <c r="F799" t="s">
        <v>1519</v>
      </c>
      <c r="G799">
        <v>4</v>
      </c>
      <c r="H799" s="48">
        <v>0</v>
      </c>
      <c r="I799" s="50">
        <v>0</v>
      </c>
      <c r="J799" s="50">
        <v>46259</v>
      </c>
      <c r="K799" s="54">
        <v>46262</v>
      </c>
      <c r="L799" s="54">
        <v>46259</v>
      </c>
      <c r="M799" s="54">
        <v>46262</v>
      </c>
      <c r="O799" s="51" t="str">
        <f t="shared" si="84"/>
        <v/>
      </c>
      <c r="P799" s="51" t="str">
        <f t="shared" si="85"/>
        <v/>
      </c>
      <c r="Q799" s="52" t="str">
        <f t="shared" si="86"/>
        <v/>
      </c>
      <c r="R799" s="52" t="str">
        <f t="shared" si="87"/>
        <v/>
      </c>
      <c r="S799" s="51" t="str">
        <f t="shared" si="88"/>
        <v/>
      </c>
      <c r="T799" t="str">
        <f t="shared" si="89"/>
        <v/>
      </c>
      <c r="U799" s="52" t="str">
        <f t="shared" si="90"/>
        <v/>
      </c>
    </row>
    <row r="800" spans="2:21" x14ac:dyDescent="0.25">
      <c r="B800">
        <v>818</v>
      </c>
      <c r="C800" t="s">
        <v>45</v>
      </c>
      <c r="D800" t="s">
        <v>499</v>
      </c>
      <c r="E800" t="s">
        <v>1518</v>
      </c>
      <c r="F800" t="s">
        <v>1519</v>
      </c>
      <c r="G800">
        <v>6</v>
      </c>
      <c r="H800" s="48">
        <v>0</v>
      </c>
      <c r="I800" s="50">
        <v>0</v>
      </c>
      <c r="J800" s="50">
        <v>46262</v>
      </c>
      <c r="K800" s="54">
        <v>46267</v>
      </c>
      <c r="L800" s="54">
        <v>46262</v>
      </c>
      <c r="M800" s="54">
        <v>46267</v>
      </c>
      <c r="O800" s="51" t="str">
        <f t="shared" si="84"/>
        <v/>
      </c>
      <c r="P800" s="51" t="str">
        <f t="shared" si="85"/>
        <v/>
      </c>
      <c r="Q800" s="52" t="str">
        <f t="shared" si="86"/>
        <v/>
      </c>
      <c r="R800" s="52" t="str">
        <f t="shared" si="87"/>
        <v/>
      </c>
      <c r="S800" s="51" t="str">
        <f t="shared" si="88"/>
        <v>SIM</v>
      </c>
      <c r="T800" t="str">
        <f t="shared" si="89"/>
        <v>BL1132-0001-AI-FDA-2019</v>
      </c>
      <c r="U800" s="52">
        <f t="shared" si="90"/>
        <v>46267</v>
      </c>
    </row>
    <row r="801" spans="2:21" x14ac:dyDescent="0.25">
      <c r="B801">
        <v>819</v>
      </c>
      <c r="C801" t="s">
        <v>45</v>
      </c>
      <c r="D801" t="s">
        <v>499</v>
      </c>
      <c r="E801" t="s">
        <v>1520</v>
      </c>
      <c r="F801" t="s">
        <v>1519</v>
      </c>
      <c r="G801">
        <v>7</v>
      </c>
      <c r="H801" s="48">
        <v>0</v>
      </c>
      <c r="I801" s="50">
        <v>0</v>
      </c>
      <c r="J801" s="50">
        <v>46267</v>
      </c>
      <c r="K801" s="54">
        <v>46273</v>
      </c>
      <c r="L801" s="54">
        <v>46267</v>
      </c>
      <c r="M801" s="54">
        <v>46273</v>
      </c>
      <c r="O801" s="51" t="str">
        <f t="shared" si="84"/>
        <v/>
      </c>
      <c r="P801" s="51" t="str">
        <f t="shared" si="85"/>
        <v/>
      </c>
      <c r="Q801" s="52" t="str">
        <f t="shared" si="86"/>
        <v/>
      </c>
      <c r="R801" s="52" t="str">
        <f t="shared" si="87"/>
        <v/>
      </c>
      <c r="S801" s="51" t="str">
        <f t="shared" si="88"/>
        <v/>
      </c>
      <c r="T801" t="str">
        <f t="shared" si="89"/>
        <v/>
      </c>
      <c r="U801" s="52" t="str">
        <f t="shared" si="90"/>
        <v/>
      </c>
    </row>
    <row r="802" spans="2:21" x14ac:dyDescent="0.25">
      <c r="B802">
        <v>820</v>
      </c>
      <c r="C802" t="s">
        <v>48</v>
      </c>
      <c r="D802" t="s">
        <v>511</v>
      </c>
      <c r="E802" t="s">
        <v>1732</v>
      </c>
      <c r="F802" t="s">
        <v>1559</v>
      </c>
      <c r="G802">
        <v>20</v>
      </c>
      <c r="H802" s="48">
        <v>0</v>
      </c>
      <c r="I802" s="50">
        <v>0</v>
      </c>
      <c r="J802" s="50">
        <v>46254</v>
      </c>
      <c r="K802" s="54">
        <v>46273</v>
      </c>
      <c r="L802" s="54">
        <v>46254</v>
      </c>
      <c r="M802" s="54">
        <v>46273</v>
      </c>
      <c r="O802" s="51" t="str">
        <f t="shared" si="84"/>
        <v/>
      </c>
      <c r="P802" s="51" t="str">
        <f t="shared" si="85"/>
        <v/>
      </c>
      <c r="Q802" s="52" t="str">
        <f t="shared" si="86"/>
        <v/>
      </c>
      <c r="R802" s="52" t="str">
        <f t="shared" si="87"/>
        <v/>
      </c>
      <c r="S802" s="51" t="str">
        <f t="shared" si="88"/>
        <v/>
      </c>
      <c r="T802" t="str">
        <f t="shared" si="89"/>
        <v/>
      </c>
      <c r="U802" s="52" t="str">
        <f t="shared" si="90"/>
        <v/>
      </c>
    </row>
    <row r="803" spans="2:21" x14ac:dyDescent="0.25">
      <c r="B803">
        <v>821</v>
      </c>
      <c r="C803" t="s">
        <v>48</v>
      </c>
      <c r="D803" t="s">
        <v>511</v>
      </c>
      <c r="E803" t="s">
        <v>1515</v>
      </c>
      <c r="F803" t="s">
        <v>1519</v>
      </c>
      <c r="G803">
        <v>6</v>
      </c>
      <c r="H803" s="48">
        <v>0</v>
      </c>
      <c r="I803" s="50">
        <v>0</v>
      </c>
      <c r="J803" s="50">
        <v>46254</v>
      </c>
      <c r="K803" s="54">
        <v>46259</v>
      </c>
      <c r="L803" s="54">
        <v>46254</v>
      </c>
      <c r="M803" s="54">
        <v>46259</v>
      </c>
      <c r="O803" s="51" t="str">
        <f t="shared" si="84"/>
        <v>SIM</v>
      </c>
      <c r="P803" s="51" t="str">
        <f t="shared" si="85"/>
        <v>BL1132-0001-AI-FDA-2022</v>
      </c>
      <c r="Q803" s="52">
        <f t="shared" si="86"/>
        <v>46259</v>
      </c>
      <c r="R803" s="52">
        <f t="shared" si="87"/>
        <v>46259</v>
      </c>
      <c r="S803" s="51" t="str">
        <f t="shared" si="88"/>
        <v/>
      </c>
      <c r="T803" t="str">
        <f t="shared" si="89"/>
        <v/>
      </c>
      <c r="U803" s="52" t="str">
        <f t="shared" si="90"/>
        <v/>
      </c>
    </row>
    <row r="804" spans="2:21" x14ac:dyDescent="0.25">
      <c r="B804">
        <v>822</v>
      </c>
      <c r="C804" t="s">
        <v>48</v>
      </c>
      <c r="D804" t="s">
        <v>511</v>
      </c>
      <c r="E804" t="s">
        <v>1517</v>
      </c>
      <c r="F804" t="s">
        <v>1519</v>
      </c>
      <c r="G804">
        <v>4</v>
      </c>
      <c r="H804" s="48">
        <v>0</v>
      </c>
      <c r="I804" s="50">
        <v>0</v>
      </c>
      <c r="J804" s="50">
        <v>46259</v>
      </c>
      <c r="K804" s="54">
        <v>46262</v>
      </c>
      <c r="L804" s="54">
        <v>46259</v>
      </c>
      <c r="M804" s="54">
        <v>46262</v>
      </c>
      <c r="O804" s="51" t="str">
        <f t="shared" si="84"/>
        <v/>
      </c>
      <c r="P804" s="51" t="str">
        <f t="shared" si="85"/>
        <v/>
      </c>
      <c r="Q804" s="52" t="str">
        <f t="shared" si="86"/>
        <v/>
      </c>
      <c r="R804" s="52" t="str">
        <f t="shared" si="87"/>
        <v/>
      </c>
      <c r="S804" s="51" t="str">
        <f t="shared" si="88"/>
        <v/>
      </c>
      <c r="T804" t="str">
        <f t="shared" si="89"/>
        <v/>
      </c>
      <c r="U804" s="52" t="str">
        <f t="shared" si="90"/>
        <v/>
      </c>
    </row>
    <row r="805" spans="2:21" x14ac:dyDescent="0.25">
      <c r="B805">
        <v>823</v>
      </c>
      <c r="C805" t="s">
        <v>48</v>
      </c>
      <c r="D805" t="s">
        <v>511</v>
      </c>
      <c r="E805" t="s">
        <v>1518</v>
      </c>
      <c r="F805" t="s">
        <v>1519</v>
      </c>
      <c r="G805">
        <v>6</v>
      </c>
      <c r="H805" s="48">
        <v>0</v>
      </c>
      <c r="I805" s="50">
        <v>0</v>
      </c>
      <c r="J805" s="50">
        <v>46262</v>
      </c>
      <c r="K805" s="54">
        <v>46267</v>
      </c>
      <c r="L805" s="54">
        <v>46262</v>
      </c>
      <c r="M805" s="54">
        <v>46267</v>
      </c>
      <c r="O805" s="51" t="str">
        <f t="shared" si="84"/>
        <v/>
      </c>
      <c r="P805" s="51" t="str">
        <f t="shared" si="85"/>
        <v/>
      </c>
      <c r="Q805" s="52" t="str">
        <f t="shared" si="86"/>
        <v/>
      </c>
      <c r="R805" s="52" t="str">
        <f t="shared" si="87"/>
        <v/>
      </c>
      <c r="S805" s="51" t="str">
        <f t="shared" si="88"/>
        <v>SIM</v>
      </c>
      <c r="T805" t="str">
        <f t="shared" si="89"/>
        <v>BL1132-0001-AI-FDA-2022</v>
      </c>
      <c r="U805" s="52">
        <f t="shared" si="90"/>
        <v>46267</v>
      </c>
    </row>
    <row r="806" spans="2:21" x14ac:dyDescent="0.25">
      <c r="B806">
        <v>824</v>
      </c>
      <c r="C806" t="s">
        <v>48</v>
      </c>
      <c r="D806" t="s">
        <v>511</v>
      </c>
      <c r="E806" t="s">
        <v>1520</v>
      </c>
      <c r="F806" t="s">
        <v>1519</v>
      </c>
      <c r="G806">
        <v>7</v>
      </c>
      <c r="H806" s="48">
        <v>0</v>
      </c>
      <c r="I806" s="50">
        <v>0</v>
      </c>
      <c r="J806" s="50">
        <v>46267</v>
      </c>
      <c r="K806" s="54">
        <v>46273</v>
      </c>
      <c r="L806" s="54">
        <v>46267</v>
      </c>
      <c r="M806" s="54">
        <v>46273</v>
      </c>
      <c r="O806" s="51" t="str">
        <f t="shared" si="84"/>
        <v/>
      </c>
      <c r="P806" s="51" t="str">
        <f t="shared" si="85"/>
        <v/>
      </c>
      <c r="Q806" s="52" t="str">
        <f t="shared" si="86"/>
        <v/>
      </c>
      <c r="R806" s="52" t="str">
        <f t="shared" si="87"/>
        <v/>
      </c>
      <c r="S806" s="51" t="str">
        <f t="shared" si="88"/>
        <v/>
      </c>
      <c r="T806" t="str">
        <f t="shared" si="89"/>
        <v/>
      </c>
      <c r="U806" s="52" t="str">
        <f t="shared" si="90"/>
        <v/>
      </c>
    </row>
    <row r="807" spans="2:21" x14ac:dyDescent="0.25">
      <c r="B807">
        <v>825</v>
      </c>
      <c r="C807" t="s">
        <v>29</v>
      </c>
      <c r="D807" t="s">
        <v>423</v>
      </c>
      <c r="E807" t="s">
        <v>1733</v>
      </c>
      <c r="F807" t="s">
        <v>1535</v>
      </c>
      <c r="G807">
        <v>21</v>
      </c>
      <c r="H807" s="48">
        <v>0</v>
      </c>
      <c r="I807" s="50">
        <v>0</v>
      </c>
      <c r="J807" s="50">
        <v>46259</v>
      </c>
      <c r="K807" s="54">
        <v>46279</v>
      </c>
      <c r="L807" s="54">
        <v>46259</v>
      </c>
      <c r="M807" s="54">
        <v>46279</v>
      </c>
      <c r="O807" s="51" t="str">
        <f t="shared" si="84"/>
        <v/>
      </c>
      <c r="P807" s="51" t="str">
        <f t="shared" si="85"/>
        <v/>
      </c>
      <c r="Q807" s="52" t="str">
        <f t="shared" si="86"/>
        <v/>
      </c>
      <c r="R807" s="52" t="str">
        <f t="shared" si="87"/>
        <v/>
      </c>
      <c r="S807" s="51" t="str">
        <f t="shared" si="88"/>
        <v/>
      </c>
      <c r="T807" t="str">
        <f t="shared" si="89"/>
        <v/>
      </c>
      <c r="U807" s="52" t="str">
        <f t="shared" si="90"/>
        <v/>
      </c>
    </row>
    <row r="808" spans="2:21" x14ac:dyDescent="0.25">
      <c r="B808">
        <v>826</v>
      </c>
      <c r="C808" t="s">
        <v>29</v>
      </c>
      <c r="D808" t="s">
        <v>423</v>
      </c>
      <c r="E808" t="s">
        <v>1515</v>
      </c>
      <c r="F808" t="s">
        <v>1525</v>
      </c>
      <c r="G808">
        <v>7</v>
      </c>
      <c r="H808" s="48">
        <v>0</v>
      </c>
      <c r="I808" s="50">
        <v>0</v>
      </c>
      <c r="J808" s="50">
        <v>46259</v>
      </c>
      <c r="K808" s="54">
        <v>46265</v>
      </c>
      <c r="L808" s="54">
        <v>46259</v>
      </c>
      <c r="M808" s="54">
        <v>46265</v>
      </c>
      <c r="O808" s="51" t="str">
        <f t="shared" si="84"/>
        <v>SIM</v>
      </c>
      <c r="P808" s="51" t="str">
        <f t="shared" si="85"/>
        <v>BL1132-0001-AI-FDA-2003</v>
      </c>
      <c r="Q808" s="52">
        <f t="shared" si="86"/>
        <v>46265</v>
      </c>
      <c r="R808" s="52">
        <f t="shared" si="87"/>
        <v>46265</v>
      </c>
      <c r="S808" s="51" t="str">
        <f t="shared" si="88"/>
        <v/>
      </c>
      <c r="T808" t="str">
        <f t="shared" si="89"/>
        <v/>
      </c>
      <c r="U808" s="52" t="str">
        <f t="shared" si="90"/>
        <v/>
      </c>
    </row>
    <row r="809" spans="2:21" x14ac:dyDescent="0.25">
      <c r="B809">
        <v>827</v>
      </c>
      <c r="C809" t="s">
        <v>29</v>
      </c>
      <c r="D809" t="s">
        <v>423</v>
      </c>
      <c r="E809" t="s">
        <v>1517</v>
      </c>
      <c r="F809" t="s">
        <v>1519</v>
      </c>
      <c r="G809">
        <v>4</v>
      </c>
      <c r="H809" s="48">
        <v>0</v>
      </c>
      <c r="I809" s="50">
        <v>0</v>
      </c>
      <c r="J809" s="50">
        <v>46265</v>
      </c>
      <c r="K809" s="54">
        <v>46268</v>
      </c>
      <c r="L809" s="54">
        <v>46265</v>
      </c>
      <c r="M809" s="54">
        <v>46268</v>
      </c>
      <c r="O809" s="51" t="str">
        <f t="shared" si="84"/>
        <v/>
      </c>
      <c r="P809" s="51" t="str">
        <f t="shared" si="85"/>
        <v/>
      </c>
      <c r="Q809" s="52" t="str">
        <f t="shared" si="86"/>
        <v/>
      </c>
      <c r="R809" s="52" t="str">
        <f t="shared" si="87"/>
        <v/>
      </c>
      <c r="S809" s="51" t="str">
        <f t="shared" si="88"/>
        <v/>
      </c>
      <c r="T809" t="str">
        <f t="shared" si="89"/>
        <v/>
      </c>
      <c r="U809" s="52" t="str">
        <f t="shared" si="90"/>
        <v/>
      </c>
    </row>
    <row r="810" spans="2:21" x14ac:dyDescent="0.25">
      <c r="B810">
        <v>828</v>
      </c>
      <c r="C810" t="s">
        <v>29</v>
      </c>
      <c r="D810" t="s">
        <v>423</v>
      </c>
      <c r="E810" t="s">
        <v>1518</v>
      </c>
      <c r="F810" t="s">
        <v>1519</v>
      </c>
      <c r="G810">
        <v>7</v>
      </c>
      <c r="H810" s="48">
        <v>0</v>
      </c>
      <c r="I810" s="50">
        <v>0</v>
      </c>
      <c r="J810" s="50">
        <v>46268</v>
      </c>
      <c r="K810" s="54">
        <v>46274</v>
      </c>
      <c r="L810" s="54">
        <v>46268</v>
      </c>
      <c r="M810" s="54">
        <v>46274</v>
      </c>
      <c r="O810" s="51" t="str">
        <f t="shared" si="84"/>
        <v/>
      </c>
      <c r="P810" s="51" t="str">
        <f t="shared" si="85"/>
        <v/>
      </c>
      <c r="Q810" s="52" t="str">
        <f t="shared" si="86"/>
        <v/>
      </c>
      <c r="R810" s="52" t="str">
        <f t="shared" si="87"/>
        <v/>
      </c>
      <c r="S810" s="51" t="str">
        <f t="shared" si="88"/>
        <v>SIM</v>
      </c>
      <c r="T810" t="str">
        <f t="shared" si="89"/>
        <v>BL1132-0001-AI-FDA-2003</v>
      </c>
      <c r="U810" s="52">
        <f t="shared" si="90"/>
        <v>46274</v>
      </c>
    </row>
    <row r="811" spans="2:21" x14ac:dyDescent="0.25">
      <c r="B811">
        <v>829</v>
      </c>
      <c r="C811" t="s">
        <v>29</v>
      </c>
      <c r="D811" t="s">
        <v>423</v>
      </c>
      <c r="E811" t="s">
        <v>1520</v>
      </c>
      <c r="F811" t="s">
        <v>1519</v>
      </c>
      <c r="G811">
        <v>6</v>
      </c>
      <c r="H811" s="48">
        <v>0</v>
      </c>
      <c r="I811" s="50">
        <v>0</v>
      </c>
      <c r="J811" s="50">
        <v>46274</v>
      </c>
      <c r="K811" s="54">
        <v>46279</v>
      </c>
      <c r="L811" s="54">
        <v>46274</v>
      </c>
      <c r="M811" s="54">
        <v>46279</v>
      </c>
      <c r="O811" s="51" t="str">
        <f t="shared" si="84"/>
        <v/>
      </c>
      <c r="P811" s="51" t="str">
        <f t="shared" si="85"/>
        <v/>
      </c>
      <c r="Q811" s="52" t="str">
        <f t="shared" si="86"/>
        <v/>
      </c>
      <c r="R811" s="52" t="str">
        <f t="shared" si="87"/>
        <v/>
      </c>
      <c r="S811" s="51" t="str">
        <f t="shared" si="88"/>
        <v/>
      </c>
      <c r="T811" t="str">
        <f t="shared" si="89"/>
        <v/>
      </c>
      <c r="U811" s="52" t="str">
        <f t="shared" si="90"/>
        <v/>
      </c>
    </row>
    <row r="812" spans="2:21" x14ac:dyDescent="0.25">
      <c r="B812">
        <v>830</v>
      </c>
      <c r="C812" t="s">
        <v>30</v>
      </c>
      <c r="D812" t="s">
        <v>427</v>
      </c>
      <c r="E812" t="s">
        <v>1734</v>
      </c>
      <c r="F812" t="s">
        <v>1535</v>
      </c>
      <c r="G812">
        <v>21</v>
      </c>
      <c r="H812" s="48">
        <v>0</v>
      </c>
      <c r="I812" s="50">
        <v>0</v>
      </c>
      <c r="J812" s="50">
        <v>46259</v>
      </c>
      <c r="K812" s="54">
        <v>46279</v>
      </c>
      <c r="L812" s="54">
        <v>46259</v>
      </c>
      <c r="M812" s="54">
        <v>46279</v>
      </c>
      <c r="O812" s="51" t="str">
        <f t="shared" si="84"/>
        <v/>
      </c>
      <c r="P812" s="51" t="str">
        <f t="shared" si="85"/>
        <v/>
      </c>
      <c r="Q812" s="52" t="str">
        <f t="shared" si="86"/>
        <v/>
      </c>
      <c r="R812" s="52" t="str">
        <f t="shared" si="87"/>
        <v/>
      </c>
      <c r="S812" s="51" t="str">
        <f t="shared" si="88"/>
        <v/>
      </c>
      <c r="T812" t="str">
        <f t="shared" si="89"/>
        <v/>
      </c>
      <c r="U812" s="52" t="str">
        <f t="shared" si="90"/>
        <v/>
      </c>
    </row>
    <row r="813" spans="2:21" x14ac:dyDescent="0.25">
      <c r="B813">
        <v>831</v>
      </c>
      <c r="C813" t="s">
        <v>30</v>
      </c>
      <c r="D813" t="s">
        <v>427</v>
      </c>
      <c r="E813" t="s">
        <v>1515</v>
      </c>
      <c r="F813" t="s">
        <v>1525</v>
      </c>
      <c r="G813">
        <v>7</v>
      </c>
      <c r="H813" s="48">
        <v>0</v>
      </c>
      <c r="I813" s="50">
        <v>0</v>
      </c>
      <c r="J813" s="50">
        <v>46259</v>
      </c>
      <c r="K813" s="54">
        <v>46265</v>
      </c>
      <c r="L813" s="54">
        <v>46259</v>
      </c>
      <c r="M813" s="54">
        <v>46265</v>
      </c>
      <c r="O813" s="51" t="str">
        <f t="shared" si="84"/>
        <v>SIM</v>
      </c>
      <c r="P813" s="51" t="str">
        <f t="shared" si="85"/>
        <v>BL1132-0001-AI-FDA-2004</v>
      </c>
      <c r="Q813" s="52">
        <f t="shared" si="86"/>
        <v>46265</v>
      </c>
      <c r="R813" s="52">
        <f t="shared" si="87"/>
        <v>46265</v>
      </c>
      <c r="S813" s="51" t="str">
        <f t="shared" si="88"/>
        <v/>
      </c>
      <c r="T813" t="str">
        <f t="shared" si="89"/>
        <v/>
      </c>
      <c r="U813" s="52" t="str">
        <f t="shared" si="90"/>
        <v/>
      </c>
    </row>
    <row r="814" spans="2:21" x14ac:dyDescent="0.25">
      <c r="B814">
        <v>832</v>
      </c>
      <c r="C814" t="s">
        <v>30</v>
      </c>
      <c r="D814" t="s">
        <v>427</v>
      </c>
      <c r="E814" t="s">
        <v>1517</v>
      </c>
      <c r="F814" t="s">
        <v>1519</v>
      </c>
      <c r="G814">
        <v>4</v>
      </c>
      <c r="H814" s="48">
        <v>0</v>
      </c>
      <c r="I814" s="50">
        <v>0</v>
      </c>
      <c r="J814" s="50">
        <v>46265</v>
      </c>
      <c r="K814" s="54">
        <v>46268</v>
      </c>
      <c r="L814" s="54">
        <v>46265</v>
      </c>
      <c r="M814" s="54">
        <v>46268</v>
      </c>
      <c r="O814" s="51" t="str">
        <f t="shared" si="84"/>
        <v/>
      </c>
      <c r="P814" s="51" t="str">
        <f t="shared" si="85"/>
        <v/>
      </c>
      <c r="Q814" s="52" t="str">
        <f t="shared" si="86"/>
        <v/>
      </c>
      <c r="R814" s="52" t="str">
        <f t="shared" si="87"/>
        <v/>
      </c>
      <c r="S814" s="51" t="str">
        <f t="shared" si="88"/>
        <v/>
      </c>
      <c r="T814" t="str">
        <f t="shared" si="89"/>
        <v/>
      </c>
      <c r="U814" s="52" t="str">
        <f t="shared" si="90"/>
        <v/>
      </c>
    </row>
    <row r="815" spans="2:21" x14ac:dyDescent="0.25">
      <c r="B815">
        <v>833</v>
      </c>
      <c r="C815" t="s">
        <v>30</v>
      </c>
      <c r="D815" t="s">
        <v>427</v>
      </c>
      <c r="E815" t="s">
        <v>1518</v>
      </c>
      <c r="F815" t="s">
        <v>1519</v>
      </c>
      <c r="G815">
        <v>7</v>
      </c>
      <c r="H815" s="48">
        <v>0</v>
      </c>
      <c r="I815" s="50">
        <v>0</v>
      </c>
      <c r="J815" s="50">
        <v>46268</v>
      </c>
      <c r="K815" s="54">
        <v>46274</v>
      </c>
      <c r="L815" s="54">
        <v>46268</v>
      </c>
      <c r="M815" s="54">
        <v>46274</v>
      </c>
      <c r="O815" s="51" t="str">
        <f t="shared" si="84"/>
        <v/>
      </c>
      <c r="P815" s="51" t="str">
        <f t="shared" si="85"/>
        <v/>
      </c>
      <c r="Q815" s="52" t="str">
        <f t="shared" si="86"/>
        <v/>
      </c>
      <c r="R815" s="52" t="str">
        <f t="shared" si="87"/>
        <v/>
      </c>
      <c r="S815" s="51" t="str">
        <f t="shared" si="88"/>
        <v>SIM</v>
      </c>
      <c r="T815" t="str">
        <f t="shared" si="89"/>
        <v>BL1132-0001-AI-FDA-2004</v>
      </c>
      <c r="U815" s="52">
        <f t="shared" si="90"/>
        <v>46274</v>
      </c>
    </row>
    <row r="816" spans="2:21" x14ac:dyDescent="0.25">
      <c r="B816">
        <v>834</v>
      </c>
      <c r="C816" t="s">
        <v>30</v>
      </c>
      <c r="D816" t="s">
        <v>427</v>
      </c>
      <c r="E816" t="s">
        <v>1520</v>
      </c>
      <c r="F816" t="s">
        <v>1519</v>
      </c>
      <c r="G816">
        <v>6</v>
      </c>
      <c r="H816" s="48">
        <v>0</v>
      </c>
      <c r="I816" s="50">
        <v>0</v>
      </c>
      <c r="J816" s="50">
        <v>46274</v>
      </c>
      <c r="K816" s="54">
        <v>46279</v>
      </c>
      <c r="L816" s="54">
        <v>46274</v>
      </c>
      <c r="M816" s="54">
        <v>46279</v>
      </c>
      <c r="O816" s="51" t="str">
        <f t="shared" si="84"/>
        <v/>
      </c>
      <c r="P816" s="51" t="str">
        <f t="shared" si="85"/>
        <v/>
      </c>
      <c r="Q816" s="52" t="str">
        <f t="shared" si="86"/>
        <v/>
      </c>
      <c r="R816" s="52" t="str">
        <f t="shared" si="87"/>
        <v/>
      </c>
      <c r="S816" s="51" t="str">
        <f t="shared" si="88"/>
        <v/>
      </c>
      <c r="T816" t="str">
        <f t="shared" si="89"/>
        <v/>
      </c>
      <c r="U816" s="52" t="str">
        <f t="shared" si="90"/>
        <v/>
      </c>
    </row>
    <row r="817" spans="2:21" x14ac:dyDescent="0.25">
      <c r="B817">
        <v>835</v>
      </c>
      <c r="C817" t="s">
        <v>31</v>
      </c>
      <c r="D817" t="s">
        <v>431</v>
      </c>
      <c r="E817" t="s">
        <v>1735</v>
      </c>
      <c r="F817" t="s">
        <v>1535</v>
      </c>
      <c r="G817">
        <v>19</v>
      </c>
      <c r="H817" s="48">
        <v>0</v>
      </c>
      <c r="I817" s="50">
        <v>0</v>
      </c>
      <c r="J817" s="50">
        <v>46265</v>
      </c>
      <c r="K817" s="54">
        <v>46283</v>
      </c>
      <c r="L817" s="54">
        <v>46265</v>
      </c>
      <c r="M817" s="54">
        <v>46283</v>
      </c>
      <c r="O817" s="51" t="str">
        <f t="shared" si="84"/>
        <v/>
      </c>
      <c r="P817" s="51" t="str">
        <f t="shared" si="85"/>
        <v/>
      </c>
      <c r="Q817" s="52" t="str">
        <f t="shared" si="86"/>
        <v/>
      </c>
      <c r="R817" s="52" t="str">
        <f t="shared" si="87"/>
        <v/>
      </c>
      <c r="S817" s="51" t="str">
        <f t="shared" si="88"/>
        <v/>
      </c>
      <c r="T817" t="str">
        <f t="shared" si="89"/>
        <v/>
      </c>
      <c r="U817" s="52" t="str">
        <f t="shared" si="90"/>
        <v/>
      </c>
    </row>
    <row r="818" spans="2:21" x14ac:dyDescent="0.25">
      <c r="B818">
        <v>836</v>
      </c>
      <c r="C818" t="s">
        <v>31</v>
      </c>
      <c r="D818" t="s">
        <v>431</v>
      </c>
      <c r="E818" t="s">
        <v>1515</v>
      </c>
      <c r="F818" t="s">
        <v>1525</v>
      </c>
      <c r="G818">
        <v>5</v>
      </c>
      <c r="H818" s="48">
        <v>0</v>
      </c>
      <c r="I818" s="50">
        <v>0</v>
      </c>
      <c r="J818" s="50">
        <v>46265</v>
      </c>
      <c r="K818" s="54">
        <v>46269</v>
      </c>
      <c r="L818" s="54">
        <v>46265</v>
      </c>
      <c r="M818" s="54">
        <v>46269</v>
      </c>
      <c r="O818" s="51" t="str">
        <f t="shared" si="84"/>
        <v>SIM</v>
      </c>
      <c r="P818" s="51" t="str">
        <f t="shared" si="85"/>
        <v>BL1132-0001-AI-FDA-2005</v>
      </c>
      <c r="Q818" s="52">
        <f t="shared" si="86"/>
        <v>46269</v>
      </c>
      <c r="R818" s="52">
        <f t="shared" si="87"/>
        <v>46269</v>
      </c>
      <c r="S818" s="51" t="str">
        <f t="shared" si="88"/>
        <v/>
      </c>
      <c r="T818" t="str">
        <f t="shared" si="89"/>
        <v/>
      </c>
      <c r="U818" s="52" t="str">
        <f t="shared" si="90"/>
        <v/>
      </c>
    </row>
    <row r="819" spans="2:21" x14ac:dyDescent="0.25">
      <c r="B819">
        <v>837</v>
      </c>
      <c r="C819" t="s">
        <v>31</v>
      </c>
      <c r="D819" t="s">
        <v>431</v>
      </c>
      <c r="E819" t="s">
        <v>1517</v>
      </c>
      <c r="F819" t="s">
        <v>1519</v>
      </c>
      <c r="G819">
        <v>7</v>
      </c>
      <c r="H819" s="48">
        <v>0</v>
      </c>
      <c r="I819" s="50">
        <v>0</v>
      </c>
      <c r="J819" s="50">
        <v>46269</v>
      </c>
      <c r="K819" s="54">
        <v>46275</v>
      </c>
      <c r="L819" s="54">
        <v>46269</v>
      </c>
      <c r="M819" s="54">
        <v>46275</v>
      </c>
      <c r="O819" s="51" t="str">
        <f t="shared" si="84"/>
        <v/>
      </c>
      <c r="P819" s="51" t="str">
        <f t="shared" si="85"/>
        <v/>
      </c>
      <c r="Q819" s="52" t="str">
        <f t="shared" si="86"/>
        <v/>
      </c>
      <c r="R819" s="52" t="str">
        <f t="shared" si="87"/>
        <v/>
      </c>
      <c r="S819" s="51" t="str">
        <f t="shared" si="88"/>
        <v/>
      </c>
      <c r="T819" t="str">
        <f t="shared" si="89"/>
        <v/>
      </c>
      <c r="U819" s="52" t="str">
        <f t="shared" si="90"/>
        <v/>
      </c>
    </row>
    <row r="820" spans="2:21" x14ac:dyDescent="0.25">
      <c r="B820">
        <v>838</v>
      </c>
      <c r="C820" t="s">
        <v>31</v>
      </c>
      <c r="D820" t="s">
        <v>431</v>
      </c>
      <c r="E820" t="s">
        <v>1518</v>
      </c>
      <c r="F820" t="s">
        <v>1519</v>
      </c>
      <c r="G820">
        <v>6</v>
      </c>
      <c r="H820" s="48">
        <v>0</v>
      </c>
      <c r="I820" s="50">
        <v>0</v>
      </c>
      <c r="J820" s="50">
        <v>46275</v>
      </c>
      <c r="K820" s="54">
        <v>46280</v>
      </c>
      <c r="L820" s="54">
        <v>46275</v>
      </c>
      <c r="M820" s="54">
        <v>46280</v>
      </c>
      <c r="O820" s="51" t="str">
        <f t="shared" si="84"/>
        <v/>
      </c>
      <c r="P820" s="51" t="str">
        <f t="shared" si="85"/>
        <v/>
      </c>
      <c r="Q820" s="52" t="str">
        <f t="shared" si="86"/>
        <v/>
      </c>
      <c r="R820" s="52" t="str">
        <f t="shared" si="87"/>
        <v/>
      </c>
      <c r="S820" s="51" t="str">
        <f t="shared" si="88"/>
        <v>SIM</v>
      </c>
      <c r="T820" t="str">
        <f t="shared" si="89"/>
        <v>BL1132-0001-AI-FDA-2005</v>
      </c>
      <c r="U820" s="52">
        <f t="shared" si="90"/>
        <v>46280</v>
      </c>
    </row>
    <row r="821" spans="2:21" x14ac:dyDescent="0.25">
      <c r="B821">
        <v>839</v>
      </c>
      <c r="C821" t="s">
        <v>31</v>
      </c>
      <c r="D821" t="s">
        <v>431</v>
      </c>
      <c r="E821" t="s">
        <v>1520</v>
      </c>
      <c r="F821" t="s">
        <v>1519</v>
      </c>
      <c r="G821">
        <v>4</v>
      </c>
      <c r="H821" s="48">
        <v>0</v>
      </c>
      <c r="I821" s="50">
        <v>0</v>
      </c>
      <c r="J821" s="50">
        <v>46280</v>
      </c>
      <c r="K821" s="54">
        <v>46283</v>
      </c>
      <c r="L821" s="54">
        <v>46280</v>
      </c>
      <c r="M821" s="54">
        <v>46283</v>
      </c>
      <c r="O821" s="51" t="str">
        <f t="shared" si="84"/>
        <v/>
      </c>
      <c r="P821" s="51" t="str">
        <f t="shared" si="85"/>
        <v/>
      </c>
      <c r="Q821" s="52" t="str">
        <f t="shared" si="86"/>
        <v/>
      </c>
      <c r="R821" s="52" t="str">
        <f t="shared" si="87"/>
        <v/>
      </c>
      <c r="S821" s="51" t="str">
        <f t="shared" si="88"/>
        <v/>
      </c>
      <c r="T821" t="str">
        <f t="shared" si="89"/>
        <v/>
      </c>
      <c r="U821" s="52" t="str">
        <f t="shared" si="90"/>
        <v/>
      </c>
    </row>
    <row r="822" spans="2:21" x14ac:dyDescent="0.25">
      <c r="B822">
        <v>840</v>
      </c>
      <c r="C822" t="s">
        <v>46</v>
      </c>
      <c r="D822" t="s">
        <v>503</v>
      </c>
      <c r="E822" t="s">
        <v>1736</v>
      </c>
      <c r="F822" t="s">
        <v>1535</v>
      </c>
      <c r="G822">
        <v>19</v>
      </c>
      <c r="H822" s="48">
        <v>0</v>
      </c>
      <c r="I822" s="50">
        <v>0</v>
      </c>
      <c r="J822" s="50">
        <v>46265</v>
      </c>
      <c r="K822" s="54">
        <v>46283</v>
      </c>
      <c r="L822" s="54">
        <v>46265</v>
      </c>
      <c r="M822" s="54">
        <v>46283</v>
      </c>
      <c r="O822" s="51" t="str">
        <f t="shared" si="84"/>
        <v/>
      </c>
      <c r="P822" s="51" t="str">
        <f t="shared" si="85"/>
        <v/>
      </c>
      <c r="Q822" s="52" t="str">
        <f t="shared" si="86"/>
        <v/>
      </c>
      <c r="R822" s="52" t="str">
        <f t="shared" si="87"/>
        <v/>
      </c>
      <c r="S822" s="51" t="str">
        <f t="shared" si="88"/>
        <v/>
      </c>
      <c r="T822" t="str">
        <f t="shared" si="89"/>
        <v/>
      </c>
      <c r="U822" s="52" t="str">
        <f t="shared" si="90"/>
        <v/>
      </c>
    </row>
    <row r="823" spans="2:21" x14ac:dyDescent="0.25">
      <c r="B823">
        <v>841</v>
      </c>
      <c r="C823" t="s">
        <v>46</v>
      </c>
      <c r="D823" t="s">
        <v>503</v>
      </c>
      <c r="E823" t="s">
        <v>1515</v>
      </c>
      <c r="F823" t="s">
        <v>1525</v>
      </c>
      <c r="G823">
        <v>5</v>
      </c>
      <c r="H823" s="48">
        <v>0</v>
      </c>
      <c r="I823" s="50">
        <v>0</v>
      </c>
      <c r="J823" s="50">
        <v>46265</v>
      </c>
      <c r="K823" s="54">
        <v>46269</v>
      </c>
      <c r="L823" s="54">
        <v>46265</v>
      </c>
      <c r="M823" s="54">
        <v>46269</v>
      </c>
      <c r="O823" s="51" t="str">
        <f t="shared" si="84"/>
        <v>SIM</v>
      </c>
      <c r="P823" s="51" t="str">
        <f t="shared" si="85"/>
        <v>BL1132-0001-AI-FDA-2020</v>
      </c>
      <c r="Q823" s="52">
        <f t="shared" si="86"/>
        <v>46269</v>
      </c>
      <c r="R823" s="52">
        <f t="shared" si="87"/>
        <v>46269</v>
      </c>
      <c r="S823" s="51" t="str">
        <f t="shared" si="88"/>
        <v/>
      </c>
      <c r="T823" t="str">
        <f t="shared" si="89"/>
        <v/>
      </c>
      <c r="U823" s="52" t="str">
        <f t="shared" si="90"/>
        <v/>
      </c>
    </row>
    <row r="824" spans="2:21" x14ac:dyDescent="0.25">
      <c r="B824">
        <v>842</v>
      </c>
      <c r="C824" t="s">
        <v>46</v>
      </c>
      <c r="D824" t="s">
        <v>503</v>
      </c>
      <c r="E824" t="s">
        <v>1517</v>
      </c>
      <c r="F824" t="s">
        <v>1519</v>
      </c>
      <c r="G824">
        <v>7</v>
      </c>
      <c r="H824" s="48">
        <v>0</v>
      </c>
      <c r="I824" s="50">
        <v>0</v>
      </c>
      <c r="J824" s="50">
        <v>46269</v>
      </c>
      <c r="K824" s="54">
        <v>46275</v>
      </c>
      <c r="L824" s="54">
        <v>46269</v>
      </c>
      <c r="M824" s="54">
        <v>46275</v>
      </c>
      <c r="O824" s="51" t="str">
        <f t="shared" si="84"/>
        <v/>
      </c>
      <c r="P824" s="51" t="str">
        <f t="shared" si="85"/>
        <v/>
      </c>
      <c r="Q824" s="52" t="str">
        <f t="shared" si="86"/>
        <v/>
      </c>
      <c r="R824" s="52" t="str">
        <f t="shared" si="87"/>
        <v/>
      </c>
      <c r="S824" s="51" t="str">
        <f t="shared" si="88"/>
        <v/>
      </c>
      <c r="T824" t="str">
        <f t="shared" si="89"/>
        <v/>
      </c>
      <c r="U824" s="52" t="str">
        <f t="shared" si="90"/>
        <v/>
      </c>
    </row>
    <row r="825" spans="2:21" x14ac:dyDescent="0.25">
      <c r="B825">
        <v>843</v>
      </c>
      <c r="C825" t="s">
        <v>46</v>
      </c>
      <c r="D825" t="s">
        <v>503</v>
      </c>
      <c r="E825" t="s">
        <v>1518</v>
      </c>
      <c r="F825" t="s">
        <v>1519</v>
      </c>
      <c r="G825">
        <v>6</v>
      </c>
      <c r="H825" s="48">
        <v>0</v>
      </c>
      <c r="I825" s="50">
        <v>0</v>
      </c>
      <c r="J825" s="50">
        <v>46275</v>
      </c>
      <c r="K825" s="54">
        <v>46280</v>
      </c>
      <c r="L825" s="54">
        <v>46275</v>
      </c>
      <c r="M825" s="54">
        <v>46280</v>
      </c>
      <c r="O825" s="51" t="str">
        <f t="shared" si="84"/>
        <v/>
      </c>
      <c r="P825" s="51" t="str">
        <f t="shared" si="85"/>
        <v/>
      </c>
      <c r="Q825" s="52" t="str">
        <f t="shared" si="86"/>
        <v/>
      </c>
      <c r="R825" s="52" t="str">
        <f t="shared" si="87"/>
        <v/>
      </c>
      <c r="S825" s="51" t="str">
        <f t="shared" si="88"/>
        <v>SIM</v>
      </c>
      <c r="T825" t="str">
        <f t="shared" si="89"/>
        <v>BL1132-0001-AI-FDA-2020</v>
      </c>
      <c r="U825" s="52">
        <f t="shared" si="90"/>
        <v>46280</v>
      </c>
    </row>
    <row r="826" spans="2:21" x14ac:dyDescent="0.25">
      <c r="B826">
        <v>844</v>
      </c>
      <c r="C826" t="s">
        <v>46</v>
      </c>
      <c r="D826" t="s">
        <v>503</v>
      </c>
      <c r="E826" t="s">
        <v>1520</v>
      </c>
      <c r="F826" t="s">
        <v>1519</v>
      </c>
      <c r="G826">
        <v>4</v>
      </c>
      <c r="H826" s="48">
        <v>0</v>
      </c>
      <c r="I826" s="50">
        <v>0</v>
      </c>
      <c r="J826" s="50">
        <v>46280</v>
      </c>
      <c r="K826" s="54">
        <v>46283</v>
      </c>
      <c r="L826" s="54">
        <v>46280</v>
      </c>
      <c r="M826" s="54">
        <v>46283</v>
      </c>
      <c r="O826" s="51" t="str">
        <f t="shared" si="84"/>
        <v/>
      </c>
      <c r="P826" s="51" t="str">
        <f t="shared" si="85"/>
        <v/>
      </c>
      <c r="Q826" s="52" t="str">
        <f t="shared" si="86"/>
        <v/>
      </c>
      <c r="R826" s="52" t="str">
        <f t="shared" si="87"/>
        <v/>
      </c>
      <c r="S826" s="51" t="str">
        <f t="shared" si="88"/>
        <v/>
      </c>
      <c r="T826" t="str">
        <f t="shared" si="89"/>
        <v/>
      </c>
      <c r="U826" s="52" t="str">
        <f t="shared" si="90"/>
        <v/>
      </c>
    </row>
    <row r="827" spans="2:21" x14ac:dyDescent="0.25">
      <c r="B827">
        <v>845</v>
      </c>
      <c r="C827" t="s">
        <v>38</v>
      </c>
      <c r="D827" t="s">
        <v>463</v>
      </c>
      <c r="E827" t="s">
        <v>1737</v>
      </c>
      <c r="F827" t="s">
        <v>1559</v>
      </c>
      <c r="G827">
        <v>20</v>
      </c>
      <c r="H827" s="48">
        <v>0</v>
      </c>
      <c r="I827" s="50">
        <v>0</v>
      </c>
      <c r="J827" s="50">
        <v>46269</v>
      </c>
      <c r="K827" s="54">
        <v>46288</v>
      </c>
      <c r="L827" s="54">
        <v>46269</v>
      </c>
      <c r="M827" s="54">
        <v>46288</v>
      </c>
      <c r="O827" s="51" t="str">
        <f t="shared" si="84"/>
        <v/>
      </c>
      <c r="P827" s="51" t="str">
        <f t="shared" si="85"/>
        <v/>
      </c>
      <c r="Q827" s="52" t="str">
        <f t="shared" si="86"/>
        <v/>
      </c>
      <c r="R827" s="52" t="str">
        <f t="shared" si="87"/>
        <v/>
      </c>
      <c r="S827" s="51" t="str">
        <f t="shared" si="88"/>
        <v/>
      </c>
      <c r="T827" t="str">
        <f t="shared" si="89"/>
        <v/>
      </c>
      <c r="U827" s="52" t="str">
        <f t="shared" si="90"/>
        <v/>
      </c>
    </row>
    <row r="828" spans="2:21" x14ac:dyDescent="0.25">
      <c r="B828">
        <v>846</v>
      </c>
      <c r="C828" t="s">
        <v>38</v>
      </c>
      <c r="D828" t="s">
        <v>463</v>
      </c>
      <c r="E828" t="s">
        <v>1515</v>
      </c>
      <c r="F828" t="s">
        <v>1519</v>
      </c>
      <c r="G828">
        <v>7</v>
      </c>
      <c r="H828" s="48">
        <v>0</v>
      </c>
      <c r="I828" s="50">
        <v>0</v>
      </c>
      <c r="J828" s="50">
        <v>46269</v>
      </c>
      <c r="K828" s="54">
        <v>46275</v>
      </c>
      <c r="L828" s="54">
        <v>46269</v>
      </c>
      <c r="M828" s="54">
        <v>46275</v>
      </c>
      <c r="O828" s="51" t="str">
        <f t="shared" si="84"/>
        <v>SIM</v>
      </c>
      <c r="P828" s="51" t="str">
        <f t="shared" si="85"/>
        <v>BL1132-0001-AI-FDA-2012</v>
      </c>
      <c r="Q828" s="52">
        <f t="shared" si="86"/>
        <v>46275</v>
      </c>
      <c r="R828" s="52">
        <f t="shared" si="87"/>
        <v>46275</v>
      </c>
      <c r="S828" s="51" t="str">
        <f t="shared" si="88"/>
        <v/>
      </c>
      <c r="T828" t="str">
        <f t="shared" si="89"/>
        <v/>
      </c>
      <c r="U828" s="52" t="str">
        <f t="shared" si="90"/>
        <v/>
      </c>
    </row>
    <row r="829" spans="2:21" x14ac:dyDescent="0.25">
      <c r="B829">
        <v>847</v>
      </c>
      <c r="C829" t="s">
        <v>38</v>
      </c>
      <c r="D829" t="s">
        <v>463</v>
      </c>
      <c r="E829" t="s">
        <v>1517</v>
      </c>
      <c r="F829" t="s">
        <v>1519</v>
      </c>
      <c r="G829">
        <v>6</v>
      </c>
      <c r="H829" s="48">
        <v>0</v>
      </c>
      <c r="I829" s="50">
        <v>0</v>
      </c>
      <c r="J829" s="50">
        <v>46275</v>
      </c>
      <c r="K829" s="54">
        <v>46280</v>
      </c>
      <c r="L829" s="54">
        <v>46275</v>
      </c>
      <c r="M829" s="54">
        <v>46280</v>
      </c>
      <c r="O829" s="51" t="str">
        <f t="shared" si="84"/>
        <v/>
      </c>
      <c r="P829" s="51" t="str">
        <f t="shared" si="85"/>
        <v/>
      </c>
      <c r="Q829" s="52" t="str">
        <f t="shared" si="86"/>
        <v/>
      </c>
      <c r="R829" s="52" t="str">
        <f t="shared" si="87"/>
        <v/>
      </c>
      <c r="S829" s="51" t="str">
        <f t="shared" si="88"/>
        <v/>
      </c>
      <c r="T829" t="str">
        <f t="shared" si="89"/>
        <v/>
      </c>
      <c r="U829" s="52" t="str">
        <f t="shared" si="90"/>
        <v/>
      </c>
    </row>
    <row r="830" spans="2:21" x14ac:dyDescent="0.25">
      <c r="B830">
        <v>848</v>
      </c>
      <c r="C830" t="s">
        <v>38</v>
      </c>
      <c r="D830" t="s">
        <v>463</v>
      </c>
      <c r="E830" t="s">
        <v>1518</v>
      </c>
      <c r="F830" t="s">
        <v>1519</v>
      </c>
      <c r="G830">
        <v>4</v>
      </c>
      <c r="H830" s="48">
        <v>0</v>
      </c>
      <c r="I830" s="50">
        <v>0</v>
      </c>
      <c r="J830" s="50">
        <v>46280</v>
      </c>
      <c r="K830" s="54">
        <v>46283</v>
      </c>
      <c r="L830" s="54">
        <v>46280</v>
      </c>
      <c r="M830" s="54">
        <v>46283</v>
      </c>
      <c r="O830" s="51" t="str">
        <f t="shared" si="84"/>
        <v/>
      </c>
      <c r="P830" s="51" t="str">
        <f t="shared" si="85"/>
        <v/>
      </c>
      <c r="Q830" s="52" t="str">
        <f t="shared" si="86"/>
        <v/>
      </c>
      <c r="R830" s="52" t="str">
        <f t="shared" si="87"/>
        <v/>
      </c>
      <c r="S830" s="51" t="str">
        <f t="shared" si="88"/>
        <v>SIM</v>
      </c>
      <c r="T830" t="str">
        <f t="shared" si="89"/>
        <v>BL1132-0001-AI-FDA-2012</v>
      </c>
      <c r="U830" s="52">
        <f t="shared" si="90"/>
        <v>46283</v>
      </c>
    </row>
    <row r="831" spans="2:21" x14ac:dyDescent="0.25">
      <c r="B831">
        <v>849</v>
      </c>
      <c r="C831" t="s">
        <v>38</v>
      </c>
      <c r="D831" t="s">
        <v>463</v>
      </c>
      <c r="E831" t="s">
        <v>1520</v>
      </c>
      <c r="F831" t="s">
        <v>1519</v>
      </c>
      <c r="G831">
        <v>6</v>
      </c>
      <c r="H831" s="48">
        <v>0</v>
      </c>
      <c r="I831" s="50">
        <v>0</v>
      </c>
      <c r="J831" s="50">
        <v>46283</v>
      </c>
      <c r="K831" s="54">
        <v>46288</v>
      </c>
      <c r="L831" s="54">
        <v>46283</v>
      </c>
      <c r="M831" s="54">
        <v>46288</v>
      </c>
      <c r="O831" s="51" t="str">
        <f t="shared" si="84"/>
        <v/>
      </c>
      <c r="P831" s="51" t="str">
        <f t="shared" si="85"/>
        <v/>
      </c>
      <c r="Q831" s="52" t="str">
        <f t="shared" si="86"/>
        <v/>
      </c>
      <c r="R831" s="52" t="str">
        <f t="shared" si="87"/>
        <v/>
      </c>
      <c r="S831" s="51" t="str">
        <f t="shared" si="88"/>
        <v/>
      </c>
      <c r="T831" t="str">
        <f t="shared" si="89"/>
        <v/>
      </c>
      <c r="U831" s="52" t="str">
        <f t="shared" si="90"/>
        <v/>
      </c>
    </row>
    <row r="832" spans="2:21" x14ac:dyDescent="0.25">
      <c r="B832">
        <v>850</v>
      </c>
      <c r="C832" t="s">
        <v>34</v>
      </c>
      <c r="D832" t="s">
        <v>443</v>
      </c>
      <c r="E832" t="s">
        <v>1738</v>
      </c>
      <c r="F832" t="s">
        <v>1559</v>
      </c>
      <c r="G832">
        <v>20</v>
      </c>
      <c r="H832" s="48">
        <v>0</v>
      </c>
      <c r="I832" s="50">
        <v>0</v>
      </c>
      <c r="J832" s="50">
        <v>46269</v>
      </c>
      <c r="K832" s="54">
        <v>46288</v>
      </c>
      <c r="L832" s="54">
        <v>46269</v>
      </c>
      <c r="M832" s="54">
        <v>46288</v>
      </c>
      <c r="O832" s="51" t="str">
        <f t="shared" si="84"/>
        <v/>
      </c>
      <c r="P832" s="51" t="str">
        <f t="shared" si="85"/>
        <v/>
      </c>
      <c r="Q832" s="52" t="str">
        <f t="shared" si="86"/>
        <v/>
      </c>
      <c r="R832" s="52" t="str">
        <f t="shared" si="87"/>
        <v/>
      </c>
      <c r="S832" s="51" t="str">
        <f t="shared" si="88"/>
        <v/>
      </c>
      <c r="T832" t="str">
        <f t="shared" si="89"/>
        <v/>
      </c>
      <c r="U832" s="52" t="str">
        <f t="shared" si="90"/>
        <v/>
      </c>
    </row>
    <row r="833" spans="2:21" x14ac:dyDescent="0.25">
      <c r="B833">
        <v>851</v>
      </c>
      <c r="C833" t="s">
        <v>34</v>
      </c>
      <c r="D833" t="s">
        <v>443</v>
      </c>
      <c r="E833" t="s">
        <v>1515</v>
      </c>
      <c r="F833" t="s">
        <v>1519</v>
      </c>
      <c r="G833">
        <v>7</v>
      </c>
      <c r="H833" s="48">
        <v>0</v>
      </c>
      <c r="I833" s="50">
        <v>0</v>
      </c>
      <c r="J833" s="50">
        <v>46269</v>
      </c>
      <c r="K833" s="54">
        <v>46275</v>
      </c>
      <c r="L833" s="54">
        <v>46269</v>
      </c>
      <c r="M833" s="54">
        <v>46275</v>
      </c>
      <c r="O833" s="51" t="str">
        <f t="shared" si="84"/>
        <v>SIM</v>
      </c>
      <c r="P833" s="51" t="str">
        <f t="shared" si="85"/>
        <v>BL1132-0001-AI-FDA-2008</v>
      </c>
      <c r="Q833" s="52">
        <f t="shared" si="86"/>
        <v>46275</v>
      </c>
      <c r="R833" s="52">
        <f t="shared" si="87"/>
        <v>46275</v>
      </c>
      <c r="S833" s="51" t="str">
        <f t="shared" si="88"/>
        <v/>
      </c>
      <c r="T833" t="str">
        <f t="shared" si="89"/>
        <v/>
      </c>
      <c r="U833" s="52" t="str">
        <f t="shared" si="90"/>
        <v/>
      </c>
    </row>
    <row r="834" spans="2:21" x14ac:dyDescent="0.25">
      <c r="B834">
        <v>852</v>
      </c>
      <c r="C834" t="s">
        <v>34</v>
      </c>
      <c r="D834" t="s">
        <v>443</v>
      </c>
      <c r="E834" t="s">
        <v>1517</v>
      </c>
      <c r="F834" t="s">
        <v>1519</v>
      </c>
      <c r="G834">
        <v>6</v>
      </c>
      <c r="H834" s="48">
        <v>0</v>
      </c>
      <c r="I834" s="50">
        <v>0</v>
      </c>
      <c r="J834" s="50">
        <v>46275</v>
      </c>
      <c r="K834" s="54">
        <v>46280</v>
      </c>
      <c r="L834" s="54">
        <v>46275</v>
      </c>
      <c r="M834" s="54">
        <v>46280</v>
      </c>
      <c r="O834" s="51" t="str">
        <f t="shared" si="84"/>
        <v/>
      </c>
      <c r="P834" s="51" t="str">
        <f t="shared" si="85"/>
        <v/>
      </c>
      <c r="Q834" s="52" t="str">
        <f t="shared" si="86"/>
        <v/>
      </c>
      <c r="R834" s="52" t="str">
        <f t="shared" si="87"/>
        <v/>
      </c>
      <c r="S834" s="51" t="str">
        <f t="shared" si="88"/>
        <v/>
      </c>
      <c r="T834" t="str">
        <f t="shared" si="89"/>
        <v/>
      </c>
      <c r="U834" s="52" t="str">
        <f t="shared" si="90"/>
        <v/>
      </c>
    </row>
    <row r="835" spans="2:21" x14ac:dyDescent="0.25">
      <c r="B835">
        <v>853</v>
      </c>
      <c r="C835" t="s">
        <v>34</v>
      </c>
      <c r="D835" t="s">
        <v>443</v>
      </c>
      <c r="E835" t="s">
        <v>1518</v>
      </c>
      <c r="F835" t="s">
        <v>1519</v>
      </c>
      <c r="G835">
        <v>4</v>
      </c>
      <c r="H835" s="48">
        <v>0</v>
      </c>
      <c r="I835" s="50">
        <v>0</v>
      </c>
      <c r="J835" s="50">
        <v>46280</v>
      </c>
      <c r="K835" s="54">
        <v>46283</v>
      </c>
      <c r="L835" s="54">
        <v>46280</v>
      </c>
      <c r="M835" s="54">
        <v>46283</v>
      </c>
      <c r="O835" s="51" t="str">
        <f t="shared" ref="O835:O898" si="91">IF(OR(E835 = "                           1 - Emissão Inicial",E835="                  1 - Emissão após Design Review 1",E835 = "                  1 - Emissão para conhecimento",E835 = "                  1 - Emissão Final",E835 = "         Lista de Documentos",E835 = "         Elaboração do cronograma",E835 = "         Norma de Coordenação"), "SIM", "")</f>
        <v/>
      </c>
      <c r="P835" s="51" t="str">
        <f t="shared" ref="P835:P898" si="92">IF(O835="SIM",C835,"")</f>
        <v/>
      </c>
      <c r="Q835" s="52" t="str">
        <f t="shared" ref="Q835:Q898" si="93">IF(O835="SIM",M835,"")</f>
        <v/>
      </c>
      <c r="R835" s="52" t="str">
        <f t="shared" ref="R835:R898" si="94">IF(O835="SIM",K835,"")</f>
        <v/>
      </c>
      <c r="S835" s="51" t="str">
        <f t="shared" ref="S835:S898" si="95">IF(OR(E835 = "                           3 - Atendimento de Comentários",E835="                  1 - Emissão após Design Review 1",E835 = "                  1 - Emissão para conhecimento",E835 = "                  1 - Emissão Final",E835 = "         Lista de Documentos",E835 = "         Elaboração do cronograma",E835 = "         Norma de Coordenação"), "SIM", "")</f>
        <v>SIM</v>
      </c>
      <c r="T835" t="str">
        <f t="shared" ref="T835:T898" si="96">IF(S835="SIM",C835,"")</f>
        <v>BL1132-0001-AI-FDA-2008</v>
      </c>
      <c r="U835" s="52">
        <f t="shared" ref="U835:U898" si="97">IF(S835="SIM",M835,"")</f>
        <v>46283</v>
      </c>
    </row>
    <row r="836" spans="2:21" x14ac:dyDescent="0.25">
      <c r="B836">
        <v>854</v>
      </c>
      <c r="C836" t="s">
        <v>34</v>
      </c>
      <c r="D836" t="s">
        <v>443</v>
      </c>
      <c r="E836" t="s">
        <v>1520</v>
      </c>
      <c r="F836" t="s">
        <v>1519</v>
      </c>
      <c r="G836">
        <v>6</v>
      </c>
      <c r="H836" s="48">
        <v>0</v>
      </c>
      <c r="I836" s="50">
        <v>0</v>
      </c>
      <c r="J836" s="50">
        <v>46283</v>
      </c>
      <c r="K836" s="54">
        <v>46288</v>
      </c>
      <c r="L836" s="54">
        <v>46283</v>
      </c>
      <c r="M836" s="54">
        <v>46288</v>
      </c>
      <c r="O836" s="51" t="str">
        <f t="shared" si="91"/>
        <v/>
      </c>
      <c r="P836" s="51" t="str">
        <f t="shared" si="92"/>
        <v/>
      </c>
      <c r="Q836" s="52" t="str">
        <f t="shared" si="93"/>
        <v/>
      </c>
      <c r="R836" s="52" t="str">
        <f t="shared" si="94"/>
        <v/>
      </c>
      <c r="S836" s="51" t="str">
        <f t="shared" si="95"/>
        <v/>
      </c>
      <c r="T836" t="str">
        <f t="shared" si="96"/>
        <v/>
      </c>
      <c r="U836" s="52" t="str">
        <f t="shared" si="97"/>
        <v/>
      </c>
    </row>
    <row r="837" spans="2:21" x14ac:dyDescent="0.25">
      <c r="B837">
        <v>855</v>
      </c>
      <c r="C837" t="s">
        <v>35</v>
      </c>
      <c r="D837" t="s">
        <v>447</v>
      </c>
      <c r="E837" t="s">
        <v>1739</v>
      </c>
      <c r="F837" t="s">
        <v>1559</v>
      </c>
      <c r="G837">
        <v>20</v>
      </c>
      <c r="H837" s="48">
        <v>0</v>
      </c>
      <c r="I837" s="50">
        <v>0</v>
      </c>
      <c r="J837" s="50">
        <v>46269</v>
      </c>
      <c r="K837" s="54">
        <v>46288</v>
      </c>
      <c r="L837" s="54">
        <v>46269</v>
      </c>
      <c r="M837" s="54">
        <v>46288</v>
      </c>
      <c r="O837" s="51" t="str">
        <f t="shared" si="91"/>
        <v/>
      </c>
      <c r="P837" s="51" t="str">
        <f t="shared" si="92"/>
        <v/>
      </c>
      <c r="Q837" s="52" t="str">
        <f t="shared" si="93"/>
        <v/>
      </c>
      <c r="R837" s="52" t="str">
        <f t="shared" si="94"/>
        <v/>
      </c>
      <c r="S837" s="51" t="str">
        <f t="shared" si="95"/>
        <v/>
      </c>
      <c r="T837" t="str">
        <f t="shared" si="96"/>
        <v/>
      </c>
      <c r="U837" s="52" t="str">
        <f t="shared" si="97"/>
        <v/>
      </c>
    </row>
    <row r="838" spans="2:21" x14ac:dyDescent="0.25">
      <c r="B838">
        <v>856</v>
      </c>
      <c r="C838" t="s">
        <v>35</v>
      </c>
      <c r="D838" t="s">
        <v>447</v>
      </c>
      <c r="E838" t="s">
        <v>1515</v>
      </c>
      <c r="F838" t="s">
        <v>1519</v>
      </c>
      <c r="G838">
        <v>7</v>
      </c>
      <c r="H838" s="48">
        <v>0</v>
      </c>
      <c r="I838" s="50">
        <v>0</v>
      </c>
      <c r="J838" s="50">
        <v>46269</v>
      </c>
      <c r="K838" s="54">
        <v>46275</v>
      </c>
      <c r="L838" s="54">
        <v>46269</v>
      </c>
      <c r="M838" s="54">
        <v>46275</v>
      </c>
      <c r="O838" s="51" t="str">
        <f t="shared" si="91"/>
        <v>SIM</v>
      </c>
      <c r="P838" s="51" t="str">
        <f t="shared" si="92"/>
        <v>BL1132-0001-AI-FDA-2009</v>
      </c>
      <c r="Q838" s="52">
        <f t="shared" si="93"/>
        <v>46275</v>
      </c>
      <c r="R838" s="52">
        <f t="shared" si="94"/>
        <v>46275</v>
      </c>
      <c r="S838" s="51" t="str">
        <f t="shared" si="95"/>
        <v/>
      </c>
      <c r="T838" t="str">
        <f t="shared" si="96"/>
        <v/>
      </c>
      <c r="U838" s="52" t="str">
        <f t="shared" si="97"/>
        <v/>
      </c>
    </row>
    <row r="839" spans="2:21" x14ac:dyDescent="0.25">
      <c r="B839">
        <v>857</v>
      </c>
      <c r="C839" t="s">
        <v>35</v>
      </c>
      <c r="D839" t="s">
        <v>447</v>
      </c>
      <c r="E839" t="s">
        <v>1517</v>
      </c>
      <c r="F839" t="s">
        <v>1519</v>
      </c>
      <c r="G839">
        <v>6</v>
      </c>
      <c r="H839" s="48">
        <v>0</v>
      </c>
      <c r="I839" s="50">
        <v>0</v>
      </c>
      <c r="J839" s="50">
        <v>46275</v>
      </c>
      <c r="K839" s="54">
        <v>46280</v>
      </c>
      <c r="L839" s="54">
        <v>46275</v>
      </c>
      <c r="M839" s="54">
        <v>46280</v>
      </c>
      <c r="O839" s="51" t="str">
        <f t="shared" si="91"/>
        <v/>
      </c>
      <c r="P839" s="51" t="str">
        <f t="shared" si="92"/>
        <v/>
      </c>
      <c r="Q839" s="52" t="str">
        <f t="shared" si="93"/>
        <v/>
      </c>
      <c r="R839" s="52" t="str">
        <f t="shared" si="94"/>
        <v/>
      </c>
      <c r="S839" s="51" t="str">
        <f t="shared" si="95"/>
        <v/>
      </c>
      <c r="T839" t="str">
        <f t="shared" si="96"/>
        <v/>
      </c>
      <c r="U839" s="52" t="str">
        <f t="shared" si="97"/>
        <v/>
      </c>
    </row>
    <row r="840" spans="2:21" x14ac:dyDescent="0.25">
      <c r="B840">
        <v>858</v>
      </c>
      <c r="C840" t="s">
        <v>35</v>
      </c>
      <c r="D840" t="s">
        <v>447</v>
      </c>
      <c r="E840" t="s">
        <v>1518</v>
      </c>
      <c r="F840" t="s">
        <v>1519</v>
      </c>
      <c r="G840">
        <v>4</v>
      </c>
      <c r="H840" s="48">
        <v>0</v>
      </c>
      <c r="I840" s="50">
        <v>0</v>
      </c>
      <c r="J840" s="50">
        <v>46280</v>
      </c>
      <c r="K840" s="54">
        <v>46283</v>
      </c>
      <c r="L840" s="54">
        <v>46280</v>
      </c>
      <c r="M840" s="54">
        <v>46283</v>
      </c>
      <c r="O840" s="51" t="str">
        <f t="shared" si="91"/>
        <v/>
      </c>
      <c r="P840" s="51" t="str">
        <f t="shared" si="92"/>
        <v/>
      </c>
      <c r="Q840" s="52" t="str">
        <f t="shared" si="93"/>
        <v/>
      </c>
      <c r="R840" s="52" t="str">
        <f t="shared" si="94"/>
        <v/>
      </c>
      <c r="S840" s="51" t="str">
        <f t="shared" si="95"/>
        <v>SIM</v>
      </c>
      <c r="T840" t="str">
        <f t="shared" si="96"/>
        <v>BL1132-0001-AI-FDA-2009</v>
      </c>
      <c r="U840" s="52">
        <f t="shared" si="97"/>
        <v>46283</v>
      </c>
    </row>
    <row r="841" spans="2:21" x14ac:dyDescent="0.25">
      <c r="B841">
        <v>859</v>
      </c>
      <c r="C841" t="s">
        <v>35</v>
      </c>
      <c r="D841" t="s">
        <v>447</v>
      </c>
      <c r="E841" t="s">
        <v>1520</v>
      </c>
      <c r="F841" t="s">
        <v>1519</v>
      </c>
      <c r="G841">
        <v>6</v>
      </c>
      <c r="H841" s="48">
        <v>0</v>
      </c>
      <c r="I841" s="50">
        <v>0</v>
      </c>
      <c r="J841" s="50">
        <v>46283</v>
      </c>
      <c r="K841" s="54">
        <v>46288</v>
      </c>
      <c r="L841" s="54">
        <v>46283</v>
      </c>
      <c r="M841" s="54">
        <v>46288</v>
      </c>
      <c r="O841" s="51" t="str">
        <f t="shared" si="91"/>
        <v/>
      </c>
      <c r="P841" s="51" t="str">
        <f t="shared" si="92"/>
        <v/>
      </c>
      <c r="Q841" s="52" t="str">
        <f t="shared" si="93"/>
        <v/>
      </c>
      <c r="R841" s="52" t="str">
        <f t="shared" si="94"/>
        <v/>
      </c>
      <c r="S841" s="51" t="str">
        <f t="shared" si="95"/>
        <v/>
      </c>
      <c r="T841" t="str">
        <f t="shared" si="96"/>
        <v/>
      </c>
      <c r="U841" s="52" t="str">
        <f t="shared" si="97"/>
        <v/>
      </c>
    </row>
    <row r="842" spans="2:21" x14ac:dyDescent="0.25">
      <c r="B842">
        <v>860</v>
      </c>
      <c r="C842" t="s">
        <v>36</v>
      </c>
      <c r="D842" t="s">
        <v>451</v>
      </c>
      <c r="E842" t="s">
        <v>1740</v>
      </c>
      <c r="F842" t="s">
        <v>1559</v>
      </c>
      <c r="G842">
        <v>20</v>
      </c>
      <c r="H842" s="48">
        <v>0</v>
      </c>
      <c r="I842" s="50">
        <v>0</v>
      </c>
      <c r="J842" s="50">
        <v>46269</v>
      </c>
      <c r="K842" s="54">
        <v>46288</v>
      </c>
      <c r="L842" s="54">
        <v>46269</v>
      </c>
      <c r="M842" s="54">
        <v>46288</v>
      </c>
      <c r="O842" s="51" t="str">
        <f t="shared" si="91"/>
        <v/>
      </c>
      <c r="P842" s="51" t="str">
        <f t="shared" si="92"/>
        <v/>
      </c>
      <c r="Q842" s="52" t="str">
        <f t="shared" si="93"/>
        <v/>
      </c>
      <c r="R842" s="52" t="str">
        <f t="shared" si="94"/>
        <v/>
      </c>
      <c r="S842" s="51" t="str">
        <f t="shared" si="95"/>
        <v/>
      </c>
      <c r="T842" t="str">
        <f t="shared" si="96"/>
        <v/>
      </c>
      <c r="U842" s="52" t="str">
        <f t="shared" si="97"/>
        <v/>
      </c>
    </row>
    <row r="843" spans="2:21" x14ac:dyDescent="0.25">
      <c r="B843">
        <v>861</v>
      </c>
      <c r="C843" t="s">
        <v>36</v>
      </c>
      <c r="D843" t="s">
        <v>451</v>
      </c>
      <c r="E843" t="s">
        <v>1515</v>
      </c>
      <c r="F843" t="s">
        <v>1519</v>
      </c>
      <c r="G843">
        <v>7</v>
      </c>
      <c r="H843" s="48">
        <v>0</v>
      </c>
      <c r="I843" s="50">
        <v>0</v>
      </c>
      <c r="J843" s="50">
        <v>46269</v>
      </c>
      <c r="K843" s="54">
        <v>46275</v>
      </c>
      <c r="L843" s="54">
        <v>46269</v>
      </c>
      <c r="M843" s="54">
        <v>46275</v>
      </c>
      <c r="O843" s="51" t="str">
        <f t="shared" si="91"/>
        <v>SIM</v>
      </c>
      <c r="P843" s="51" t="str">
        <f t="shared" si="92"/>
        <v>BL1132-0001-AI-FDA-2010</v>
      </c>
      <c r="Q843" s="52">
        <f t="shared" si="93"/>
        <v>46275</v>
      </c>
      <c r="R843" s="52">
        <f t="shared" si="94"/>
        <v>46275</v>
      </c>
      <c r="S843" s="51" t="str">
        <f t="shared" si="95"/>
        <v/>
      </c>
      <c r="T843" t="str">
        <f t="shared" si="96"/>
        <v/>
      </c>
      <c r="U843" s="52" t="str">
        <f t="shared" si="97"/>
        <v/>
      </c>
    </row>
    <row r="844" spans="2:21" x14ac:dyDescent="0.25">
      <c r="B844">
        <v>862</v>
      </c>
      <c r="C844" t="s">
        <v>36</v>
      </c>
      <c r="D844" t="s">
        <v>451</v>
      </c>
      <c r="E844" t="s">
        <v>1517</v>
      </c>
      <c r="F844" t="s">
        <v>1519</v>
      </c>
      <c r="G844">
        <v>6</v>
      </c>
      <c r="H844" s="48">
        <v>0</v>
      </c>
      <c r="I844" s="50">
        <v>0</v>
      </c>
      <c r="J844" s="50">
        <v>46275</v>
      </c>
      <c r="K844" s="54">
        <v>46280</v>
      </c>
      <c r="L844" s="54">
        <v>46275</v>
      </c>
      <c r="M844" s="54">
        <v>46280</v>
      </c>
      <c r="O844" s="51" t="str">
        <f t="shared" si="91"/>
        <v/>
      </c>
      <c r="P844" s="51" t="str">
        <f t="shared" si="92"/>
        <v/>
      </c>
      <c r="Q844" s="52" t="str">
        <f t="shared" si="93"/>
        <v/>
      </c>
      <c r="R844" s="52" t="str">
        <f t="shared" si="94"/>
        <v/>
      </c>
      <c r="S844" s="51" t="str">
        <f t="shared" si="95"/>
        <v/>
      </c>
      <c r="T844" t="str">
        <f t="shared" si="96"/>
        <v/>
      </c>
      <c r="U844" s="52" t="str">
        <f t="shared" si="97"/>
        <v/>
      </c>
    </row>
    <row r="845" spans="2:21" x14ac:dyDescent="0.25">
      <c r="B845">
        <v>863</v>
      </c>
      <c r="C845" t="s">
        <v>36</v>
      </c>
      <c r="D845" t="s">
        <v>451</v>
      </c>
      <c r="E845" t="s">
        <v>1518</v>
      </c>
      <c r="F845" t="s">
        <v>1519</v>
      </c>
      <c r="G845">
        <v>4</v>
      </c>
      <c r="H845" s="48">
        <v>0</v>
      </c>
      <c r="I845" s="50">
        <v>0</v>
      </c>
      <c r="J845" s="50">
        <v>46280</v>
      </c>
      <c r="K845" s="54">
        <v>46283</v>
      </c>
      <c r="L845" s="54">
        <v>46280</v>
      </c>
      <c r="M845" s="54">
        <v>46283</v>
      </c>
      <c r="O845" s="51" t="str">
        <f t="shared" si="91"/>
        <v/>
      </c>
      <c r="P845" s="51" t="str">
        <f t="shared" si="92"/>
        <v/>
      </c>
      <c r="Q845" s="52" t="str">
        <f t="shared" si="93"/>
        <v/>
      </c>
      <c r="R845" s="52" t="str">
        <f t="shared" si="94"/>
        <v/>
      </c>
      <c r="S845" s="51" t="str">
        <f t="shared" si="95"/>
        <v>SIM</v>
      </c>
      <c r="T845" t="str">
        <f t="shared" si="96"/>
        <v>BL1132-0001-AI-FDA-2010</v>
      </c>
      <c r="U845" s="52">
        <f t="shared" si="97"/>
        <v>46283</v>
      </c>
    </row>
    <row r="846" spans="2:21" x14ac:dyDescent="0.25">
      <c r="B846">
        <v>864</v>
      </c>
      <c r="C846" t="s">
        <v>36</v>
      </c>
      <c r="D846" t="s">
        <v>451</v>
      </c>
      <c r="E846" t="s">
        <v>1520</v>
      </c>
      <c r="F846" t="s">
        <v>1519</v>
      </c>
      <c r="G846">
        <v>6</v>
      </c>
      <c r="H846" s="48">
        <v>0</v>
      </c>
      <c r="I846" s="50">
        <v>0</v>
      </c>
      <c r="J846" s="50">
        <v>46283</v>
      </c>
      <c r="K846" s="54">
        <v>46288</v>
      </c>
      <c r="L846" s="54">
        <v>46283</v>
      </c>
      <c r="M846" s="54">
        <v>46288</v>
      </c>
      <c r="O846" s="51" t="str">
        <f t="shared" si="91"/>
        <v/>
      </c>
      <c r="P846" s="51" t="str">
        <f t="shared" si="92"/>
        <v/>
      </c>
      <c r="Q846" s="52" t="str">
        <f t="shared" si="93"/>
        <v/>
      </c>
      <c r="R846" s="52" t="str">
        <f t="shared" si="94"/>
        <v/>
      </c>
      <c r="S846" s="51" t="str">
        <f t="shared" si="95"/>
        <v/>
      </c>
      <c r="T846" t="str">
        <f t="shared" si="96"/>
        <v/>
      </c>
      <c r="U846" s="52" t="str">
        <f t="shared" si="97"/>
        <v/>
      </c>
    </row>
    <row r="847" spans="2:21" x14ac:dyDescent="0.25">
      <c r="B847">
        <v>865</v>
      </c>
      <c r="E847" t="s">
        <v>1741</v>
      </c>
      <c r="F847" t="s">
        <v>1559</v>
      </c>
      <c r="G847">
        <v>19</v>
      </c>
      <c r="H847" s="48">
        <v>0</v>
      </c>
      <c r="I847" s="50">
        <v>0</v>
      </c>
      <c r="J847" s="50">
        <v>46247</v>
      </c>
      <c r="K847" s="54">
        <v>46265</v>
      </c>
      <c r="L847" s="54">
        <v>46247</v>
      </c>
      <c r="M847" s="54">
        <v>46265</v>
      </c>
      <c r="O847" s="51" t="str">
        <f t="shared" si="91"/>
        <v/>
      </c>
      <c r="P847" s="51" t="str">
        <f t="shared" si="92"/>
        <v/>
      </c>
      <c r="Q847" s="52" t="str">
        <f t="shared" si="93"/>
        <v/>
      </c>
      <c r="R847" s="52" t="str">
        <f t="shared" si="94"/>
        <v/>
      </c>
      <c r="S847" s="51" t="str">
        <f t="shared" si="95"/>
        <v/>
      </c>
      <c r="T847" t="str">
        <f t="shared" si="96"/>
        <v/>
      </c>
      <c r="U847" s="52" t="str">
        <f t="shared" si="97"/>
        <v/>
      </c>
    </row>
    <row r="848" spans="2:21" x14ac:dyDescent="0.25">
      <c r="B848">
        <v>866</v>
      </c>
      <c r="E848" t="s">
        <v>1560</v>
      </c>
      <c r="F848" t="s">
        <v>1559</v>
      </c>
      <c r="G848">
        <v>19</v>
      </c>
      <c r="H848" s="48">
        <v>0</v>
      </c>
      <c r="I848" s="50">
        <v>0</v>
      </c>
      <c r="J848" s="50">
        <v>46247</v>
      </c>
      <c r="K848" s="54">
        <v>46265</v>
      </c>
      <c r="L848" s="54">
        <v>46247</v>
      </c>
      <c r="M848" s="54">
        <v>46265</v>
      </c>
      <c r="O848" s="51" t="str">
        <f t="shared" si="91"/>
        <v/>
      </c>
      <c r="P848" s="51" t="str">
        <f t="shared" si="92"/>
        <v/>
      </c>
      <c r="Q848" s="52" t="str">
        <f t="shared" si="93"/>
        <v/>
      </c>
      <c r="R848" s="52" t="str">
        <f t="shared" si="94"/>
        <v/>
      </c>
      <c r="S848" s="51" t="str">
        <f t="shared" si="95"/>
        <v/>
      </c>
      <c r="T848" t="str">
        <f t="shared" si="96"/>
        <v/>
      </c>
      <c r="U848" s="52" t="str">
        <f t="shared" si="97"/>
        <v/>
      </c>
    </row>
    <row r="849" spans="2:21" x14ac:dyDescent="0.25">
      <c r="B849">
        <v>867</v>
      </c>
      <c r="E849" t="s">
        <v>1707</v>
      </c>
      <c r="F849" t="s">
        <v>1559</v>
      </c>
      <c r="G849">
        <v>19</v>
      </c>
      <c r="H849" s="48">
        <v>0</v>
      </c>
      <c r="I849" s="50">
        <v>0</v>
      </c>
      <c r="J849" s="50">
        <v>46247</v>
      </c>
      <c r="K849" s="54">
        <v>46265</v>
      </c>
      <c r="L849" s="54">
        <v>46247</v>
      </c>
      <c r="M849" s="54">
        <v>46265</v>
      </c>
      <c r="O849" s="51" t="str">
        <f t="shared" si="91"/>
        <v/>
      </c>
      <c r="P849" s="51" t="str">
        <f t="shared" si="92"/>
        <v/>
      </c>
      <c r="Q849" s="52" t="str">
        <f t="shared" si="93"/>
        <v/>
      </c>
      <c r="R849" s="52" t="str">
        <f t="shared" si="94"/>
        <v/>
      </c>
      <c r="S849" s="51" t="str">
        <f t="shared" si="95"/>
        <v/>
      </c>
      <c r="T849" t="str">
        <f t="shared" si="96"/>
        <v/>
      </c>
      <c r="U849" s="52" t="str">
        <f t="shared" si="97"/>
        <v/>
      </c>
    </row>
    <row r="850" spans="2:21" x14ac:dyDescent="0.25">
      <c r="B850">
        <v>868</v>
      </c>
      <c r="C850" t="s">
        <v>17</v>
      </c>
      <c r="D850" t="s">
        <v>361</v>
      </c>
      <c r="E850" t="s">
        <v>1742</v>
      </c>
      <c r="F850" t="s">
        <v>1559</v>
      </c>
      <c r="G850">
        <v>19</v>
      </c>
      <c r="H850" s="48">
        <v>0</v>
      </c>
      <c r="I850" s="50">
        <v>0</v>
      </c>
      <c r="J850" s="50">
        <v>46247</v>
      </c>
      <c r="K850" s="54">
        <v>46265</v>
      </c>
      <c r="L850" s="54">
        <v>46247</v>
      </c>
      <c r="M850" s="54">
        <v>46265</v>
      </c>
      <c r="O850" s="51" t="str">
        <f t="shared" si="91"/>
        <v/>
      </c>
      <c r="P850" s="51" t="str">
        <f t="shared" si="92"/>
        <v/>
      </c>
      <c r="Q850" s="52" t="str">
        <f t="shared" si="93"/>
        <v/>
      </c>
      <c r="R850" s="52" t="str">
        <f t="shared" si="94"/>
        <v/>
      </c>
      <c r="S850" s="51" t="str">
        <f t="shared" si="95"/>
        <v/>
      </c>
      <c r="T850" t="str">
        <f t="shared" si="96"/>
        <v/>
      </c>
      <c r="U850" s="52" t="str">
        <f t="shared" si="97"/>
        <v/>
      </c>
    </row>
    <row r="851" spans="2:21" x14ac:dyDescent="0.25">
      <c r="B851">
        <v>869</v>
      </c>
      <c r="C851" t="s">
        <v>17</v>
      </c>
      <c r="D851" t="s">
        <v>361</v>
      </c>
      <c r="E851" t="s">
        <v>1515</v>
      </c>
      <c r="F851" t="s">
        <v>1519</v>
      </c>
      <c r="G851">
        <v>6</v>
      </c>
      <c r="H851" s="48">
        <v>0</v>
      </c>
      <c r="I851" s="50">
        <v>0</v>
      </c>
      <c r="J851" s="50">
        <v>46247</v>
      </c>
      <c r="K851" s="54">
        <v>46252</v>
      </c>
      <c r="L851" s="54">
        <v>46247</v>
      </c>
      <c r="M851" s="54">
        <v>46252</v>
      </c>
      <c r="O851" s="51" t="str">
        <f t="shared" si="91"/>
        <v>SIM</v>
      </c>
      <c r="P851" s="51" t="str">
        <f t="shared" si="92"/>
        <v>BL1132-0001-AI-DPR-2004</v>
      </c>
      <c r="Q851" s="52">
        <f t="shared" si="93"/>
        <v>46252</v>
      </c>
      <c r="R851" s="52">
        <f t="shared" si="94"/>
        <v>46252</v>
      </c>
      <c r="S851" s="51" t="str">
        <f t="shared" si="95"/>
        <v/>
      </c>
      <c r="T851" t="str">
        <f t="shared" si="96"/>
        <v/>
      </c>
      <c r="U851" s="52" t="str">
        <f t="shared" si="97"/>
        <v/>
      </c>
    </row>
    <row r="852" spans="2:21" x14ac:dyDescent="0.25">
      <c r="B852">
        <v>870</v>
      </c>
      <c r="C852" t="s">
        <v>17</v>
      </c>
      <c r="D852" t="s">
        <v>361</v>
      </c>
      <c r="E852" t="s">
        <v>1517</v>
      </c>
      <c r="F852" t="s">
        <v>1519</v>
      </c>
      <c r="G852">
        <v>4</v>
      </c>
      <c r="H852" s="48">
        <v>0</v>
      </c>
      <c r="I852" s="50">
        <v>0</v>
      </c>
      <c r="J852" s="50">
        <v>46252</v>
      </c>
      <c r="K852" s="54">
        <v>46255</v>
      </c>
      <c r="L852" s="54">
        <v>46252</v>
      </c>
      <c r="M852" s="54">
        <v>46255</v>
      </c>
      <c r="O852" s="51" t="str">
        <f t="shared" si="91"/>
        <v/>
      </c>
      <c r="P852" s="51" t="str">
        <f t="shared" si="92"/>
        <v/>
      </c>
      <c r="Q852" s="52" t="str">
        <f t="shared" si="93"/>
        <v/>
      </c>
      <c r="R852" s="52" t="str">
        <f t="shared" si="94"/>
        <v/>
      </c>
      <c r="S852" s="51" t="str">
        <f t="shared" si="95"/>
        <v/>
      </c>
      <c r="T852" t="str">
        <f t="shared" si="96"/>
        <v/>
      </c>
      <c r="U852" s="52" t="str">
        <f t="shared" si="97"/>
        <v/>
      </c>
    </row>
    <row r="853" spans="2:21" x14ac:dyDescent="0.25">
      <c r="B853">
        <v>871</v>
      </c>
      <c r="C853" t="s">
        <v>17</v>
      </c>
      <c r="D853" t="s">
        <v>361</v>
      </c>
      <c r="E853" t="s">
        <v>1518</v>
      </c>
      <c r="F853" t="s">
        <v>1519</v>
      </c>
      <c r="G853">
        <v>6</v>
      </c>
      <c r="H853" s="48">
        <v>0</v>
      </c>
      <c r="I853" s="50">
        <v>0</v>
      </c>
      <c r="J853" s="50">
        <v>46255</v>
      </c>
      <c r="K853" s="54">
        <v>46260</v>
      </c>
      <c r="L853" s="54">
        <v>46255</v>
      </c>
      <c r="M853" s="54">
        <v>46260</v>
      </c>
      <c r="O853" s="51" t="str">
        <f t="shared" si="91"/>
        <v/>
      </c>
      <c r="P853" s="51" t="str">
        <f t="shared" si="92"/>
        <v/>
      </c>
      <c r="Q853" s="52" t="str">
        <f t="shared" si="93"/>
        <v/>
      </c>
      <c r="R853" s="52" t="str">
        <f t="shared" si="94"/>
        <v/>
      </c>
      <c r="S853" s="51" t="str">
        <f t="shared" si="95"/>
        <v>SIM</v>
      </c>
      <c r="T853" t="str">
        <f t="shared" si="96"/>
        <v>BL1132-0001-AI-DPR-2004</v>
      </c>
      <c r="U853" s="52">
        <f t="shared" si="97"/>
        <v>46260</v>
      </c>
    </row>
    <row r="854" spans="2:21" x14ac:dyDescent="0.25">
      <c r="B854">
        <v>872</v>
      </c>
      <c r="C854" t="s">
        <v>17</v>
      </c>
      <c r="D854" t="s">
        <v>361</v>
      </c>
      <c r="E854" t="s">
        <v>1520</v>
      </c>
      <c r="F854" t="s">
        <v>1519</v>
      </c>
      <c r="G854">
        <v>6</v>
      </c>
      <c r="H854" s="48">
        <v>0</v>
      </c>
      <c r="I854" s="50">
        <v>0</v>
      </c>
      <c r="J854" s="50">
        <v>46260</v>
      </c>
      <c r="K854" s="54">
        <v>46265</v>
      </c>
      <c r="L854" s="54">
        <v>46260</v>
      </c>
      <c r="M854" s="54">
        <v>46265</v>
      </c>
      <c r="O854" s="51" t="str">
        <f t="shared" si="91"/>
        <v/>
      </c>
      <c r="P854" s="51" t="str">
        <f t="shared" si="92"/>
        <v/>
      </c>
      <c r="Q854" s="52" t="str">
        <f t="shared" si="93"/>
        <v/>
      </c>
      <c r="R854" s="52" t="str">
        <f t="shared" si="94"/>
        <v/>
      </c>
      <c r="S854" s="51" t="str">
        <f t="shared" si="95"/>
        <v/>
      </c>
      <c r="T854" t="str">
        <f t="shared" si="96"/>
        <v/>
      </c>
      <c r="U854" s="52" t="str">
        <f t="shared" si="97"/>
        <v/>
      </c>
    </row>
    <row r="855" spans="2:21" x14ac:dyDescent="0.25">
      <c r="B855">
        <v>873</v>
      </c>
      <c r="C855" t="s">
        <v>50</v>
      </c>
      <c r="D855" t="s">
        <v>520</v>
      </c>
      <c r="E855" t="s">
        <v>1743</v>
      </c>
      <c r="F855" t="s">
        <v>1641</v>
      </c>
      <c r="G855">
        <v>18</v>
      </c>
      <c r="H855" s="48">
        <v>0</v>
      </c>
      <c r="I855" s="50">
        <v>0</v>
      </c>
      <c r="J855" s="50">
        <v>46248</v>
      </c>
      <c r="K855" s="54">
        <v>46265</v>
      </c>
      <c r="L855" s="54">
        <v>46248</v>
      </c>
      <c r="M855" s="54">
        <v>46265</v>
      </c>
      <c r="O855" s="51" t="str">
        <f t="shared" si="91"/>
        <v/>
      </c>
      <c r="P855" s="51" t="str">
        <f t="shared" si="92"/>
        <v/>
      </c>
      <c r="Q855" s="52" t="str">
        <f t="shared" si="93"/>
        <v/>
      </c>
      <c r="R855" s="52" t="str">
        <f t="shared" si="94"/>
        <v/>
      </c>
      <c r="S855" s="51" t="str">
        <f t="shared" si="95"/>
        <v/>
      </c>
      <c r="T855" t="str">
        <f t="shared" si="96"/>
        <v/>
      </c>
      <c r="U855" s="52" t="str">
        <f t="shared" si="97"/>
        <v/>
      </c>
    </row>
    <row r="856" spans="2:21" x14ac:dyDescent="0.25">
      <c r="B856">
        <v>874</v>
      </c>
      <c r="C856" t="s">
        <v>50</v>
      </c>
      <c r="D856" t="s">
        <v>520</v>
      </c>
      <c r="E856" t="s">
        <v>1515</v>
      </c>
      <c r="F856" t="s">
        <v>1642</v>
      </c>
      <c r="G856">
        <v>5</v>
      </c>
      <c r="H856" s="48">
        <v>0</v>
      </c>
      <c r="I856" s="50">
        <v>0</v>
      </c>
      <c r="J856" s="50">
        <v>46248</v>
      </c>
      <c r="K856" s="54">
        <v>46252</v>
      </c>
      <c r="L856" s="54">
        <v>46248</v>
      </c>
      <c r="M856" s="54">
        <v>46252</v>
      </c>
      <c r="O856" s="51" t="str">
        <f t="shared" si="91"/>
        <v>SIM</v>
      </c>
      <c r="P856" s="51" t="str">
        <f t="shared" si="92"/>
        <v>BL1132-0001-AI-FDA-2024</v>
      </c>
      <c r="Q856" s="52">
        <f t="shared" si="93"/>
        <v>46252</v>
      </c>
      <c r="R856" s="52">
        <f t="shared" si="94"/>
        <v>46252</v>
      </c>
      <c r="S856" s="51" t="str">
        <f t="shared" si="95"/>
        <v/>
      </c>
      <c r="T856" t="str">
        <f t="shared" si="96"/>
        <v/>
      </c>
      <c r="U856" s="52" t="str">
        <f t="shared" si="97"/>
        <v/>
      </c>
    </row>
    <row r="857" spans="2:21" x14ac:dyDescent="0.25">
      <c r="B857">
        <v>875</v>
      </c>
      <c r="C857" t="s">
        <v>50</v>
      </c>
      <c r="D857" t="s">
        <v>520</v>
      </c>
      <c r="E857" t="s">
        <v>1517</v>
      </c>
      <c r="F857" t="s">
        <v>1519</v>
      </c>
      <c r="G857">
        <v>4</v>
      </c>
      <c r="H857" s="48">
        <v>0</v>
      </c>
      <c r="I857" s="50">
        <v>0</v>
      </c>
      <c r="J857" s="50">
        <v>46252</v>
      </c>
      <c r="K857" s="54">
        <v>46255</v>
      </c>
      <c r="L857" s="54">
        <v>46252</v>
      </c>
      <c r="M857" s="54">
        <v>46255</v>
      </c>
      <c r="O857" s="51" t="str">
        <f t="shared" si="91"/>
        <v/>
      </c>
      <c r="P857" s="51" t="str">
        <f t="shared" si="92"/>
        <v/>
      </c>
      <c r="Q857" s="52" t="str">
        <f t="shared" si="93"/>
        <v/>
      </c>
      <c r="R857" s="52" t="str">
        <f t="shared" si="94"/>
        <v/>
      </c>
      <c r="S857" s="51" t="str">
        <f t="shared" si="95"/>
        <v/>
      </c>
      <c r="T857" t="str">
        <f t="shared" si="96"/>
        <v/>
      </c>
      <c r="U857" s="52" t="str">
        <f t="shared" si="97"/>
        <v/>
      </c>
    </row>
    <row r="858" spans="2:21" x14ac:dyDescent="0.25">
      <c r="B858">
        <v>876</v>
      </c>
      <c r="C858" t="s">
        <v>50</v>
      </c>
      <c r="D858" t="s">
        <v>520</v>
      </c>
      <c r="E858" t="s">
        <v>1518</v>
      </c>
      <c r="F858" t="s">
        <v>1519</v>
      </c>
      <c r="G858">
        <v>6</v>
      </c>
      <c r="H858" s="48">
        <v>0</v>
      </c>
      <c r="I858" s="50">
        <v>0</v>
      </c>
      <c r="J858" s="50">
        <v>46255</v>
      </c>
      <c r="K858" s="54">
        <v>46260</v>
      </c>
      <c r="L858" s="54">
        <v>46255</v>
      </c>
      <c r="M858" s="54">
        <v>46260</v>
      </c>
      <c r="O858" s="51" t="str">
        <f t="shared" si="91"/>
        <v/>
      </c>
      <c r="P858" s="51" t="str">
        <f t="shared" si="92"/>
        <v/>
      </c>
      <c r="Q858" s="52" t="str">
        <f t="shared" si="93"/>
        <v/>
      </c>
      <c r="R858" s="52" t="str">
        <f t="shared" si="94"/>
        <v/>
      </c>
      <c r="S858" s="51" t="str">
        <f t="shared" si="95"/>
        <v>SIM</v>
      </c>
      <c r="T858" t="str">
        <f t="shared" si="96"/>
        <v>BL1132-0001-AI-FDA-2024</v>
      </c>
      <c r="U858" s="52">
        <f t="shared" si="97"/>
        <v>46260</v>
      </c>
    </row>
    <row r="859" spans="2:21" x14ac:dyDescent="0.25">
      <c r="B859">
        <v>877</v>
      </c>
      <c r="C859" t="s">
        <v>50</v>
      </c>
      <c r="D859" t="s">
        <v>520</v>
      </c>
      <c r="E859" t="s">
        <v>1520</v>
      </c>
      <c r="F859" t="s">
        <v>1519</v>
      </c>
      <c r="G859">
        <v>6</v>
      </c>
      <c r="H859" s="48">
        <v>0</v>
      </c>
      <c r="I859" s="50">
        <v>0</v>
      </c>
      <c r="J859" s="50">
        <v>46260</v>
      </c>
      <c r="K859" s="54">
        <v>46265</v>
      </c>
      <c r="L859" s="54">
        <v>46260</v>
      </c>
      <c r="M859" s="54">
        <v>46265</v>
      </c>
      <c r="O859" s="51" t="str">
        <f t="shared" si="91"/>
        <v/>
      </c>
      <c r="P859" s="51" t="str">
        <f t="shared" si="92"/>
        <v/>
      </c>
      <c r="Q859" s="52" t="str">
        <f t="shared" si="93"/>
        <v/>
      </c>
      <c r="R859" s="52" t="str">
        <f t="shared" si="94"/>
        <v/>
      </c>
      <c r="S859" s="51" t="str">
        <f t="shared" si="95"/>
        <v/>
      </c>
      <c r="T859" t="str">
        <f t="shared" si="96"/>
        <v/>
      </c>
      <c r="U859" s="52" t="str">
        <f t="shared" si="97"/>
        <v/>
      </c>
    </row>
    <row r="860" spans="2:21" x14ac:dyDescent="0.25">
      <c r="B860">
        <v>878</v>
      </c>
      <c r="C860" t="s">
        <v>23</v>
      </c>
      <c r="D860" t="s">
        <v>393</v>
      </c>
      <c r="E860" t="s">
        <v>1744</v>
      </c>
      <c r="F860" t="s">
        <v>1641</v>
      </c>
      <c r="G860">
        <v>18</v>
      </c>
      <c r="H860" s="48">
        <v>0</v>
      </c>
      <c r="I860" s="50">
        <v>0</v>
      </c>
      <c r="J860" s="50">
        <v>46248</v>
      </c>
      <c r="K860" s="54">
        <v>46265</v>
      </c>
      <c r="L860" s="54">
        <v>46248</v>
      </c>
      <c r="M860" s="54">
        <v>46265</v>
      </c>
      <c r="O860" s="51" t="str">
        <f t="shared" si="91"/>
        <v/>
      </c>
      <c r="P860" s="51" t="str">
        <f t="shared" si="92"/>
        <v/>
      </c>
      <c r="Q860" s="52" t="str">
        <f t="shared" si="93"/>
        <v/>
      </c>
      <c r="R860" s="52" t="str">
        <f t="shared" si="94"/>
        <v/>
      </c>
      <c r="S860" s="51" t="str">
        <f t="shared" si="95"/>
        <v/>
      </c>
      <c r="T860" t="str">
        <f t="shared" si="96"/>
        <v/>
      </c>
      <c r="U860" s="52" t="str">
        <f t="shared" si="97"/>
        <v/>
      </c>
    </row>
    <row r="861" spans="2:21" x14ac:dyDescent="0.25">
      <c r="B861">
        <v>879</v>
      </c>
      <c r="C861" t="s">
        <v>23</v>
      </c>
      <c r="D861" t="s">
        <v>393</v>
      </c>
      <c r="E861" t="s">
        <v>1515</v>
      </c>
      <c r="F861" t="s">
        <v>1642</v>
      </c>
      <c r="G861">
        <v>5</v>
      </c>
      <c r="H861" s="48">
        <v>0</v>
      </c>
      <c r="I861" s="50">
        <v>0</v>
      </c>
      <c r="J861" s="50">
        <v>46248</v>
      </c>
      <c r="K861" s="54">
        <v>46252</v>
      </c>
      <c r="L861" s="54">
        <v>46248</v>
      </c>
      <c r="M861" s="54">
        <v>46252</v>
      </c>
      <c r="O861" s="51" t="str">
        <f t="shared" si="91"/>
        <v>SIM</v>
      </c>
      <c r="P861" s="51" t="str">
        <f t="shared" si="92"/>
        <v>BL1132-0001-AI-ETE-2002</v>
      </c>
      <c r="Q861" s="52">
        <f t="shared" si="93"/>
        <v>46252</v>
      </c>
      <c r="R861" s="52">
        <f t="shared" si="94"/>
        <v>46252</v>
      </c>
      <c r="S861" s="51" t="str">
        <f t="shared" si="95"/>
        <v/>
      </c>
      <c r="T861" t="str">
        <f t="shared" si="96"/>
        <v/>
      </c>
      <c r="U861" s="52" t="str">
        <f t="shared" si="97"/>
        <v/>
      </c>
    </row>
    <row r="862" spans="2:21" x14ac:dyDescent="0.25">
      <c r="B862">
        <v>880</v>
      </c>
      <c r="C862" t="s">
        <v>23</v>
      </c>
      <c r="D862" t="s">
        <v>393</v>
      </c>
      <c r="E862" t="s">
        <v>1517</v>
      </c>
      <c r="F862" t="s">
        <v>1519</v>
      </c>
      <c r="G862">
        <v>4</v>
      </c>
      <c r="H862" s="48">
        <v>0</v>
      </c>
      <c r="I862" s="50">
        <v>0</v>
      </c>
      <c r="J862" s="50">
        <v>46252</v>
      </c>
      <c r="K862" s="54">
        <v>46255</v>
      </c>
      <c r="L862" s="54">
        <v>46252</v>
      </c>
      <c r="M862" s="54">
        <v>46255</v>
      </c>
      <c r="O862" s="51" t="str">
        <f t="shared" si="91"/>
        <v/>
      </c>
      <c r="P862" s="51" t="str">
        <f t="shared" si="92"/>
        <v/>
      </c>
      <c r="Q862" s="52" t="str">
        <f t="shared" si="93"/>
        <v/>
      </c>
      <c r="R862" s="52" t="str">
        <f t="shared" si="94"/>
        <v/>
      </c>
      <c r="S862" s="51" t="str">
        <f t="shared" si="95"/>
        <v/>
      </c>
      <c r="T862" t="str">
        <f t="shared" si="96"/>
        <v/>
      </c>
      <c r="U862" s="52" t="str">
        <f t="shared" si="97"/>
        <v/>
      </c>
    </row>
    <row r="863" spans="2:21" x14ac:dyDescent="0.25">
      <c r="B863">
        <v>881</v>
      </c>
      <c r="C863" t="s">
        <v>23</v>
      </c>
      <c r="D863" t="s">
        <v>393</v>
      </c>
      <c r="E863" t="s">
        <v>1518</v>
      </c>
      <c r="F863" t="s">
        <v>1519</v>
      </c>
      <c r="G863">
        <v>6</v>
      </c>
      <c r="H863" s="48">
        <v>0</v>
      </c>
      <c r="I863" s="50">
        <v>0</v>
      </c>
      <c r="J863" s="50">
        <v>46255</v>
      </c>
      <c r="K863" s="54">
        <v>46260</v>
      </c>
      <c r="L863" s="54">
        <v>46255</v>
      </c>
      <c r="M863" s="54">
        <v>46260</v>
      </c>
      <c r="O863" s="51" t="str">
        <f t="shared" si="91"/>
        <v/>
      </c>
      <c r="P863" s="51" t="str">
        <f t="shared" si="92"/>
        <v/>
      </c>
      <c r="Q863" s="52" t="str">
        <f t="shared" si="93"/>
        <v/>
      </c>
      <c r="R863" s="52" t="str">
        <f t="shared" si="94"/>
        <v/>
      </c>
      <c r="S863" s="51" t="str">
        <f t="shared" si="95"/>
        <v>SIM</v>
      </c>
      <c r="T863" t="str">
        <f t="shared" si="96"/>
        <v>BL1132-0001-AI-ETE-2002</v>
      </c>
      <c r="U863" s="52">
        <f t="shared" si="97"/>
        <v>46260</v>
      </c>
    </row>
    <row r="864" spans="2:21" x14ac:dyDescent="0.25">
      <c r="B864">
        <v>882</v>
      </c>
      <c r="C864" t="s">
        <v>23</v>
      </c>
      <c r="D864" t="s">
        <v>393</v>
      </c>
      <c r="E864" t="s">
        <v>1520</v>
      </c>
      <c r="F864" t="s">
        <v>1519</v>
      </c>
      <c r="G864">
        <v>6</v>
      </c>
      <c r="H864" s="48">
        <v>0</v>
      </c>
      <c r="I864" s="50">
        <v>0</v>
      </c>
      <c r="J864" s="50">
        <v>46260</v>
      </c>
      <c r="K864" s="54">
        <v>46265</v>
      </c>
      <c r="L864" s="54">
        <v>46260</v>
      </c>
      <c r="M864" s="54">
        <v>46265</v>
      </c>
      <c r="O864" s="51" t="str">
        <f t="shared" si="91"/>
        <v/>
      </c>
      <c r="P864" s="51" t="str">
        <f t="shared" si="92"/>
        <v/>
      </c>
      <c r="Q864" s="52" t="str">
        <f t="shared" si="93"/>
        <v/>
      </c>
      <c r="R864" s="52" t="str">
        <f t="shared" si="94"/>
        <v/>
      </c>
      <c r="S864" s="51" t="str">
        <f t="shared" si="95"/>
        <v/>
      </c>
      <c r="T864" t="str">
        <f t="shared" si="96"/>
        <v/>
      </c>
      <c r="U864" s="52" t="str">
        <f t="shared" si="97"/>
        <v/>
      </c>
    </row>
    <row r="865" spans="2:21" x14ac:dyDescent="0.25">
      <c r="B865">
        <v>883</v>
      </c>
      <c r="E865" t="s">
        <v>1745</v>
      </c>
      <c r="F865" t="s">
        <v>1598</v>
      </c>
      <c r="G865">
        <v>26</v>
      </c>
      <c r="H865" s="48">
        <v>0</v>
      </c>
      <c r="I865" s="50">
        <v>0</v>
      </c>
      <c r="J865" s="50">
        <v>46227</v>
      </c>
      <c r="K865" s="54">
        <v>46252</v>
      </c>
      <c r="L865" s="54">
        <v>46227</v>
      </c>
      <c r="M865" s="54">
        <v>46252</v>
      </c>
      <c r="O865" s="51" t="str">
        <f t="shared" si="91"/>
        <v/>
      </c>
      <c r="P865" s="51" t="str">
        <f t="shared" si="92"/>
        <v/>
      </c>
      <c r="Q865" s="52" t="str">
        <f t="shared" si="93"/>
        <v/>
      </c>
      <c r="R865" s="52" t="str">
        <f t="shared" si="94"/>
        <v/>
      </c>
      <c r="S865" s="51" t="str">
        <f t="shared" si="95"/>
        <v/>
      </c>
      <c r="T865" t="str">
        <f t="shared" si="96"/>
        <v/>
      </c>
      <c r="U865" s="52" t="str">
        <f t="shared" si="97"/>
        <v/>
      </c>
    </row>
    <row r="866" spans="2:21" x14ac:dyDescent="0.25">
      <c r="B866">
        <v>884</v>
      </c>
      <c r="E866" t="s">
        <v>1560</v>
      </c>
      <c r="F866" t="s">
        <v>1598</v>
      </c>
      <c r="G866">
        <v>26</v>
      </c>
      <c r="H866" s="48">
        <v>0</v>
      </c>
      <c r="I866" s="50">
        <v>0</v>
      </c>
      <c r="J866" s="50">
        <v>46227</v>
      </c>
      <c r="K866" s="54">
        <v>46252</v>
      </c>
      <c r="L866" s="54">
        <v>46227</v>
      </c>
      <c r="M866" s="54">
        <v>46252</v>
      </c>
      <c r="O866" s="51" t="str">
        <f t="shared" si="91"/>
        <v/>
      </c>
      <c r="P866" s="51" t="str">
        <f t="shared" si="92"/>
        <v/>
      </c>
      <c r="Q866" s="52" t="str">
        <f t="shared" si="93"/>
        <v/>
      </c>
      <c r="R866" s="52" t="str">
        <f t="shared" si="94"/>
        <v/>
      </c>
      <c r="S866" s="51" t="str">
        <f t="shared" si="95"/>
        <v/>
      </c>
      <c r="T866" t="str">
        <f t="shared" si="96"/>
        <v/>
      </c>
      <c r="U866" s="52" t="str">
        <f t="shared" si="97"/>
        <v/>
      </c>
    </row>
    <row r="867" spans="2:21" x14ac:dyDescent="0.25">
      <c r="B867">
        <v>885</v>
      </c>
      <c r="E867" t="s">
        <v>1707</v>
      </c>
      <c r="F867" t="s">
        <v>1598</v>
      </c>
      <c r="G867">
        <v>26</v>
      </c>
      <c r="H867" s="48">
        <v>0</v>
      </c>
      <c r="I867" s="50">
        <v>0</v>
      </c>
      <c r="J867" s="50">
        <v>46227</v>
      </c>
      <c r="K867" s="54">
        <v>46252</v>
      </c>
      <c r="L867" s="54">
        <v>46227</v>
      </c>
      <c r="M867" s="54">
        <v>46252</v>
      </c>
      <c r="O867" s="51" t="str">
        <f t="shared" si="91"/>
        <v/>
      </c>
      <c r="P867" s="51" t="str">
        <f t="shared" si="92"/>
        <v/>
      </c>
      <c r="Q867" s="52" t="str">
        <f t="shared" si="93"/>
        <v/>
      </c>
      <c r="R867" s="52" t="str">
        <f t="shared" si="94"/>
        <v/>
      </c>
      <c r="S867" s="51" t="str">
        <f t="shared" si="95"/>
        <v/>
      </c>
      <c r="T867" t="str">
        <f t="shared" si="96"/>
        <v/>
      </c>
      <c r="U867" s="52" t="str">
        <f t="shared" si="97"/>
        <v/>
      </c>
    </row>
    <row r="868" spans="2:21" x14ac:dyDescent="0.25">
      <c r="B868">
        <v>886</v>
      </c>
      <c r="C868" t="s">
        <v>20</v>
      </c>
      <c r="D868" t="s">
        <v>377</v>
      </c>
      <c r="E868" t="s">
        <v>1746</v>
      </c>
      <c r="F868" t="s">
        <v>1641</v>
      </c>
      <c r="G868">
        <v>18</v>
      </c>
      <c r="H868" s="48">
        <v>0</v>
      </c>
      <c r="I868" s="50">
        <v>0</v>
      </c>
      <c r="J868" s="50">
        <v>46227</v>
      </c>
      <c r="K868" s="54">
        <v>46244</v>
      </c>
      <c r="L868" s="54">
        <v>46227</v>
      </c>
      <c r="M868" s="54">
        <v>46244</v>
      </c>
      <c r="O868" s="51" t="str">
        <f t="shared" si="91"/>
        <v/>
      </c>
      <c r="P868" s="51" t="str">
        <f t="shared" si="92"/>
        <v/>
      </c>
      <c r="Q868" s="52" t="str">
        <f t="shared" si="93"/>
        <v/>
      </c>
      <c r="R868" s="52" t="str">
        <f t="shared" si="94"/>
        <v/>
      </c>
      <c r="S868" s="51" t="str">
        <f t="shared" si="95"/>
        <v/>
      </c>
      <c r="T868" t="str">
        <f t="shared" si="96"/>
        <v/>
      </c>
      <c r="U868" s="52" t="str">
        <f t="shared" si="97"/>
        <v/>
      </c>
    </row>
    <row r="869" spans="2:21" x14ac:dyDescent="0.25">
      <c r="B869">
        <v>887</v>
      </c>
      <c r="C869" t="s">
        <v>20</v>
      </c>
      <c r="D869" t="s">
        <v>377</v>
      </c>
      <c r="E869" t="s">
        <v>1515</v>
      </c>
      <c r="F869" t="s">
        <v>1642</v>
      </c>
      <c r="G869">
        <v>5</v>
      </c>
      <c r="H869" s="48">
        <v>0</v>
      </c>
      <c r="I869" s="50">
        <v>0</v>
      </c>
      <c r="J869" s="50">
        <v>46227</v>
      </c>
      <c r="K869" s="54">
        <v>46231</v>
      </c>
      <c r="L869" s="54">
        <v>46227</v>
      </c>
      <c r="M869" s="54">
        <v>46231</v>
      </c>
      <c r="O869" s="51" t="str">
        <f t="shared" si="91"/>
        <v>SIM</v>
      </c>
      <c r="P869" s="51" t="str">
        <f t="shared" si="92"/>
        <v>BL1132-0001-AI-DPR-2007</v>
      </c>
      <c r="Q869" s="52">
        <f t="shared" si="93"/>
        <v>46231</v>
      </c>
      <c r="R869" s="52">
        <f t="shared" si="94"/>
        <v>46231</v>
      </c>
      <c r="S869" s="51" t="str">
        <f t="shared" si="95"/>
        <v/>
      </c>
      <c r="T869" t="str">
        <f t="shared" si="96"/>
        <v/>
      </c>
      <c r="U869" s="52" t="str">
        <f t="shared" si="97"/>
        <v/>
      </c>
    </row>
    <row r="870" spans="2:21" x14ac:dyDescent="0.25">
      <c r="B870">
        <v>888</v>
      </c>
      <c r="C870" t="s">
        <v>20</v>
      </c>
      <c r="D870" t="s">
        <v>377</v>
      </c>
      <c r="E870" t="s">
        <v>1517</v>
      </c>
      <c r="F870" t="s">
        <v>1519</v>
      </c>
      <c r="G870">
        <v>4</v>
      </c>
      <c r="H870" s="48">
        <v>0</v>
      </c>
      <c r="I870" s="50">
        <v>0</v>
      </c>
      <c r="J870" s="50">
        <v>46231</v>
      </c>
      <c r="K870" s="54">
        <v>46234</v>
      </c>
      <c r="L870" s="54">
        <v>46231</v>
      </c>
      <c r="M870" s="54">
        <v>46234</v>
      </c>
      <c r="O870" s="51" t="str">
        <f t="shared" si="91"/>
        <v/>
      </c>
      <c r="P870" s="51" t="str">
        <f t="shared" si="92"/>
        <v/>
      </c>
      <c r="Q870" s="52" t="str">
        <f t="shared" si="93"/>
        <v/>
      </c>
      <c r="R870" s="52" t="str">
        <f t="shared" si="94"/>
        <v/>
      </c>
      <c r="S870" s="51" t="str">
        <f t="shared" si="95"/>
        <v/>
      </c>
      <c r="T870" t="str">
        <f t="shared" si="96"/>
        <v/>
      </c>
      <c r="U870" s="52" t="str">
        <f t="shared" si="97"/>
        <v/>
      </c>
    </row>
    <row r="871" spans="2:21" x14ac:dyDescent="0.25">
      <c r="B871">
        <v>889</v>
      </c>
      <c r="C871" t="s">
        <v>20</v>
      </c>
      <c r="D871" t="s">
        <v>377</v>
      </c>
      <c r="E871" t="s">
        <v>1518</v>
      </c>
      <c r="F871" t="s">
        <v>1519</v>
      </c>
      <c r="G871">
        <v>6</v>
      </c>
      <c r="H871" s="48">
        <v>0</v>
      </c>
      <c r="I871" s="50">
        <v>0</v>
      </c>
      <c r="J871" s="50">
        <v>46234</v>
      </c>
      <c r="K871" s="54">
        <v>46239</v>
      </c>
      <c r="L871" s="54">
        <v>46234</v>
      </c>
      <c r="M871" s="54">
        <v>46239</v>
      </c>
      <c r="O871" s="51" t="str">
        <f t="shared" si="91"/>
        <v/>
      </c>
      <c r="P871" s="51" t="str">
        <f t="shared" si="92"/>
        <v/>
      </c>
      <c r="Q871" s="52" t="str">
        <f t="shared" si="93"/>
        <v/>
      </c>
      <c r="R871" s="52" t="str">
        <f t="shared" si="94"/>
        <v/>
      </c>
      <c r="S871" s="51" t="str">
        <f t="shared" si="95"/>
        <v>SIM</v>
      </c>
      <c r="T871" t="str">
        <f t="shared" si="96"/>
        <v>BL1132-0001-AI-DPR-2007</v>
      </c>
      <c r="U871" s="52">
        <f t="shared" si="97"/>
        <v>46239</v>
      </c>
    </row>
    <row r="872" spans="2:21" x14ac:dyDescent="0.25">
      <c r="B872">
        <v>890</v>
      </c>
      <c r="C872" t="s">
        <v>20</v>
      </c>
      <c r="D872" t="s">
        <v>377</v>
      </c>
      <c r="E872" t="s">
        <v>1520</v>
      </c>
      <c r="F872" t="s">
        <v>1519</v>
      </c>
      <c r="G872">
        <v>6</v>
      </c>
      <c r="H872" s="48">
        <v>0</v>
      </c>
      <c r="I872" s="50">
        <v>0</v>
      </c>
      <c r="J872" s="50">
        <v>46239</v>
      </c>
      <c r="K872" s="54">
        <v>46244</v>
      </c>
      <c r="L872" s="54">
        <v>46239</v>
      </c>
      <c r="M872" s="54">
        <v>46244</v>
      </c>
      <c r="O872" s="51" t="str">
        <f t="shared" si="91"/>
        <v/>
      </c>
      <c r="P872" s="51" t="str">
        <f t="shared" si="92"/>
        <v/>
      </c>
      <c r="Q872" s="52" t="str">
        <f t="shared" si="93"/>
        <v/>
      </c>
      <c r="R872" s="52" t="str">
        <f t="shared" si="94"/>
        <v/>
      </c>
      <c r="S872" s="51" t="str">
        <f t="shared" si="95"/>
        <v/>
      </c>
      <c r="T872" t="str">
        <f t="shared" si="96"/>
        <v/>
      </c>
      <c r="U872" s="52" t="str">
        <f t="shared" si="97"/>
        <v/>
      </c>
    </row>
    <row r="873" spans="2:21" x14ac:dyDescent="0.25">
      <c r="B873">
        <v>891</v>
      </c>
      <c r="C873" t="s">
        <v>54</v>
      </c>
      <c r="D873" t="s">
        <v>534</v>
      </c>
      <c r="E873" t="s">
        <v>1747</v>
      </c>
      <c r="F873" t="s">
        <v>1641</v>
      </c>
      <c r="G873">
        <v>16</v>
      </c>
      <c r="H873" s="48">
        <v>0</v>
      </c>
      <c r="I873" s="50">
        <v>0</v>
      </c>
      <c r="J873" s="50">
        <v>46231</v>
      </c>
      <c r="K873" s="54">
        <v>46246</v>
      </c>
      <c r="L873" s="54">
        <v>46231</v>
      </c>
      <c r="M873" s="54">
        <v>46246</v>
      </c>
      <c r="O873" s="51" t="str">
        <f t="shared" si="91"/>
        <v/>
      </c>
      <c r="P873" s="51" t="str">
        <f t="shared" si="92"/>
        <v/>
      </c>
      <c r="Q873" s="52" t="str">
        <f t="shared" si="93"/>
        <v/>
      </c>
      <c r="R873" s="52" t="str">
        <f t="shared" si="94"/>
        <v/>
      </c>
      <c r="S873" s="51" t="str">
        <f t="shared" si="95"/>
        <v/>
      </c>
      <c r="T873" t="str">
        <f t="shared" si="96"/>
        <v/>
      </c>
      <c r="U873" s="52" t="str">
        <f t="shared" si="97"/>
        <v/>
      </c>
    </row>
    <row r="874" spans="2:21" x14ac:dyDescent="0.25">
      <c r="B874">
        <v>892</v>
      </c>
      <c r="C874" t="s">
        <v>54</v>
      </c>
      <c r="D874" t="s">
        <v>534</v>
      </c>
      <c r="E874" t="s">
        <v>1515</v>
      </c>
      <c r="F874" t="s">
        <v>1642</v>
      </c>
      <c r="G874">
        <v>3</v>
      </c>
      <c r="H874" s="48">
        <v>0</v>
      </c>
      <c r="I874" s="50">
        <v>0</v>
      </c>
      <c r="J874" s="50">
        <v>46231</v>
      </c>
      <c r="K874" s="54">
        <v>46233</v>
      </c>
      <c r="L874" s="54">
        <v>46231</v>
      </c>
      <c r="M874" s="54">
        <v>46233</v>
      </c>
      <c r="O874" s="51" t="str">
        <f t="shared" si="91"/>
        <v>SIM</v>
      </c>
      <c r="P874" s="51" t="str">
        <f t="shared" si="92"/>
        <v>BL1132-0001-AI-FDA-2028</v>
      </c>
      <c r="Q874" s="52">
        <f t="shared" si="93"/>
        <v>46233</v>
      </c>
      <c r="R874" s="52">
        <f t="shared" si="94"/>
        <v>46233</v>
      </c>
      <c r="S874" s="51" t="str">
        <f t="shared" si="95"/>
        <v/>
      </c>
      <c r="T874" t="str">
        <f t="shared" si="96"/>
        <v/>
      </c>
      <c r="U874" s="52" t="str">
        <f t="shared" si="97"/>
        <v/>
      </c>
    </row>
    <row r="875" spans="2:21" x14ac:dyDescent="0.25">
      <c r="B875">
        <v>893</v>
      </c>
      <c r="C875" t="s">
        <v>54</v>
      </c>
      <c r="D875" t="s">
        <v>534</v>
      </c>
      <c r="E875" t="s">
        <v>1517</v>
      </c>
      <c r="F875" t="s">
        <v>1519</v>
      </c>
      <c r="G875">
        <v>6</v>
      </c>
      <c r="H875" s="48">
        <v>0</v>
      </c>
      <c r="I875" s="50">
        <v>0</v>
      </c>
      <c r="J875" s="50">
        <v>46233</v>
      </c>
      <c r="K875" s="54">
        <v>46238</v>
      </c>
      <c r="L875" s="54">
        <v>46233</v>
      </c>
      <c r="M875" s="54">
        <v>46238</v>
      </c>
      <c r="O875" s="51" t="str">
        <f t="shared" si="91"/>
        <v/>
      </c>
      <c r="P875" s="51" t="str">
        <f t="shared" si="92"/>
        <v/>
      </c>
      <c r="Q875" s="52" t="str">
        <f t="shared" si="93"/>
        <v/>
      </c>
      <c r="R875" s="52" t="str">
        <f t="shared" si="94"/>
        <v/>
      </c>
      <c r="S875" s="51" t="str">
        <f t="shared" si="95"/>
        <v/>
      </c>
      <c r="T875" t="str">
        <f t="shared" si="96"/>
        <v/>
      </c>
      <c r="U875" s="52" t="str">
        <f t="shared" si="97"/>
        <v/>
      </c>
    </row>
    <row r="876" spans="2:21" x14ac:dyDescent="0.25">
      <c r="B876">
        <v>894</v>
      </c>
      <c r="C876" t="s">
        <v>54</v>
      </c>
      <c r="D876" t="s">
        <v>534</v>
      </c>
      <c r="E876" t="s">
        <v>1518</v>
      </c>
      <c r="F876" t="s">
        <v>1519</v>
      </c>
      <c r="G876">
        <v>4</v>
      </c>
      <c r="H876" s="48">
        <v>0</v>
      </c>
      <c r="I876" s="50">
        <v>0</v>
      </c>
      <c r="J876" s="50">
        <v>46238</v>
      </c>
      <c r="K876" s="54">
        <v>46241</v>
      </c>
      <c r="L876" s="54">
        <v>46238</v>
      </c>
      <c r="M876" s="54">
        <v>46241</v>
      </c>
      <c r="O876" s="51" t="str">
        <f t="shared" si="91"/>
        <v/>
      </c>
      <c r="P876" s="51" t="str">
        <f t="shared" si="92"/>
        <v/>
      </c>
      <c r="Q876" s="52" t="str">
        <f t="shared" si="93"/>
        <v/>
      </c>
      <c r="R876" s="52" t="str">
        <f t="shared" si="94"/>
        <v/>
      </c>
      <c r="S876" s="51" t="str">
        <f t="shared" si="95"/>
        <v>SIM</v>
      </c>
      <c r="T876" t="str">
        <f t="shared" si="96"/>
        <v>BL1132-0001-AI-FDA-2028</v>
      </c>
      <c r="U876" s="52">
        <f t="shared" si="97"/>
        <v>46241</v>
      </c>
    </row>
    <row r="877" spans="2:21" x14ac:dyDescent="0.25">
      <c r="B877">
        <v>895</v>
      </c>
      <c r="C877" t="s">
        <v>54</v>
      </c>
      <c r="D877" t="s">
        <v>534</v>
      </c>
      <c r="E877" t="s">
        <v>1520</v>
      </c>
      <c r="F877" t="s">
        <v>1519</v>
      </c>
      <c r="G877">
        <v>6</v>
      </c>
      <c r="H877" s="48">
        <v>0</v>
      </c>
      <c r="I877" s="50">
        <v>0</v>
      </c>
      <c r="J877" s="50">
        <v>46241</v>
      </c>
      <c r="K877" s="54">
        <v>46246</v>
      </c>
      <c r="L877" s="54">
        <v>46241</v>
      </c>
      <c r="M877" s="54">
        <v>46246</v>
      </c>
      <c r="O877" s="51" t="str">
        <f t="shared" si="91"/>
        <v/>
      </c>
      <c r="P877" s="51" t="str">
        <f t="shared" si="92"/>
        <v/>
      </c>
      <c r="Q877" s="52" t="str">
        <f t="shared" si="93"/>
        <v/>
      </c>
      <c r="R877" s="52" t="str">
        <f t="shared" si="94"/>
        <v/>
      </c>
      <c r="S877" s="51" t="str">
        <f t="shared" si="95"/>
        <v/>
      </c>
      <c r="T877" t="str">
        <f t="shared" si="96"/>
        <v/>
      </c>
      <c r="U877" s="52" t="str">
        <f t="shared" si="97"/>
        <v/>
      </c>
    </row>
    <row r="878" spans="2:21" x14ac:dyDescent="0.25">
      <c r="B878">
        <v>896</v>
      </c>
      <c r="C878" t="s">
        <v>25</v>
      </c>
      <c r="D878" t="s">
        <v>399</v>
      </c>
      <c r="E878" t="s">
        <v>1748</v>
      </c>
      <c r="F878" t="s">
        <v>1641</v>
      </c>
      <c r="G878">
        <v>16</v>
      </c>
      <c r="H878" s="48">
        <v>0</v>
      </c>
      <c r="I878" s="50">
        <v>0</v>
      </c>
      <c r="J878" s="50">
        <v>46231</v>
      </c>
      <c r="K878" s="54">
        <v>46246</v>
      </c>
      <c r="L878" s="54">
        <v>46231</v>
      </c>
      <c r="M878" s="54">
        <v>46246</v>
      </c>
      <c r="O878" s="51" t="str">
        <f t="shared" si="91"/>
        <v/>
      </c>
      <c r="P878" s="51" t="str">
        <f t="shared" si="92"/>
        <v/>
      </c>
      <c r="Q878" s="52" t="str">
        <f t="shared" si="93"/>
        <v/>
      </c>
      <c r="R878" s="52" t="str">
        <f t="shared" si="94"/>
        <v/>
      </c>
      <c r="S878" s="51" t="str">
        <f t="shared" si="95"/>
        <v/>
      </c>
      <c r="T878" t="str">
        <f t="shared" si="96"/>
        <v/>
      </c>
      <c r="U878" s="52" t="str">
        <f t="shared" si="97"/>
        <v/>
      </c>
    </row>
    <row r="879" spans="2:21" x14ac:dyDescent="0.25">
      <c r="B879">
        <v>897</v>
      </c>
      <c r="C879" t="s">
        <v>25</v>
      </c>
      <c r="D879" t="s">
        <v>399</v>
      </c>
      <c r="E879" t="s">
        <v>1515</v>
      </c>
      <c r="F879" t="s">
        <v>1642</v>
      </c>
      <c r="G879">
        <v>3</v>
      </c>
      <c r="H879" s="48">
        <v>0</v>
      </c>
      <c r="I879" s="50">
        <v>0</v>
      </c>
      <c r="J879" s="50">
        <v>46231</v>
      </c>
      <c r="K879" s="54">
        <v>46233</v>
      </c>
      <c r="L879" s="54">
        <v>46231</v>
      </c>
      <c r="M879" s="54">
        <v>46233</v>
      </c>
      <c r="O879" s="51" t="str">
        <f t="shared" si="91"/>
        <v>SIM</v>
      </c>
      <c r="P879" s="51" t="str">
        <f t="shared" si="92"/>
        <v>BL1132-0001-AI-ETE-2004</v>
      </c>
      <c r="Q879" s="52">
        <f t="shared" si="93"/>
        <v>46233</v>
      </c>
      <c r="R879" s="52">
        <f t="shared" si="94"/>
        <v>46233</v>
      </c>
      <c r="S879" s="51" t="str">
        <f t="shared" si="95"/>
        <v/>
      </c>
      <c r="T879" t="str">
        <f t="shared" si="96"/>
        <v/>
      </c>
      <c r="U879" s="52" t="str">
        <f t="shared" si="97"/>
        <v/>
      </c>
    </row>
    <row r="880" spans="2:21" x14ac:dyDescent="0.25">
      <c r="B880">
        <v>898</v>
      </c>
      <c r="C880" t="s">
        <v>25</v>
      </c>
      <c r="D880" t="s">
        <v>399</v>
      </c>
      <c r="E880" t="s">
        <v>1517</v>
      </c>
      <c r="F880" t="s">
        <v>1519</v>
      </c>
      <c r="G880">
        <v>6</v>
      </c>
      <c r="H880" s="48">
        <v>0</v>
      </c>
      <c r="I880" s="50">
        <v>0</v>
      </c>
      <c r="J880" s="50">
        <v>46233</v>
      </c>
      <c r="K880" s="54">
        <v>46238</v>
      </c>
      <c r="L880" s="54">
        <v>46233</v>
      </c>
      <c r="M880" s="54">
        <v>46238</v>
      </c>
      <c r="O880" s="51" t="str">
        <f t="shared" si="91"/>
        <v/>
      </c>
      <c r="P880" s="51" t="str">
        <f t="shared" si="92"/>
        <v/>
      </c>
      <c r="Q880" s="52" t="str">
        <f t="shared" si="93"/>
        <v/>
      </c>
      <c r="R880" s="52" t="str">
        <f t="shared" si="94"/>
        <v/>
      </c>
      <c r="S880" s="51" t="str">
        <f t="shared" si="95"/>
        <v/>
      </c>
      <c r="T880" t="str">
        <f t="shared" si="96"/>
        <v/>
      </c>
      <c r="U880" s="52" t="str">
        <f t="shared" si="97"/>
        <v/>
      </c>
    </row>
    <row r="881" spans="2:21" x14ac:dyDescent="0.25">
      <c r="B881">
        <v>899</v>
      </c>
      <c r="C881" t="s">
        <v>25</v>
      </c>
      <c r="D881" t="s">
        <v>399</v>
      </c>
      <c r="E881" t="s">
        <v>1518</v>
      </c>
      <c r="F881" t="s">
        <v>1519</v>
      </c>
      <c r="G881">
        <v>4</v>
      </c>
      <c r="H881" s="48">
        <v>0</v>
      </c>
      <c r="I881" s="50">
        <v>0</v>
      </c>
      <c r="J881" s="50">
        <v>46238</v>
      </c>
      <c r="K881" s="54">
        <v>46241</v>
      </c>
      <c r="L881" s="54">
        <v>46238</v>
      </c>
      <c r="M881" s="54">
        <v>46241</v>
      </c>
      <c r="O881" s="51" t="str">
        <f t="shared" si="91"/>
        <v/>
      </c>
      <c r="P881" s="51" t="str">
        <f t="shared" si="92"/>
        <v/>
      </c>
      <c r="Q881" s="52" t="str">
        <f t="shared" si="93"/>
        <v/>
      </c>
      <c r="R881" s="52" t="str">
        <f t="shared" si="94"/>
        <v/>
      </c>
      <c r="S881" s="51" t="str">
        <f t="shared" si="95"/>
        <v>SIM</v>
      </c>
      <c r="T881" t="str">
        <f t="shared" si="96"/>
        <v>BL1132-0001-AI-ETE-2004</v>
      </c>
      <c r="U881" s="52">
        <f t="shared" si="97"/>
        <v>46241</v>
      </c>
    </row>
    <row r="882" spans="2:21" x14ac:dyDescent="0.25">
      <c r="B882">
        <v>900</v>
      </c>
      <c r="C882" t="s">
        <v>25</v>
      </c>
      <c r="D882" t="s">
        <v>399</v>
      </c>
      <c r="E882" t="s">
        <v>1520</v>
      </c>
      <c r="F882" t="s">
        <v>1519</v>
      </c>
      <c r="G882">
        <v>6</v>
      </c>
      <c r="H882" s="48">
        <v>0</v>
      </c>
      <c r="I882" s="50">
        <v>0</v>
      </c>
      <c r="J882" s="50">
        <v>46241</v>
      </c>
      <c r="K882" s="54">
        <v>46246</v>
      </c>
      <c r="L882" s="54">
        <v>46241</v>
      </c>
      <c r="M882" s="54">
        <v>46246</v>
      </c>
      <c r="O882" s="51" t="str">
        <f t="shared" si="91"/>
        <v/>
      </c>
      <c r="P882" s="51" t="str">
        <f t="shared" si="92"/>
        <v/>
      </c>
      <c r="Q882" s="52" t="str">
        <f t="shared" si="93"/>
        <v/>
      </c>
      <c r="R882" s="52" t="str">
        <f t="shared" si="94"/>
        <v/>
      </c>
      <c r="S882" s="51" t="str">
        <f t="shared" si="95"/>
        <v/>
      </c>
      <c r="T882" t="str">
        <f t="shared" si="96"/>
        <v/>
      </c>
      <c r="U882" s="52" t="str">
        <f t="shared" si="97"/>
        <v/>
      </c>
    </row>
    <row r="883" spans="2:21" x14ac:dyDescent="0.25">
      <c r="B883">
        <v>901</v>
      </c>
      <c r="C883" t="s">
        <v>19</v>
      </c>
      <c r="D883" t="s">
        <v>371</v>
      </c>
      <c r="E883" t="s">
        <v>1749</v>
      </c>
      <c r="F883" t="s">
        <v>1641</v>
      </c>
      <c r="G883">
        <v>16</v>
      </c>
      <c r="H883" s="48">
        <v>0</v>
      </c>
      <c r="I883" s="50">
        <v>0</v>
      </c>
      <c r="J883" s="50">
        <v>46233</v>
      </c>
      <c r="K883" s="54">
        <v>46248</v>
      </c>
      <c r="L883" s="54">
        <v>46233</v>
      </c>
      <c r="M883" s="54">
        <v>46248</v>
      </c>
      <c r="O883" s="51" t="str">
        <f t="shared" si="91"/>
        <v/>
      </c>
      <c r="P883" s="51" t="str">
        <f t="shared" si="92"/>
        <v/>
      </c>
      <c r="Q883" s="52" t="str">
        <f t="shared" si="93"/>
        <v/>
      </c>
      <c r="R883" s="52" t="str">
        <f t="shared" si="94"/>
        <v/>
      </c>
      <c r="S883" s="51" t="str">
        <f t="shared" si="95"/>
        <v/>
      </c>
      <c r="T883" t="str">
        <f t="shared" si="96"/>
        <v/>
      </c>
      <c r="U883" s="52" t="str">
        <f t="shared" si="97"/>
        <v/>
      </c>
    </row>
    <row r="884" spans="2:21" x14ac:dyDescent="0.25">
      <c r="B884">
        <v>902</v>
      </c>
      <c r="C884" t="s">
        <v>19</v>
      </c>
      <c r="D884" t="s">
        <v>371</v>
      </c>
      <c r="E884" t="s">
        <v>1515</v>
      </c>
      <c r="F884" t="s">
        <v>1642</v>
      </c>
      <c r="G884">
        <v>5</v>
      </c>
      <c r="H884" s="48">
        <v>0</v>
      </c>
      <c r="I884" s="50">
        <v>0</v>
      </c>
      <c r="J884" s="50">
        <v>46233</v>
      </c>
      <c r="K884" s="54">
        <v>46237</v>
      </c>
      <c r="L884" s="54">
        <v>46233</v>
      </c>
      <c r="M884" s="54">
        <v>46237</v>
      </c>
      <c r="O884" s="51" t="str">
        <f t="shared" si="91"/>
        <v>SIM</v>
      </c>
      <c r="P884" s="51" t="str">
        <f t="shared" si="92"/>
        <v>BL1132-0001-AI-DPR-2006</v>
      </c>
      <c r="Q884" s="52">
        <f t="shared" si="93"/>
        <v>46237</v>
      </c>
      <c r="R884" s="52">
        <f t="shared" si="94"/>
        <v>46237</v>
      </c>
      <c r="S884" s="51" t="str">
        <f t="shared" si="95"/>
        <v/>
      </c>
      <c r="T884" t="str">
        <f t="shared" si="96"/>
        <v/>
      </c>
      <c r="U884" s="52" t="str">
        <f t="shared" si="97"/>
        <v/>
      </c>
    </row>
    <row r="885" spans="2:21" x14ac:dyDescent="0.25">
      <c r="B885">
        <v>903</v>
      </c>
      <c r="C885" t="s">
        <v>19</v>
      </c>
      <c r="D885" t="s">
        <v>371</v>
      </c>
      <c r="E885" t="s">
        <v>1517</v>
      </c>
      <c r="F885" t="s">
        <v>1519</v>
      </c>
      <c r="G885">
        <v>4</v>
      </c>
      <c r="H885" s="48">
        <v>0</v>
      </c>
      <c r="I885" s="50">
        <v>0</v>
      </c>
      <c r="J885" s="50">
        <v>46237</v>
      </c>
      <c r="K885" s="54">
        <v>46240</v>
      </c>
      <c r="L885" s="54">
        <v>46237</v>
      </c>
      <c r="M885" s="54">
        <v>46240</v>
      </c>
      <c r="O885" s="51" t="str">
        <f t="shared" si="91"/>
        <v/>
      </c>
      <c r="P885" s="51" t="str">
        <f t="shared" si="92"/>
        <v/>
      </c>
      <c r="Q885" s="52" t="str">
        <f t="shared" si="93"/>
        <v/>
      </c>
      <c r="R885" s="52" t="str">
        <f t="shared" si="94"/>
        <v/>
      </c>
      <c r="S885" s="51" t="str">
        <f t="shared" si="95"/>
        <v/>
      </c>
      <c r="T885" t="str">
        <f t="shared" si="96"/>
        <v/>
      </c>
      <c r="U885" s="52" t="str">
        <f t="shared" si="97"/>
        <v/>
      </c>
    </row>
    <row r="886" spans="2:21" x14ac:dyDescent="0.25">
      <c r="B886">
        <v>904</v>
      </c>
      <c r="C886" t="s">
        <v>19</v>
      </c>
      <c r="D886" t="s">
        <v>371</v>
      </c>
      <c r="E886" t="s">
        <v>1518</v>
      </c>
      <c r="F886" t="s">
        <v>1519</v>
      </c>
      <c r="G886">
        <v>6</v>
      </c>
      <c r="H886" s="48">
        <v>0</v>
      </c>
      <c r="I886" s="50">
        <v>0</v>
      </c>
      <c r="J886" s="50">
        <v>46240</v>
      </c>
      <c r="K886" s="54">
        <v>46245</v>
      </c>
      <c r="L886" s="54">
        <v>46240</v>
      </c>
      <c r="M886" s="54">
        <v>46245</v>
      </c>
      <c r="O886" s="51" t="str">
        <f t="shared" si="91"/>
        <v/>
      </c>
      <c r="P886" s="51" t="str">
        <f t="shared" si="92"/>
        <v/>
      </c>
      <c r="Q886" s="52" t="str">
        <f t="shared" si="93"/>
        <v/>
      </c>
      <c r="R886" s="52" t="str">
        <f t="shared" si="94"/>
        <v/>
      </c>
      <c r="S886" s="51" t="str">
        <f t="shared" si="95"/>
        <v>SIM</v>
      </c>
      <c r="T886" t="str">
        <f t="shared" si="96"/>
        <v>BL1132-0001-AI-DPR-2006</v>
      </c>
      <c r="U886" s="52">
        <f t="shared" si="97"/>
        <v>46245</v>
      </c>
    </row>
    <row r="887" spans="2:21" x14ac:dyDescent="0.25">
      <c r="B887">
        <v>905</v>
      </c>
      <c r="C887" t="s">
        <v>19</v>
      </c>
      <c r="D887" t="s">
        <v>371</v>
      </c>
      <c r="E887" t="s">
        <v>1520</v>
      </c>
      <c r="F887" t="s">
        <v>1519</v>
      </c>
      <c r="G887">
        <v>4</v>
      </c>
      <c r="H887" s="48">
        <v>0</v>
      </c>
      <c r="I887" s="50">
        <v>0</v>
      </c>
      <c r="J887" s="50">
        <v>46245</v>
      </c>
      <c r="K887" s="54">
        <v>46248</v>
      </c>
      <c r="L887" s="54">
        <v>46245</v>
      </c>
      <c r="M887" s="54">
        <v>46248</v>
      </c>
      <c r="O887" s="51" t="str">
        <f t="shared" si="91"/>
        <v/>
      </c>
      <c r="P887" s="51" t="str">
        <f t="shared" si="92"/>
        <v/>
      </c>
      <c r="Q887" s="52" t="str">
        <f t="shared" si="93"/>
        <v/>
      </c>
      <c r="R887" s="52" t="str">
        <f t="shared" si="94"/>
        <v/>
      </c>
      <c r="S887" s="51" t="str">
        <f t="shared" si="95"/>
        <v/>
      </c>
      <c r="T887" t="str">
        <f t="shared" si="96"/>
        <v/>
      </c>
      <c r="U887" s="52" t="str">
        <f t="shared" si="97"/>
        <v/>
      </c>
    </row>
    <row r="888" spans="2:21" x14ac:dyDescent="0.25">
      <c r="B888">
        <v>906</v>
      </c>
      <c r="C888" t="s">
        <v>53</v>
      </c>
      <c r="D888" t="s">
        <v>531</v>
      </c>
      <c r="E888" t="s">
        <v>1750</v>
      </c>
      <c r="F888" t="s">
        <v>1641</v>
      </c>
      <c r="G888">
        <v>16</v>
      </c>
      <c r="H888" s="48">
        <v>0</v>
      </c>
      <c r="I888" s="50">
        <v>0</v>
      </c>
      <c r="J888" s="50">
        <v>46237</v>
      </c>
      <c r="K888" s="54">
        <v>46252</v>
      </c>
      <c r="L888" s="54">
        <v>46237</v>
      </c>
      <c r="M888" s="54">
        <v>46252</v>
      </c>
      <c r="O888" s="51" t="str">
        <f t="shared" si="91"/>
        <v/>
      </c>
      <c r="P888" s="51" t="str">
        <f t="shared" si="92"/>
        <v/>
      </c>
      <c r="Q888" s="52" t="str">
        <f t="shared" si="93"/>
        <v/>
      </c>
      <c r="R888" s="52" t="str">
        <f t="shared" si="94"/>
        <v/>
      </c>
      <c r="S888" s="51" t="str">
        <f t="shared" si="95"/>
        <v/>
      </c>
      <c r="T888" t="str">
        <f t="shared" si="96"/>
        <v/>
      </c>
      <c r="U888" s="52" t="str">
        <f t="shared" si="97"/>
        <v/>
      </c>
    </row>
    <row r="889" spans="2:21" x14ac:dyDescent="0.25">
      <c r="B889">
        <v>907</v>
      </c>
      <c r="C889" t="s">
        <v>53</v>
      </c>
      <c r="D889" t="s">
        <v>531</v>
      </c>
      <c r="E889" t="s">
        <v>1515</v>
      </c>
      <c r="F889" t="s">
        <v>1642</v>
      </c>
      <c r="G889">
        <v>3</v>
      </c>
      <c r="H889" s="48">
        <v>0</v>
      </c>
      <c r="I889" s="50">
        <v>0</v>
      </c>
      <c r="J889" s="50">
        <v>46237</v>
      </c>
      <c r="K889" s="54">
        <v>46239</v>
      </c>
      <c r="L889" s="54">
        <v>46237</v>
      </c>
      <c r="M889" s="54">
        <v>46239</v>
      </c>
      <c r="O889" s="51" t="str">
        <f t="shared" si="91"/>
        <v>SIM</v>
      </c>
      <c r="P889" s="51" t="str">
        <f t="shared" si="92"/>
        <v>BL1132-0001-AI-FDA-2027</v>
      </c>
      <c r="Q889" s="52">
        <f t="shared" si="93"/>
        <v>46239</v>
      </c>
      <c r="R889" s="52">
        <f t="shared" si="94"/>
        <v>46239</v>
      </c>
      <c r="S889" s="51" t="str">
        <f t="shared" si="95"/>
        <v/>
      </c>
      <c r="T889" t="str">
        <f t="shared" si="96"/>
        <v/>
      </c>
      <c r="U889" s="52" t="str">
        <f t="shared" si="97"/>
        <v/>
      </c>
    </row>
    <row r="890" spans="2:21" x14ac:dyDescent="0.25">
      <c r="B890">
        <v>908</v>
      </c>
      <c r="C890" t="s">
        <v>53</v>
      </c>
      <c r="D890" t="s">
        <v>531</v>
      </c>
      <c r="E890" t="s">
        <v>1517</v>
      </c>
      <c r="F890" t="s">
        <v>1519</v>
      </c>
      <c r="G890">
        <v>6</v>
      </c>
      <c r="H890" s="48">
        <v>0</v>
      </c>
      <c r="I890" s="50">
        <v>0</v>
      </c>
      <c r="J890" s="50">
        <v>46239</v>
      </c>
      <c r="K890" s="54">
        <v>46244</v>
      </c>
      <c r="L890" s="54">
        <v>46239</v>
      </c>
      <c r="M890" s="54">
        <v>46244</v>
      </c>
      <c r="O890" s="51" t="str">
        <f t="shared" si="91"/>
        <v/>
      </c>
      <c r="P890" s="51" t="str">
        <f t="shared" si="92"/>
        <v/>
      </c>
      <c r="Q890" s="52" t="str">
        <f t="shared" si="93"/>
        <v/>
      </c>
      <c r="R890" s="52" t="str">
        <f t="shared" si="94"/>
        <v/>
      </c>
      <c r="S890" s="51" t="str">
        <f t="shared" si="95"/>
        <v/>
      </c>
      <c r="T890" t="str">
        <f t="shared" si="96"/>
        <v/>
      </c>
      <c r="U890" s="52" t="str">
        <f t="shared" si="97"/>
        <v/>
      </c>
    </row>
    <row r="891" spans="2:21" x14ac:dyDescent="0.25">
      <c r="B891">
        <v>909</v>
      </c>
      <c r="C891" t="s">
        <v>53</v>
      </c>
      <c r="D891" t="s">
        <v>531</v>
      </c>
      <c r="E891" t="s">
        <v>1518</v>
      </c>
      <c r="F891" t="s">
        <v>1519</v>
      </c>
      <c r="G891">
        <v>4</v>
      </c>
      <c r="H891" s="48">
        <v>0</v>
      </c>
      <c r="I891" s="50">
        <v>0</v>
      </c>
      <c r="J891" s="50">
        <v>46244</v>
      </c>
      <c r="K891" s="54">
        <v>46247</v>
      </c>
      <c r="L891" s="54">
        <v>46244</v>
      </c>
      <c r="M891" s="54">
        <v>46247</v>
      </c>
      <c r="O891" s="51" t="str">
        <f t="shared" si="91"/>
        <v/>
      </c>
      <c r="P891" s="51" t="str">
        <f t="shared" si="92"/>
        <v/>
      </c>
      <c r="Q891" s="52" t="str">
        <f t="shared" si="93"/>
        <v/>
      </c>
      <c r="R891" s="52" t="str">
        <f t="shared" si="94"/>
        <v/>
      </c>
      <c r="S891" s="51" t="str">
        <f t="shared" si="95"/>
        <v>SIM</v>
      </c>
      <c r="T891" t="str">
        <f t="shared" si="96"/>
        <v>BL1132-0001-AI-FDA-2027</v>
      </c>
      <c r="U891" s="52">
        <f t="shared" si="97"/>
        <v>46247</v>
      </c>
    </row>
    <row r="892" spans="2:21" x14ac:dyDescent="0.25">
      <c r="B892">
        <v>910</v>
      </c>
      <c r="C892" t="s">
        <v>53</v>
      </c>
      <c r="D892" t="s">
        <v>531</v>
      </c>
      <c r="E892" t="s">
        <v>1520</v>
      </c>
      <c r="F892" t="s">
        <v>1519</v>
      </c>
      <c r="G892">
        <v>6</v>
      </c>
      <c r="H892" s="48">
        <v>0</v>
      </c>
      <c r="I892" s="50">
        <v>0</v>
      </c>
      <c r="J892" s="50">
        <v>46247</v>
      </c>
      <c r="K892" s="54">
        <v>46252</v>
      </c>
      <c r="L892" s="54">
        <v>46247</v>
      </c>
      <c r="M892" s="54">
        <v>46252</v>
      </c>
      <c r="O892" s="51" t="str">
        <f t="shared" si="91"/>
        <v/>
      </c>
      <c r="P892" s="51" t="str">
        <f t="shared" si="92"/>
        <v/>
      </c>
      <c r="Q892" s="52" t="str">
        <f t="shared" si="93"/>
        <v/>
      </c>
      <c r="R892" s="52" t="str">
        <f t="shared" si="94"/>
        <v/>
      </c>
      <c r="S892" s="51" t="str">
        <f t="shared" si="95"/>
        <v/>
      </c>
      <c r="T892" t="str">
        <f t="shared" si="96"/>
        <v/>
      </c>
      <c r="U892" s="52" t="str">
        <f t="shared" si="97"/>
        <v/>
      </c>
    </row>
    <row r="893" spans="2:21" x14ac:dyDescent="0.25">
      <c r="B893">
        <v>911</v>
      </c>
      <c r="C893" t="s">
        <v>24</v>
      </c>
      <c r="D893" t="s">
        <v>396</v>
      </c>
      <c r="E893" t="s">
        <v>1751</v>
      </c>
      <c r="F893" t="s">
        <v>1641</v>
      </c>
      <c r="G893">
        <v>16</v>
      </c>
      <c r="H893" s="48">
        <v>0</v>
      </c>
      <c r="I893" s="50">
        <v>0</v>
      </c>
      <c r="J893" s="50">
        <v>46237</v>
      </c>
      <c r="K893" s="54">
        <v>46252</v>
      </c>
      <c r="L893" s="54">
        <v>46237</v>
      </c>
      <c r="M893" s="54">
        <v>46252</v>
      </c>
      <c r="O893" s="51" t="str">
        <f t="shared" si="91"/>
        <v/>
      </c>
      <c r="P893" s="51" t="str">
        <f t="shared" si="92"/>
        <v/>
      </c>
      <c r="Q893" s="52" t="str">
        <f t="shared" si="93"/>
        <v/>
      </c>
      <c r="R893" s="52" t="str">
        <f t="shared" si="94"/>
        <v/>
      </c>
      <c r="S893" s="51" t="str">
        <f t="shared" si="95"/>
        <v/>
      </c>
      <c r="T893" t="str">
        <f t="shared" si="96"/>
        <v/>
      </c>
      <c r="U893" s="52" t="str">
        <f t="shared" si="97"/>
        <v/>
      </c>
    </row>
    <row r="894" spans="2:21" x14ac:dyDescent="0.25">
      <c r="B894">
        <v>912</v>
      </c>
      <c r="C894" t="s">
        <v>24</v>
      </c>
      <c r="D894" t="s">
        <v>396</v>
      </c>
      <c r="E894" t="s">
        <v>1515</v>
      </c>
      <c r="F894" t="s">
        <v>1642</v>
      </c>
      <c r="G894">
        <v>3</v>
      </c>
      <c r="H894" s="48">
        <v>0</v>
      </c>
      <c r="I894" s="50">
        <v>0</v>
      </c>
      <c r="J894" s="50">
        <v>46237</v>
      </c>
      <c r="K894" s="54">
        <v>46239</v>
      </c>
      <c r="L894" s="54">
        <v>46237</v>
      </c>
      <c r="M894" s="54">
        <v>46239</v>
      </c>
      <c r="O894" s="51" t="str">
        <f t="shared" si="91"/>
        <v>SIM</v>
      </c>
      <c r="P894" s="51" t="str">
        <f t="shared" si="92"/>
        <v>BL1132-0001-AI-ETE-2003</v>
      </c>
      <c r="Q894" s="52">
        <f t="shared" si="93"/>
        <v>46239</v>
      </c>
      <c r="R894" s="52">
        <f t="shared" si="94"/>
        <v>46239</v>
      </c>
      <c r="S894" s="51" t="str">
        <f t="shared" si="95"/>
        <v/>
      </c>
      <c r="T894" t="str">
        <f t="shared" si="96"/>
        <v/>
      </c>
      <c r="U894" s="52" t="str">
        <f t="shared" si="97"/>
        <v/>
      </c>
    </row>
    <row r="895" spans="2:21" x14ac:dyDescent="0.25">
      <c r="B895">
        <v>913</v>
      </c>
      <c r="C895" t="s">
        <v>24</v>
      </c>
      <c r="D895" t="s">
        <v>396</v>
      </c>
      <c r="E895" t="s">
        <v>1517</v>
      </c>
      <c r="F895" t="s">
        <v>1519</v>
      </c>
      <c r="G895">
        <v>6</v>
      </c>
      <c r="H895" s="48">
        <v>0</v>
      </c>
      <c r="I895" s="50">
        <v>0</v>
      </c>
      <c r="J895" s="50">
        <v>46239</v>
      </c>
      <c r="K895" s="54">
        <v>46244</v>
      </c>
      <c r="L895" s="54">
        <v>46239</v>
      </c>
      <c r="M895" s="54">
        <v>46244</v>
      </c>
      <c r="O895" s="51" t="str">
        <f t="shared" si="91"/>
        <v/>
      </c>
      <c r="P895" s="51" t="str">
        <f t="shared" si="92"/>
        <v/>
      </c>
      <c r="Q895" s="52" t="str">
        <f t="shared" si="93"/>
        <v/>
      </c>
      <c r="R895" s="52" t="str">
        <f t="shared" si="94"/>
        <v/>
      </c>
      <c r="S895" s="51" t="str">
        <f t="shared" si="95"/>
        <v/>
      </c>
      <c r="T895" t="str">
        <f t="shared" si="96"/>
        <v/>
      </c>
      <c r="U895" s="52" t="str">
        <f t="shared" si="97"/>
        <v/>
      </c>
    </row>
    <row r="896" spans="2:21" x14ac:dyDescent="0.25">
      <c r="B896">
        <v>914</v>
      </c>
      <c r="C896" t="s">
        <v>24</v>
      </c>
      <c r="D896" t="s">
        <v>396</v>
      </c>
      <c r="E896" t="s">
        <v>1518</v>
      </c>
      <c r="F896" t="s">
        <v>1519</v>
      </c>
      <c r="G896">
        <v>4</v>
      </c>
      <c r="H896" s="48">
        <v>0</v>
      </c>
      <c r="I896" s="50">
        <v>0</v>
      </c>
      <c r="J896" s="50">
        <v>46244</v>
      </c>
      <c r="K896" s="54">
        <v>46247</v>
      </c>
      <c r="L896" s="54">
        <v>46244</v>
      </c>
      <c r="M896" s="54">
        <v>46247</v>
      </c>
      <c r="O896" s="51" t="str">
        <f t="shared" si="91"/>
        <v/>
      </c>
      <c r="P896" s="51" t="str">
        <f t="shared" si="92"/>
        <v/>
      </c>
      <c r="Q896" s="52" t="str">
        <f t="shared" si="93"/>
        <v/>
      </c>
      <c r="R896" s="52" t="str">
        <f t="shared" si="94"/>
        <v/>
      </c>
      <c r="S896" s="51" t="str">
        <f t="shared" si="95"/>
        <v>SIM</v>
      </c>
      <c r="T896" t="str">
        <f t="shared" si="96"/>
        <v>BL1132-0001-AI-ETE-2003</v>
      </c>
      <c r="U896" s="52">
        <f t="shared" si="97"/>
        <v>46247</v>
      </c>
    </row>
    <row r="897" spans="2:21" x14ac:dyDescent="0.25">
      <c r="B897">
        <v>915</v>
      </c>
      <c r="C897" t="s">
        <v>24</v>
      </c>
      <c r="D897" t="s">
        <v>396</v>
      </c>
      <c r="E897" t="s">
        <v>1520</v>
      </c>
      <c r="F897" t="s">
        <v>1519</v>
      </c>
      <c r="G897">
        <v>6</v>
      </c>
      <c r="H897" s="48">
        <v>0</v>
      </c>
      <c r="I897" s="50">
        <v>0</v>
      </c>
      <c r="J897" s="50">
        <v>46247</v>
      </c>
      <c r="K897" s="54">
        <v>46252</v>
      </c>
      <c r="L897" s="54">
        <v>46247</v>
      </c>
      <c r="M897" s="54">
        <v>46252</v>
      </c>
      <c r="O897" s="51" t="str">
        <f t="shared" si="91"/>
        <v/>
      </c>
      <c r="P897" s="51" t="str">
        <f t="shared" si="92"/>
        <v/>
      </c>
      <c r="Q897" s="52" t="str">
        <f t="shared" si="93"/>
        <v/>
      </c>
      <c r="R897" s="52" t="str">
        <f t="shared" si="94"/>
        <v/>
      </c>
      <c r="S897" s="51" t="str">
        <f t="shared" si="95"/>
        <v/>
      </c>
      <c r="T897" t="str">
        <f t="shared" si="96"/>
        <v/>
      </c>
      <c r="U897" s="52" t="str">
        <f t="shared" si="97"/>
        <v/>
      </c>
    </row>
    <row r="898" spans="2:21" x14ac:dyDescent="0.25">
      <c r="B898">
        <v>916</v>
      </c>
      <c r="E898" t="s">
        <v>1752</v>
      </c>
      <c r="F898" t="s">
        <v>1687</v>
      </c>
      <c r="G898">
        <v>29</v>
      </c>
      <c r="H898" s="48">
        <v>0</v>
      </c>
      <c r="I898" s="50">
        <v>0</v>
      </c>
      <c r="J898" s="50">
        <v>46239</v>
      </c>
      <c r="K898" s="54">
        <v>46267</v>
      </c>
      <c r="L898" s="54">
        <v>46239</v>
      </c>
      <c r="M898" s="54">
        <v>46267</v>
      </c>
      <c r="O898" s="51" t="str">
        <f t="shared" si="91"/>
        <v/>
      </c>
      <c r="P898" s="51" t="str">
        <f t="shared" si="92"/>
        <v/>
      </c>
      <c r="Q898" s="52" t="str">
        <f t="shared" si="93"/>
        <v/>
      </c>
      <c r="R898" s="52" t="str">
        <f t="shared" si="94"/>
        <v/>
      </c>
      <c r="S898" s="51" t="str">
        <f t="shared" si="95"/>
        <v/>
      </c>
      <c r="T898" t="str">
        <f t="shared" si="96"/>
        <v/>
      </c>
      <c r="U898" s="52" t="str">
        <f t="shared" si="97"/>
        <v/>
      </c>
    </row>
    <row r="899" spans="2:21" x14ac:dyDescent="0.25">
      <c r="B899">
        <v>917</v>
      </c>
      <c r="E899" t="s">
        <v>1560</v>
      </c>
      <c r="F899" t="s">
        <v>1687</v>
      </c>
      <c r="G899">
        <v>29</v>
      </c>
      <c r="H899" s="48">
        <v>0</v>
      </c>
      <c r="I899" s="50">
        <v>0</v>
      </c>
      <c r="J899" s="50">
        <v>46239</v>
      </c>
      <c r="K899" s="54">
        <v>46267</v>
      </c>
      <c r="L899" s="54">
        <v>46239</v>
      </c>
      <c r="M899" s="54">
        <v>46267</v>
      </c>
      <c r="O899" s="51" t="str">
        <f t="shared" ref="O899:O962" si="98">IF(OR(E899 = "                           1 - Emissão Inicial",E899="                  1 - Emissão após Design Review 1",E899 = "                  1 - Emissão para conhecimento",E899 = "                  1 - Emissão Final",E899 = "         Lista de Documentos",E899 = "         Elaboração do cronograma",E899 = "         Norma de Coordenação"), "SIM", "")</f>
        <v/>
      </c>
      <c r="P899" s="51" t="str">
        <f t="shared" ref="P899:P962" si="99">IF(O899="SIM",C899,"")</f>
        <v/>
      </c>
      <c r="Q899" s="52" t="str">
        <f t="shared" ref="Q899:Q962" si="100">IF(O899="SIM",M899,"")</f>
        <v/>
      </c>
      <c r="R899" s="52" t="str">
        <f t="shared" ref="R899:R962" si="101">IF(O899="SIM",K899,"")</f>
        <v/>
      </c>
      <c r="S899" s="51" t="str">
        <f t="shared" ref="S899:S962" si="102">IF(OR(E899 = "                           3 - Atendimento de Comentários",E899="                  1 - Emissão após Design Review 1",E899 = "                  1 - Emissão para conhecimento",E899 = "                  1 - Emissão Final",E899 = "         Lista de Documentos",E899 = "         Elaboração do cronograma",E899 = "         Norma de Coordenação"), "SIM", "")</f>
        <v/>
      </c>
      <c r="T899" t="str">
        <f t="shared" ref="T899:T962" si="103">IF(S899="SIM",C899,"")</f>
        <v/>
      </c>
      <c r="U899" s="52" t="str">
        <f t="shared" ref="U899:U962" si="104">IF(S899="SIM",M899,"")</f>
        <v/>
      </c>
    </row>
    <row r="900" spans="2:21" x14ac:dyDescent="0.25">
      <c r="B900">
        <v>918</v>
      </c>
      <c r="E900" t="s">
        <v>1707</v>
      </c>
      <c r="F900" t="s">
        <v>1687</v>
      </c>
      <c r="G900">
        <v>29</v>
      </c>
      <c r="H900" s="48">
        <v>0</v>
      </c>
      <c r="I900" s="50">
        <v>0</v>
      </c>
      <c r="J900" s="50">
        <v>46239</v>
      </c>
      <c r="K900" s="54">
        <v>46267</v>
      </c>
      <c r="L900" s="54">
        <v>46239</v>
      </c>
      <c r="M900" s="54">
        <v>46267</v>
      </c>
      <c r="O900" s="51" t="str">
        <f t="shared" si="98"/>
        <v/>
      </c>
      <c r="P900" s="51" t="str">
        <f t="shared" si="99"/>
        <v/>
      </c>
      <c r="Q900" s="52" t="str">
        <f t="shared" si="100"/>
        <v/>
      </c>
      <c r="R900" s="52" t="str">
        <f t="shared" si="101"/>
        <v/>
      </c>
      <c r="S900" s="51" t="str">
        <f t="shared" si="102"/>
        <v/>
      </c>
      <c r="T900" t="str">
        <f t="shared" si="103"/>
        <v/>
      </c>
      <c r="U900" s="52" t="str">
        <f t="shared" si="104"/>
        <v/>
      </c>
    </row>
    <row r="901" spans="2:21" x14ac:dyDescent="0.25">
      <c r="B901">
        <v>919</v>
      </c>
      <c r="C901" t="s">
        <v>18</v>
      </c>
      <c r="D901" t="s">
        <v>367</v>
      </c>
      <c r="E901" t="s">
        <v>1753</v>
      </c>
      <c r="F901" t="s">
        <v>1559</v>
      </c>
      <c r="G901">
        <v>17</v>
      </c>
      <c r="H901" s="48">
        <v>0</v>
      </c>
      <c r="I901" s="50">
        <v>0</v>
      </c>
      <c r="J901" s="50">
        <v>46239</v>
      </c>
      <c r="K901" s="54">
        <v>46255</v>
      </c>
      <c r="L901" s="54">
        <v>46239</v>
      </c>
      <c r="M901" s="54">
        <v>46255</v>
      </c>
      <c r="O901" s="51" t="str">
        <f t="shared" si="98"/>
        <v/>
      </c>
      <c r="P901" s="51" t="str">
        <f t="shared" si="99"/>
        <v/>
      </c>
      <c r="Q901" s="52" t="str">
        <f t="shared" si="100"/>
        <v/>
      </c>
      <c r="R901" s="52" t="str">
        <f t="shared" si="101"/>
        <v/>
      </c>
      <c r="S901" s="51" t="str">
        <f t="shared" si="102"/>
        <v/>
      </c>
      <c r="T901" t="str">
        <f t="shared" si="103"/>
        <v/>
      </c>
      <c r="U901" s="52" t="str">
        <f t="shared" si="104"/>
        <v/>
      </c>
    </row>
    <row r="902" spans="2:21" x14ac:dyDescent="0.25">
      <c r="B902">
        <v>920</v>
      </c>
      <c r="C902" t="s">
        <v>18</v>
      </c>
      <c r="D902" t="s">
        <v>367</v>
      </c>
      <c r="E902" t="s">
        <v>1515</v>
      </c>
      <c r="F902" t="s">
        <v>1519</v>
      </c>
      <c r="G902">
        <v>6</v>
      </c>
      <c r="H902" s="48">
        <v>0</v>
      </c>
      <c r="I902" s="50">
        <v>0</v>
      </c>
      <c r="J902" s="50">
        <v>46239</v>
      </c>
      <c r="K902" s="54">
        <v>46244</v>
      </c>
      <c r="L902" s="54">
        <v>46239</v>
      </c>
      <c r="M902" s="54">
        <v>46244</v>
      </c>
      <c r="O902" s="51" t="str">
        <f t="shared" si="98"/>
        <v>SIM</v>
      </c>
      <c r="P902" s="51" t="str">
        <f t="shared" si="99"/>
        <v>BL1132-0001-AI-DPR-2005</v>
      </c>
      <c r="Q902" s="52">
        <f t="shared" si="100"/>
        <v>46244</v>
      </c>
      <c r="R902" s="52">
        <f t="shared" si="101"/>
        <v>46244</v>
      </c>
      <c r="S902" s="51" t="str">
        <f t="shared" si="102"/>
        <v/>
      </c>
      <c r="T902" t="str">
        <f t="shared" si="103"/>
        <v/>
      </c>
      <c r="U902" s="52" t="str">
        <f t="shared" si="104"/>
        <v/>
      </c>
    </row>
    <row r="903" spans="2:21" x14ac:dyDescent="0.25">
      <c r="B903">
        <v>921</v>
      </c>
      <c r="C903" t="s">
        <v>18</v>
      </c>
      <c r="D903" t="s">
        <v>367</v>
      </c>
      <c r="E903" t="s">
        <v>1517</v>
      </c>
      <c r="F903" t="s">
        <v>1519</v>
      </c>
      <c r="G903">
        <v>4</v>
      </c>
      <c r="H903" s="48">
        <v>0</v>
      </c>
      <c r="I903" s="50">
        <v>0</v>
      </c>
      <c r="J903" s="50">
        <v>46244</v>
      </c>
      <c r="K903" s="54">
        <v>46247</v>
      </c>
      <c r="L903" s="54">
        <v>46244</v>
      </c>
      <c r="M903" s="54">
        <v>46247</v>
      </c>
      <c r="O903" s="51" t="str">
        <f t="shared" si="98"/>
        <v/>
      </c>
      <c r="P903" s="51" t="str">
        <f t="shared" si="99"/>
        <v/>
      </c>
      <c r="Q903" s="52" t="str">
        <f t="shared" si="100"/>
        <v/>
      </c>
      <c r="R903" s="52" t="str">
        <f t="shared" si="101"/>
        <v/>
      </c>
      <c r="S903" s="51" t="str">
        <f t="shared" si="102"/>
        <v/>
      </c>
      <c r="T903" t="str">
        <f t="shared" si="103"/>
        <v/>
      </c>
      <c r="U903" s="52" t="str">
        <f t="shared" si="104"/>
        <v/>
      </c>
    </row>
    <row r="904" spans="2:21" x14ac:dyDescent="0.25">
      <c r="B904">
        <v>922</v>
      </c>
      <c r="C904" t="s">
        <v>18</v>
      </c>
      <c r="D904" t="s">
        <v>367</v>
      </c>
      <c r="E904" t="s">
        <v>1518</v>
      </c>
      <c r="F904" t="s">
        <v>1519</v>
      </c>
      <c r="G904">
        <v>6</v>
      </c>
      <c r="H904" s="48">
        <v>0</v>
      </c>
      <c r="I904" s="50">
        <v>0</v>
      </c>
      <c r="J904" s="50">
        <v>46247</v>
      </c>
      <c r="K904" s="54">
        <v>46252</v>
      </c>
      <c r="L904" s="54">
        <v>46247</v>
      </c>
      <c r="M904" s="54">
        <v>46252</v>
      </c>
      <c r="O904" s="51" t="str">
        <f t="shared" si="98"/>
        <v/>
      </c>
      <c r="P904" s="51" t="str">
        <f t="shared" si="99"/>
        <v/>
      </c>
      <c r="Q904" s="52" t="str">
        <f t="shared" si="100"/>
        <v/>
      </c>
      <c r="R904" s="52" t="str">
        <f t="shared" si="101"/>
        <v/>
      </c>
      <c r="S904" s="51" t="str">
        <f t="shared" si="102"/>
        <v>SIM</v>
      </c>
      <c r="T904" t="str">
        <f t="shared" si="103"/>
        <v>BL1132-0001-AI-DPR-2005</v>
      </c>
      <c r="U904" s="52">
        <f t="shared" si="104"/>
        <v>46252</v>
      </c>
    </row>
    <row r="905" spans="2:21" x14ac:dyDescent="0.25">
      <c r="B905">
        <v>923</v>
      </c>
      <c r="C905" t="s">
        <v>18</v>
      </c>
      <c r="D905" t="s">
        <v>367</v>
      </c>
      <c r="E905" t="s">
        <v>1520</v>
      </c>
      <c r="F905" t="s">
        <v>1519</v>
      </c>
      <c r="G905">
        <v>4</v>
      </c>
      <c r="H905" s="48">
        <v>0</v>
      </c>
      <c r="I905" s="50">
        <v>0</v>
      </c>
      <c r="J905" s="50">
        <v>46252</v>
      </c>
      <c r="K905" s="54">
        <v>46255</v>
      </c>
      <c r="L905" s="54">
        <v>46252</v>
      </c>
      <c r="M905" s="54">
        <v>46255</v>
      </c>
      <c r="O905" s="51" t="str">
        <f t="shared" si="98"/>
        <v/>
      </c>
      <c r="P905" s="51" t="str">
        <f t="shared" si="99"/>
        <v/>
      </c>
      <c r="Q905" s="52" t="str">
        <f t="shared" si="100"/>
        <v/>
      </c>
      <c r="R905" s="52" t="str">
        <f t="shared" si="101"/>
        <v/>
      </c>
      <c r="S905" s="51" t="str">
        <f t="shared" si="102"/>
        <v/>
      </c>
      <c r="T905" t="str">
        <f t="shared" si="103"/>
        <v/>
      </c>
      <c r="U905" s="52" t="str">
        <f t="shared" si="104"/>
        <v/>
      </c>
    </row>
    <row r="906" spans="2:21" x14ac:dyDescent="0.25">
      <c r="B906">
        <v>924</v>
      </c>
      <c r="C906" t="s">
        <v>52</v>
      </c>
      <c r="D906" t="s">
        <v>528</v>
      </c>
      <c r="E906" t="s">
        <v>1754</v>
      </c>
      <c r="F906" t="s">
        <v>1559</v>
      </c>
      <c r="G906">
        <v>17</v>
      </c>
      <c r="H906" s="48">
        <v>0</v>
      </c>
      <c r="I906" s="50">
        <v>0</v>
      </c>
      <c r="J906" s="50">
        <v>46239</v>
      </c>
      <c r="K906" s="54">
        <v>46255</v>
      </c>
      <c r="L906" s="54">
        <v>46239</v>
      </c>
      <c r="M906" s="54">
        <v>46255</v>
      </c>
      <c r="O906" s="51" t="str">
        <f t="shared" si="98"/>
        <v/>
      </c>
      <c r="P906" s="51" t="str">
        <f t="shared" si="99"/>
        <v/>
      </c>
      <c r="Q906" s="52" t="str">
        <f t="shared" si="100"/>
        <v/>
      </c>
      <c r="R906" s="52" t="str">
        <f t="shared" si="101"/>
        <v/>
      </c>
      <c r="S906" s="51" t="str">
        <f t="shared" si="102"/>
        <v/>
      </c>
      <c r="T906" t="str">
        <f t="shared" si="103"/>
        <v/>
      </c>
      <c r="U906" s="52" t="str">
        <f t="shared" si="104"/>
        <v/>
      </c>
    </row>
    <row r="907" spans="2:21" x14ac:dyDescent="0.25">
      <c r="B907">
        <v>925</v>
      </c>
      <c r="C907" t="s">
        <v>52</v>
      </c>
      <c r="D907" t="s">
        <v>528</v>
      </c>
      <c r="E907" t="s">
        <v>1515</v>
      </c>
      <c r="F907" t="s">
        <v>1519</v>
      </c>
      <c r="G907">
        <v>6</v>
      </c>
      <c r="H907" s="48">
        <v>0</v>
      </c>
      <c r="I907" s="50">
        <v>0</v>
      </c>
      <c r="J907" s="50">
        <v>46239</v>
      </c>
      <c r="K907" s="54">
        <v>46244</v>
      </c>
      <c r="L907" s="54">
        <v>46239</v>
      </c>
      <c r="M907" s="54">
        <v>46244</v>
      </c>
      <c r="O907" s="51" t="str">
        <f t="shared" si="98"/>
        <v>SIM</v>
      </c>
      <c r="P907" s="51" t="str">
        <f t="shared" si="99"/>
        <v>BL1132-0001-AI-FDA-2026</v>
      </c>
      <c r="Q907" s="52">
        <f t="shared" si="100"/>
        <v>46244</v>
      </c>
      <c r="R907" s="52">
        <f t="shared" si="101"/>
        <v>46244</v>
      </c>
      <c r="S907" s="51" t="str">
        <f t="shared" si="102"/>
        <v/>
      </c>
      <c r="T907" t="str">
        <f t="shared" si="103"/>
        <v/>
      </c>
      <c r="U907" s="52" t="str">
        <f t="shared" si="104"/>
        <v/>
      </c>
    </row>
    <row r="908" spans="2:21" x14ac:dyDescent="0.25">
      <c r="B908">
        <v>926</v>
      </c>
      <c r="C908" t="s">
        <v>52</v>
      </c>
      <c r="D908" t="s">
        <v>528</v>
      </c>
      <c r="E908" t="s">
        <v>1517</v>
      </c>
      <c r="F908" t="s">
        <v>1519</v>
      </c>
      <c r="G908">
        <v>4</v>
      </c>
      <c r="H908" s="48">
        <v>0</v>
      </c>
      <c r="I908" s="50">
        <v>0</v>
      </c>
      <c r="J908" s="50">
        <v>46244</v>
      </c>
      <c r="K908" s="54">
        <v>46247</v>
      </c>
      <c r="L908" s="54">
        <v>46244</v>
      </c>
      <c r="M908" s="54">
        <v>46247</v>
      </c>
      <c r="O908" s="51" t="str">
        <f t="shared" si="98"/>
        <v/>
      </c>
      <c r="P908" s="51" t="str">
        <f t="shared" si="99"/>
        <v/>
      </c>
      <c r="Q908" s="52" t="str">
        <f t="shared" si="100"/>
        <v/>
      </c>
      <c r="R908" s="52" t="str">
        <f t="shared" si="101"/>
        <v/>
      </c>
      <c r="S908" s="51" t="str">
        <f t="shared" si="102"/>
        <v/>
      </c>
      <c r="T908" t="str">
        <f t="shared" si="103"/>
        <v/>
      </c>
      <c r="U908" s="52" t="str">
        <f t="shared" si="104"/>
        <v/>
      </c>
    </row>
    <row r="909" spans="2:21" x14ac:dyDescent="0.25">
      <c r="B909">
        <v>927</v>
      </c>
      <c r="C909" t="s">
        <v>52</v>
      </c>
      <c r="D909" t="s">
        <v>528</v>
      </c>
      <c r="E909" t="s">
        <v>1518</v>
      </c>
      <c r="F909" t="s">
        <v>1519</v>
      </c>
      <c r="G909">
        <v>6</v>
      </c>
      <c r="H909" s="48">
        <v>0</v>
      </c>
      <c r="I909" s="50">
        <v>0</v>
      </c>
      <c r="J909" s="50">
        <v>46247</v>
      </c>
      <c r="K909" s="54">
        <v>46252</v>
      </c>
      <c r="L909" s="54">
        <v>46247</v>
      </c>
      <c r="M909" s="54">
        <v>46252</v>
      </c>
      <c r="O909" s="51" t="str">
        <f t="shared" si="98"/>
        <v/>
      </c>
      <c r="P909" s="51" t="str">
        <f t="shared" si="99"/>
        <v/>
      </c>
      <c r="Q909" s="52" t="str">
        <f t="shared" si="100"/>
        <v/>
      </c>
      <c r="R909" s="52" t="str">
        <f t="shared" si="101"/>
        <v/>
      </c>
      <c r="S909" s="51" t="str">
        <f t="shared" si="102"/>
        <v>SIM</v>
      </c>
      <c r="T909" t="str">
        <f t="shared" si="103"/>
        <v>BL1132-0001-AI-FDA-2026</v>
      </c>
      <c r="U909" s="52">
        <f t="shared" si="104"/>
        <v>46252</v>
      </c>
    </row>
    <row r="910" spans="2:21" x14ac:dyDescent="0.25">
      <c r="B910">
        <v>928</v>
      </c>
      <c r="C910" t="s">
        <v>52</v>
      </c>
      <c r="D910" t="s">
        <v>528</v>
      </c>
      <c r="E910" t="s">
        <v>1520</v>
      </c>
      <c r="F910" t="s">
        <v>1519</v>
      </c>
      <c r="G910">
        <v>4</v>
      </c>
      <c r="H910" s="48">
        <v>0</v>
      </c>
      <c r="I910" s="50">
        <v>0</v>
      </c>
      <c r="J910" s="50">
        <v>46252</v>
      </c>
      <c r="K910" s="54">
        <v>46255</v>
      </c>
      <c r="L910" s="54">
        <v>46252</v>
      </c>
      <c r="M910" s="54">
        <v>46255</v>
      </c>
      <c r="O910" s="51" t="str">
        <f t="shared" si="98"/>
        <v/>
      </c>
      <c r="P910" s="51" t="str">
        <f t="shared" si="99"/>
        <v/>
      </c>
      <c r="Q910" s="52" t="str">
        <f t="shared" si="100"/>
        <v/>
      </c>
      <c r="R910" s="52" t="str">
        <f t="shared" si="101"/>
        <v/>
      </c>
      <c r="S910" s="51" t="str">
        <f t="shared" si="102"/>
        <v/>
      </c>
      <c r="T910" t="str">
        <f t="shared" si="103"/>
        <v/>
      </c>
      <c r="U910" s="52" t="str">
        <f t="shared" si="104"/>
        <v/>
      </c>
    </row>
    <row r="911" spans="2:21" x14ac:dyDescent="0.25">
      <c r="B911">
        <v>929</v>
      </c>
      <c r="C911" t="s">
        <v>21</v>
      </c>
      <c r="D911" t="s">
        <v>381</v>
      </c>
      <c r="E911" t="s">
        <v>1755</v>
      </c>
      <c r="F911" t="s">
        <v>1559</v>
      </c>
      <c r="G911">
        <v>17</v>
      </c>
      <c r="H911" s="48">
        <v>0</v>
      </c>
      <c r="I911" s="50">
        <v>0</v>
      </c>
      <c r="J911" s="50">
        <v>46244</v>
      </c>
      <c r="K911" s="54">
        <v>46260</v>
      </c>
      <c r="L911" s="54">
        <v>46244</v>
      </c>
      <c r="M911" s="54">
        <v>46260</v>
      </c>
      <c r="O911" s="51" t="str">
        <f t="shared" si="98"/>
        <v/>
      </c>
      <c r="P911" s="51" t="str">
        <f t="shared" si="99"/>
        <v/>
      </c>
      <c r="Q911" s="52" t="str">
        <f t="shared" si="100"/>
        <v/>
      </c>
      <c r="R911" s="52" t="str">
        <f t="shared" si="101"/>
        <v/>
      </c>
      <c r="S911" s="51" t="str">
        <f t="shared" si="102"/>
        <v/>
      </c>
      <c r="T911" t="str">
        <f t="shared" si="103"/>
        <v/>
      </c>
      <c r="U911" s="52" t="str">
        <f t="shared" si="104"/>
        <v/>
      </c>
    </row>
    <row r="912" spans="2:21" x14ac:dyDescent="0.25">
      <c r="B912">
        <v>930</v>
      </c>
      <c r="C912" t="s">
        <v>21</v>
      </c>
      <c r="D912" t="s">
        <v>381</v>
      </c>
      <c r="E912" t="s">
        <v>1515</v>
      </c>
      <c r="F912" t="s">
        <v>1519</v>
      </c>
      <c r="G912">
        <v>4</v>
      </c>
      <c r="H912" s="48">
        <v>0</v>
      </c>
      <c r="I912" s="50">
        <v>0</v>
      </c>
      <c r="J912" s="50">
        <v>46244</v>
      </c>
      <c r="K912" s="54">
        <v>46247</v>
      </c>
      <c r="L912" s="54">
        <v>46244</v>
      </c>
      <c r="M912" s="54">
        <v>46247</v>
      </c>
      <c r="O912" s="51" t="str">
        <f t="shared" si="98"/>
        <v>SIM</v>
      </c>
      <c r="P912" s="51" t="str">
        <f t="shared" si="99"/>
        <v>BL1132-0001-AI-DPR-2008</v>
      </c>
      <c r="Q912" s="52">
        <f t="shared" si="100"/>
        <v>46247</v>
      </c>
      <c r="R912" s="52">
        <f t="shared" si="101"/>
        <v>46247</v>
      </c>
      <c r="S912" s="51" t="str">
        <f t="shared" si="102"/>
        <v/>
      </c>
      <c r="T912" t="str">
        <f t="shared" si="103"/>
        <v/>
      </c>
      <c r="U912" s="52" t="str">
        <f t="shared" si="104"/>
        <v/>
      </c>
    </row>
    <row r="913" spans="2:21" x14ac:dyDescent="0.25">
      <c r="B913">
        <v>931</v>
      </c>
      <c r="C913" t="s">
        <v>21</v>
      </c>
      <c r="D913" t="s">
        <v>381</v>
      </c>
      <c r="E913" t="s">
        <v>1517</v>
      </c>
      <c r="F913" t="s">
        <v>1519</v>
      </c>
      <c r="G913">
        <v>6</v>
      </c>
      <c r="H913" s="48">
        <v>0</v>
      </c>
      <c r="I913" s="50">
        <v>0</v>
      </c>
      <c r="J913" s="50">
        <v>46247</v>
      </c>
      <c r="K913" s="54">
        <v>46252</v>
      </c>
      <c r="L913" s="54">
        <v>46247</v>
      </c>
      <c r="M913" s="54">
        <v>46252</v>
      </c>
      <c r="O913" s="51" t="str">
        <f t="shared" si="98"/>
        <v/>
      </c>
      <c r="P913" s="51" t="str">
        <f t="shared" si="99"/>
        <v/>
      </c>
      <c r="Q913" s="52" t="str">
        <f t="shared" si="100"/>
        <v/>
      </c>
      <c r="R913" s="52" t="str">
        <f t="shared" si="101"/>
        <v/>
      </c>
      <c r="S913" s="51" t="str">
        <f t="shared" si="102"/>
        <v/>
      </c>
      <c r="T913" t="str">
        <f t="shared" si="103"/>
        <v/>
      </c>
      <c r="U913" s="52" t="str">
        <f t="shared" si="104"/>
        <v/>
      </c>
    </row>
    <row r="914" spans="2:21" x14ac:dyDescent="0.25">
      <c r="B914">
        <v>932</v>
      </c>
      <c r="C914" t="s">
        <v>21</v>
      </c>
      <c r="D914" t="s">
        <v>381</v>
      </c>
      <c r="E914" t="s">
        <v>1518</v>
      </c>
      <c r="F914" t="s">
        <v>1519</v>
      </c>
      <c r="G914">
        <v>4</v>
      </c>
      <c r="H914" s="48">
        <v>0</v>
      </c>
      <c r="I914" s="50">
        <v>0</v>
      </c>
      <c r="J914" s="50">
        <v>46252</v>
      </c>
      <c r="K914" s="54">
        <v>46255</v>
      </c>
      <c r="L914" s="54">
        <v>46252</v>
      </c>
      <c r="M914" s="54">
        <v>46255</v>
      </c>
      <c r="O914" s="51" t="str">
        <f t="shared" si="98"/>
        <v/>
      </c>
      <c r="P914" s="51" t="str">
        <f t="shared" si="99"/>
        <v/>
      </c>
      <c r="Q914" s="52" t="str">
        <f t="shared" si="100"/>
        <v/>
      </c>
      <c r="R914" s="52" t="str">
        <f t="shared" si="101"/>
        <v/>
      </c>
      <c r="S914" s="51" t="str">
        <f t="shared" si="102"/>
        <v>SIM</v>
      </c>
      <c r="T914" t="str">
        <f t="shared" si="103"/>
        <v>BL1132-0001-AI-DPR-2008</v>
      </c>
      <c r="U914" s="52">
        <f t="shared" si="104"/>
        <v>46255</v>
      </c>
    </row>
    <row r="915" spans="2:21" x14ac:dyDescent="0.25">
      <c r="B915">
        <v>933</v>
      </c>
      <c r="C915" t="s">
        <v>21</v>
      </c>
      <c r="D915" t="s">
        <v>381</v>
      </c>
      <c r="E915" t="s">
        <v>1520</v>
      </c>
      <c r="F915" t="s">
        <v>1519</v>
      </c>
      <c r="G915">
        <v>6</v>
      </c>
      <c r="H915" s="48">
        <v>0</v>
      </c>
      <c r="I915" s="50">
        <v>0</v>
      </c>
      <c r="J915" s="50">
        <v>46255</v>
      </c>
      <c r="K915" s="54">
        <v>46260</v>
      </c>
      <c r="L915" s="54">
        <v>46255</v>
      </c>
      <c r="M915" s="54">
        <v>46260</v>
      </c>
      <c r="O915" s="51" t="str">
        <f t="shared" si="98"/>
        <v/>
      </c>
      <c r="P915" s="51" t="str">
        <f t="shared" si="99"/>
        <v/>
      </c>
      <c r="Q915" s="52" t="str">
        <f t="shared" si="100"/>
        <v/>
      </c>
      <c r="R915" s="52" t="str">
        <f t="shared" si="101"/>
        <v/>
      </c>
      <c r="S915" s="51" t="str">
        <f t="shared" si="102"/>
        <v/>
      </c>
      <c r="T915" t="str">
        <f t="shared" si="103"/>
        <v/>
      </c>
      <c r="U915" s="52" t="str">
        <f t="shared" si="104"/>
        <v/>
      </c>
    </row>
    <row r="916" spans="2:21" x14ac:dyDescent="0.25">
      <c r="B916">
        <v>934</v>
      </c>
      <c r="C916" t="s">
        <v>55</v>
      </c>
      <c r="D916" t="s">
        <v>538</v>
      </c>
      <c r="E916" t="s">
        <v>1756</v>
      </c>
      <c r="F916" t="s">
        <v>1641</v>
      </c>
      <c r="G916">
        <v>16</v>
      </c>
      <c r="H916" s="48">
        <v>0</v>
      </c>
      <c r="I916" s="50">
        <v>0</v>
      </c>
      <c r="J916" s="50">
        <v>46245</v>
      </c>
      <c r="K916" s="54">
        <v>46260</v>
      </c>
      <c r="L916" s="54">
        <v>46245</v>
      </c>
      <c r="M916" s="54">
        <v>46260</v>
      </c>
      <c r="O916" s="51" t="str">
        <f t="shared" si="98"/>
        <v/>
      </c>
      <c r="P916" s="51" t="str">
        <f t="shared" si="99"/>
        <v/>
      </c>
      <c r="Q916" s="52" t="str">
        <f t="shared" si="100"/>
        <v/>
      </c>
      <c r="R916" s="52" t="str">
        <f t="shared" si="101"/>
        <v/>
      </c>
      <c r="S916" s="51" t="str">
        <f t="shared" si="102"/>
        <v/>
      </c>
      <c r="T916" t="str">
        <f t="shared" si="103"/>
        <v/>
      </c>
      <c r="U916" s="52" t="str">
        <f t="shared" si="104"/>
        <v/>
      </c>
    </row>
    <row r="917" spans="2:21" x14ac:dyDescent="0.25">
      <c r="B917">
        <v>935</v>
      </c>
      <c r="C917" t="s">
        <v>55</v>
      </c>
      <c r="D917" t="s">
        <v>538</v>
      </c>
      <c r="E917" t="s">
        <v>1515</v>
      </c>
      <c r="F917" t="s">
        <v>1642</v>
      </c>
      <c r="G917">
        <v>3</v>
      </c>
      <c r="H917" s="48">
        <v>0</v>
      </c>
      <c r="I917" s="50">
        <v>0</v>
      </c>
      <c r="J917" s="50">
        <v>46245</v>
      </c>
      <c r="K917" s="54">
        <v>46247</v>
      </c>
      <c r="L917" s="54">
        <v>46245</v>
      </c>
      <c r="M917" s="54">
        <v>46247</v>
      </c>
      <c r="O917" s="51" t="str">
        <f t="shared" si="98"/>
        <v>SIM</v>
      </c>
      <c r="P917" s="51" t="str">
        <f t="shared" si="99"/>
        <v>BL1132-0001-AI-FDA-2029</v>
      </c>
      <c r="Q917" s="52">
        <f t="shared" si="100"/>
        <v>46247</v>
      </c>
      <c r="R917" s="52">
        <f t="shared" si="101"/>
        <v>46247</v>
      </c>
      <c r="S917" s="51" t="str">
        <f t="shared" si="102"/>
        <v/>
      </c>
      <c r="T917" t="str">
        <f t="shared" si="103"/>
        <v/>
      </c>
      <c r="U917" s="52" t="str">
        <f t="shared" si="104"/>
        <v/>
      </c>
    </row>
    <row r="918" spans="2:21" x14ac:dyDescent="0.25">
      <c r="B918">
        <v>936</v>
      </c>
      <c r="C918" t="s">
        <v>55</v>
      </c>
      <c r="D918" t="s">
        <v>538</v>
      </c>
      <c r="E918" t="s">
        <v>1517</v>
      </c>
      <c r="F918" t="s">
        <v>1519</v>
      </c>
      <c r="G918">
        <v>6</v>
      </c>
      <c r="H918" s="48">
        <v>0</v>
      </c>
      <c r="I918" s="50">
        <v>0</v>
      </c>
      <c r="J918" s="50">
        <v>46247</v>
      </c>
      <c r="K918" s="54">
        <v>46252</v>
      </c>
      <c r="L918" s="54">
        <v>46247</v>
      </c>
      <c r="M918" s="54">
        <v>46252</v>
      </c>
      <c r="O918" s="51" t="str">
        <f t="shared" si="98"/>
        <v/>
      </c>
      <c r="P918" s="51" t="str">
        <f t="shared" si="99"/>
        <v/>
      </c>
      <c r="Q918" s="52" t="str">
        <f t="shared" si="100"/>
        <v/>
      </c>
      <c r="R918" s="52" t="str">
        <f t="shared" si="101"/>
        <v/>
      </c>
      <c r="S918" s="51" t="str">
        <f t="shared" si="102"/>
        <v/>
      </c>
      <c r="T918" t="str">
        <f t="shared" si="103"/>
        <v/>
      </c>
      <c r="U918" s="52" t="str">
        <f t="shared" si="104"/>
        <v/>
      </c>
    </row>
    <row r="919" spans="2:21" x14ac:dyDescent="0.25">
      <c r="B919">
        <v>937</v>
      </c>
      <c r="C919" t="s">
        <v>55</v>
      </c>
      <c r="D919" t="s">
        <v>538</v>
      </c>
      <c r="E919" t="s">
        <v>1518</v>
      </c>
      <c r="F919" t="s">
        <v>1519</v>
      </c>
      <c r="G919">
        <v>4</v>
      </c>
      <c r="H919" s="48">
        <v>0</v>
      </c>
      <c r="I919" s="50">
        <v>0</v>
      </c>
      <c r="J919" s="50">
        <v>46252</v>
      </c>
      <c r="K919" s="54">
        <v>46255</v>
      </c>
      <c r="L919" s="54">
        <v>46252</v>
      </c>
      <c r="M919" s="54">
        <v>46255</v>
      </c>
      <c r="O919" s="51" t="str">
        <f t="shared" si="98"/>
        <v/>
      </c>
      <c r="P919" s="51" t="str">
        <f t="shared" si="99"/>
        <v/>
      </c>
      <c r="Q919" s="52" t="str">
        <f t="shared" si="100"/>
        <v/>
      </c>
      <c r="R919" s="52" t="str">
        <f t="shared" si="101"/>
        <v/>
      </c>
      <c r="S919" s="51" t="str">
        <f t="shared" si="102"/>
        <v>SIM</v>
      </c>
      <c r="T919" t="str">
        <f t="shared" si="103"/>
        <v>BL1132-0001-AI-FDA-2029</v>
      </c>
      <c r="U919" s="52">
        <f t="shared" si="104"/>
        <v>46255</v>
      </c>
    </row>
    <row r="920" spans="2:21" x14ac:dyDescent="0.25">
      <c r="B920">
        <v>938</v>
      </c>
      <c r="C920" t="s">
        <v>55</v>
      </c>
      <c r="D920" t="s">
        <v>538</v>
      </c>
      <c r="E920" t="s">
        <v>1520</v>
      </c>
      <c r="F920" t="s">
        <v>1519</v>
      </c>
      <c r="G920">
        <v>6</v>
      </c>
      <c r="H920" s="48">
        <v>0</v>
      </c>
      <c r="I920" s="50">
        <v>0</v>
      </c>
      <c r="J920" s="50">
        <v>46255</v>
      </c>
      <c r="K920" s="54">
        <v>46260</v>
      </c>
      <c r="L920" s="54">
        <v>46255</v>
      </c>
      <c r="M920" s="54">
        <v>46260</v>
      </c>
      <c r="O920" s="51" t="str">
        <f t="shared" si="98"/>
        <v/>
      </c>
      <c r="P920" s="51" t="str">
        <f t="shared" si="99"/>
        <v/>
      </c>
      <c r="Q920" s="52" t="str">
        <f t="shared" si="100"/>
        <v/>
      </c>
      <c r="R920" s="52" t="str">
        <f t="shared" si="101"/>
        <v/>
      </c>
      <c r="S920" s="51" t="str">
        <f t="shared" si="102"/>
        <v/>
      </c>
      <c r="T920" t="str">
        <f t="shared" si="103"/>
        <v/>
      </c>
      <c r="U920" s="52" t="str">
        <f t="shared" si="104"/>
        <v/>
      </c>
    </row>
    <row r="921" spans="2:21" x14ac:dyDescent="0.25">
      <c r="B921">
        <v>939</v>
      </c>
      <c r="C921" t="s">
        <v>65</v>
      </c>
      <c r="D921" t="s">
        <v>554</v>
      </c>
      <c r="E921" t="s">
        <v>1757</v>
      </c>
      <c r="F921" t="s">
        <v>1641</v>
      </c>
      <c r="G921">
        <v>16</v>
      </c>
      <c r="H921" s="48">
        <v>0</v>
      </c>
      <c r="I921" s="50">
        <v>0</v>
      </c>
      <c r="J921" s="50">
        <v>46252</v>
      </c>
      <c r="K921" s="54">
        <v>46267</v>
      </c>
      <c r="L921" s="54">
        <v>46252</v>
      </c>
      <c r="M921" s="54">
        <v>46267</v>
      </c>
      <c r="O921" s="51" t="str">
        <f t="shared" si="98"/>
        <v/>
      </c>
      <c r="P921" s="51" t="str">
        <f t="shared" si="99"/>
        <v/>
      </c>
      <c r="Q921" s="52" t="str">
        <f t="shared" si="100"/>
        <v/>
      </c>
      <c r="R921" s="52" t="str">
        <f t="shared" si="101"/>
        <v/>
      </c>
      <c r="S921" s="51" t="str">
        <f t="shared" si="102"/>
        <v/>
      </c>
      <c r="T921" t="str">
        <f t="shared" si="103"/>
        <v/>
      </c>
      <c r="U921" s="52" t="str">
        <f t="shared" si="104"/>
        <v/>
      </c>
    </row>
    <row r="922" spans="2:21" x14ac:dyDescent="0.25">
      <c r="B922">
        <v>940</v>
      </c>
      <c r="C922" t="s">
        <v>65</v>
      </c>
      <c r="D922" t="s">
        <v>554</v>
      </c>
      <c r="E922" t="s">
        <v>1515</v>
      </c>
      <c r="F922" t="s">
        <v>1642</v>
      </c>
      <c r="G922">
        <v>3</v>
      </c>
      <c r="H922" s="48">
        <v>0</v>
      </c>
      <c r="I922" s="50">
        <v>0</v>
      </c>
      <c r="J922" s="50">
        <v>46252</v>
      </c>
      <c r="K922" s="54">
        <v>46254</v>
      </c>
      <c r="L922" s="54">
        <v>46252</v>
      </c>
      <c r="M922" s="54">
        <v>46254</v>
      </c>
      <c r="O922" s="51" t="str">
        <f t="shared" si="98"/>
        <v>SIM</v>
      </c>
      <c r="P922" s="51" t="str">
        <f t="shared" si="99"/>
        <v>BL1132-0001-AI-LEI-2001</v>
      </c>
      <c r="Q922" s="52">
        <f t="shared" si="100"/>
        <v>46254</v>
      </c>
      <c r="R922" s="52">
        <f t="shared" si="101"/>
        <v>46254</v>
      </c>
      <c r="S922" s="51" t="str">
        <f t="shared" si="102"/>
        <v/>
      </c>
      <c r="T922" t="str">
        <f t="shared" si="103"/>
        <v/>
      </c>
      <c r="U922" s="52" t="str">
        <f t="shared" si="104"/>
        <v/>
      </c>
    </row>
    <row r="923" spans="2:21" x14ac:dyDescent="0.25">
      <c r="B923">
        <v>941</v>
      </c>
      <c r="C923" t="s">
        <v>65</v>
      </c>
      <c r="D923" t="s">
        <v>554</v>
      </c>
      <c r="E923" t="s">
        <v>1517</v>
      </c>
      <c r="F923" t="s">
        <v>1519</v>
      </c>
      <c r="G923">
        <v>6</v>
      </c>
      <c r="H923" s="48">
        <v>0</v>
      </c>
      <c r="I923" s="50">
        <v>0</v>
      </c>
      <c r="J923" s="50">
        <v>46254</v>
      </c>
      <c r="K923" s="54">
        <v>46259</v>
      </c>
      <c r="L923" s="54">
        <v>46254</v>
      </c>
      <c r="M923" s="54">
        <v>46259</v>
      </c>
      <c r="O923" s="51" t="str">
        <f t="shared" si="98"/>
        <v/>
      </c>
      <c r="P923" s="51" t="str">
        <f t="shared" si="99"/>
        <v/>
      </c>
      <c r="Q923" s="52" t="str">
        <f t="shared" si="100"/>
        <v/>
      </c>
      <c r="R923" s="52" t="str">
        <f t="shared" si="101"/>
        <v/>
      </c>
      <c r="S923" s="51" t="str">
        <f t="shared" si="102"/>
        <v/>
      </c>
      <c r="T923" t="str">
        <f t="shared" si="103"/>
        <v/>
      </c>
      <c r="U923" s="52" t="str">
        <f t="shared" si="104"/>
        <v/>
      </c>
    </row>
    <row r="924" spans="2:21" x14ac:dyDescent="0.25">
      <c r="B924">
        <v>942</v>
      </c>
      <c r="C924" t="s">
        <v>65</v>
      </c>
      <c r="D924" t="s">
        <v>554</v>
      </c>
      <c r="E924" t="s">
        <v>1518</v>
      </c>
      <c r="F924" t="s">
        <v>1519</v>
      </c>
      <c r="G924">
        <v>4</v>
      </c>
      <c r="H924" s="48">
        <v>0</v>
      </c>
      <c r="I924" s="50">
        <v>0</v>
      </c>
      <c r="J924" s="50">
        <v>46259</v>
      </c>
      <c r="K924" s="54">
        <v>46262</v>
      </c>
      <c r="L924" s="54">
        <v>46259</v>
      </c>
      <c r="M924" s="54">
        <v>46262</v>
      </c>
      <c r="O924" s="51" t="str">
        <f t="shared" si="98"/>
        <v/>
      </c>
      <c r="P924" s="51" t="str">
        <f t="shared" si="99"/>
        <v/>
      </c>
      <c r="Q924" s="52" t="str">
        <f t="shared" si="100"/>
        <v/>
      </c>
      <c r="R924" s="52" t="str">
        <f t="shared" si="101"/>
        <v/>
      </c>
      <c r="S924" s="51" t="str">
        <f t="shared" si="102"/>
        <v>SIM</v>
      </c>
      <c r="T924" t="str">
        <f t="shared" si="103"/>
        <v>BL1132-0001-AI-LEI-2001</v>
      </c>
      <c r="U924" s="52">
        <f t="shared" si="104"/>
        <v>46262</v>
      </c>
    </row>
    <row r="925" spans="2:21" x14ac:dyDescent="0.25">
      <c r="B925">
        <v>943</v>
      </c>
      <c r="C925" t="s">
        <v>65</v>
      </c>
      <c r="D925" t="s">
        <v>554</v>
      </c>
      <c r="E925" t="s">
        <v>1520</v>
      </c>
      <c r="F925" t="s">
        <v>1519</v>
      </c>
      <c r="G925">
        <v>6</v>
      </c>
      <c r="H925" s="48">
        <v>0</v>
      </c>
      <c r="I925" s="50">
        <v>0</v>
      </c>
      <c r="J925" s="50">
        <v>46262</v>
      </c>
      <c r="K925" s="54">
        <v>46267</v>
      </c>
      <c r="L925" s="54">
        <v>46262</v>
      </c>
      <c r="M925" s="54">
        <v>46267</v>
      </c>
      <c r="O925" s="51" t="str">
        <f t="shared" si="98"/>
        <v/>
      </c>
      <c r="P925" s="51" t="str">
        <f t="shared" si="99"/>
        <v/>
      </c>
      <c r="Q925" s="52" t="str">
        <f t="shared" si="100"/>
        <v/>
      </c>
      <c r="R925" s="52" t="str">
        <f t="shared" si="101"/>
        <v/>
      </c>
      <c r="S925" s="51" t="str">
        <f t="shared" si="102"/>
        <v/>
      </c>
      <c r="T925" t="str">
        <f t="shared" si="103"/>
        <v/>
      </c>
      <c r="U925" s="52" t="str">
        <f t="shared" si="104"/>
        <v/>
      </c>
    </row>
    <row r="926" spans="2:21" x14ac:dyDescent="0.25">
      <c r="B926">
        <v>944</v>
      </c>
      <c r="E926" t="s">
        <v>1474</v>
      </c>
      <c r="F926" t="s">
        <v>1475</v>
      </c>
      <c r="G926">
        <v>89</v>
      </c>
      <c r="H926" s="48">
        <v>0.7339</v>
      </c>
      <c r="I926" s="50">
        <v>0.68840000000000001</v>
      </c>
      <c r="J926" s="50">
        <v>46171</v>
      </c>
      <c r="K926" s="54">
        <v>46244</v>
      </c>
      <c r="L926" s="54">
        <v>46171</v>
      </c>
      <c r="M926" s="54">
        <v>46259</v>
      </c>
      <c r="O926" s="51" t="str">
        <f t="shared" si="98"/>
        <v/>
      </c>
      <c r="P926" s="51" t="str">
        <f t="shared" si="99"/>
        <v/>
      </c>
      <c r="Q926" s="52" t="str">
        <f t="shared" si="100"/>
        <v/>
      </c>
      <c r="R926" s="52" t="str">
        <f t="shared" si="101"/>
        <v/>
      </c>
      <c r="S926" s="51" t="str">
        <f t="shared" si="102"/>
        <v/>
      </c>
      <c r="T926" t="str">
        <f t="shared" si="103"/>
        <v/>
      </c>
      <c r="U926" s="52" t="str">
        <f t="shared" si="104"/>
        <v/>
      </c>
    </row>
    <row r="927" spans="2:21" x14ac:dyDescent="0.25">
      <c r="B927">
        <v>945</v>
      </c>
      <c r="E927" t="s">
        <v>1758</v>
      </c>
      <c r="F927" t="s">
        <v>1475</v>
      </c>
      <c r="G927">
        <v>89</v>
      </c>
      <c r="H927" s="48">
        <v>0.7339</v>
      </c>
      <c r="I927" s="50">
        <v>0.68840000000000001</v>
      </c>
      <c r="J927" s="50">
        <v>46171</v>
      </c>
      <c r="K927" s="54">
        <v>46244</v>
      </c>
      <c r="L927" s="54">
        <v>46171</v>
      </c>
      <c r="M927" s="54">
        <v>46259</v>
      </c>
      <c r="O927" s="51" t="str">
        <f t="shared" si="98"/>
        <v/>
      </c>
      <c r="P927" s="51" t="str">
        <f t="shared" si="99"/>
        <v/>
      </c>
      <c r="Q927" s="52" t="str">
        <f t="shared" si="100"/>
        <v/>
      </c>
      <c r="R927" s="52" t="str">
        <f t="shared" si="101"/>
        <v/>
      </c>
      <c r="S927" s="51" t="str">
        <f t="shared" si="102"/>
        <v/>
      </c>
      <c r="T927" t="str">
        <f t="shared" si="103"/>
        <v/>
      </c>
      <c r="U927" s="52" t="str">
        <f t="shared" si="104"/>
        <v/>
      </c>
    </row>
    <row r="928" spans="2:21" x14ac:dyDescent="0.25">
      <c r="B928">
        <v>946</v>
      </c>
      <c r="E928" t="s">
        <v>1759</v>
      </c>
      <c r="F928" t="s">
        <v>1475</v>
      </c>
      <c r="G928">
        <v>89</v>
      </c>
      <c r="H928" s="48">
        <v>0.7339</v>
      </c>
      <c r="I928" s="50">
        <v>0.68840000000000001</v>
      </c>
      <c r="J928" s="50">
        <v>46171</v>
      </c>
      <c r="K928" s="54">
        <v>46244</v>
      </c>
      <c r="L928" s="54">
        <v>46171</v>
      </c>
      <c r="M928" s="54">
        <v>46259</v>
      </c>
      <c r="O928" s="51" t="str">
        <f t="shared" si="98"/>
        <v/>
      </c>
      <c r="P928" s="51" t="str">
        <f t="shared" si="99"/>
        <v/>
      </c>
      <c r="Q928" s="52" t="str">
        <f t="shared" si="100"/>
        <v/>
      </c>
      <c r="R928" s="52" t="str">
        <f t="shared" si="101"/>
        <v/>
      </c>
      <c r="S928" s="51" t="str">
        <f t="shared" si="102"/>
        <v/>
      </c>
      <c r="T928" t="str">
        <f t="shared" si="103"/>
        <v/>
      </c>
      <c r="U928" s="52" t="str">
        <f t="shared" si="104"/>
        <v/>
      </c>
    </row>
    <row r="929" spans="2:21" x14ac:dyDescent="0.25">
      <c r="B929">
        <v>947</v>
      </c>
      <c r="E929" t="s">
        <v>1760</v>
      </c>
      <c r="F929" t="s">
        <v>1475</v>
      </c>
      <c r="G929">
        <v>89</v>
      </c>
      <c r="H929" s="48">
        <v>0.72</v>
      </c>
      <c r="I929" s="50">
        <v>0.65459999999999996</v>
      </c>
      <c r="J929" s="50">
        <v>46171</v>
      </c>
      <c r="K929" s="54">
        <v>46244</v>
      </c>
      <c r="L929" s="54">
        <v>46171</v>
      </c>
      <c r="M929" s="54">
        <v>46259</v>
      </c>
      <c r="O929" s="51" t="str">
        <f t="shared" si="98"/>
        <v/>
      </c>
      <c r="P929" s="51" t="str">
        <f t="shared" si="99"/>
        <v/>
      </c>
      <c r="Q929" s="52" t="str">
        <f t="shared" si="100"/>
        <v/>
      </c>
      <c r="R929" s="52" t="str">
        <f t="shared" si="101"/>
        <v/>
      </c>
      <c r="S929" s="51" t="str">
        <f t="shared" si="102"/>
        <v/>
      </c>
      <c r="T929" t="str">
        <f t="shared" si="103"/>
        <v/>
      </c>
      <c r="U929" s="52" t="str">
        <f t="shared" si="104"/>
        <v/>
      </c>
    </row>
    <row r="930" spans="2:21" x14ac:dyDescent="0.25">
      <c r="B930">
        <v>948</v>
      </c>
      <c r="E930" t="s">
        <v>1555</v>
      </c>
      <c r="F930" t="s">
        <v>1522</v>
      </c>
      <c r="G930">
        <v>36</v>
      </c>
      <c r="H930" s="48">
        <v>0.97</v>
      </c>
      <c r="I930" s="50">
        <v>1</v>
      </c>
      <c r="J930" s="50">
        <v>46171</v>
      </c>
      <c r="K930" s="54">
        <v>46217</v>
      </c>
      <c r="L930" s="54">
        <v>46171</v>
      </c>
      <c r="M930" s="54">
        <v>46206</v>
      </c>
      <c r="O930" s="51" t="str">
        <f t="shared" si="98"/>
        <v/>
      </c>
      <c r="P930" s="51" t="str">
        <f t="shared" si="99"/>
        <v/>
      </c>
      <c r="Q930" s="52" t="str">
        <f t="shared" si="100"/>
        <v/>
      </c>
      <c r="R930" s="52" t="str">
        <f t="shared" si="101"/>
        <v/>
      </c>
      <c r="S930" s="51" t="str">
        <f t="shared" si="102"/>
        <v/>
      </c>
      <c r="T930" t="str">
        <f t="shared" si="103"/>
        <v/>
      </c>
      <c r="U930" s="52" t="str">
        <f t="shared" si="104"/>
        <v/>
      </c>
    </row>
    <row r="931" spans="2:21" x14ac:dyDescent="0.25">
      <c r="B931">
        <v>949</v>
      </c>
      <c r="E931" t="s">
        <v>1689</v>
      </c>
      <c r="F931" t="s">
        <v>1535</v>
      </c>
      <c r="G931">
        <v>22</v>
      </c>
      <c r="H931" s="48">
        <v>1</v>
      </c>
      <c r="I931" s="50">
        <v>1</v>
      </c>
      <c r="J931" s="50">
        <v>46171</v>
      </c>
      <c r="K931" s="54">
        <v>46192</v>
      </c>
      <c r="L931" s="54">
        <v>46171</v>
      </c>
      <c r="M931" s="54">
        <v>46192</v>
      </c>
      <c r="O931" s="51" t="str">
        <f t="shared" si="98"/>
        <v/>
      </c>
      <c r="P931" s="51" t="str">
        <f t="shared" si="99"/>
        <v/>
      </c>
      <c r="Q931" s="52" t="str">
        <f t="shared" si="100"/>
        <v/>
      </c>
      <c r="R931" s="52" t="str">
        <f t="shared" si="101"/>
        <v/>
      </c>
      <c r="S931" s="51" t="str">
        <f t="shared" si="102"/>
        <v/>
      </c>
      <c r="T931" t="str">
        <f t="shared" si="103"/>
        <v/>
      </c>
      <c r="U931" s="52" t="str">
        <f t="shared" si="104"/>
        <v/>
      </c>
    </row>
    <row r="932" spans="2:21" x14ac:dyDescent="0.25">
      <c r="B932">
        <v>950</v>
      </c>
      <c r="E932" t="s">
        <v>1572</v>
      </c>
      <c r="F932" t="s">
        <v>1509</v>
      </c>
      <c r="G932">
        <v>15</v>
      </c>
      <c r="H932" s="48">
        <v>0.88</v>
      </c>
      <c r="I932" s="50">
        <v>1</v>
      </c>
      <c r="J932" s="50">
        <v>46203</v>
      </c>
      <c r="K932" s="54">
        <v>46217</v>
      </c>
      <c r="L932" s="54">
        <v>46192</v>
      </c>
      <c r="M932" s="54">
        <v>46206</v>
      </c>
      <c r="O932" s="51" t="str">
        <f t="shared" si="98"/>
        <v/>
      </c>
      <c r="P932" s="51" t="str">
        <f t="shared" si="99"/>
        <v/>
      </c>
      <c r="Q932" s="52" t="str">
        <f t="shared" si="100"/>
        <v/>
      </c>
      <c r="R932" s="52" t="str">
        <f t="shared" si="101"/>
        <v/>
      </c>
      <c r="S932" s="51" t="str">
        <f t="shared" si="102"/>
        <v/>
      </c>
      <c r="T932" t="str">
        <f t="shared" si="103"/>
        <v/>
      </c>
      <c r="U932" s="52" t="str">
        <f t="shared" si="104"/>
        <v/>
      </c>
    </row>
    <row r="933" spans="2:21" x14ac:dyDescent="0.25">
      <c r="B933">
        <v>951</v>
      </c>
      <c r="E933" t="s">
        <v>1557</v>
      </c>
      <c r="F933" t="s">
        <v>1761</v>
      </c>
      <c r="G933">
        <v>12</v>
      </c>
      <c r="H933" s="48">
        <v>1</v>
      </c>
      <c r="I933" s="50">
        <v>1</v>
      </c>
      <c r="J933" s="50">
        <v>46196</v>
      </c>
      <c r="K933" s="54">
        <v>46210</v>
      </c>
      <c r="L933" s="54">
        <v>46192</v>
      </c>
      <c r="M933" s="54">
        <v>46203</v>
      </c>
      <c r="O933" s="51" t="str">
        <f t="shared" si="98"/>
        <v/>
      </c>
      <c r="P933" s="51" t="str">
        <f t="shared" si="99"/>
        <v/>
      </c>
      <c r="Q933" s="52" t="str">
        <f t="shared" si="100"/>
        <v/>
      </c>
      <c r="R933" s="52" t="str">
        <f t="shared" si="101"/>
        <v/>
      </c>
      <c r="S933" s="51" t="str">
        <f t="shared" si="102"/>
        <v/>
      </c>
      <c r="T933" t="str">
        <f t="shared" si="103"/>
        <v/>
      </c>
      <c r="U933" s="52" t="str">
        <f t="shared" si="104"/>
        <v/>
      </c>
    </row>
    <row r="934" spans="2:21" x14ac:dyDescent="0.25">
      <c r="B934">
        <v>952</v>
      </c>
      <c r="E934" t="s">
        <v>1560</v>
      </c>
      <c r="F934" t="s">
        <v>1762</v>
      </c>
      <c r="G934">
        <v>68</v>
      </c>
      <c r="H934" s="48">
        <v>0.70189999999999997</v>
      </c>
      <c r="I934" s="50">
        <v>0.62960000000000005</v>
      </c>
      <c r="J934" s="50">
        <v>46192</v>
      </c>
      <c r="K934" s="54">
        <v>46244</v>
      </c>
      <c r="L934" s="54">
        <v>46192</v>
      </c>
      <c r="M934" s="54">
        <v>46259</v>
      </c>
      <c r="O934" s="51" t="str">
        <f t="shared" si="98"/>
        <v/>
      </c>
      <c r="P934" s="51" t="str">
        <f t="shared" si="99"/>
        <v/>
      </c>
      <c r="Q934" s="52" t="str">
        <f t="shared" si="100"/>
        <v/>
      </c>
      <c r="R934" s="52" t="str">
        <f t="shared" si="101"/>
        <v/>
      </c>
      <c r="S934" s="51" t="str">
        <f t="shared" si="102"/>
        <v/>
      </c>
      <c r="T934" t="str">
        <f t="shared" si="103"/>
        <v/>
      </c>
      <c r="U934" s="52" t="str">
        <f t="shared" si="104"/>
        <v/>
      </c>
    </row>
    <row r="935" spans="2:21" x14ac:dyDescent="0.25">
      <c r="B935">
        <v>953</v>
      </c>
      <c r="E935" t="s">
        <v>1763</v>
      </c>
      <c r="F935" t="s">
        <v>1764</v>
      </c>
      <c r="G935">
        <v>61</v>
      </c>
      <c r="H935" s="48">
        <v>0.16159999999999999</v>
      </c>
      <c r="I935" s="50">
        <v>0.1414</v>
      </c>
      <c r="J935" s="50">
        <v>46192</v>
      </c>
      <c r="K935" s="54">
        <v>46244</v>
      </c>
      <c r="L935" s="54">
        <v>46192</v>
      </c>
      <c r="M935" s="54">
        <v>46252</v>
      </c>
      <c r="O935" s="51" t="str">
        <f t="shared" si="98"/>
        <v/>
      </c>
      <c r="P935" s="51" t="str">
        <f t="shared" si="99"/>
        <v/>
      </c>
      <c r="Q935" s="52" t="str">
        <f t="shared" si="100"/>
        <v/>
      </c>
      <c r="R935" s="52" t="str">
        <f t="shared" si="101"/>
        <v/>
      </c>
      <c r="S935" s="51" t="str">
        <f t="shared" si="102"/>
        <v/>
      </c>
      <c r="T935" t="str">
        <f t="shared" si="103"/>
        <v/>
      </c>
      <c r="U935" s="52" t="str">
        <f t="shared" si="104"/>
        <v/>
      </c>
    </row>
    <row r="936" spans="2:21" x14ac:dyDescent="0.25">
      <c r="B936">
        <v>954</v>
      </c>
      <c r="C936" t="s">
        <v>72</v>
      </c>
      <c r="D936" t="s">
        <v>571</v>
      </c>
      <c r="E936" t="s">
        <v>1765</v>
      </c>
      <c r="F936" t="s">
        <v>1588</v>
      </c>
      <c r="G936">
        <v>22</v>
      </c>
      <c r="H936" s="48">
        <v>0.95079999999999998</v>
      </c>
      <c r="I936" s="50">
        <v>1</v>
      </c>
      <c r="J936" s="50">
        <v>46192</v>
      </c>
      <c r="K936" s="54">
        <v>46219</v>
      </c>
      <c r="L936" s="54">
        <v>46192</v>
      </c>
      <c r="M936" s="54">
        <v>46213</v>
      </c>
      <c r="O936" s="51" t="str">
        <f t="shared" si="98"/>
        <v/>
      </c>
      <c r="P936" s="51" t="str">
        <f t="shared" si="99"/>
        <v/>
      </c>
      <c r="Q936" s="52" t="str">
        <f t="shared" si="100"/>
        <v/>
      </c>
      <c r="R936" s="52" t="str">
        <f t="shared" si="101"/>
        <v/>
      </c>
      <c r="S936" s="51" t="str">
        <f t="shared" si="102"/>
        <v/>
      </c>
      <c r="T936" t="str">
        <f t="shared" si="103"/>
        <v/>
      </c>
      <c r="U936" s="52" t="str">
        <f t="shared" si="104"/>
        <v/>
      </c>
    </row>
    <row r="937" spans="2:21" x14ac:dyDescent="0.25">
      <c r="B937">
        <v>955</v>
      </c>
      <c r="C937" t="s">
        <v>72</v>
      </c>
      <c r="D937" t="s">
        <v>571</v>
      </c>
      <c r="E937" t="s">
        <v>1515</v>
      </c>
      <c r="F937" t="s">
        <v>1509</v>
      </c>
      <c r="G937">
        <v>15</v>
      </c>
      <c r="H937" s="48">
        <v>1</v>
      </c>
      <c r="I937" s="50">
        <v>1</v>
      </c>
      <c r="J937" s="50">
        <v>46192</v>
      </c>
      <c r="K937" s="54">
        <v>46206</v>
      </c>
      <c r="L937" s="54">
        <v>46192</v>
      </c>
      <c r="M937" s="54">
        <v>46206</v>
      </c>
      <c r="O937" s="51" t="str">
        <f t="shared" si="98"/>
        <v>SIM</v>
      </c>
      <c r="P937" s="51" t="str">
        <f t="shared" si="99"/>
        <v>BL1132-0001-AR-CPR-2000</v>
      </c>
      <c r="Q937" s="52">
        <f t="shared" si="100"/>
        <v>46206</v>
      </c>
      <c r="R937" s="52">
        <f t="shared" si="101"/>
        <v>46206</v>
      </c>
      <c r="S937" s="51" t="str">
        <f t="shared" si="102"/>
        <v/>
      </c>
      <c r="T937" t="str">
        <f t="shared" si="103"/>
        <v/>
      </c>
      <c r="U937" s="52" t="str">
        <f t="shared" si="104"/>
        <v/>
      </c>
    </row>
    <row r="938" spans="2:21" x14ac:dyDescent="0.25">
      <c r="B938">
        <v>956</v>
      </c>
      <c r="C938" t="s">
        <v>72</v>
      </c>
      <c r="D938" t="s">
        <v>571</v>
      </c>
      <c r="E938" t="s">
        <v>1517</v>
      </c>
      <c r="F938" t="s">
        <v>1692</v>
      </c>
      <c r="G938">
        <v>2</v>
      </c>
      <c r="H938" s="48">
        <v>1</v>
      </c>
      <c r="I938" s="50">
        <v>1</v>
      </c>
      <c r="J938" s="50">
        <v>46206</v>
      </c>
      <c r="K938" s="54">
        <v>46211</v>
      </c>
      <c r="L938" s="54">
        <v>46205</v>
      </c>
      <c r="M938" s="54">
        <v>46206</v>
      </c>
      <c r="O938" s="51" t="str">
        <f t="shared" si="98"/>
        <v/>
      </c>
      <c r="P938" s="51" t="str">
        <f t="shared" si="99"/>
        <v/>
      </c>
      <c r="Q938" s="52" t="str">
        <f t="shared" si="100"/>
        <v/>
      </c>
      <c r="R938" s="52" t="str">
        <f t="shared" si="101"/>
        <v/>
      </c>
      <c r="S938" s="51" t="str">
        <f t="shared" si="102"/>
        <v/>
      </c>
      <c r="T938" t="str">
        <f t="shared" si="103"/>
        <v/>
      </c>
      <c r="U938" s="52" t="str">
        <f t="shared" si="104"/>
        <v/>
      </c>
    </row>
    <row r="939" spans="2:21" x14ac:dyDescent="0.25">
      <c r="B939">
        <v>957</v>
      </c>
      <c r="C939" t="s">
        <v>72</v>
      </c>
      <c r="D939" t="s">
        <v>571</v>
      </c>
      <c r="E939" t="s">
        <v>1518</v>
      </c>
      <c r="F939" t="s">
        <v>1519</v>
      </c>
      <c r="G939">
        <v>6</v>
      </c>
      <c r="H939" s="48">
        <v>0.87</v>
      </c>
      <c r="I939" s="50">
        <v>1</v>
      </c>
      <c r="J939" s="50">
        <v>46211</v>
      </c>
      <c r="K939" s="54">
        <v>46216</v>
      </c>
      <c r="L939" s="54">
        <v>46206</v>
      </c>
      <c r="M939" s="54">
        <v>46211</v>
      </c>
      <c r="O939" s="51" t="str">
        <f t="shared" si="98"/>
        <v/>
      </c>
      <c r="P939" s="51" t="str">
        <f t="shared" si="99"/>
        <v/>
      </c>
      <c r="Q939" s="52" t="str">
        <f t="shared" si="100"/>
        <v/>
      </c>
      <c r="R939" s="52" t="str">
        <f t="shared" si="101"/>
        <v/>
      </c>
      <c r="S939" s="51" t="str">
        <f t="shared" si="102"/>
        <v>SIM</v>
      </c>
      <c r="T939" t="str">
        <f t="shared" si="103"/>
        <v>BL1132-0001-AR-CPR-2000</v>
      </c>
      <c r="U939" s="52">
        <f t="shared" si="104"/>
        <v>46211</v>
      </c>
    </row>
    <row r="940" spans="2:21" x14ac:dyDescent="0.25">
      <c r="B940">
        <v>958</v>
      </c>
      <c r="C940" t="s">
        <v>72</v>
      </c>
      <c r="D940" t="s">
        <v>571</v>
      </c>
      <c r="E940" t="s">
        <v>1520</v>
      </c>
      <c r="F940" t="s">
        <v>1642</v>
      </c>
      <c r="G940">
        <v>3</v>
      </c>
      <c r="H940" s="48">
        <v>0</v>
      </c>
      <c r="I940" s="50">
        <v>1</v>
      </c>
      <c r="J940" s="50">
        <v>46216</v>
      </c>
      <c r="K940" s="54">
        <v>46219</v>
      </c>
      <c r="L940" s="54">
        <v>46211</v>
      </c>
      <c r="M940" s="54">
        <v>46213</v>
      </c>
      <c r="O940" s="51" t="str">
        <f t="shared" si="98"/>
        <v/>
      </c>
      <c r="P940" s="51" t="str">
        <f t="shared" si="99"/>
        <v/>
      </c>
      <c r="Q940" s="52" t="str">
        <f t="shared" si="100"/>
        <v/>
      </c>
      <c r="R940" s="52" t="str">
        <f t="shared" si="101"/>
        <v/>
      </c>
      <c r="S940" s="51" t="str">
        <f t="shared" si="102"/>
        <v/>
      </c>
      <c r="T940" t="str">
        <f t="shared" si="103"/>
        <v/>
      </c>
      <c r="U940" s="52" t="str">
        <f t="shared" si="104"/>
        <v/>
      </c>
    </row>
    <row r="941" spans="2:21" x14ac:dyDescent="0.25">
      <c r="B941">
        <v>959</v>
      </c>
      <c r="C941" t="s">
        <v>82</v>
      </c>
      <c r="D941" t="s">
        <v>622</v>
      </c>
      <c r="E941" t="s">
        <v>1766</v>
      </c>
      <c r="F941" t="s">
        <v>1514</v>
      </c>
      <c r="G941">
        <v>28</v>
      </c>
      <c r="H941" s="48">
        <v>0</v>
      </c>
      <c r="I941" s="50">
        <v>0</v>
      </c>
      <c r="J941" s="50">
        <v>46192</v>
      </c>
      <c r="K941" s="54">
        <v>46219</v>
      </c>
      <c r="L941" s="54">
        <v>46225</v>
      </c>
      <c r="M941" s="54">
        <v>46252</v>
      </c>
      <c r="O941" s="51" t="str">
        <f t="shared" si="98"/>
        <v/>
      </c>
      <c r="P941" s="51" t="str">
        <f t="shared" si="99"/>
        <v/>
      </c>
      <c r="Q941" s="52" t="str">
        <f t="shared" si="100"/>
        <v/>
      </c>
      <c r="R941" s="52" t="str">
        <f t="shared" si="101"/>
        <v/>
      </c>
      <c r="S941" s="51" t="str">
        <f t="shared" si="102"/>
        <v/>
      </c>
      <c r="T941" t="str">
        <f t="shared" si="103"/>
        <v/>
      </c>
      <c r="U941" s="52" t="str">
        <f t="shared" si="104"/>
        <v/>
      </c>
    </row>
    <row r="942" spans="2:21" x14ac:dyDescent="0.25">
      <c r="B942">
        <v>960</v>
      </c>
      <c r="C942" t="s">
        <v>82</v>
      </c>
      <c r="D942" t="s">
        <v>622</v>
      </c>
      <c r="E942" t="s">
        <v>1515</v>
      </c>
      <c r="F942" t="s">
        <v>1509</v>
      </c>
      <c r="G942">
        <v>15</v>
      </c>
      <c r="H942" s="48">
        <v>0</v>
      </c>
      <c r="I942" s="50">
        <v>0</v>
      </c>
      <c r="J942" s="50">
        <v>46192</v>
      </c>
      <c r="K942" s="54">
        <v>46206</v>
      </c>
      <c r="L942" s="54">
        <v>46225</v>
      </c>
      <c r="M942" s="54">
        <v>46239</v>
      </c>
      <c r="O942" s="51" t="str">
        <f t="shared" si="98"/>
        <v>SIM</v>
      </c>
      <c r="P942" s="51" t="str">
        <f t="shared" si="99"/>
        <v>BL1132-0001-AR-RTE-2000</v>
      </c>
      <c r="Q942" s="52">
        <f t="shared" si="100"/>
        <v>46239</v>
      </c>
      <c r="R942" s="52">
        <f t="shared" si="101"/>
        <v>46206</v>
      </c>
      <c r="S942" s="51" t="str">
        <f t="shared" si="102"/>
        <v/>
      </c>
      <c r="T942" t="str">
        <f t="shared" si="103"/>
        <v/>
      </c>
      <c r="U942" s="52" t="str">
        <f t="shared" si="104"/>
        <v/>
      </c>
    </row>
    <row r="943" spans="2:21" x14ac:dyDescent="0.25">
      <c r="B943">
        <v>961</v>
      </c>
      <c r="C943" t="s">
        <v>82</v>
      </c>
      <c r="D943" t="s">
        <v>622</v>
      </c>
      <c r="E943" t="s">
        <v>1517</v>
      </c>
      <c r="F943" t="s">
        <v>1519</v>
      </c>
      <c r="G943">
        <v>6</v>
      </c>
      <c r="H943" s="48">
        <v>0</v>
      </c>
      <c r="I943" s="50">
        <v>0</v>
      </c>
      <c r="J943" s="50">
        <v>46206</v>
      </c>
      <c r="K943" s="54">
        <v>46211</v>
      </c>
      <c r="L943" s="54">
        <v>46239</v>
      </c>
      <c r="M943" s="54">
        <v>46244</v>
      </c>
      <c r="O943" s="51" t="str">
        <f t="shared" si="98"/>
        <v/>
      </c>
      <c r="P943" s="51" t="str">
        <f t="shared" si="99"/>
        <v/>
      </c>
      <c r="Q943" s="52" t="str">
        <f t="shared" si="100"/>
        <v/>
      </c>
      <c r="R943" s="52" t="str">
        <f t="shared" si="101"/>
        <v/>
      </c>
      <c r="S943" s="51" t="str">
        <f t="shared" si="102"/>
        <v/>
      </c>
      <c r="T943" t="str">
        <f t="shared" si="103"/>
        <v/>
      </c>
      <c r="U943" s="52" t="str">
        <f t="shared" si="104"/>
        <v/>
      </c>
    </row>
    <row r="944" spans="2:21" x14ac:dyDescent="0.25">
      <c r="B944">
        <v>962</v>
      </c>
      <c r="C944" t="s">
        <v>82</v>
      </c>
      <c r="D944" t="s">
        <v>622</v>
      </c>
      <c r="E944" t="s">
        <v>1518</v>
      </c>
      <c r="F944" t="s">
        <v>1519</v>
      </c>
      <c r="G944">
        <v>4</v>
      </c>
      <c r="H944" s="48">
        <v>0</v>
      </c>
      <c r="I944" s="50">
        <v>0</v>
      </c>
      <c r="J944" s="50">
        <v>46211</v>
      </c>
      <c r="K944" s="54">
        <v>46216</v>
      </c>
      <c r="L944" s="54">
        <v>46244</v>
      </c>
      <c r="M944" s="54">
        <v>46247</v>
      </c>
      <c r="O944" s="51" t="str">
        <f t="shared" si="98"/>
        <v/>
      </c>
      <c r="P944" s="51" t="str">
        <f t="shared" si="99"/>
        <v/>
      </c>
      <c r="Q944" s="52" t="str">
        <f t="shared" si="100"/>
        <v/>
      </c>
      <c r="R944" s="52" t="str">
        <f t="shared" si="101"/>
        <v/>
      </c>
      <c r="S944" s="51" t="str">
        <f t="shared" si="102"/>
        <v>SIM</v>
      </c>
      <c r="T944" t="str">
        <f t="shared" si="103"/>
        <v>BL1132-0001-AR-RTE-2000</v>
      </c>
      <c r="U944" s="52">
        <f t="shared" si="104"/>
        <v>46247</v>
      </c>
    </row>
    <row r="945" spans="2:21" x14ac:dyDescent="0.25">
      <c r="B945">
        <v>963</v>
      </c>
      <c r="C945" t="s">
        <v>82</v>
      </c>
      <c r="D945" t="s">
        <v>622</v>
      </c>
      <c r="E945" t="s">
        <v>1520</v>
      </c>
      <c r="F945" t="s">
        <v>1519</v>
      </c>
      <c r="G945">
        <v>6</v>
      </c>
      <c r="H945" s="48">
        <v>0</v>
      </c>
      <c r="I945" s="50">
        <v>0</v>
      </c>
      <c r="J945" s="50">
        <v>46216</v>
      </c>
      <c r="K945" s="54">
        <v>46219</v>
      </c>
      <c r="L945" s="54">
        <v>46247</v>
      </c>
      <c r="M945" s="54">
        <v>46252</v>
      </c>
      <c r="O945" s="51" t="str">
        <f t="shared" si="98"/>
        <v/>
      </c>
      <c r="P945" s="51" t="str">
        <f t="shared" si="99"/>
        <v/>
      </c>
      <c r="Q945" s="52" t="str">
        <f t="shared" si="100"/>
        <v/>
      </c>
      <c r="R945" s="52" t="str">
        <f t="shared" si="101"/>
        <v/>
      </c>
      <c r="S945" s="51" t="str">
        <f t="shared" si="102"/>
        <v/>
      </c>
      <c r="T945" t="str">
        <f t="shared" si="103"/>
        <v/>
      </c>
      <c r="U945" s="52" t="str">
        <f t="shared" si="104"/>
        <v/>
      </c>
    </row>
    <row r="946" spans="2:21" x14ac:dyDescent="0.25">
      <c r="B946">
        <v>964</v>
      </c>
      <c r="C946" t="s">
        <v>76</v>
      </c>
      <c r="D946" t="s">
        <v>595</v>
      </c>
      <c r="E946" t="s">
        <v>1767</v>
      </c>
      <c r="F946" t="s">
        <v>1527</v>
      </c>
      <c r="G946">
        <v>21</v>
      </c>
      <c r="H946" s="48">
        <v>0.78610000000000002</v>
      </c>
      <c r="I946" s="50">
        <v>0.52</v>
      </c>
      <c r="J946" s="50">
        <v>46206</v>
      </c>
      <c r="K946" s="54">
        <v>46224</v>
      </c>
      <c r="L946" s="54">
        <v>46211</v>
      </c>
      <c r="M946" s="54">
        <v>46231</v>
      </c>
      <c r="O946" s="51" t="str">
        <f t="shared" si="98"/>
        <v/>
      </c>
      <c r="P946" s="51" t="str">
        <f t="shared" si="99"/>
        <v/>
      </c>
      <c r="Q946" s="52" t="str">
        <f t="shared" si="100"/>
        <v/>
      </c>
      <c r="R946" s="52" t="str">
        <f t="shared" si="101"/>
        <v/>
      </c>
      <c r="S946" s="51" t="str">
        <f t="shared" si="102"/>
        <v/>
      </c>
      <c r="T946" t="str">
        <f t="shared" si="103"/>
        <v/>
      </c>
      <c r="U946" s="52" t="str">
        <f t="shared" si="104"/>
        <v/>
      </c>
    </row>
    <row r="947" spans="2:21" x14ac:dyDescent="0.25">
      <c r="B947">
        <v>965</v>
      </c>
      <c r="C947" t="s">
        <v>76</v>
      </c>
      <c r="D947" t="s">
        <v>595</v>
      </c>
      <c r="E947" t="s">
        <v>1515</v>
      </c>
      <c r="F947" t="s">
        <v>1528</v>
      </c>
      <c r="G947">
        <v>8</v>
      </c>
      <c r="H947" s="48">
        <v>1</v>
      </c>
      <c r="I947" s="50">
        <v>0.75</v>
      </c>
      <c r="J947" s="50">
        <v>46206</v>
      </c>
      <c r="K947" s="54">
        <v>46211</v>
      </c>
      <c r="L947" s="54">
        <v>46211</v>
      </c>
      <c r="M947" s="54">
        <v>46218</v>
      </c>
      <c r="O947" s="51" t="str">
        <f t="shared" si="98"/>
        <v>SIM</v>
      </c>
      <c r="P947" s="51" t="str">
        <f t="shared" si="99"/>
        <v>BL1132-0001-AR-DBA-2003</v>
      </c>
      <c r="Q947" s="52">
        <f t="shared" si="100"/>
        <v>46218</v>
      </c>
      <c r="R947" s="52">
        <f t="shared" si="101"/>
        <v>46211</v>
      </c>
      <c r="S947" s="51" t="str">
        <f t="shared" si="102"/>
        <v/>
      </c>
      <c r="T947" t="str">
        <f t="shared" si="103"/>
        <v/>
      </c>
      <c r="U947" s="52" t="str">
        <f t="shared" si="104"/>
        <v/>
      </c>
    </row>
    <row r="948" spans="2:21" x14ac:dyDescent="0.25">
      <c r="B948">
        <v>966</v>
      </c>
      <c r="C948" t="s">
        <v>76</v>
      </c>
      <c r="D948" t="s">
        <v>595</v>
      </c>
      <c r="E948" t="s">
        <v>1517</v>
      </c>
      <c r="F948" t="s">
        <v>1519</v>
      </c>
      <c r="G948">
        <v>6</v>
      </c>
      <c r="H948" s="48">
        <v>0.87</v>
      </c>
      <c r="I948" s="50">
        <v>0</v>
      </c>
      <c r="J948" s="50">
        <v>46211</v>
      </c>
      <c r="K948" s="54">
        <v>46216</v>
      </c>
      <c r="L948" s="54">
        <v>46218</v>
      </c>
      <c r="M948" s="54">
        <v>46223</v>
      </c>
      <c r="O948" s="51" t="str">
        <f t="shared" si="98"/>
        <v/>
      </c>
      <c r="P948" s="51" t="str">
        <f t="shared" si="99"/>
        <v/>
      </c>
      <c r="Q948" s="52" t="str">
        <f t="shared" si="100"/>
        <v/>
      </c>
      <c r="R948" s="52" t="str">
        <f t="shared" si="101"/>
        <v/>
      </c>
      <c r="S948" s="51" t="str">
        <f t="shared" si="102"/>
        <v/>
      </c>
      <c r="T948" t="str">
        <f t="shared" si="103"/>
        <v/>
      </c>
      <c r="U948" s="52" t="str">
        <f t="shared" si="104"/>
        <v/>
      </c>
    </row>
    <row r="949" spans="2:21" x14ac:dyDescent="0.25">
      <c r="B949">
        <v>967</v>
      </c>
      <c r="C949" t="s">
        <v>76</v>
      </c>
      <c r="D949" t="s">
        <v>595</v>
      </c>
      <c r="E949" t="s">
        <v>1518</v>
      </c>
      <c r="F949" t="s">
        <v>1519</v>
      </c>
      <c r="G949">
        <v>4</v>
      </c>
      <c r="H949" s="48">
        <v>0</v>
      </c>
      <c r="I949" s="48">
        <v>0</v>
      </c>
      <c r="J949" s="54">
        <v>46216</v>
      </c>
      <c r="K949" s="54">
        <v>46219</v>
      </c>
      <c r="L949" s="54">
        <v>46223</v>
      </c>
      <c r="M949" s="54">
        <v>46226</v>
      </c>
      <c r="O949" s="51" t="str">
        <f t="shared" si="98"/>
        <v/>
      </c>
      <c r="P949" s="51" t="str">
        <f t="shared" si="99"/>
        <v/>
      </c>
      <c r="Q949" s="52" t="str">
        <f t="shared" si="100"/>
        <v/>
      </c>
      <c r="R949" s="52" t="str">
        <f t="shared" si="101"/>
        <v/>
      </c>
      <c r="S949" s="51" t="str">
        <f t="shared" si="102"/>
        <v>SIM</v>
      </c>
      <c r="T949" t="str">
        <f t="shared" si="103"/>
        <v>BL1132-0001-AR-DBA-2003</v>
      </c>
      <c r="U949" s="52">
        <f t="shared" si="104"/>
        <v>46226</v>
      </c>
    </row>
    <row r="950" spans="2:21" x14ac:dyDescent="0.25">
      <c r="B950">
        <v>968</v>
      </c>
      <c r="C950" t="s">
        <v>76</v>
      </c>
      <c r="D950" t="s">
        <v>595</v>
      </c>
      <c r="E950" t="s">
        <v>1520</v>
      </c>
      <c r="F950" t="s">
        <v>1519</v>
      </c>
      <c r="G950">
        <v>6</v>
      </c>
      <c r="H950" s="48">
        <v>0</v>
      </c>
      <c r="I950" s="48">
        <v>0</v>
      </c>
      <c r="J950" s="54">
        <v>46219</v>
      </c>
      <c r="K950" s="54">
        <v>46224</v>
      </c>
      <c r="L950" s="54">
        <v>46226</v>
      </c>
      <c r="M950" s="54">
        <v>46231</v>
      </c>
      <c r="O950" s="51" t="str">
        <f t="shared" si="98"/>
        <v/>
      </c>
      <c r="P950" s="51" t="str">
        <f t="shared" si="99"/>
        <v/>
      </c>
      <c r="Q950" s="52" t="str">
        <f t="shared" si="100"/>
        <v/>
      </c>
      <c r="R950" s="52" t="str">
        <f t="shared" si="101"/>
        <v/>
      </c>
      <c r="S950" s="51" t="str">
        <f t="shared" si="102"/>
        <v/>
      </c>
      <c r="T950" t="str">
        <f t="shared" si="103"/>
        <v/>
      </c>
      <c r="U950" s="52" t="str">
        <f t="shared" si="104"/>
        <v/>
      </c>
    </row>
    <row r="951" spans="2:21" x14ac:dyDescent="0.25">
      <c r="B951">
        <v>969</v>
      </c>
      <c r="C951" t="s">
        <v>80</v>
      </c>
      <c r="D951" t="s">
        <v>613</v>
      </c>
      <c r="E951" t="s">
        <v>1768</v>
      </c>
      <c r="F951" t="s">
        <v>1514</v>
      </c>
      <c r="G951">
        <v>26</v>
      </c>
      <c r="H951" s="48">
        <v>0</v>
      </c>
      <c r="I951" s="48">
        <v>0</v>
      </c>
      <c r="J951" s="54">
        <v>46217</v>
      </c>
      <c r="K951" s="54">
        <v>46244</v>
      </c>
      <c r="L951" s="54">
        <v>46209</v>
      </c>
      <c r="M951" s="54">
        <v>46234</v>
      </c>
      <c r="O951" s="51" t="str">
        <f t="shared" si="98"/>
        <v/>
      </c>
      <c r="P951" s="51" t="str">
        <f t="shared" si="99"/>
        <v/>
      </c>
      <c r="Q951" s="52" t="str">
        <f t="shared" si="100"/>
        <v/>
      </c>
      <c r="R951" s="52" t="str">
        <f t="shared" si="101"/>
        <v/>
      </c>
      <c r="S951" s="51" t="str">
        <f t="shared" si="102"/>
        <v/>
      </c>
      <c r="T951" t="str">
        <f t="shared" si="103"/>
        <v/>
      </c>
      <c r="U951" s="52" t="str">
        <f t="shared" si="104"/>
        <v/>
      </c>
    </row>
    <row r="952" spans="2:21" x14ac:dyDescent="0.25">
      <c r="B952">
        <v>970</v>
      </c>
      <c r="C952" t="s">
        <v>80</v>
      </c>
      <c r="D952" t="s">
        <v>613</v>
      </c>
      <c r="E952" t="s">
        <v>1515</v>
      </c>
      <c r="F952" t="s">
        <v>1509</v>
      </c>
      <c r="G952">
        <v>15</v>
      </c>
      <c r="H952" s="48">
        <v>0</v>
      </c>
      <c r="I952" s="48">
        <v>0</v>
      </c>
      <c r="J952" s="54">
        <v>46217</v>
      </c>
      <c r="K952" s="54">
        <v>46231</v>
      </c>
      <c r="L952" s="54">
        <v>46209</v>
      </c>
      <c r="M952" s="54">
        <v>46223</v>
      </c>
      <c r="O952" s="51" t="str">
        <f t="shared" si="98"/>
        <v>SIM</v>
      </c>
      <c r="P952" s="51" t="str">
        <f t="shared" si="99"/>
        <v>BL1132-0001-AR-PQU-2000</v>
      </c>
      <c r="Q952" s="52">
        <f t="shared" si="100"/>
        <v>46223</v>
      </c>
      <c r="R952" s="52">
        <f t="shared" si="101"/>
        <v>46231</v>
      </c>
      <c r="S952" s="51" t="str">
        <f t="shared" si="102"/>
        <v/>
      </c>
      <c r="T952" t="str">
        <f t="shared" si="103"/>
        <v/>
      </c>
      <c r="U952" s="52" t="str">
        <f t="shared" si="104"/>
        <v/>
      </c>
    </row>
    <row r="953" spans="2:21" x14ac:dyDescent="0.25">
      <c r="B953">
        <v>971</v>
      </c>
      <c r="C953" t="s">
        <v>80</v>
      </c>
      <c r="D953" t="s">
        <v>613</v>
      </c>
      <c r="E953" t="s">
        <v>1517</v>
      </c>
      <c r="F953" t="s">
        <v>1519</v>
      </c>
      <c r="G953">
        <v>4</v>
      </c>
      <c r="H953" s="48">
        <v>0</v>
      </c>
      <c r="I953" s="48">
        <v>0</v>
      </c>
      <c r="J953" s="54">
        <v>46231</v>
      </c>
      <c r="K953" s="54">
        <v>46234</v>
      </c>
      <c r="L953" s="54">
        <v>46223</v>
      </c>
      <c r="M953" s="54">
        <v>46226</v>
      </c>
      <c r="O953" s="51" t="str">
        <f t="shared" si="98"/>
        <v/>
      </c>
      <c r="P953" s="51" t="str">
        <f t="shared" si="99"/>
        <v/>
      </c>
      <c r="Q953" s="52" t="str">
        <f t="shared" si="100"/>
        <v/>
      </c>
      <c r="R953" s="52" t="str">
        <f t="shared" si="101"/>
        <v/>
      </c>
      <c r="S953" s="51" t="str">
        <f t="shared" si="102"/>
        <v/>
      </c>
      <c r="T953" t="str">
        <f t="shared" si="103"/>
        <v/>
      </c>
      <c r="U953" s="52" t="str">
        <f t="shared" si="104"/>
        <v/>
      </c>
    </row>
    <row r="954" spans="2:21" x14ac:dyDescent="0.25">
      <c r="B954">
        <v>972</v>
      </c>
      <c r="C954" t="s">
        <v>80</v>
      </c>
      <c r="D954" t="s">
        <v>613</v>
      </c>
      <c r="E954" t="s">
        <v>1518</v>
      </c>
      <c r="F954" t="s">
        <v>1519</v>
      </c>
      <c r="G954">
        <v>6</v>
      </c>
      <c r="H954" s="48">
        <v>0</v>
      </c>
      <c r="I954" s="48">
        <v>0</v>
      </c>
      <c r="J954" s="54">
        <v>46234</v>
      </c>
      <c r="K954" s="54">
        <v>46239</v>
      </c>
      <c r="L954" s="54">
        <v>46226</v>
      </c>
      <c r="M954" s="54">
        <v>46231</v>
      </c>
      <c r="O954" s="51" t="str">
        <f t="shared" si="98"/>
        <v/>
      </c>
      <c r="P954" s="51" t="str">
        <f t="shared" si="99"/>
        <v/>
      </c>
      <c r="Q954" s="52" t="str">
        <f t="shared" si="100"/>
        <v/>
      </c>
      <c r="R954" s="52" t="str">
        <f t="shared" si="101"/>
        <v/>
      </c>
      <c r="S954" s="51" t="str">
        <f t="shared" si="102"/>
        <v>SIM</v>
      </c>
      <c r="T954" t="str">
        <f t="shared" si="103"/>
        <v>BL1132-0001-AR-PQU-2000</v>
      </c>
      <c r="U954" s="52">
        <f t="shared" si="104"/>
        <v>46231</v>
      </c>
    </row>
    <row r="955" spans="2:21" x14ac:dyDescent="0.25">
      <c r="B955">
        <v>973</v>
      </c>
      <c r="C955" t="s">
        <v>80</v>
      </c>
      <c r="D955" t="s">
        <v>613</v>
      </c>
      <c r="E955" t="s">
        <v>1520</v>
      </c>
      <c r="F955" t="s">
        <v>1519</v>
      </c>
      <c r="G955">
        <v>4</v>
      </c>
      <c r="H955" s="48">
        <v>0</v>
      </c>
      <c r="I955" s="48">
        <v>0</v>
      </c>
      <c r="J955" s="54">
        <v>46239</v>
      </c>
      <c r="K955" s="54">
        <v>46244</v>
      </c>
      <c r="L955" s="54">
        <v>46231</v>
      </c>
      <c r="M955" s="54">
        <v>46234</v>
      </c>
      <c r="O955" s="51" t="str">
        <f t="shared" si="98"/>
        <v/>
      </c>
      <c r="P955" s="51" t="str">
        <f t="shared" si="99"/>
        <v/>
      </c>
      <c r="Q955" s="52" t="str">
        <f t="shared" si="100"/>
        <v/>
      </c>
      <c r="R955" s="52" t="str">
        <f t="shared" si="101"/>
        <v/>
      </c>
      <c r="S955" s="51" t="str">
        <f t="shared" si="102"/>
        <v/>
      </c>
      <c r="T955" t="str">
        <f t="shared" si="103"/>
        <v/>
      </c>
      <c r="U955" s="52" t="str">
        <f t="shared" si="104"/>
        <v/>
      </c>
    </row>
    <row r="956" spans="2:21" x14ac:dyDescent="0.25">
      <c r="B956">
        <v>974</v>
      </c>
      <c r="C956" t="s">
        <v>81</v>
      </c>
      <c r="D956" t="s">
        <v>617</v>
      </c>
      <c r="E956" t="s">
        <v>1769</v>
      </c>
      <c r="F956" t="s">
        <v>1514</v>
      </c>
      <c r="G956">
        <v>26</v>
      </c>
      <c r="H956" s="48">
        <v>0</v>
      </c>
      <c r="I956" s="48">
        <v>0</v>
      </c>
      <c r="J956" s="54">
        <v>46217</v>
      </c>
      <c r="K956" s="54">
        <v>46244</v>
      </c>
      <c r="L956" s="54">
        <v>46209</v>
      </c>
      <c r="M956" s="54">
        <v>46234</v>
      </c>
      <c r="O956" s="51" t="str">
        <f t="shared" si="98"/>
        <v/>
      </c>
      <c r="P956" s="51" t="str">
        <f t="shared" si="99"/>
        <v/>
      </c>
      <c r="Q956" s="52" t="str">
        <f t="shared" si="100"/>
        <v/>
      </c>
      <c r="R956" s="52" t="str">
        <f t="shared" si="101"/>
        <v/>
      </c>
      <c r="S956" s="51" t="str">
        <f t="shared" si="102"/>
        <v/>
      </c>
      <c r="T956" t="str">
        <f t="shared" si="103"/>
        <v/>
      </c>
      <c r="U956" s="52" t="str">
        <f t="shared" si="104"/>
        <v/>
      </c>
    </row>
    <row r="957" spans="2:21" x14ac:dyDescent="0.25">
      <c r="B957">
        <v>975</v>
      </c>
      <c r="C957" t="s">
        <v>81</v>
      </c>
      <c r="D957" t="s">
        <v>617</v>
      </c>
      <c r="E957" t="s">
        <v>1515</v>
      </c>
      <c r="F957" t="s">
        <v>1509</v>
      </c>
      <c r="G957">
        <v>15</v>
      </c>
      <c r="H957" s="48">
        <v>0</v>
      </c>
      <c r="I957" s="48">
        <v>0</v>
      </c>
      <c r="J957" s="54">
        <v>46217</v>
      </c>
      <c r="K957" s="54">
        <v>46231</v>
      </c>
      <c r="L957" s="54">
        <v>46209</v>
      </c>
      <c r="M957" s="54">
        <v>46223</v>
      </c>
      <c r="O957" s="51" t="str">
        <f t="shared" si="98"/>
        <v>SIM</v>
      </c>
      <c r="P957" s="51" t="str">
        <f t="shared" si="99"/>
        <v>BL1132-0001-AR-PQU-2001</v>
      </c>
      <c r="Q957" s="52">
        <f t="shared" si="100"/>
        <v>46223</v>
      </c>
      <c r="R957" s="52">
        <f t="shared" si="101"/>
        <v>46231</v>
      </c>
      <c r="S957" s="51" t="str">
        <f t="shared" si="102"/>
        <v/>
      </c>
      <c r="T957" t="str">
        <f t="shared" si="103"/>
        <v/>
      </c>
      <c r="U957" s="52" t="str">
        <f t="shared" si="104"/>
        <v/>
      </c>
    </row>
    <row r="958" spans="2:21" x14ac:dyDescent="0.25">
      <c r="B958">
        <v>976</v>
      </c>
      <c r="C958" t="s">
        <v>81</v>
      </c>
      <c r="D958" t="s">
        <v>617</v>
      </c>
      <c r="E958" t="s">
        <v>1517</v>
      </c>
      <c r="F958" t="s">
        <v>1519</v>
      </c>
      <c r="G958">
        <v>4</v>
      </c>
      <c r="H958" s="48">
        <v>0</v>
      </c>
      <c r="I958" s="48">
        <v>0</v>
      </c>
      <c r="J958" s="54">
        <v>46231</v>
      </c>
      <c r="K958" s="54">
        <v>46234</v>
      </c>
      <c r="L958" s="54">
        <v>46223</v>
      </c>
      <c r="M958" s="54">
        <v>46226</v>
      </c>
      <c r="O958" s="51" t="str">
        <f t="shared" si="98"/>
        <v/>
      </c>
      <c r="P958" s="51" t="str">
        <f t="shared" si="99"/>
        <v/>
      </c>
      <c r="Q958" s="52" t="str">
        <f t="shared" si="100"/>
        <v/>
      </c>
      <c r="R958" s="52" t="str">
        <f t="shared" si="101"/>
        <v/>
      </c>
      <c r="S958" s="51" t="str">
        <f t="shared" si="102"/>
        <v/>
      </c>
      <c r="T958" t="str">
        <f t="shared" si="103"/>
        <v/>
      </c>
      <c r="U958" s="52" t="str">
        <f t="shared" si="104"/>
        <v/>
      </c>
    </row>
    <row r="959" spans="2:21" x14ac:dyDescent="0.25">
      <c r="B959">
        <v>977</v>
      </c>
      <c r="C959" t="s">
        <v>81</v>
      </c>
      <c r="D959" t="s">
        <v>617</v>
      </c>
      <c r="E959" t="s">
        <v>1518</v>
      </c>
      <c r="F959" t="s">
        <v>1519</v>
      </c>
      <c r="G959">
        <v>6</v>
      </c>
      <c r="H959" s="48">
        <v>0</v>
      </c>
      <c r="I959" s="48">
        <v>0</v>
      </c>
      <c r="J959" s="54">
        <v>46234</v>
      </c>
      <c r="K959" s="54">
        <v>46239</v>
      </c>
      <c r="L959" s="54">
        <v>46226</v>
      </c>
      <c r="M959" s="54">
        <v>46231</v>
      </c>
      <c r="O959" s="51" t="str">
        <f t="shared" si="98"/>
        <v/>
      </c>
      <c r="P959" s="51" t="str">
        <f t="shared" si="99"/>
        <v/>
      </c>
      <c r="Q959" s="52" t="str">
        <f t="shared" si="100"/>
        <v/>
      </c>
      <c r="R959" s="52" t="str">
        <f t="shared" si="101"/>
        <v/>
      </c>
      <c r="S959" s="51" t="str">
        <f t="shared" si="102"/>
        <v>SIM</v>
      </c>
      <c r="T959" t="str">
        <f t="shared" si="103"/>
        <v>BL1132-0001-AR-PQU-2001</v>
      </c>
      <c r="U959" s="52">
        <f t="shared" si="104"/>
        <v>46231</v>
      </c>
    </row>
    <row r="960" spans="2:21" x14ac:dyDescent="0.25">
      <c r="B960">
        <v>978</v>
      </c>
      <c r="C960" t="s">
        <v>81</v>
      </c>
      <c r="D960" t="s">
        <v>617</v>
      </c>
      <c r="E960" t="s">
        <v>1520</v>
      </c>
      <c r="F960" t="s">
        <v>1519</v>
      </c>
      <c r="G960">
        <v>4</v>
      </c>
      <c r="H960" s="48">
        <v>0</v>
      </c>
      <c r="I960" s="48">
        <v>0</v>
      </c>
      <c r="J960" s="54">
        <v>46239</v>
      </c>
      <c r="K960" s="54">
        <v>46244</v>
      </c>
      <c r="L960" s="54">
        <v>46231</v>
      </c>
      <c r="M960" s="54">
        <v>46234</v>
      </c>
      <c r="O960" s="51" t="str">
        <f t="shared" si="98"/>
        <v/>
      </c>
      <c r="P960" s="51" t="str">
        <f t="shared" si="99"/>
        <v/>
      </c>
      <c r="Q960" s="52" t="str">
        <f t="shared" si="100"/>
        <v/>
      </c>
      <c r="R960" s="52" t="str">
        <f t="shared" si="101"/>
        <v/>
      </c>
      <c r="S960" s="51" t="str">
        <f t="shared" si="102"/>
        <v/>
      </c>
      <c r="T960" t="str">
        <f t="shared" si="103"/>
        <v/>
      </c>
      <c r="U960" s="52" t="str">
        <f t="shared" si="104"/>
        <v/>
      </c>
    </row>
    <row r="961" spans="2:21" x14ac:dyDescent="0.25">
      <c r="B961">
        <v>979</v>
      </c>
      <c r="E961" t="s">
        <v>1572</v>
      </c>
      <c r="F961" t="s">
        <v>1770</v>
      </c>
      <c r="G961">
        <v>39</v>
      </c>
      <c r="H961" s="48">
        <v>0.86729999999999996</v>
      </c>
      <c r="I961" s="48">
        <v>0.71250000000000002</v>
      </c>
      <c r="J961" s="54">
        <v>46199</v>
      </c>
      <c r="K961" s="54">
        <v>46219</v>
      </c>
      <c r="L961" s="54">
        <v>46192</v>
      </c>
      <c r="M961" s="54">
        <v>46230</v>
      </c>
      <c r="O961" s="51" t="str">
        <f t="shared" si="98"/>
        <v/>
      </c>
      <c r="P961" s="51" t="str">
        <f t="shared" si="99"/>
        <v/>
      </c>
      <c r="Q961" s="52" t="str">
        <f t="shared" si="100"/>
        <v/>
      </c>
      <c r="R961" s="52" t="str">
        <f t="shared" si="101"/>
        <v/>
      </c>
      <c r="S961" s="51" t="str">
        <f t="shared" si="102"/>
        <v/>
      </c>
      <c r="T961" t="str">
        <f t="shared" si="103"/>
        <v/>
      </c>
      <c r="U961" s="52" t="str">
        <f t="shared" si="104"/>
        <v/>
      </c>
    </row>
    <row r="962" spans="2:21" x14ac:dyDescent="0.25">
      <c r="B962">
        <v>995</v>
      </c>
      <c r="C962" t="s">
        <v>110</v>
      </c>
      <c r="D962" t="s">
        <v>738</v>
      </c>
      <c r="E962" t="s">
        <v>1771</v>
      </c>
      <c r="F962" t="s">
        <v>1564</v>
      </c>
      <c r="G962">
        <v>33</v>
      </c>
      <c r="H962" s="48">
        <v>0.91310000000000002</v>
      </c>
      <c r="I962" s="48">
        <v>0.75</v>
      </c>
      <c r="J962" s="54" t="s">
        <v>1506</v>
      </c>
      <c r="K962" s="54" t="s">
        <v>1506</v>
      </c>
      <c r="L962" s="54">
        <v>46192</v>
      </c>
      <c r="M962" s="54">
        <v>46224</v>
      </c>
      <c r="O962" s="51" t="str">
        <f t="shared" si="98"/>
        <v/>
      </c>
      <c r="P962" s="51" t="str">
        <f t="shared" si="99"/>
        <v/>
      </c>
      <c r="Q962" s="52" t="str">
        <f t="shared" si="100"/>
        <v/>
      </c>
      <c r="R962" s="52" t="str">
        <f t="shared" si="101"/>
        <v/>
      </c>
      <c r="S962" s="51" t="str">
        <f t="shared" si="102"/>
        <v/>
      </c>
      <c r="T962" t="str">
        <f t="shared" si="103"/>
        <v/>
      </c>
      <c r="U962" s="52" t="str">
        <f t="shared" si="104"/>
        <v/>
      </c>
    </row>
    <row r="963" spans="2:21" x14ac:dyDescent="0.25">
      <c r="B963">
        <v>996</v>
      </c>
      <c r="C963" t="s">
        <v>110</v>
      </c>
      <c r="D963" t="s">
        <v>738</v>
      </c>
      <c r="E963" t="s">
        <v>1515</v>
      </c>
      <c r="F963" t="s">
        <v>1535</v>
      </c>
      <c r="G963">
        <v>20</v>
      </c>
      <c r="H963" s="48">
        <v>1</v>
      </c>
      <c r="I963" s="48">
        <v>1</v>
      </c>
      <c r="J963" s="54" t="s">
        <v>1506</v>
      </c>
      <c r="K963" s="54" t="s">
        <v>1506</v>
      </c>
      <c r="L963" s="54">
        <v>46192</v>
      </c>
      <c r="M963" s="54">
        <v>46211</v>
      </c>
      <c r="O963" s="51" t="str">
        <f t="shared" ref="O963:O1026" si="105">IF(OR(E963 = "                           1 - Emissão Inicial",E963="                  1 - Emissão após Design Review 1",E963 = "                  1 - Emissão para conhecimento",E963 = "                  1 - Emissão Final",E963 = "         Lista de Documentos",E963 = "         Elaboração do cronograma",E963 = "         Norma de Coordenação"), "SIM", "")</f>
        <v>SIM</v>
      </c>
      <c r="P963" s="51" t="str">
        <f t="shared" ref="P963:P1026" si="106">IF(O963="SIM",C963,"")</f>
        <v>BL1132-0001-CC-MCA-2116</v>
      </c>
      <c r="Q963" s="52">
        <f t="shared" ref="Q963:Q1026" si="107">IF(O963="SIM",M963,"")</f>
        <v>46211</v>
      </c>
      <c r="R963" s="52" t="str">
        <f t="shared" ref="R963:R1026" si="108">IF(O963="SIM",K963,"")</f>
        <v>ND</v>
      </c>
      <c r="S963" s="51" t="str">
        <f t="shared" ref="S963:S1026" si="109">IF(OR(E963 = "                           3 - Atendimento de Comentários",E963="                  1 - Emissão após Design Review 1",E963 = "                  1 - Emissão para conhecimento",E963 = "                  1 - Emissão Final",E963 = "         Lista de Documentos",E963 = "         Elaboração do cronograma",E963 = "         Norma de Coordenação"), "SIM", "")</f>
        <v/>
      </c>
      <c r="T963" t="str">
        <f t="shared" ref="T963:T1026" si="110">IF(S963="SIM",C963,"")</f>
        <v/>
      </c>
      <c r="U963" s="52" t="str">
        <f t="shared" ref="U963:U1026" si="111">IF(S963="SIM",M963,"")</f>
        <v/>
      </c>
    </row>
    <row r="964" spans="2:21" x14ac:dyDescent="0.25">
      <c r="B964">
        <v>997</v>
      </c>
      <c r="C964" t="s">
        <v>110</v>
      </c>
      <c r="D964" t="s">
        <v>738</v>
      </c>
      <c r="E964" t="s">
        <v>1517</v>
      </c>
      <c r="F964" t="s">
        <v>1519</v>
      </c>
      <c r="G964">
        <v>6</v>
      </c>
      <c r="H964" s="48">
        <v>1</v>
      </c>
      <c r="I964" s="48">
        <v>1</v>
      </c>
      <c r="J964" s="54" t="s">
        <v>1506</v>
      </c>
      <c r="K964" s="54" t="s">
        <v>1506</v>
      </c>
      <c r="L964" s="54">
        <v>46211</v>
      </c>
      <c r="M964" s="54">
        <v>46216</v>
      </c>
      <c r="O964" s="51" t="str">
        <f t="shared" si="105"/>
        <v/>
      </c>
      <c r="P964" s="51" t="str">
        <f t="shared" si="106"/>
        <v/>
      </c>
      <c r="Q964" s="52" t="str">
        <f t="shared" si="107"/>
        <v/>
      </c>
      <c r="R964" s="52" t="str">
        <f t="shared" si="108"/>
        <v/>
      </c>
      <c r="S964" s="51" t="str">
        <f t="shared" si="109"/>
        <v/>
      </c>
      <c r="T964" t="str">
        <f t="shared" si="110"/>
        <v/>
      </c>
      <c r="U964" s="52" t="str">
        <f t="shared" si="111"/>
        <v/>
      </c>
    </row>
    <row r="965" spans="2:21" x14ac:dyDescent="0.25">
      <c r="B965">
        <v>998</v>
      </c>
      <c r="C965" t="s">
        <v>110</v>
      </c>
      <c r="D965" t="s">
        <v>738</v>
      </c>
      <c r="E965" t="s">
        <v>1518</v>
      </c>
      <c r="F965" t="s">
        <v>1519</v>
      </c>
      <c r="G965">
        <v>4</v>
      </c>
      <c r="H965" s="48">
        <v>0.87</v>
      </c>
      <c r="I965" s="48">
        <v>0</v>
      </c>
      <c r="J965" s="54" t="s">
        <v>1506</v>
      </c>
      <c r="K965" s="54" t="s">
        <v>1506</v>
      </c>
      <c r="L965" s="54">
        <v>46216</v>
      </c>
      <c r="M965" s="54">
        <v>46219</v>
      </c>
      <c r="O965" s="51" t="str">
        <f t="shared" si="105"/>
        <v/>
      </c>
      <c r="P965" s="51" t="str">
        <f t="shared" si="106"/>
        <v/>
      </c>
      <c r="Q965" s="52" t="str">
        <f t="shared" si="107"/>
        <v/>
      </c>
      <c r="R965" s="52" t="str">
        <f t="shared" si="108"/>
        <v/>
      </c>
      <c r="S965" s="51" t="str">
        <f t="shared" si="109"/>
        <v>SIM</v>
      </c>
      <c r="T965" t="str">
        <f t="shared" si="110"/>
        <v>BL1132-0001-CC-MCA-2116</v>
      </c>
      <c r="U965" s="52">
        <f t="shared" si="111"/>
        <v>46219</v>
      </c>
    </row>
    <row r="966" spans="2:21" x14ac:dyDescent="0.25">
      <c r="B966">
        <v>999</v>
      </c>
      <c r="C966" t="s">
        <v>110</v>
      </c>
      <c r="D966" t="s">
        <v>738</v>
      </c>
      <c r="E966" t="s">
        <v>1520</v>
      </c>
      <c r="F966" t="s">
        <v>1519</v>
      </c>
      <c r="G966">
        <v>6</v>
      </c>
      <c r="H966" s="48">
        <v>0</v>
      </c>
      <c r="I966" s="48">
        <v>0</v>
      </c>
      <c r="J966" s="54" t="s">
        <v>1506</v>
      </c>
      <c r="K966" s="54" t="s">
        <v>1506</v>
      </c>
      <c r="L966" s="54">
        <v>46219</v>
      </c>
      <c r="M966" s="54">
        <v>46224</v>
      </c>
      <c r="O966" s="51" t="str">
        <f t="shared" si="105"/>
        <v/>
      </c>
      <c r="P966" s="51" t="str">
        <f t="shared" si="106"/>
        <v/>
      </c>
      <c r="Q966" s="52" t="str">
        <f t="shared" si="107"/>
        <v/>
      </c>
      <c r="R966" s="52" t="str">
        <f t="shared" si="108"/>
        <v/>
      </c>
      <c r="S966" s="51" t="str">
        <f t="shared" si="109"/>
        <v/>
      </c>
      <c r="T966" t="str">
        <f t="shared" si="110"/>
        <v/>
      </c>
      <c r="U966" s="52" t="str">
        <f t="shared" si="111"/>
        <v/>
      </c>
    </row>
    <row r="967" spans="2:21" x14ac:dyDescent="0.25">
      <c r="B967">
        <v>1000</v>
      </c>
      <c r="C967" t="s">
        <v>111</v>
      </c>
      <c r="D967" t="s">
        <v>745</v>
      </c>
      <c r="E967" t="s">
        <v>1771</v>
      </c>
      <c r="F967" t="s">
        <v>1535</v>
      </c>
      <c r="G967">
        <v>20</v>
      </c>
      <c r="H967" s="48">
        <v>0.91310000000000002</v>
      </c>
      <c r="I967" s="48">
        <v>0.75</v>
      </c>
      <c r="J967" s="54" t="s">
        <v>1506</v>
      </c>
      <c r="K967" s="54" t="s">
        <v>1506</v>
      </c>
      <c r="L967" s="54">
        <v>46204</v>
      </c>
      <c r="M967" s="54">
        <v>46223</v>
      </c>
      <c r="O967" s="51" t="str">
        <f t="shared" si="105"/>
        <v/>
      </c>
      <c r="P967" s="51" t="str">
        <f t="shared" si="106"/>
        <v/>
      </c>
      <c r="Q967" s="52" t="str">
        <f t="shared" si="107"/>
        <v/>
      </c>
      <c r="R967" s="52" t="str">
        <f t="shared" si="108"/>
        <v/>
      </c>
      <c r="S967" s="51" t="str">
        <f t="shared" si="109"/>
        <v/>
      </c>
      <c r="T967" t="str">
        <f t="shared" si="110"/>
        <v/>
      </c>
      <c r="U967" s="52" t="str">
        <f t="shared" si="111"/>
        <v/>
      </c>
    </row>
    <row r="968" spans="2:21" x14ac:dyDescent="0.25">
      <c r="B968">
        <v>1001</v>
      </c>
      <c r="C968" t="s">
        <v>111</v>
      </c>
      <c r="D968" t="s">
        <v>745</v>
      </c>
      <c r="E968" t="s">
        <v>1515</v>
      </c>
      <c r="F968" t="s">
        <v>1525</v>
      </c>
      <c r="G968">
        <v>7</v>
      </c>
      <c r="H968" s="48">
        <v>1</v>
      </c>
      <c r="I968" s="48">
        <v>1</v>
      </c>
      <c r="J968" s="54" t="s">
        <v>1506</v>
      </c>
      <c r="K968" s="54" t="s">
        <v>1506</v>
      </c>
      <c r="L968" s="54">
        <v>46204</v>
      </c>
      <c r="M968" s="54">
        <v>46210</v>
      </c>
      <c r="O968" s="51" t="str">
        <f t="shared" si="105"/>
        <v>SIM</v>
      </c>
      <c r="P968" s="51" t="str">
        <f t="shared" si="106"/>
        <v>BL1132-0001-CC-MCA-2117</v>
      </c>
      <c r="Q968" s="52">
        <f t="shared" si="107"/>
        <v>46210</v>
      </c>
      <c r="R968" s="52" t="str">
        <f t="shared" si="108"/>
        <v>ND</v>
      </c>
      <c r="S968" s="51" t="str">
        <f t="shared" si="109"/>
        <v/>
      </c>
      <c r="T968" t="str">
        <f t="shared" si="110"/>
        <v/>
      </c>
      <c r="U968" s="52" t="str">
        <f t="shared" si="111"/>
        <v/>
      </c>
    </row>
    <row r="969" spans="2:21" x14ac:dyDescent="0.25">
      <c r="B969">
        <v>1002</v>
      </c>
      <c r="C969" t="s">
        <v>111</v>
      </c>
      <c r="D969" t="s">
        <v>745</v>
      </c>
      <c r="E969" t="s">
        <v>1517</v>
      </c>
      <c r="F969" t="s">
        <v>1519</v>
      </c>
      <c r="G969">
        <v>4</v>
      </c>
      <c r="H969" s="48">
        <v>1</v>
      </c>
      <c r="I969" s="48">
        <v>1</v>
      </c>
      <c r="J969" s="54" t="s">
        <v>1506</v>
      </c>
      <c r="K969" s="54" t="s">
        <v>1506</v>
      </c>
      <c r="L969" s="54">
        <v>46210</v>
      </c>
      <c r="M969" s="54">
        <v>46213</v>
      </c>
      <c r="O969" s="51" t="str">
        <f t="shared" si="105"/>
        <v/>
      </c>
      <c r="P969" s="51" t="str">
        <f t="shared" si="106"/>
        <v/>
      </c>
      <c r="Q969" s="52" t="str">
        <f t="shared" si="107"/>
        <v/>
      </c>
      <c r="R969" s="52" t="str">
        <f t="shared" si="108"/>
        <v/>
      </c>
      <c r="S969" s="51" t="str">
        <f t="shared" si="109"/>
        <v/>
      </c>
      <c r="T969" t="str">
        <f t="shared" si="110"/>
        <v/>
      </c>
      <c r="U969" s="52" t="str">
        <f t="shared" si="111"/>
        <v/>
      </c>
    </row>
    <row r="970" spans="2:21" x14ac:dyDescent="0.25">
      <c r="B970">
        <v>1003</v>
      </c>
      <c r="C970" t="s">
        <v>111</v>
      </c>
      <c r="D970" t="s">
        <v>745</v>
      </c>
      <c r="E970" t="s">
        <v>1518</v>
      </c>
      <c r="F970" t="s">
        <v>1519</v>
      </c>
      <c r="G970">
        <v>6</v>
      </c>
      <c r="H970" s="48">
        <v>0.87</v>
      </c>
      <c r="I970" s="48">
        <v>0</v>
      </c>
      <c r="J970" s="54" t="s">
        <v>1506</v>
      </c>
      <c r="K970" s="54" t="s">
        <v>1506</v>
      </c>
      <c r="L970" s="54">
        <v>46213</v>
      </c>
      <c r="M970" s="54">
        <v>46218</v>
      </c>
      <c r="O970" s="51" t="str">
        <f t="shared" si="105"/>
        <v/>
      </c>
      <c r="P970" s="51" t="str">
        <f t="shared" si="106"/>
        <v/>
      </c>
      <c r="Q970" s="52" t="str">
        <f t="shared" si="107"/>
        <v/>
      </c>
      <c r="R970" s="52" t="str">
        <f t="shared" si="108"/>
        <v/>
      </c>
      <c r="S970" s="51" t="str">
        <f t="shared" si="109"/>
        <v>SIM</v>
      </c>
      <c r="T970" t="str">
        <f t="shared" si="110"/>
        <v>BL1132-0001-CC-MCA-2117</v>
      </c>
      <c r="U970" s="52">
        <f t="shared" si="111"/>
        <v>46218</v>
      </c>
    </row>
    <row r="971" spans="2:21" x14ac:dyDescent="0.25">
      <c r="B971">
        <v>1004</v>
      </c>
      <c r="C971" t="s">
        <v>111</v>
      </c>
      <c r="D971" t="s">
        <v>745</v>
      </c>
      <c r="E971" t="s">
        <v>1520</v>
      </c>
      <c r="F971" t="s">
        <v>1519</v>
      </c>
      <c r="G971">
        <v>6</v>
      </c>
      <c r="H971" s="48">
        <v>0</v>
      </c>
      <c r="I971" s="48">
        <v>0</v>
      </c>
      <c r="J971" s="54" t="s">
        <v>1506</v>
      </c>
      <c r="K971" s="54" t="s">
        <v>1506</v>
      </c>
      <c r="L971" s="54">
        <v>46218</v>
      </c>
      <c r="M971" s="54">
        <v>46223</v>
      </c>
      <c r="O971" s="51" t="str">
        <f t="shared" si="105"/>
        <v/>
      </c>
      <c r="P971" s="51" t="str">
        <f t="shared" si="106"/>
        <v/>
      </c>
      <c r="Q971" s="52" t="str">
        <f t="shared" si="107"/>
        <v/>
      </c>
      <c r="R971" s="52" t="str">
        <f t="shared" si="108"/>
        <v/>
      </c>
      <c r="S971" s="51" t="str">
        <f t="shared" si="109"/>
        <v/>
      </c>
      <c r="T971" t="str">
        <f t="shared" si="110"/>
        <v/>
      </c>
      <c r="U971" s="52" t="str">
        <f t="shared" si="111"/>
        <v/>
      </c>
    </row>
    <row r="972" spans="2:21" x14ac:dyDescent="0.25">
      <c r="B972">
        <v>1005</v>
      </c>
      <c r="C972" t="s">
        <v>112</v>
      </c>
      <c r="D972" t="s">
        <v>749</v>
      </c>
      <c r="E972" t="s">
        <v>1771</v>
      </c>
      <c r="F972" t="s">
        <v>1535</v>
      </c>
      <c r="G972">
        <v>20</v>
      </c>
      <c r="H972" s="48">
        <v>0.91310000000000002</v>
      </c>
      <c r="I972" s="48">
        <v>0.75</v>
      </c>
      <c r="J972" s="54" t="s">
        <v>1506</v>
      </c>
      <c r="K972" s="54" t="s">
        <v>1506</v>
      </c>
      <c r="L972" s="54">
        <v>46204</v>
      </c>
      <c r="M972" s="54">
        <v>46223</v>
      </c>
      <c r="O972" s="51" t="str">
        <f t="shared" si="105"/>
        <v/>
      </c>
      <c r="P972" s="51" t="str">
        <f t="shared" si="106"/>
        <v/>
      </c>
      <c r="Q972" s="52" t="str">
        <f t="shared" si="107"/>
        <v/>
      </c>
      <c r="R972" s="52" t="str">
        <f t="shared" si="108"/>
        <v/>
      </c>
      <c r="S972" s="51" t="str">
        <f t="shared" si="109"/>
        <v/>
      </c>
      <c r="T972" t="str">
        <f t="shared" si="110"/>
        <v/>
      </c>
      <c r="U972" s="52" t="str">
        <f t="shared" si="111"/>
        <v/>
      </c>
    </row>
    <row r="973" spans="2:21" x14ac:dyDescent="0.25">
      <c r="B973">
        <v>1006</v>
      </c>
      <c r="C973" t="s">
        <v>112</v>
      </c>
      <c r="D973" t="s">
        <v>749</v>
      </c>
      <c r="E973" t="s">
        <v>1515</v>
      </c>
      <c r="F973" t="s">
        <v>1525</v>
      </c>
      <c r="G973">
        <v>7</v>
      </c>
      <c r="H973" s="48">
        <v>1</v>
      </c>
      <c r="I973" s="48">
        <v>1</v>
      </c>
      <c r="J973" s="54" t="s">
        <v>1506</v>
      </c>
      <c r="K973" s="54" t="s">
        <v>1506</v>
      </c>
      <c r="L973" s="54">
        <v>46204</v>
      </c>
      <c r="M973" s="54">
        <v>46210</v>
      </c>
      <c r="O973" s="51" t="str">
        <f t="shared" si="105"/>
        <v>SIM</v>
      </c>
      <c r="P973" s="51" t="str">
        <f t="shared" si="106"/>
        <v>BL1132-0001-CC-MCA-2118</v>
      </c>
      <c r="Q973" s="52">
        <f t="shared" si="107"/>
        <v>46210</v>
      </c>
      <c r="R973" s="52" t="str">
        <f t="shared" si="108"/>
        <v>ND</v>
      </c>
      <c r="S973" s="51" t="str">
        <f t="shared" si="109"/>
        <v/>
      </c>
      <c r="T973" t="str">
        <f t="shared" si="110"/>
        <v/>
      </c>
      <c r="U973" s="52" t="str">
        <f t="shared" si="111"/>
        <v/>
      </c>
    </row>
    <row r="974" spans="2:21" x14ac:dyDescent="0.25">
      <c r="B974">
        <v>1007</v>
      </c>
      <c r="C974" t="s">
        <v>112</v>
      </c>
      <c r="D974" t="s">
        <v>749</v>
      </c>
      <c r="E974" t="s">
        <v>1517</v>
      </c>
      <c r="F974" t="s">
        <v>1519</v>
      </c>
      <c r="G974">
        <v>4</v>
      </c>
      <c r="H974" s="48">
        <v>1</v>
      </c>
      <c r="I974" s="48">
        <v>1</v>
      </c>
      <c r="J974" s="54" t="s">
        <v>1506</v>
      </c>
      <c r="K974" s="54" t="s">
        <v>1506</v>
      </c>
      <c r="L974" s="54">
        <v>46210</v>
      </c>
      <c r="M974" s="54">
        <v>46213</v>
      </c>
      <c r="O974" s="51" t="str">
        <f t="shared" si="105"/>
        <v/>
      </c>
      <c r="P974" s="51" t="str">
        <f t="shared" si="106"/>
        <v/>
      </c>
      <c r="Q974" s="52" t="str">
        <f t="shared" si="107"/>
        <v/>
      </c>
      <c r="R974" s="52" t="str">
        <f t="shared" si="108"/>
        <v/>
      </c>
      <c r="S974" s="51" t="str">
        <f t="shared" si="109"/>
        <v/>
      </c>
      <c r="T974" t="str">
        <f t="shared" si="110"/>
        <v/>
      </c>
      <c r="U974" s="52" t="str">
        <f t="shared" si="111"/>
        <v/>
      </c>
    </row>
    <row r="975" spans="2:21" x14ac:dyDescent="0.25">
      <c r="B975">
        <v>1008</v>
      </c>
      <c r="C975" t="s">
        <v>112</v>
      </c>
      <c r="D975" t="s">
        <v>749</v>
      </c>
      <c r="E975" t="s">
        <v>1518</v>
      </c>
      <c r="F975" t="s">
        <v>1519</v>
      </c>
      <c r="G975">
        <v>6</v>
      </c>
      <c r="H975" s="48">
        <v>0.87</v>
      </c>
      <c r="I975" s="48">
        <v>0</v>
      </c>
      <c r="J975" s="54" t="s">
        <v>1506</v>
      </c>
      <c r="K975" s="54" t="s">
        <v>1506</v>
      </c>
      <c r="L975" s="54">
        <v>46213</v>
      </c>
      <c r="M975" s="54">
        <v>46218</v>
      </c>
      <c r="O975" s="51" t="str">
        <f t="shared" si="105"/>
        <v/>
      </c>
      <c r="P975" s="51" t="str">
        <f t="shared" si="106"/>
        <v/>
      </c>
      <c r="Q975" s="52" t="str">
        <f t="shared" si="107"/>
        <v/>
      </c>
      <c r="R975" s="52" t="str">
        <f t="shared" si="108"/>
        <v/>
      </c>
      <c r="S975" s="51" t="str">
        <f t="shared" si="109"/>
        <v>SIM</v>
      </c>
      <c r="T975" t="str">
        <f t="shared" si="110"/>
        <v>BL1132-0001-CC-MCA-2118</v>
      </c>
      <c r="U975" s="52">
        <f t="shared" si="111"/>
        <v>46218</v>
      </c>
    </row>
    <row r="976" spans="2:21" x14ac:dyDescent="0.25">
      <c r="B976">
        <v>1009</v>
      </c>
      <c r="C976" t="s">
        <v>112</v>
      </c>
      <c r="D976" t="s">
        <v>749</v>
      </c>
      <c r="E976" t="s">
        <v>1520</v>
      </c>
      <c r="F976" t="s">
        <v>1519</v>
      </c>
      <c r="G976">
        <v>6</v>
      </c>
      <c r="H976" s="48">
        <v>0</v>
      </c>
      <c r="I976" s="48">
        <v>0</v>
      </c>
      <c r="J976" s="54" t="s">
        <v>1506</v>
      </c>
      <c r="K976" s="54" t="s">
        <v>1506</v>
      </c>
      <c r="L976" s="54">
        <v>46218</v>
      </c>
      <c r="M976" s="54">
        <v>46223</v>
      </c>
      <c r="O976" s="51" t="str">
        <f t="shared" si="105"/>
        <v/>
      </c>
      <c r="P976" s="51" t="str">
        <f t="shared" si="106"/>
        <v/>
      </c>
      <c r="Q976" s="52" t="str">
        <f t="shared" si="107"/>
        <v/>
      </c>
      <c r="R976" s="52" t="str">
        <f t="shared" si="108"/>
        <v/>
      </c>
      <c r="S976" s="51" t="str">
        <f t="shared" si="109"/>
        <v/>
      </c>
      <c r="T976" t="str">
        <f t="shared" si="110"/>
        <v/>
      </c>
      <c r="U976" s="52" t="str">
        <f t="shared" si="111"/>
        <v/>
      </c>
    </row>
    <row r="977" spans="2:21" x14ac:dyDescent="0.25">
      <c r="B977">
        <v>1010</v>
      </c>
      <c r="C977" t="s">
        <v>113</v>
      </c>
      <c r="D977" t="s">
        <v>753</v>
      </c>
      <c r="E977" t="s">
        <v>1771</v>
      </c>
      <c r="F977" t="s">
        <v>1535</v>
      </c>
      <c r="G977">
        <v>20</v>
      </c>
      <c r="H977" s="48">
        <v>0.91310000000000002</v>
      </c>
      <c r="I977" s="48">
        <v>0.75</v>
      </c>
      <c r="J977" s="54" t="s">
        <v>1506</v>
      </c>
      <c r="K977" s="54" t="s">
        <v>1506</v>
      </c>
      <c r="L977" s="54">
        <v>46204</v>
      </c>
      <c r="M977" s="54">
        <v>46223</v>
      </c>
      <c r="O977" s="51" t="str">
        <f t="shared" si="105"/>
        <v/>
      </c>
      <c r="P977" s="51" t="str">
        <f t="shared" si="106"/>
        <v/>
      </c>
      <c r="Q977" s="52" t="str">
        <f t="shared" si="107"/>
        <v/>
      </c>
      <c r="R977" s="52" t="str">
        <f t="shared" si="108"/>
        <v/>
      </c>
      <c r="S977" s="51" t="str">
        <f t="shared" si="109"/>
        <v/>
      </c>
      <c r="T977" t="str">
        <f t="shared" si="110"/>
        <v/>
      </c>
      <c r="U977" s="52" t="str">
        <f t="shared" si="111"/>
        <v/>
      </c>
    </row>
    <row r="978" spans="2:21" x14ac:dyDescent="0.25">
      <c r="B978">
        <v>1011</v>
      </c>
      <c r="C978" t="s">
        <v>113</v>
      </c>
      <c r="D978" t="s">
        <v>753</v>
      </c>
      <c r="E978" t="s">
        <v>1515</v>
      </c>
      <c r="F978" t="s">
        <v>1525</v>
      </c>
      <c r="G978">
        <v>7</v>
      </c>
      <c r="H978" s="48">
        <v>1</v>
      </c>
      <c r="I978" s="48">
        <v>1</v>
      </c>
      <c r="J978" s="54" t="s">
        <v>1506</v>
      </c>
      <c r="K978" s="54" t="s">
        <v>1506</v>
      </c>
      <c r="L978" s="54">
        <v>46204</v>
      </c>
      <c r="M978" s="54">
        <v>46210</v>
      </c>
      <c r="O978" s="51" t="str">
        <f t="shared" si="105"/>
        <v>SIM</v>
      </c>
      <c r="P978" s="51" t="str">
        <f t="shared" si="106"/>
        <v>BL1132-0001-CC-MCA-2119</v>
      </c>
      <c r="Q978" s="52">
        <f t="shared" si="107"/>
        <v>46210</v>
      </c>
      <c r="R978" s="52" t="str">
        <f t="shared" si="108"/>
        <v>ND</v>
      </c>
      <c r="S978" s="51" t="str">
        <f t="shared" si="109"/>
        <v/>
      </c>
      <c r="T978" t="str">
        <f t="shared" si="110"/>
        <v/>
      </c>
      <c r="U978" s="52" t="str">
        <f t="shared" si="111"/>
        <v/>
      </c>
    </row>
    <row r="979" spans="2:21" x14ac:dyDescent="0.25">
      <c r="B979">
        <v>1012</v>
      </c>
      <c r="C979" t="s">
        <v>113</v>
      </c>
      <c r="D979" t="s">
        <v>753</v>
      </c>
      <c r="E979" t="s">
        <v>1517</v>
      </c>
      <c r="F979" t="s">
        <v>1519</v>
      </c>
      <c r="G979">
        <v>4</v>
      </c>
      <c r="H979" s="48">
        <v>1</v>
      </c>
      <c r="I979" s="48">
        <v>1</v>
      </c>
      <c r="J979" s="54" t="s">
        <v>1506</v>
      </c>
      <c r="K979" s="54" t="s">
        <v>1506</v>
      </c>
      <c r="L979" s="54">
        <v>46210</v>
      </c>
      <c r="M979" s="54">
        <v>46213</v>
      </c>
      <c r="O979" s="51" t="str">
        <f t="shared" si="105"/>
        <v/>
      </c>
      <c r="P979" s="51" t="str">
        <f t="shared" si="106"/>
        <v/>
      </c>
      <c r="Q979" s="52" t="str">
        <f t="shared" si="107"/>
        <v/>
      </c>
      <c r="R979" s="52" t="str">
        <f t="shared" si="108"/>
        <v/>
      </c>
      <c r="S979" s="51" t="str">
        <f t="shared" si="109"/>
        <v/>
      </c>
      <c r="T979" t="str">
        <f t="shared" si="110"/>
        <v/>
      </c>
      <c r="U979" s="52" t="str">
        <f t="shared" si="111"/>
        <v/>
      </c>
    </row>
    <row r="980" spans="2:21" x14ac:dyDescent="0.25">
      <c r="B980">
        <v>1013</v>
      </c>
      <c r="C980" t="s">
        <v>113</v>
      </c>
      <c r="D980" t="s">
        <v>753</v>
      </c>
      <c r="E980" t="s">
        <v>1518</v>
      </c>
      <c r="F980" t="s">
        <v>1519</v>
      </c>
      <c r="G980">
        <v>6</v>
      </c>
      <c r="H980" s="48">
        <v>0.87</v>
      </c>
      <c r="I980" s="48">
        <v>0</v>
      </c>
      <c r="J980" s="54" t="s">
        <v>1506</v>
      </c>
      <c r="K980" s="54" t="s">
        <v>1506</v>
      </c>
      <c r="L980" s="54">
        <v>46213</v>
      </c>
      <c r="M980" s="54">
        <v>46218</v>
      </c>
      <c r="O980" s="51" t="str">
        <f t="shared" si="105"/>
        <v/>
      </c>
      <c r="P980" s="51" t="str">
        <f t="shared" si="106"/>
        <v/>
      </c>
      <c r="Q980" s="52" t="str">
        <f t="shared" si="107"/>
        <v/>
      </c>
      <c r="R980" s="52" t="str">
        <f t="shared" si="108"/>
        <v/>
      </c>
      <c r="S980" s="51" t="str">
        <f t="shared" si="109"/>
        <v>SIM</v>
      </c>
      <c r="T980" t="str">
        <f t="shared" si="110"/>
        <v>BL1132-0001-CC-MCA-2119</v>
      </c>
      <c r="U980" s="52">
        <f t="shared" si="111"/>
        <v>46218</v>
      </c>
    </row>
    <row r="981" spans="2:21" x14ac:dyDescent="0.25">
      <c r="B981">
        <v>1014</v>
      </c>
      <c r="C981" t="s">
        <v>113</v>
      </c>
      <c r="D981" t="s">
        <v>753</v>
      </c>
      <c r="E981" t="s">
        <v>1520</v>
      </c>
      <c r="F981" t="s">
        <v>1519</v>
      </c>
      <c r="G981">
        <v>6</v>
      </c>
      <c r="H981" s="48">
        <v>0</v>
      </c>
      <c r="I981" s="48">
        <v>0</v>
      </c>
      <c r="J981" s="54" t="s">
        <v>1506</v>
      </c>
      <c r="K981" s="54" t="s">
        <v>1506</v>
      </c>
      <c r="L981" s="54">
        <v>46218</v>
      </c>
      <c r="M981" s="54">
        <v>46223</v>
      </c>
      <c r="O981" s="51" t="str">
        <f t="shared" si="105"/>
        <v/>
      </c>
      <c r="P981" s="51" t="str">
        <f t="shared" si="106"/>
        <v/>
      </c>
      <c r="Q981" s="52" t="str">
        <f t="shared" si="107"/>
        <v/>
      </c>
      <c r="R981" s="52" t="str">
        <f t="shared" si="108"/>
        <v/>
      </c>
      <c r="S981" s="51" t="str">
        <f t="shared" si="109"/>
        <v/>
      </c>
      <c r="T981" t="str">
        <f t="shared" si="110"/>
        <v/>
      </c>
      <c r="U981" s="52" t="str">
        <f t="shared" si="111"/>
        <v/>
      </c>
    </row>
    <row r="982" spans="2:21" x14ac:dyDescent="0.25">
      <c r="B982">
        <v>1015</v>
      </c>
      <c r="C982" t="s">
        <v>757</v>
      </c>
      <c r="D982" t="s">
        <v>758</v>
      </c>
      <c r="E982" t="s">
        <v>1772</v>
      </c>
      <c r="F982" t="s">
        <v>1527</v>
      </c>
      <c r="G982">
        <v>21</v>
      </c>
      <c r="H982" s="48">
        <v>0.68379999999999996</v>
      </c>
      <c r="I982" s="48">
        <v>0.5625</v>
      </c>
      <c r="J982" s="54" t="s">
        <v>1506</v>
      </c>
      <c r="K982" s="54" t="s">
        <v>1506</v>
      </c>
      <c r="L982" s="54">
        <v>46210</v>
      </c>
      <c r="M982" s="54">
        <v>46230</v>
      </c>
      <c r="O982" s="51" t="str">
        <f t="shared" si="105"/>
        <v/>
      </c>
      <c r="P982" s="51" t="str">
        <f t="shared" si="106"/>
        <v/>
      </c>
      <c r="Q982" s="52" t="str">
        <f t="shared" si="107"/>
        <v/>
      </c>
      <c r="R982" s="52" t="str">
        <f t="shared" si="108"/>
        <v/>
      </c>
      <c r="S982" s="51" t="str">
        <f t="shared" si="109"/>
        <v/>
      </c>
      <c r="T982" t="str">
        <f t="shared" si="110"/>
        <v/>
      </c>
      <c r="U982" s="52" t="str">
        <f t="shared" si="111"/>
        <v/>
      </c>
    </row>
    <row r="983" spans="2:21" x14ac:dyDescent="0.25">
      <c r="B983">
        <v>1016</v>
      </c>
      <c r="C983" t="s">
        <v>757</v>
      </c>
      <c r="D983" t="s">
        <v>758</v>
      </c>
      <c r="E983" t="s">
        <v>1515</v>
      </c>
      <c r="F983" t="s">
        <v>1528</v>
      </c>
      <c r="G983">
        <v>8</v>
      </c>
      <c r="H983" s="48">
        <v>1</v>
      </c>
      <c r="I983" s="48">
        <v>0.9</v>
      </c>
      <c r="J983" s="54" t="s">
        <v>1506</v>
      </c>
      <c r="K983" s="54" t="s">
        <v>1506</v>
      </c>
      <c r="L983" s="54">
        <v>46210</v>
      </c>
      <c r="M983" s="54">
        <v>46217</v>
      </c>
      <c r="O983" s="51" t="str">
        <f t="shared" si="105"/>
        <v>SIM</v>
      </c>
      <c r="P983" s="51" t="str">
        <f t="shared" si="106"/>
        <v>BL1132-0001-CC-MCA-2120</v>
      </c>
      <c r="Q983" s="52">
        <f t="shared" si="107"/>
        <v>46217</v>
      </c>
      <c r="R983" s="52" t="str">
        <f t="shared" si="108"/>
        <v>ND</v>
      </c>
      <c r="S983" s="51" t="str">
        <f t="shared" si="109"/>
        <v/>
      </c>
      <c r="T983" t="str">
        <f t="shared" si="110"/>
        <v/>
      </c>
      <c r="U983" s="52" t="str">
        <f t="shared" si="111"/>
        <v/>
      </c>
    </row>
    <row r="984" spans="2:21" x14ac:dyDescent="0.25">
      <c r="B984">
        <v>1017</v>
      </c>
      <c r="C984" t="s">
        <v>757</v>
      </c>
      <c r="D984" t="s">
        <v>758</v>
      </c>
      <c r="E984" t="s">
        <v>1517</v>
      </c>
      <c r="F984" t="s">
        <v>1519</v>
      </c>
      <c r="G984">
        <v>4</v>
      </c>
      <c r="H984" s="48">
        <v>0.47</v>
      </c>
      <c r="I984" s="48">
        <v>0</v>
      </c>
      <c r="J984" s="54" t="s">
        <v>1506</v>
      </c>
      <c r="K984" s="54" t="s">
        <v>1506</v>
      </c>
      <c r="L984" s="54">
        <v>46217</v>
      </c>
      <c r="M984" s="54">
        <v>46220</v>
      </c>
      <c r="O984" s="51" t="str">
        <f t="shared" si="105"/>
        <v/>
      </c>
      <c r="P984" s="51" t="str">
        <f t="shared" si="106"/>
        <v/>
      </c>
      <c r="Q984" s="52" t="str">
        <f t="shared" si="107"/>
        <v/>
      </c>
      <c r="R984" s="52" t="str">
        <f t="shared" si="108"/>
        <v/>
      </c>
      <c r="S984" s="51" t="str">
        <f t="shared" si="109"/>
        <v/>
      </c>
      <c r="T984" t="str">
        <f t="shared" si="110"/>
        <v/>
      </c>
      <c r="U984" s="52" t="str">
        <f t="shared" si="111"/>
        <v/>
      </c>
    </row>
    <row r="985" spans="2:21" x14ac:dyDescent="0.25">
      <c r="B985">
        <v>1018</v>
      </c>
      <c r="C985" t="s">
        <v>757</v>
      </c>
      <c r="D985" t="s">
        <v>758</v>
      </c>
      <c r="E985" t="s">
        <v>1518</v>
      </c>
      <c r="F985" t="s">
        <v>1519</v>
      </c>
      <c r="G985">
        <v>6</v>
      </c>
      <c r="H985" s="48">
        <v>0</v>
      </c>
      <c r="I985" s="48">
        <v>0</v>
      </c>
      <c r="J985" s="54" t="s">
        <v>1506</v>
      </c>
      <c r="K985" s="54" t="s">
        <v>1506</v>
      </c>
      <c r="L985" s="54">
        <v>46220</v>
      </c>
      <c r="M985" s="54">
        <v>46225</v>
      </c>
      <c r="O985" s="51" t="str">
        <f t="shared" si="105"/>
        <v/>
      </c>
      <c r="P985" s="51" t="str">
        <f t="shared" si="106"/>
        <v/>
      </c>
      <c r="Q985" s="52" t="str">
        <f t="shared" si="107"/>
        <v/>
      </c>
      <c r="R985" s="52" t="str">
        <f t="shared" si="108"/>
        <v/>
      </c>
      <c r="S985" s="51" t="str">
        <f t="shared" si="109"/>
        <v>SIM</v>
      </c>
      <c r="T985" t="str">
        <f t="shared" si="110"/>
        <v>BL1132-0001-CC-MCA-2120</v>
      </c>
      <c r="U985" s="52">
        <f t="shared" si="111"/>
        <v>46225</v>
      </c>
    </row>
    <row r="986" spans="2:21" x14ac:dyDescent="0.25">
      <c r="B986">
        <v>1019</v>
      </c>
      <c r="C986" t="s">
        <v>757</v>
      </c>
      <c r="D986" t="s">
        <v>758</v>
      </c>
      <c r="E986" t="s">
        <v>1520</v>
      </c>
      <c r="F986" t="s">
        <v>1519</v>
      </c>
      <c r="G986">
        <v>6</v>
      </c>
      <c r="H986" s="48">
        <v>0</v>
      </c>
      <c r="I986" s="48">
        <v>0</v>
      </c>
      <c r="J986" s="54" t="s">
        <v>1506</v>
      </c>
      <c r="K986" s="54" t="s">
        <v>1506</v>
      </c>
      <c r="L986" s="54">
        <v>46225</v>
      </c>
      <c r="M986" s="54">
        <v>46230</v>
      </c>
      <c r="O986" s="51" t="str">
        <f t="shared" si="105"/>
        <v/>
      </c>
      <c r="P986" s="51" t="str">
        <f t="shared" si="106"/>
        <v/>
      </c>
      <c r="Q986" s="52" t="str">
        <f t="shared" si="107"/>
        <v/>
      </c>
      <c r="R986" s="52" t="str">
        <f t="shared" si="108"/>
        <v/>
      </c>
      <c r="S986" s="51" t="str">
        <f t="shared" si="109"/>
        <v/>
      </c>
      <c r="T986" t="str">
        <f t="shared" si="110"/>
        <v/>
      </c>
      <c r="U986" s="52" t="str">
        <f t="shared" si="111"/>
        <v/>
      </c>
    </row>
    <row r="987" spans="2:21" x14ac:dyDescent="0.25">
      <c r="B987">
        <v>1020</v>
      </c>
      <c r="E987" t="s">
        <v>1624</v>
      </c>
      <c r="F987" t="s">
        <v>1762</v>
      </c>
      <c r="G987">
        <v>68</v>
      </c>
      <c r="H987" s="48">
        <v>0.89900000000000002</v>
      </c>
      <c r="I987" s="48">
        <v>0.63900000000000001</v>
      </c>
      <c r="J987" s="54">
        <v>46192</v>
      </c>
      <c r="K987" s="54">
        <v>46226</v>
      </c>
      <c r="L987" s="54">
        <v>46192</v>
      </c>
      <c r="M987" s="54">
        <v>46259</v>
      </c>
      <c r="O987" s="51" t="str">
        <f t="shared" si="105"/>
        <v/>
      </c>
      <c r="P987" s="51" t="str">
        <f t="shared" si="106"/>
        <v/>
      </c>
      <c r="Q987" s="52" t="str">
        <f t="shared" si="107"/>
        <v/>
      </c>
      <c r="R987" s="52" t="str">
        <f t="shared" si="108"/>
        <v/>
      </c>
      <c r="S987" s="51" t="str">
        <f t="shared" si="109"/>
        <v/>
      </c>
      <c r="T987" t="str">
        <f t="shared" si="110"/>
        <v/>
      </c>
      <c r="U987" s="52" t="str">
        <f t="shared" si="111"/>
        <v/>
      </c>
    </row>
    <row r="988" spans="2:21" x14ac:dyDescent="0.25">
      <c r="B988">
        <v>1021</v>
      </c>
      <c r="C988" t="s">
        <v>286</v>
      </c>
      <c r="D988" t="s">
        <v>1414</v>
      </c>
      <c r="E988" t="s">
        <v>1773</v>
      </c>
      <c r="F988" t="s">
        <v>1564</v>
      </c>
      <c r="G988">
        <v>33</v>
      </c>
      <c r="H988" s="48">
        <v>0.95079999999999998</v>
      </c>
      <c r="I988" s="48">
        <v>0.85199999999999998</v>
      </c>
      <c r="J988" s="54">
        <v>46192</v>
      </c>
      <c r="K988" s="54">
        <v>46219</v>
      </c>
      <c r="L988" s="54">
        <v>46192</v>
      </c>
      <c r="M988" s="54">
        <v>46224</v>
      </c>
      <c r="O988" s="51" t="str">
        <f t="shared" si="105"/>
        <v/>
      </c>
      <c r="P988" s="51" t="str">
        <f t="shared" si="106"/>
        <v/>
      </c>
      <c r="Q988" s="52" t="str">
        <f t="shared" si="107"/>
        <v/>
      </c>
      <c r="R988" s="52" t="str">
        <f t="shared" si="108"/>
        <v/>
      </c>
      <c r="S988" s="51" t="str">
        <f t="shared" si="109"/>
        <v/>
      </c>
      <c r="T988" t="str">
        <f t="shared" si="110"/>
        <v/>
      </c>
      <c r="U988" s="52" t="str">
        <f t="shared" si="111"/>
        <v/>
      </c>
    </row>
    <row r="989" spans="2:21" x14ac:dyDescent="0.25">
      <c r="B989">
        <v>1022</v>
      </c>
      <c r="C989" t="s">
        <v>286</v>
      </c>
      <c r="D989" t="s">
        <v>1414</v>
      </c>
      <c r="E989" t="s">
        <v>1515</v>
      </c>
      <c r="F989" t="s">
        <v>1641</v>
      </c>
      <c r="G989">
        <v>18</v>
      </c>
      <c r="H989" s="48">
        <v>1</v>
      </c>
      <c r="I989" s="48">
        <v>1</v>
      </c>
      <c r="J989" s="54">
        <v>46192</v>
      </c>
      <c r="K989" s="54">
        <v>46206</v>
      </c>
      <c r="L989" s="54">
        <v>46192</v>
      </c>
      <c r="M989" s="54">
        <v>46209</v>
      </c>
      <c r="O989" s="51" t="str">
        <f t="shared" si="105"/>
        <v>SIM</v>
      </c>
      <c r="P989" s="51" t="str">
        <f t="shared" si="106"/>
        <v>BL1132-0001-UT-RTE-2000</v>
      </c>
      <c r="Q989" s="52">
        <f t="shared" si="107"/>
        <v>46209</v>
      </c>
      <c r="R989" s="52">
        <f t="shared" si="108"/>
        <v>46206</v>
      </c>
      <c r="S989" s="51" t="str">
        <f t="shared" si="109"/>
        <v/>
      </c>
      <c r="T989" t="str">
        <f t="shared" si="110"/>
        <v/>
      </c>
      <c r="U989" s="52" t="str">
        <f t="shared" si="111"/>
        <v/>
      </c>
    </row>
    <row r="990" spans="2:21" x14ac:dyDescent="0.25">
      <c r="B990">
        <v>1023</v>
      </c>
      <c r="C990" t="s">
        <v>286</v>
      </c>
      <c r="D990" t="s">
        <v>1414</v>
      </c>
      <c r="E990" t="s">
        <v>1517</v>
      </c>
      <c r="F990" t="s">
        <v>1519</v>
      </c>
      <c r="G990">
        <v>4</v>
      </c>
      <c r="H990" s="48">
        <v>1</v>
      </c>
      <c r="I990" s="48">
        <v>1</v>
      </c>
      <c r="J990" s="54">
        <v>46206</v>
      </c>
      <c r="K990" s="54">
        <v>46211</v>
      </c>
      <c r="L990" s="54">
        <v>46209</v>
      </c>
      <c r="M990" s="54">
        <v>46212</v>
      </c>
      <c r="O990" s="51" t="str">
        <f t="shared" si="105"/>
        <v/>
      </c>
      <c r="P990" s="51" t="str">
        <f t="shared" si="106"/>
        <v/>
      </c>
      <c r="Q990" s="52" t="str">
        <f t="shared" si="107"/>
        <v/>
      </c>
      <c r="R990" s="52" t="str">
        <f t="shared" si="108"/>
        <v/>
      </c>
      <c r="S990" s="51" t="str">
        <f t="shared" si="109"/>
        <v/>
      </c>
      <c r="T990" t="str">
        <f t="shared" si="110"/>
        <v/>
      </c>
      <c r="U990" s="52" t="str">
        <f t="shared" si="111"/>
        <v/>
      </c>
    </row>
    <row r="991" spans="2:21" x14ac:dyDescent="0.25">
      <c r="B991">
        <v>1024</v>
      </c>
      <c r="C991" t="s">
        <v>286</v>
      </c>
      <c r="D991" t="s">
        <v>1414</v>
      </c>
      <c r="E991" t="s">
        <v>1518</v>
      </c>
      <c r="F991" t="s">
        <v>1528</v>
      </c>
      <c r="G991">
        <v>8</v>
      </c>
      <c r="H991" s="48">
        <v>0.87</v>
      </c>
      <c r="I991" s="48">
        <v>0.3</v>
      </c>
      <c r="J991" s="54">
        <v>46211</v>
      </c>
      <c r="K991" s="54">
        <v>46216</v>
      </c>
      <c r="L991" s="54">
        <v>46212</v>
      </c>
      <c r="M991" s="54">
        <v>46219</v>
      </c>
      <c r="O991" s="51" t="str">
        <f t="shared" si="105"/>
        <v/>
      </c>
      <c r="P991" s="51" t="str">
        <f t="shared" si="106"/>
        <v/>
      </c>
      <c r="Q991" s="52" t="str">
        <f t="shared" si="107"/>
        <v/>
      </c>
      <c r="R991" s="52" t="str">
        <f t="shared" si="108"/>
        <v/>
      </c>
      <c r="S991" s="51" t="str">
        <f t="shared" si="109"/>
        <v>SIM</v>
      </c>
      <c r="T991" t="str">
        <f t="shared" si="110"/>
        <v>BL1132-0001-UT-RTE-2000</v>
      </c>
      <c r="U991" s="52">
        <f t="shared" si="111"/>
        <v>46219</v>
      </c>
    </row>
    <row r="992" spans="2:21" x14ac:dyDescent="0.25">
      <c r="B992">
        <v>1025</v>
      </c>
      <c r="C992" t="s">
        <v>286</v>
      </c>
      <c r="D992" t="s">
        <v>1414</v>
      </c>
      <c r="E992" t="s">
        <v>1520</v>
      </c>
      <c r="F992" t="s">
        <v>1519</v>
      </c>
      <c r="G992">
        <v>6</v>
      </c>
      <c r="H992" s="48">
        <v>0</v>
      </c>
      <c r="I992" s="48">
        <v>0</v>
      </c>
      <c r="J992" s="54">
        <v>46216</v>
      </c>
      <c r="K992" s="54">
        <v>46219</v>
      </c>
      <c r="L992" s="54">
        <v>46219</v>
      </c>
      <c r="M992" s="54">
        <v>46224</v>
      </c>
      <c r="O992" s="51" t="str">
        <f t="shared" si="105"/>
        <v/>
      </c>
      <c r="P992" s="51" t="str">
        <f t="shared" si="106"/>
        <v/>
      </c>
      <c r="Q992" s="52" t="str">
        <f t="shared" si="107"/>
        <v/>
      </c>
      <c r="R992" s="52" t="str">
        <f t="shared" si="108"/>
        <v/>
      </c>
      <c r="S992" s="51" t="str">
        <f t="shared" si="109"/>
        <v/>
      </c>
      <c r="T992" t="str">
        <f t="shared" si="110"/>
        <v/>
      </c>
      <c r="U992" s="52" t="str">
        <f t="shared" si="111"/>
        <v/>
      </c>
    </row>
    <row r="993" spans="2:21" x14ac:dyDescent="0.25">
      <c r="B993">
        <v>1026</v>
      </c>
      <c r="C993" t="s">
        <v>265</v>
      </c>
      <c r="D993" t="s">
        <v>1330</v>
      </c>
      <c r="E993" t="s">
        <v>1774</v>
      </c>
      <c r="F993" t="s">
        <v>1527</v>
      </c>
      <c r="G993">
        <v>21</v>
      </c>
      <c r="H993" s="48">
        <v>0.74350000000000005</v>
      </c>
      <c r="I993" s="48">
        <v>0</v>
      </c>
      <c r="J993" s="54">
        <v>46206</v>
      </c>
      <c r="K993" s="54">
        <v>46226</v>
      </c>
      <c r="L993" s="54">
        <v>46239</v>
      </c>
      <c r="M993" s="54">
        <v>46259</v>
      </c>
      <c r="O993" s="51" t="str">
        <f t="shared" si="105"/>
        <v/>
      </c>
      <c r="P993" s="51" t="str">
        <f t="shared" si="106"/>
        <v/>
      </c>
      <c r="Q993" s="52" t="str">
        <f t="shared" si="107"/>
        <v/>
      </c>
      <c r="R993" s="52" t="str">
        <f t="shared" si="108"/>
        <v/>
      </c>
      <c r="S993" s="51" t="str">
        <f t="shared" si="109"/>
        <v/>
      </c>
      <c r="T993" t="str">
        <f t="shared" si="110"/>
        <v/>
      </c>
      <c r="U993" s="52" t="str">
        <f t="shared" si="111"/>
        <v/>
      </c>
    </row>
    <row r="994" spans="2:21" x14ac:dyDescent="0.25">
      <c r="B994">
        <v>1027</v>
      </c>
      <c r="C994" t="s">
        <v>265</v>
      </c>
      <c r="D994" t="s">
        <v>1330</v>
      </c>
      <c r="E994" t="s">
        <v>1515</v>
      </c>
      <c r="F994" t="s">
        <v>1528</v>
      </c>
      <c r="G994">
        <v>8</v>
      </c>
      <c r="H994" s="48">
        <v>1</v>
      </c>
      <c r="I994" s="48">
        <v>0</v>
      </c>
      <c r="J994" s="54">
        <v>46206</v>
      </c>
      <c r="K994" s="54">
        <v>46213</v>
      </c>
      <c r="L994" s="54">
        <v>46239</v>
      </c>
      <c r="M994" s="54">
        <v>46246</v>
      </c>
      <c r="O994" s="51" t="str">
        <f t="shared" si="105"/>
        <v>SIM</v>
      </c>
      <c r="P994" s="51" t="str">
        <f t="shared" si="106"/>
        <v>BL1132-0001-UT-FEN-2000</v>
      </c>
      <c r="Q994" s="52">
        <f t="shared" si="107"/>
        <v>46246</v>
      </c>
      <c r="R994" s="52">
        <f t="shared" si="108"/>
        <v>46213</v>
      </c>
      <c r="S994" s="51" t="str">
        <f t="shared" si="109"/>
        <v/>
      </c>
      <c r="T994" t="str">
        <f t="shared" si="110"/>
        <v/>
      </c>
      <c r="U994" s="52" t="str">
        <f t="shared" si="111"/>
        <v/>
      </c>
    </row>
    <row r="995" spans="2:21" x14ac:dyDescent="0.25">
      <c r="B995">
        <v>1028</v>
      </c>
      <c r="C995" t="s">
        <v>265</v>
      </c>
      <c r="D995" t="s">
        <v>1330</v>
      </c>
      <c r="E995" t="s">
        <v>1517</v>
      </c>
      <c r="F995" t="s">
        <v>1519</v>
      </c>
      <c r="G995">
        <v>6</v>
      </c>
      <c r="H995" s="48">
        <v>0.47</v>
      </c>
      <c r="I995" s="48">
        <v>0</v>
      </c>
      <c r="J995" s="54">
        <v>46213</v>
      </c>
      <c r="K995" s="54">
        <v>46218</v>
      </c>
      <c r="L995" s="54">
        <v>46246</v>
      </c>
      <c r="M995" s="54">
        <v>46251</v>
      </c>
      <c r="O995" s="51" t="str">
        <f t="shared" si="105"/>
        <v/>
      </c>
      <c r="P995" s="51" t="str">
        <f t="shared" si="106"/>
        <v/>
      </c>
      <c r="Q995" s="52" t="str">
        <f t="shared" si="107"/>
        <v/>
      </c>
      <c r="R995" s="52" t="str">
        <f t="shared" si="108"/>
        <v/>
      </c>
      <c r="S995" s="51" t="str">
        <f t="shared" si="109"/>
        <v/>
      </c>
      <c r="T995" t="str">
        <f t="shared" si="110"/>
        <v/>
      </c>
      <c r="U995" s="52" t="str">
        <f t="shared" si="111"/>
        <v/>
      </c>
    </row>
    <row r="996" spans="2:21" x14ac:dyDescent="0.25">
      <c r="B996">
        <v>1029</v>
      </c>
      <c r="C996" t="s">
        <v>265</v>
      </c>
      <c r="D996" t="s">
        <v>1330</v>
      </c>
      <c r="E996" t="s">
        <v>1518</v>
      </c>
      <c r="F996" t="s">
        <v>1519</v>
      </c>
      <c r="G996">
        <v>4</v>
      </c>
      <c r="H996" s="48">
        <v>0</v>
      </c>
      <c r="I996" s="48">
        <v>0</v>
      </c>
      <c r="J996" s="54">
        <v>46218</v>
      </c>
      <c r="K996" s="54">
        <v>46223</v>
      </c>
      <c r="L996" s="54">
        <v>46251</v>
      </c>
      <c r="M996" s="54">
        <v>46254</v>
      </c>
      <c r="O996" s="51" t="str">
        <f t="shared" si="105"/>
        <v/>
      </c>
      <c r="P996" s="51" t="str">
        <f t="shared" si="106"/>
        <v/>
      </c>
      <c r="Q996" s="52" t="str">
        <f t="shared" si="107"/>
        <v/>
      </c>
      <c r="R996" s="52" t="str">
        <f t="shared" si="108"/>
        <v/>
      </c>
      <c r="S996" s="51" t="str">
        <f t="shared" si="109"/>
        <v>SIM</v>
      </c>
      <c r="T996" t="str">
        <f t="shared" si="110"/>
        <v>BL1132-0001-UT-FEN-2000</v>
      </c>
      <c r="U996" s="52">
        <f t="shared" si="111"/>
        <v>46254</v>
      </c>
    </row>
    <row r="997" spans="2:21" x14ac:dyDescent="0.25">
      <c r="B997">
        <v>1030</v>
      </c>
      <c r="C997" t="s">
        <v>265</v>
      </c>
      <c r="D997" t="s">
        <v>1330</v>
      </c>
      <c r="E997" t="s">
        <v>1520</v>
      </c>
      <c r="F997" t="s">
        <v>1519</v>
      </c>
      <c r="G997">
        <v>6</v>
      </c>
      <c r="H997" s="48">
        <v>0</v>
      </c>
      <c r="I997" s="48">
        <v>0</v>
      </c>
      <c r="J997" s="54">
        <v>46223</v>
      </c>
      <c r="K997" s="54">
        <v>46226</v>
      </c>
      <c r="L997" s="54">
        <v>46254</v>
      </c>
      <c r="M997" s="54">
        <v>46259</v>
      </c>
      <c r="O997" s="51" t="str">
        <f t="shared" si="105"/>
        <v/>
      </c>
      <c r="P997" s="51" t="str">
        <f t="shared" si="106"/>
        <v/>
      </c>
      <c r="Q997" s="52" t="str">
        <f t="shared" si="107"/>
        <v/>
      </c>
      <c r="R997" s="52" t="str">
        <f t="shared" si="108"/>
        <v/>
      </c>
      <c r="S997" s="51" t="str">
        <f t="shared" si="109"/>
        <v/>
      </c>
      <c r="T997" t="str">
        <f t="shared" si="110"/>
        <v/>
      </c>
      <c r="U997" s="52" t="str">
        <f t="shared" si="111"/>
        <v/>
      </c>
    </row>
    <row r="998" spans="2:21" x14ac:dyDescent="0.25">
      <c r="B998">
        <v>1031</v>
      </c>
      <c r="E998" t="s">
        <v>1557</v>
      </c>
      <c r="F998" t="s">
        <v>1514</v>
      </c>
      <c r="G998">
        <v>28</v>
      </c>
      <c r="H998" s="48">
        <v>0.91310000000000002</v>
      </c>
      <c r="I998" s="48">
        <v>0.9375</v>
      </c>
      <c r="J998" s="54">
        <v>46192</v>
      </c>
      <c r="K998" s="54">
        <v>46212</v>
      </c>
      <c r="L998" s="54">
        <v>46192</v>
      </c>
      <c r="M998" s="54">
        <v>46219</v>
      </c>
      <c r="O998" s="51" t="str">
        <f t="shared" si="105"/>
        <v/>
      </c>
      <c r="P998" s="51" t="str">
        <f t="shared" si="106"/>
        <v/>
      </c>
      <c r="Q998" s="52" t="str">
        <f t="shared" si="107"/>
        <v/>
      </c>
      <c r="R998" s="52" t="str">
        <f t="shared" si="108"/>
        <v/>
      </c>
      <c r="S998" s="51" t="str">
        <f t="shared" si="109"/>
        <v/>
      </c>
      <c r="T998" t="str">
        <f t="shared" si="110"/>
        <v/>
      </c>
      <c r="U998" s="52" t="str">
        <f t="shared" si="111"/>
        <v/>
      </c>
    </row>
    <row r="999" spans="2:21" x14ac:dyDescent="0.25">
      <c r="B999">
        <v>1037</v>
      </c>
      <c r="C999" t="s">
        <v>191</v>
      </c>
      <c r="D999" t="s">
        <v>1075</v>
      </c>
      <c r="E999" t="s">
        <v>1775</v>
      </c>
      <c r="F999" t="s">
        <v>1514</v>
      </c>
      <c r="G999">
        <v>28</v>
      </c>
      <c r="H999" s="48">
        <v>0.91310000000000002</v>
      </c>
      <c r="I999" s="48">
        <v>0.9375</v>
      </c>
      <c r="J999" s="54" t="s">
        <v>1506</v>
      </c>
      <c r="K999" s="54" t="s">
        <v>1506</v>
      </c>
      <c r="L999" s="54">
        <v>46192</v>
      </c>
      <c r="M999" s="54">
        <v>46219</v>
      </c>
      <c r="O999" s="51" t="str">
        <f t="shared" si="105"/>
        <v/>
      </c>
      <c r="P999" s="51" t="str">
        <f t="shared" si="106"/>
        <v/>
      </c>
      <c r="Q999" s="52" t="str">
        <f t="shared" si="107"/>
        <v/>
      </c>
      <c r="R999" s="52" t="str">
        <f t="shared" si="108"/>
        <v/>
      </c>
      <c r="S999" s="51" t="str">
        <f t="shared" si="109"/>
        <v/>
      </c>
      <c r="T999" t="str">
        <f t="shared" si="110"/>
        <v/>
      </c>
      <c r="U999" s="52" t="str">
        <f t="shared" si="111"/>
        <v/>
      </c>
    </row>
    <row r="1000" spans="2:21" x14ac:dyDescent="0.25">
      <c r="B1000">
        <v>1038</v>
      </c>
      <c r="C1000" t="s">
        <v>191</v>
      </c>
      <c r="D1000" t="s">
        <v>1075</v>
      </c>
      <c r="E1000" t="s">
        <v>1515</v>
      </c>
      <c r="F1000" t="s">
        <v>1523</v>
      </c>
      <c r="G1000">
        <v>12</v>
      </c>
      <c r="H1000" s="48">
        <v>1</v>
      </c>
      <c r="I1000" s="48">
        <v>1</v>
      </c>
      <c r="J1000" s="54" t="s">
        <v>1506</v>
      </c>
      <c r="K1000" s="54" t="s">
        <v>1506</v>
      </c>
      <c r="L1000" s="54">
        <v>46192</v>
      </c>
      <c r="M1000" s="54">
        <v>46203</v>
      </c>
      <c r="O1000" s="51" t="str">
        <f t="shared" si="105"/>
        <v>SIM</v>
      </c>
      <c r="P1000" s="51" t="str">
        <f t="shared" si="106"/>
        <v>BL1132-0001-EM-MCA-2014</v>
      </c>
      <c r="Q1000" s="52">
        <f t="shared" si="107"/>
        <v>46203</v>
      </c>
      <c r="R1000" s="52" t="str">
        <f t="shared" si="108"/>
        <v>ND</v>
      </c>
      <c r="S1000" s="51" t="str">
        <f t="shared" si="109"/>
        <v/>
      </c>
      <c r="T1000" t="str">
        <f t="shared" si="110"/>
        <v/>
      </c>
      <c r="U1000" s="52" t="str">
        <f t="shared" si="111"/>
        <v/>
      </c>
    </row>
    <row r="1001" spans="2:21" x14ac:dyDescent="0.25">
      <c r="B1001">
        <v>1039</v>
      </c>
      <c r="C1001" t="s">
        <v>191</v>
      </c>
      <c r="D1001" t="s">
        <v>1075</v>
      </c>
      <c r="E1001" t="s">
        <v>1517</v>
      </c>
      <c r="F1001" t="s">
        <v>1642</v>
      </c>
      <c r="G1001">
        <v>3</v>
      </c>
      <c r="H1001" s="48">
        <v>1</v>
      </c>
      <c r="I1001" s="48">
        <v>1</v>
      </c>
      <c r="J1001" s="54" t="s">
        <v>1506</v>
      </c>
      <c r="K1001" s="54" t="s">
        <v>1506</v>
      </c>
      <c r="L1001" s="54">
        <v>46203</v>
      </c>
      <c r="M1001" s="54">
        <v>46205</v>
      </c>
      <c r="O1001" s="51" t="str">
        <f t="shared" si="105"/>
        <v/>
      </c>
      <c r="P1001" s="51" t="str">
        <f t="shared" si="106"/>
        <v/>
      </c>
      <c r="Q1001" s="52" t="str">
        <f t="shared" si="107"/>
        <v/>
      </c>
      <c r="R1001" s="52" t="str">
        <f t="shared" si="108"/>
        <v/>
      </c>
      <c r="S1001" s="51" t="str">
        <f t="shared" si="109"/>
        <v/>
      </c>
      <c r="T1001" t="str">
        <f t="shared" si="110"/>
        <v/>
      </c>
      <c r="U1001" s="52" t="str">
        <f t="shared" si="111"/>
        <v/>
      </c>
    </row>
    <row r="1002" spans="2:21" x14ac:dyDescent="0.25">
      <c r="B1002">
        <v>1040</v>
      </c>
      <c r="C1002" t="s">
        <v>191</v>
      </c>
      <c r="D1002" t="s">
        <v>1075</v>
      </c>
      <c r="E1002" t="s">
        <v>1518</v>
      </c>
      <c r="F1002" t="s">
        <v>1523</v>
      </c>
      <c r="G1002">
        <v>12</v>
      </c>
      <c r="H1002" s="48">
        <v>0.87</v>
      </c>
      <c r="I1002" s="48">
        <v>1</v>
      </c>
      <c r="J1002" s="54" t="s">
        <v>1506</v>
      </c>
      <c r="K1002" s="54" t="s">
        <v>1506</v>
      </c>
      <c r="L1002" s="54">
        <v>46205</v>
      </c>
      <c r="M1002" s="54">
        <v>46216</v>
      </c>
      <c r="O1002" s="51" t="str">
        <f t="shared" si="105"/>
        <v/>
      </c>
      <c r="P1002" s="51" t="str">
        <f t="shared" si="106"/>
        <v/>
      </c>
      <c r="Q1002" s="52" t="str">
        <f t="shared" si="107"/>
        <v/>
      </c>
      <c r="R1002" s="52" t="str">
        <f t="shared" si="108"/>
        <v/>
      </c>
      <c r="S1002" s="51" t="str">
        <f t="shared" si="109"/>
        <v>SIM</v>
      </c>
      <c r="T1002" t="str">
        <f t="shared" si="110"/>
        <v>BL1132-0001-EM-MCA-2014</v>
      </c>
      <c r="U1002" s="52">
        <f t="shared" si="111"/>
        <v>46216</v>
      </c>
    </row>
    <row r="1003" spans="2:21" x14ac:dyDescent="0.25">
      <c r="B1003">
        <v>1041</v>
      </c>
      <c r="C1003" t="s">
        <v>191</v>
      </c>
      <c r="D1003" t="s">
        <v>1075</v>
      </c>
      <c r="E1003" t="s">
        <v>1520</v>
      </c>
      <c r="F1003" t="s">
        <v>1519</v>
      </c>
      <c r="G1003">
        <v>4</v>
      </c>
      <c r="H1003" s="48">
        <v>0</v>
      </c>
      <c r="I1003" s="48">
        <v>0</v>
      </c>
      <c r="J1003" s="54" t="s">
        <v>1506</v>
      </c>
      <c r="K1003" s="54" t="s">
        <v>1506</v>
      </c>
      <c r="L1003" s="54">
        <v>46216</v>
      </c>
      <c r="M1003" s="54">
        <v>46219</v>
      </c>
      <c r="O1003" s="51" t="str">
        <f t="shared" si="105"/>
        <v/>
      </c>
      <c r="P1003" s="51" t="str">
        <f t="shared" si="106"/>
        <v/>
      </c>
      <c r="Q1003" s="52" t="str">
        <f t="shared" si="107"/>
        <v/>
      </c>
      <c r="R1003" s="52" t="str">
        <f t="shared" si="108"/>
        <v/>
      </c>
      <c r="S1003" s="51" t="str">
        <f t="shared" si="109"/>
        <v/>
      </c>
      <c r="T1003" t="str">
        <f t="shared" si="110"/>
        <v/>
      </c>
      <c r="U1003" s="52" t="str">
        <f t="shared" si="111"/>
        <v/>
      </c>
    </row>
    <row r="1004" spans="2:21" x14ac:dyDescent="0.25">
      <c r="B1004">
        <v>1042</v>
      </c>
      <c r="C1004" t="s">
        <v>192</v>
      </c>
      <c r="D1004" t="s">
        <v>1083</v>
      </c>
      <c r="E1004" t="s">
        <v>1775</v>
      </c>
      <c r="F1004" t="s">
        <v>1578</v>
      </c>
      <c r="G1004">
        <v>23</v>
      </c>
      <c r="H1004" s="48">
        <v>0.91310000000000002</v>
      </c>
      <c r="I1004" s="48">
        <v>0.9375</v>
      </c>
      <c r="J1004" s="54" t="s">
        <v>1506</v>
      </c>
      <c r="K1004" s="54" t="s">
        <v>1506</v>
      </c>
      <c r="L1004" s="54">
        <v>46197</v>
      </c>
      <c r="M1004" s="54">
        <v>46219</v>
      </c>
      <c r="O1004" s="51" t="str">
        <f t="shared" si="105"/>
        <v/>
      </c>
      <c r="P1004" s="51" t="str">
        <f t="shared" si="106"/>
        <v/>
      </c>
      <c r="Q1004" s="52" t="str">
        <f t="shared" si="107"/>
        <v/>
      </c>
      <c r="R1004" s="52" t="str">
        <f t="shared" si="108"/>
        <v/>
      </c>
      <c r="S1004" s="51" t="str">
        <f t="shared" si="109"/>
        <v/>
      </c>
      <c r="T1004" t="str">
        <f t="shared" si="110"/>
        <v/>
      </c>
      <c r="U1004" s="52" t="str">
        <f t="shared" si="111"/>
        <v/>
      </c>
    </row>
    <row r="1005" spans="2:21" x14ac:dyDescent="0.25">
      <c r="B1005">
        <v>1043</v>
      </c>
      <c r="C1005" t="s">
        <v>192</v>
      </c>
      <c r="D1005" t="s">
        <v>1083</v>
      </c>
      <c r="E1005" t="s">
        <v>1515</v>
      </c>
      <c r="F1005" t="s">
        <v>1528</v>
      </c>
      <c r="G1005">
        <v>8</v>
      </c>
      <c r="H1005" s="48">
        <v>1</v>
      </c>
      <c r="I1005" s="48">
        <v>1</v>
      </c>
      <c r="J1005" s="54" t="s">
        <v>1506</v>
      </c>
      <c r="K1005" s="54" t="s">
        <v>1506</v>
      </c>
      <c r="L1005" s="54">
        <v>46197</v>
      </c>
      <c r="M1005" s="54">
        <v>46204</v>
      </c>
      <c r="O1005" s="51" t="str">
        <f t="shared" si="105"/>
        <v>SIM</v>
      </c>
      <c r="P1005" s="51" t="str">
        <f t="shared" si="106"/>
        <v>BL1132-0001-EM-MCA-2015</v>
      </c>
      <c r="Q1005" s="52">
        <f t="shared" si="107"/>
        <v>46204</v>
      </c>
      <c r="R1005" s="52" t="str">
        <f t="shared" si="108"/>
        <v>ND</v>
      </c>
      <c r="S1005" s="51" t="str">
        <f t="shared" si="109"/>
        <v/>
      </c>
      <c r="T1005" t="str">
        <f t="shared" si="110"/>
        <v/>
      </c>
      <c r="U1005" s="52" t="str">
        <f t="shared" si="111"/>
        <v/>
      </c>
    </row>
    <row r="1006" spans="2:21" x14ac:dyDescent="0.25">
      <c r="B1006">
        <v>1044</v>
      </c>
      <c r="C1006" t="s">
        <v>192</v>
      </c>
      <c r="D1006" t="s">
        <v>1083</v>
      </c>
      <c r="E1006" t="s">
        <v>1517</v>
      </c>
      <c r="F1006" t="s">
        <v>1642</v>
      </c>
      <c r="G1006">
        <v>3</v>
      </c>
      <c r="H1006" s="48">
        <v>1</v>
      </c>
      <c r="I1006" s="48">
        <v>1</v>
      </c>
      <c r="J1006" s="54" t="s">
        <v>1506</v>
      </c>
      <c r="K1006" s="54" t="s">
        <v>1506</v>
      </c>
      <c r="L1006" s="54">
        <v>46204</v>
      </c>
      <c r="M1006" s="54">
        <v>46206</v>
      </c>
      <c r="O1006" s="51" t="str">
        <f t="shared" si="105"/>
        <v/>
      </c>
      <c r="P1006" s="51" t="str">
        <f t="shared" si="106"/>
        <v/>
      </c>
      <c r="Q1006" s="52" t="str">
        <f t="shared" si="107"/>
        <v/>
      </c>
      <c r="R1006" s="52" t="str">
        <f t="shared" si="108"/>
        <v/>
      </c>
      <c r="S1006" s="51" t="str">
        <f t="shared" si="109"/>
        <v/>
      </c>
      <c r="T1006" t="str">
        <f t="shared" si="110"/>
        <v/>
      </c>
      <c r="U1006" s="52" t="str">
        <f t="shared" si="111"/>
        <v/>
      </c>
    </row>
    <row r="1007" spans="2:21" x14ac:dyDescent="0.25">
      <c r="B1007">
        <v>1045</v>
      </c>
      <c r="C1007" t="s">
        <v>192</v>
      </c>
      <c r="D1007" t="s">
        <v>1083</v>
      </c>
      <c r="E1007" t="s">
        <v>1518</v>
      </c>
      <c r="F1007" t="s">
        <v>1605</v>
      </c>
      <c r="G1007">
        <v>11</v>
      </c>
      <c r="H1007" s="48">
        <v>0.87</v>
      </c>
      <c r="I1007" s="48">
        <v>1</v>
      </c>
      <c r="J1007" s="54" t="s">
        <v>1506</v>
      </c>
      <c r="K1007" s="54" t="s">
        <v>1506</v>
      </c>
      <c r="L1007" s="54">
        <v>46206</v>
      </c>
      <c r="M1007" s="54">
        <v>46216</v>
      </c>
      <c r="O1007" s="51" t="str">
        <f t="shared" si="105"/>
        <v/>
      </c>
      <c r="P1007" s="51" t="str">
        <f t="shared" si="106"/>
        <v/>
      </c>
      <c r="Q1007" s="52" t="str">
        <f t="shared" si="107"/>
        <v/>
      </c>
      <c r="R1007" s="52" t="str">
        <f t="shared" si="108"/>
        <v/>
      </c>
      <c r="S1007" s="51" t="str">
        <f t="shared" si="109"/>
        <v>SIM</v>
      </c>
      <c r="T1007" t="str">
        <f t="shared" si="110"/>
        <v>BL1132-0001-EM-MCA-2015</v>
      </c>
      <c r="U1007" s="52">
        <f t="shared" si="111"/>
        <v>46216</v>
      </c>
    </row>
    <row r="1008" spans="2:21" x14ac:dyDescent="0.25">
      <c r="B1008">
        <v>1046</v>
      </c>
      <c r="C1008" t="s">
        <v>192</v>
      </c>
      <c r="D1008" t="s">
        <v>1083</v>
      </c>
      <c r="E1008" t="s">
        <v>1520</v>
      </c>
      <c r="F1008" t="s">
        <v>1519</v>
      </c>
      <c r="G1008">
        <v>4</v>
      </c>
      <c r="H1008" s="48">
        <v>0</v>
      </c>
      <c r="I1008" s="48">
        <v>0</v>
      </c>
      <c r="J1008" s="54" t="s">
        <v>1506</v>
      </c>
      <c r="K1008" s="54" t="s">
        <v>1506</v>
      </c>
      <c r="L1008" s="54">
        <v>46216</v>
      </c>
      <c r="M1008" s="54">
        <v>46219</v>
      </c>
      <c r="O1008" s="51" t="str">
        <f t="shared" si="105"/>
        <v/>
      </c>
      <c r="P1008" s="51" t="str">
        <f t="shared" si="106"/>
        <v/>
      </c>
      <c r="Q1008" s="52" t="str">
        <f t="shared" si="107"/>
        <v/>
      </c>
      <c r="R1008" s="52" t="str">
        <f t="shared" si="108"/>
        <v/>
      </c>
      <c r="S1008" s="51" t="str">
        <f t="shared" si="109"/>
        <v/>
      </c>
      <c r="T1008" t="str">
        <f t="shared" si="110"/>
        <v/>
      </c>
      <c r="U1008" s="52" t="str">
        <f t="shared" si="111"/>
        <v/>
      </c>
    </row>
    <row r="1009" spans="2:21" x14ac:dyDescent="0.25">
      <c r="B1009">
        <v>1047</v>
      </c>
      <c r="C1009" t="s">
        <v>193</v>
      </c>
      <c r="D1009" t="s">
        <v>1087</v>
      </c>
      <c r="E1009" t="s">
        <v>1775</v>
      </c>
      <c r="F1009" t="s">
        <v>1578</v>
      </c>
      <c r="G1009">
        <v>23</v>
      </c>
      <c r="H1009" s="48">
        <v>0.91310000000000002</v>
      </c>
      <c r="I1009" s="48">
        <v>0.9375</v>
      </c>
      <c r="J1009" s="54" t="s">
        <v>1506</v>
      </c>
      <c r="K1009" s="54" t="s">
        <v>1506</v>
      </c>
      <c r="L1009" s="54">
        <v>46197</v>
      </c>
      <c r="M1009" s="54">
        <v>46219</v>
      </c>
      <c r="O1009" s="51" t="str">
        <f t="shared" si="105"/>
        <v/>
      </c>
      <c r="P1009" s="51" t="str">
        <f t="shared" si="106"/>
        <v/>
      </c>
      <c r="Q1009" s="52" t="str">
        <f t="shared" si="107"/>
        <v/>
      </c>
      <c r="R1009" s="52" t="str">
        <f t="shared" si="108"/>
        <v/>
      </c>
      <c r="S1009" s="51" t="str">
        <f t="shared" si="109"/>
        <v/>
      </c>
      <c r="T1009" t="str">
        <f t="shared" si="110"/>
        <v/>
      </c>
      <c r="U1009" s="52" t="str">
        <f t="shared" si="111"/>
        <v/>
      </c>
    </row>
    <row r="1010" spans="2:21" x14ac:dyDescent="0.25">
      <c r="B1010">
        <v>1048</v>
      </c>
      <c r="C1010" t="s">
        <v>193</v>
      </c>
      <c r="D1010" t="s">
        <v>1087</v>
      </c>
      <c r="E1010" t="s">
        <v>1515</v>
      </c>
      <c r="F1010" t="s">
        <v>1528</v>
      </c>
      <c r="G1010">
        <v>8</v>
      </c>
      <c r="H1010" s="48">
        <v>1</v>
      </c>
      <c r="I1010" s="48">
        <v>1</v>
      </c>
      <c r="J1010" s="54" t="s">
        <v>1506</v>
      </c>
      <c r="K1010" s="54" t="s">
        <v>1506</v>
      </c>
      <c r="L1010" s="54">
        <v>46197</v>
      </c>
      <c r="M1010" s="54">
        <v>46204</v>
      </c>
      <c r="O1010" s="51" t="str">
        <f t="shared" si="105"/>
        <v>SIM</v>
      </c>
      <c r="P1010" s="51" t="str">
        <f t="shared" si="106"/>
        <v>BL1132-0001-EM-MCA-2016</v>
      </c>
      <c r="Q1010" s="52">
        <f t="shared" si="107"/>
        <v>46204</v>
      </c>
      <c r="R1010" s="52" t="str">
        <f t="shared" si="108"/>
        <v>ND</v>
      </c>
      <c r="S1010" s="51" t="str">
        <f t="shared" si="109"/>
        <v/>
      </c>
      <c r="T1010" t="str">
        <f t="shared" si="110"/>
        <v/>
      </c>
      <c r="U1010" s="52" t="str">
        <f t="shared" si="111"/>
        <v/>
      </c>
    </row>
    <row r="1011" spans="2:21" x14ac:dyDescent="0.25">
      <c r="B1011">
        <v>1049</v>
      </c>
      <c r="C1011" t="s">
        <v>193</v>
      </c>
      <c r="D1011" t="s">
        <v>1087</v>
      </c>
      <c r="E1011" t="s">
        <v>1517</v>
      </c>
      <c r="F1011" t="s">
        <v>1519</v>
      </c>
      <c r="G1011">
        <v>6</v>
      </c>
      <c r="H1011" s="48">
        <v>1</v>
      </c>
      <c r="I1011" s="48">
        <v>1</v>
      </c>
      <c r="J1011" s="54" t="s">
        <v>1506</v>
      </c>
      <c r="K1011" s="54" t="s">
        <v>1506</v>
      </c>
      <c r="L1011" s="54">
        <v>46204</v>
      </c>
      <c r="M1011" s="54">
        <v>46209</v>
      </c>
      <c r="O1011" s="51" t="str">
        <f t="shared" si="105"/>
        <v/>
      </c>
      <c r="P1011" s="51" t="str">
        <f t="shared" si="106"/>
        <v/>
      </c>
      <c r="Q1011" s="52" t="str">
        <f t="shared" si="107"/>
        <v/>
      </c>
      <c r="R1011" s="52" t="str">
        <f t="shared" si="108"/>
        <v/>
      </c>
      <c r="S1011" s="51" t="str">
        <f t="shared" si="109"/>
        <v/>
      </c>
      <c r="T1011" t="str">
        <f t="shared" si="110"/>
        <v/>
      </c>
      <c r="U1011" s="52" t="str">
        <f t="shared" si="111"/>
        <v/>
      </c>
    </row>
    <row r="1012" spans="2:21" x14ac:dyDescent="0.25">
      <c r="B1012">
        <v>1050</v>
      </c>
      <c r="C1012" t="s">
        <v>193</v>
      </c>
      <c r="D1012" t="s">
        <v>1087</v>
      </c>
      <c r="E1012" t="s">
        <v>1518</v>
      </c>
      <c r="F1012" t="s">
        <v>1528</v>
      </c>
      <c r="G1012">
        <v>8</v>
      </c>
      <c r="H1012" s="48">
        <v>0.87</v>
      </c>
      <c r="I1012" s="48">
        <v>1</v>
      </c>
      <c r="J1012" s="54" t="s">
        <v>1506</v>
      </c>
      <c r="K1012" s="54" t="s">
        <v>1506</v>
      </c>
      <c r="L1012" s="54">
        <v>46209</v>
      </c>
      <c r="M1012" s="54">
        <v>46216</v>
      </c>
      <c r="O1012" s="51" t="str">
        <f t="shared" si="105"/>
        <v/>
      </c>
      <c r="P1012" s="51" t="str">
        <f t="shared" si="106"/>
        <v/>
      </c>
      <c r="Q1012" s="52" t="str">
        <f t="shared" si="107"/>
        <v/>
      </c>
      <c r="R1012" s="52" t="str">
        <f t="shared" si="108"/>
        <v/>
      </c>
      <c r="S1012" s="51" t="str">
        <f t="shared" si="109"/>
        <v>SIM</v>
      </c>
      <c r="T1012" t="str">
        <f t="shared" si="110"/>
        <v>BL1132-0001-EM-MCA-2016</v>
      </c>
      <c r="U1012" s="52">
        <f t="shared" si="111"/>
        <v>46216</v>
      </c>
    </row>
    <row r="1013" spans="2:21" x14ac:dyDescent="0.25">
      <c r="B1013">
        <v>1051</v>
      </c>
      <c r="C1013" t="s">
        <v>193</v>
      </c>
      <c r="D1013" t="s">
        <v>1087</v>
      </c>
      <c r="E1013" t="s">
        <v>1520</v>
      </c>
      <c r="F1013" t="s">
        <v>1519</v>
      </c>
      <c r="G1013">
        <v>4</v>
      </c>
      <c r="H1013" s="48">
        <v>0</v>
      </c>
      <c r="I1013" s="48">
        <v>0</v>
      </c>
      <c r="J1013" s="54" t="s">
        <v>1506</v>
      </c>
      <c r="K1013" s="54" t="s">
        <v>1506</v>
      </c>
      <c r="L1013" s="54">
        <v>46216</v>
      </c>
      <c r="M1013" s="54">
        <v>46219</v>
      </c>
      <c r="O1013" s="51" t="str">
        <f t="shared" si="105"/>
        <v/>
      </c>
      <c r="P1013" s="51" t="str">
        <f t="shared" si="106"/>
        <v/>
      </c>
      <c r="Q1013" s="52" t="str">
        <f t="shared" si="107"/>
        <v/>
      </c>
      <c r="R1013" s="52" t="str">
        <f t="shared" si="108"/>
        <v/>
      </c>
      <c r="S1013" s="51" t="str">
        <f t="shared" si="109"/>
        <v/>
      </c>
      <c r="T1013" t="str">
        <f t="shared" si="110"/>
        <v/>
      </c>
      <c r="U1013" s="52" t="str">
        <f t="shared" si="111"/>
        <v/>
      </c>
    </row>
    <row r="1014" spans="2:21" x14ac:dyDescent="0.25">
      <c r="B1014">
        <v>1052</v>
      </c>
      <c r="C1014" t="s">
        <v>194</v>
      </c>
      <c r="D1014" t="s">
        <v>1090</v>
      </c>
      <c r="E1014" t="s">
        <v>1775</v>
      </c>
      <c r="F1014" t="s">
        <v>1578</v>
      </c>
      <c r="G1014">
        <v>23</v>
      </c>
      <c r="H1014" s="48">
        <v>0.91310000000000002</v>
      </c>
      <c r="I1014" s="48">
        <v>0.9375</v>
      </c>
      <c r="J1014" s="54" t="s">
        <v>1506</v>
      </c>
      <c r="K1014" s="54" t="s">
        <v>1506</v>
      </c>
      <c r="L1014" s="54">
        <v>46197</v>
      </c>
      <c r="M1014" s="54">
        <v>46219</v>
      </c>
      <c r="O1014" s="51" t="str">
        <f t="shared" si="105"/>
        <v/>
      </c>
      <c r="P1014" s="51" t="str">
        <f t="shared" si="106"/>
        <v/>
      </c>
      <c r="Q1014" s="52" t="str">
        <f t="shared" si="107"/>
        <v/>
      </c>
      <c r="R1014" s="52" t="str">
        <f t="shared" si="108"/>
        <v/>
      </c>
      <c r="S1014" s="51" t="str">
        <f t="shared" si="109"/>
        <v/>
      </c>
      <c r="T1014" t="str">
        <f t="shared" si="110"/>
        <v/>
      </c>
      <c r="U1014" s="52" t="str">
        <f t="shared" si="111"/>
        <v/>
      </c>
    </row>
    <row r="1015" spans="2:21" x14ac:dyDescent="0.25">
      <c r="B1015">
        <v>1053</v>
      </c>
      <c r="C1015" t="s">
        <v>194</v>
      </c>
      <c r="D1015" t="s">
        <v>1090</v>
      </c>
      <c r="E1015" t="s">
        <v>1515</v>
      </c>
      <c r="F1015" t="s">
        <v>1528</v>
      </c>
      <c r="G1015">
        <v>8</v>
      </c>
      <c r="H1015" s="48">
        <v>1</v>
      </c>
      <c r="I1015" s="48">
        <v>1</v>
      </c>
      <c r="J1015" s="54" t="s">
        <v>1506</v>
      </c>
      <c r="K1015" s="54" t="s">
        <v>1506</v>
      </c>
      <c r="L1015" s="54">
        <v>46197</v>
      </c>
      <c r="M1015" s="54">
        <v>46204</v>
      </c>
      <c r="O1015" s="51" t="str">
        <f t="shared" si="105"/>
        <v>SIM</v>
      </c>
      <c r="P1015" s="51" t="str">
        <f t="shared" si="106"/>
        <v>BL1132-0001-EM-MCA-2017</v>
      </c>
      <c r="Q1015" s="52">
        <f t="shared" si="107"/>
        <v>46204</v>
      </c>
      <c r="R1015" s="52" t="str">
        <f t="shared" si="108"/>
        <v>ND</v>
      </c>
      <c r="S1015" s="51" t="str">
        <f t="shared" si="109"/>
        <v/>
      </c>
      <c r="T1015" t="str">
        <f t="shared" si="110"/>
        <v/>
      </c>
      <c r="U1015" s="52" t="str">
        <f t="shared" si="111"/>
        <v/>
      </c>
    </row>
    <row r="1016" spans="2:21" x14ac:dyDescent="0.25">
      <c r="B1016">
        <v>1054</v>
      </c>
      <c r="C1016" t="s">
        <v>194</v>
      </c>
      <c r="D1016" t="s">
        <v>1090</v>
      </c>
      <c r="E1016" t="s">
        <v>1517</v>
      </c>
      <c r="F1016" t="s">
        <v>1519</v>
      </c>
      <c r="G1016">
        <v>6</v>
      </c>
      <c r="H1016" s="48">
        <v>1</v>
      </c>
      <c r="I1016" s="48">
        <v>1</v>
      </c>
      <c r="J1016" s="54" t="s">
        <v>1506</v>
      </c>
      <c r="K1016" s="54" t="s">
        <v>1506</v>
      </c>
      <c r="L1016" s="54">
        <v>46204</v>
      </c>
      <c r="M1016" s="54">
        <v>46209</v>
      </c>
      <c r="O1016" s="51" t="str">
        <f t="shared" si="105"/>
        <v/>
      </c>
      <c r="P1016" s="51" t="str">
        <f t="shared" si="106"/>
        <v/>
      </c>
      <c r="Q1016" s="52" t="str">
        <f t="shared" si="107"/>
        <v/>
      </c>
      <c r="R1016" s="52" t="str">
        <f t="shared" si="108"/>
        <v/>
      </c>
      <c r="S1016" s="51" t="str">
        <f t="shared" si="109"/>
        <v/>
      </c>
      <c r="T1016" t="str">
        <f t="shared" si="110"/>
        <v/>
      </c>
      <c r="U1016" s="52" t="str">
        <f t="shared" si="111"/>
        <v/>
      </c>
    </row>
    <row r="1017" spans="2:21" x14ac:dyDescent="0.25">
      <c r="B1017">
        <v>1055</v>
      </c>
      <c r="C1017" t="s">
        <v>194</v>
      </c>
      <c r="D1017" t="s">
        <v>1090</v>
      </c>
      <c r="E1017" t="s">
        <v>1518</v>
      </c>
      <c r="F1017" t="s">
        <v>1528</v>
      </c>
      <c r="G1017">
        <v>8</v>
      </c>
      <c r="H1017" s="48">
        <v>0.87</v>
      </c>
      <c r="I1017" s="48">
        <v>1</v>
      </c>
      <c r="J1017" s="54" t="s">
        <v>1506</v>
      </c>
      <c r="K1017" s="54" t="s">
        <v>1506</v>
      </c>
      <c r="L1017" s="54">
        <v>46209</v>
      </c>
      <c r="M1017" s="54">
        <v>46216</v>
      </c>
      <c r="O1017" s="51" t="str">
        <f t="shared" si="105"/>
        <v/>
      </c>
      <c r="P1017" s="51" t="str">
        <f t="shared" si="106"/>
        <v/>
      </c>
      <c r="Q1017" s="52" t="str">
        <f t="shared" si="107"/>
        <v/>
      </c>
      <c r="R1017" s="52" t="str">
        <f t="shared" si="108"/>
        <v/>
      </c>
      <c r="S1017" s="51" t="str">
        <f t="shared" si="109"/>
        <v>SIM</v>
      </c>
      <c r="T1017" t="str">
        <f t="shared" si="110"/>
        <v>BL1132-0001-EM-MCA-2017</v>
      </c>
      <c r="U1017" s="52">
        <f t="shared" si="111"/>
        <v>46216</v>
      </c>
    </row>
    <row r="1018" spans="2:21" x14ac:dyDescent="0.25">
      <c r="B1018">
        <v>1056</v>
      </c>
      <c r="C1018" t="s">
        <v>194</v>
      </c>
      <c r="D1018" t="s">
        <v>1090</v>
      </c>
      <c r="E1018" t="s">
        <v>1520</v>
      </c>
      <c r="F1018" t="s">
        <v>1519</v>
      </c>
      <c r="G1018">
        <v>4</v>
      </c>
      <c r="H1018" s="48">
        <v>0</v>
      </c>
      <c r="I1018" s="48">
        <v>0</v>
      </c>
      <c r="J1018" s="54" t="s">
        <v>1506</v>
      </c>
      <c r="K1018" s="54" t="s">
        <v>1506</v>
      </c>
      <c r="L1018" s="54">
        <v>46216</v>
      </c>
      <c r="M1018" s="54">
        <v>46219</v>
      </c>
      <c r="O1018" s="51" t="str">
        <f t="shared" si="105"/>
        <v/>
      </c>
      <c r="P1018" s="51" t="str">
        <f t="shared" si="106"/>
        <v/>
      </c>
      <c r="Q1018" s="52" t="str">
        <f t="shared" si="107"/>
        <v/>
      </c>
      <c r="R1018" s="52" t="str">
        <f t="shared" si="108"/>
        <v/>
      </c>
      <c r="S1018" s="51" t="str">
        <f t="shared" si="109"/>
        <v/>
      </c>
      <c r="T1018" t="str">
        <f t="shared" si="110"/>
        <v/>
      </c>
      <c r="U1018" s="52" t="str">
        <f t="shared" si="111"/>
        <v/>
      </c>
    </row>
    <row r="1019" spans="2:21" x14ac:dyDescent="0.25">
      <c r="B1019">
        <v>1057</v>
      </c>
      <c r="C1019" t="s">
        <v>195</v>
      </c>
      <c r="D1019" t="s">
        <v>1095</v>
      </c>
      <c r="E1019" t="s">
        <v>1775</v>
      </c>
      <c r="F1019" t="s">
        <v>1578</v>
      </c>
      <c r="G1019">
        <v>23</v>
      </c>
      <c r="H1019" s="48">
        <v>0.91310000000000002</v>
      </c>
      <c r="I1019" s="48">
        <v>0.9375</v>
      </c>
      <c r="J1019" s="54" t="s">
        <v>1506</v>
      </c>
      <c r="K1019" s="54" t="s">
        <v>1506</v>
      </c>
      <c r="L1019" s="54">
        <v>46197</v>
      </c>
      <c r="M1019" s="54">
        <v>46219</v>
      </c>
      <c r="O1019" s="51" t="str">
        <f t="shared" si="105"/>
        <v/>
      </c>
      <c r="P1019" s="51" t="str">
        <f t="shared" si="106"/>
        <v/>
      </c>
      <c r="Q1019" s="52" t="str">
        <f t="shared" si="107"/>
        <v/>
      </c>
      <c r="R1019" s="52" t="str">
        <f t="shared" si="108"/>
        <v/>
      </c>
      <c r="S1019" s="51" t="str">
        <f t="shared" si="109"/>
        <v/>
      </c>
      <c r="T1019" t="str">
        <f t="shared" si="110"/>
        <v/>
      </c>
      <c r="U1019" s="52" t="str">
        <f t="shared" si="111"/>
        <v/>
      </c>
    </row>
    <row r="1020" spans="2:21" x14ac:dyDescent="0.25">
      <c r="B1020">
        <v>1058</v>
      </c>
      <c r="C1020" t="s">
        <v>195</v>
      </c>
      <c r="D1020" t="s">
        <v>1095</v>
      </c>
      <c r="E1020" t="s">
        <v>1515</v>
      </c>
      <c r="F1020" t="s">
        <v>1528</v>
      </c>
      <c r="G1020">
        <v>8</v>
      </c>
      <c r="H1020" s="48">
        <v>1</v>
      </c>
      <c r="I1020" s="48">
        <v>1</v>
      </c>
      <c r="J1020" s="54" t="s">
        <v>1506</v>
      </c>
      <c r="K1020" s="54" t="s">
        <v>1506</v>
      </c>
      <c r="L1020" s="54">
        <v>46197</v>
      </c>
      <c r="M1020" s="54">
        <v>46204</v>
      </c>
      <c r="O1020" s="51" t="str">
        <f t="shared" si="105"/>
        <v>SIM</v>
      </c>
      <c r="P1020" s="51" t="str">
        <f t="shared" si="106"/>
        <v>BL1132-0001-EM-MCA-2018</v>
      </c>
      <c r="Q1020" s="52">
        <f t="shared" si="107"/>
        <v>46204</v>
      </c>
      <c r="R1020" s="52" t="str">
        <f t="shared" si="108"/>
        <v>ND</v>
      </c>
      <c r="S1020" s="51" t="str">
        <f t="shared" si="109"/>
        <v/>
      </c>
      <c r="T1020" t="str">
        <f t="shared" si="110"/>
        <v/>
      </c>
      <c r="U1020" s="52" t="str">
        <f t="shared" si="111"/>
        <v/>
      </c>
    </row>
    <row r="1021" spans="2:21" x14ac:dyDescent="0.25">
      <c r="B1021">
        <v>1059</v>
      </c>
      <c r="C1021" t="s">
        <v>195</v>
      </c>
      <c r="D1021" t="s">
        <v>1095</v>
      </c>
      <c r="E1021" t="s">
        <v>1517</v>
      </c>
      <c r="F1021" t="s">
        <v>1519</v>
      </c>
      <c r="G1021">
        <v>6</v>
      </c>
      <c r="H1021" s="48">
        <v>1</v>
      </c>
      <c r="I1021" s="48">
        <v>1</v>
      </c>
      <c r="J1021" s="54" t="s">
        <v>1506</v>
      </c>
      <c r="K1021" s="54" t="s">
        <v>1506</v>
      </c>
      <c r="L1021" s="54">
        <v>46204</v>
      </c>
      <c r="M1021" s="54">
        <v>46209</v>
      </c>
      <c r="O1021" s="51" t="str">
        <f t="shared" si="105"/>
        <v/>
      </c>
      <c r="P1021" s="51" t="str">
        <f t="shared" si="106"/>
        <v/>
      </c>
      <c r="Q1021" s="52" t="str">
        <f t="shared" si="107"/>
        <v/>
      </c>
      <c r="R1021" s="52" t="str">
        <f t="shared" si="108"/>
        <v/>
      </c>
      <c r="S1021" s="51" t="str">
        <f t="shared" si="109"/>
        <v/>
      </c>
      <c r="T1021" t="str">
        <f t="shared" si="110"/>
        <v/>
      </c>
      <c r="U1021" s="52" t="str">
        <f t="shared" si="111"/>
        <v/>
      </c>
    </row>
    <row r="1022" spans="2:21" x14ac:dyDescent="0.25">
      <c r="B1022">
        <v>1060</v>
      </c>
      <c r="C1022" t="s">
        <v>195</v>
      </c>
      <c r="D1022" t="s">
        <v>1095</v>
      </c>
      <c r="E1022" t="s">
        <v>1518</v>
      </c>
      <c r="F1022" t="s">
        <v>1528</v>
      </c>
      <c r="G1022">
        <v>8</v>
      </c>
      <c r="H1022" s="48">
        <v>0.87</v>
      </c>
      <c r="I1022" s="48">
        <v>1</v>
      </c>
      <c r="J1022" s="54" t="s">
        <v>1506</v>
      </c>
      <c r="K1022" s="54" t="s">
        <v>1506</v>
      </c>
      <c r="L1022" s="54">
        <v>46209</v>
      </c>
      <c r="M1022" s="54">
        <v>46216</v>
      </c>
      <c r="O1022" s="51" t="str">
        <f t="shared" si="105"/>
        <v/>
      </c>
      <c r="P1022" s="51" t="str">
        <f t="shared" si="106"/>
        <v/>
      </c>
      <c r="Q1022" s="52" t="str">
        <f t="shared" si="107"/>
        <v/>
      </c>
      <c r="R1022" s="52" t="str">
        <f t="shared" si="108"/>
        <v/>
      </c>
      <c r="S1022" s="51" t="str">
        <f t="shared" si="109"/>
        <v>SIM</v>
      </c>
      <c r="T1022" t="str">
        <f t="shared" si="110"/>
        <v>BL1132-0001-EM-MCA-2018</v>
      </c>
      <c r="U1022" s="52">
        <f t="shared" si="111"/>
        <v>46216</v>
      </c>
    </row>
    <row r="1023" spans="2:21" x14ac:dyDescent="0.25">
      <c r="B1023">
        <v>1061</v>
      </c>
      <c r="C1023" t="s">
        <v>195</v>
      </c>
      <c r="D1023" t="s">
        <v>1095</v>
      </c>
      <c r="E1023" t="s">
        <v>1520</v>
      </c>
      <c r="F1023" t="s">
        <v>1519</v>
      </c>
      <c r="G1023">
        <v>4</v>
      </c>
      <c r="H1023" s="48">
        <v>0</v>
      </c>
      <c r="I1023" s="48">
        <v>0</v>
      </c>
      <c r="J1023" s="54" t="s">
        <v>1506</v>
      </c>
      <c r="K1023" s="54" t="s">
        <v>1506</v>
      </c>
      <c r="L1023" s="54">
        <v>46216</v>
      </c>
      <c r="M1023" s="54">
        <v>46219</v>
      </c>
      <c r="O1023" s="51" t="str">
        <f t="shared" si="105"/>
        <v/>
      </c>
      <c r="P1023" s="51" t="str">
        <f t="shared" si="106"/>
        <v/>
      </c>
      <c r="Q1023" s="52" t="str">
        <f t="shared" si="107"/>
        <v/>
      </c>
      <c r="R1023" s="52" t="str">
        <f t="shared" si="108"/>
        <v/>
      </c>
      <c r="S1023" s="51" t="str">
        <f t="shared" si="109"/>
        <v/>
      </c>
      <c r="T1023" t="str">
        <f t="shared" si="110"/>
        <v/>
      </c>
      <c r="U1023" s="52" t="str">
        <f t="shared" si="111"/>
        <v/>
      </c>
    </row>
    <row r="1024" spans="2:21" x14ac:dyDescent="0.25">
      <c r="B1024">
        <v>1062</v>
      </c>
      <c r="E1024" t="s">
        <v>1776</v>
      </c>
      <c r="F1024" t="s">
        <v>1777</v>
      </c>
      <c r="G1024">
        <v>62</v>
      </c>
      <c r="H1024" s="48">
        <v>0.88580000000000003</v>
      </c>
      <c r="I1024" s="48">
        <v>0.85399999999999998</v>
      </c>
      <c r="J1024" s="54">
        <v>46171</v>
      </c>
      <c r="K1024" s="54">
        <v>46227</v>
      </c>
      <c r="L1024" s="54">
        <v>46171</v>
      </c>
      <c r="M1024" s="54">
        <v>46232</v>
      </c>
      <c r="O1024" s="51" t="str">
        <f t="shared" si="105"/>
        <v/>
      </c>
      <c r="P1024" s="51" t="str">
        <f t="shared" si="106"/>
        <v/>
      </c>
      <c r="Q1024" s="52" t="str">
        <f t="shared" si="107"/>
        <v/>
      </c>
      <c r="R1024" s="52" t="str">
        <f t="shared" si="108"/>
        <v/>
      </c>
      <c r="S1024" s="51" t="str">
        <f t="shared" si="109"/>
        <v/>
      </c>
      <c r="T1024" t="str">
        <f t="shared" si="110"/>
        <v/>
      </c>
      <c r="U1024" s="52" t="str">
        <f t="shared" si="111"/>
        <v/>
      </c>
    </row>
    <row r="1025" spans="2:21" x14ac:dyDescent="0.25">
      <c r="B1025">
        <v>1063</v>
      </c>
      <c r="E1025" t="s">
        <v>1555</v>
      </c>
      <c r="F1025" t="s">
        <v>1591</v>
      </c>
      <c r="G1025">
        <v>39</v>
      </c>
      <c r="H1025" s="48">
        <v>0.98</v>
      </c>
      <c r="I1025" s="48">
        <v>1</v>
      </c>
      <c r="J1025" s="54">
        <v>46171</v>
      </c>
      <c r="K1025" s="54">
        <v>46217</v>
      </c>
      <c r="L1025" s="54">
        <v>46171</v>
      </c>
      <c r="M1025" s="54">
        <v>46209</v>
      </c>
      <c r="O1025" s="51" t="str">
        <f t="shared" si="105"/>
        <v/>
      </c>
      <c r="P1025" s="51" t="str">
        <f t="shared" si="106"/>
        <v/>
      </c>
      <c r="Q1025" s="52" t="str">
        <f t="shared" si="107"/>
        <v/>
      </c>
      <c r="R1025" s="52" t="str">
        <f t="shared" si="108"/>
        <v/>
      </c>
      <c r="S1025" s="51" t="str">
        <f t="shared" si="109"/>
        <v/>
      </c>
      <c r="T1025" t="str">
        <f t="shared" si="110"/>
        <v/>
      </c>
      <c r="U1025" s="52" t="str">
        <f t="shared" si="111"/>
        <v/>
      </c>
    </row>
    <row r="1026" spans="2:21" x14ac:dyDescent="0.25">
      <c r="B1026">
        <v>1064</v>
      </c>
      <c r="E1026" t="s">
        <v>1689</v>
      </c>
      <c r="F1026" t="s">
        <v>1535</v>
      </c>
      <c r="G1026">
        <v>22</v>
      </c>
      <c r="H1026" s="48">
        <v>1</v>
      </c>
      <c r="I1026" s="48">
        <v>1</v>
      </c>
      <c r="J1026" s="54">
        <v>46171</v>
      </c>
      <c r="K1026" s="54">
        <v>46192</v>
      </c>
      <c r="L1026" s="54">
        <v>46171</v>
      </c>
      <c r="M1026" s="54">
        <v>46192</v>
      </c>
      <c r="O1026" s="51" t="str">
        <f t="shared" si="105"/>
        <v/>
      </c>
      <c r="P1026" s="51" t="str">
        <f t="shared" si="106"/>
        <v/>
      </c>
      <c r="Q1026" s="52" t="str">
        <f t="shared" si="107"/>
        <v/>
      </c>
      <c r="R1026" s="52" t="str">
        <f t="shared" si="108"/>
        <v/>
      </c>
      <c r="S1026" s="51" t="str">
        <f t="shared" si="109"/>
        <v/>
      </c>
      <c r="T1026" t="str">
        <f t="shared" si="110"/>
        <v/>
      </c>
      <c r="U1026" s="52" t="str">
        <f t="shared" si="111"/>
        <v/>
      </c>
    </row>
    <row r="1027" spans="2:21" x14ac:dyDescent="0.25">
      <c r="B1027">
        <v>1065</v>
      </c>
      <c r="E1027" t="s">
        <v>1572</v>
      </c>
      <c r="F1027" t="s">
        <v>1588</v>
      </c>
      <c r="G1027">
        <v>22</v>
      </c>
      <c r="H1027" s="48">
        <v>0.92</v>
      </c>
      <c r="I1027" s="48">
        <v>1</v>
      </c>
      <c r="J1027" s="54">
        <v>46196</v>
      </c>
      <c r="K1027" s="54">
        <v>46217</v>
      </c>
      <c r="L1027" s="54">
        <v>46185</v>
      </c>
      <c r="M1027" s="54">
        <v>46206</v>
      </c>
      <c r="O1027" s="51" t="str">
        <f t="shared" ref="O1027:O1090" si="112">IF(OR(E1027 = "                           1 - Emissão Inicial",E1027="                  1 - Emissão após Design Review 1",E1027 = "                  1 - Emissão para conhecimento",E1027 = "                  1 - Emissão Final",E1027 = "         Lista de Documentos",E1027 = "         Elaboração do cronograma",E1027 = "         Norma de Coordenação"), "SIM", "")</f>
        <v/>
      </c>
      <c r="P1027" s="51" t="str">
        <f t="shared" ref="P1027:P1090" si="113">IF(O1027="SIM",C1027,"")</f>
        <v/>
      </c>
      <c r="Q1027" s="52" t="str">
        <f t="shared" ref="Q1027:Q1090" si="114">IF(O1027="SIM",M1027,"")</f>
        <v/>
      </c>
      <c r="R1027" s="52" t="str">
        <f t="shared" ref="R1027:R1090" si="115">IF(O1027="SIM",K1027,"")</f>
        <v/>
      </c>
      <c r="S1027" s="51" t="str">
        <f t="shared" ref="S1027:S1090" si="116">IF(OR(E1027 = "                           3 - Atendimento de Comentários",E1027="                  1 - Emissão após Design Review 1",E1027 = "                  1 - Emissão para conhecimento",E1027 = "                  1 - Emissão Final",E1027 = "         Lista de Documentos",E1027 = "         Elaboração do cronograma",E1027 = "         Norma de Coordenação"), "SIM", "")</f>
        <v/>
      </c>
      <c r="T1027" t="str">
        <f t="shared" ref="T1027:T1090" si="117">IF(S1027="SIM",C1027,"")</f>
        <v/>
      </c>
      <c r="U1027" s="52" t="str">
        <f t="shared" ref="U1027:U1090" si="118">IF(S1027="SIM",M1027,"")</f>
        <v/>
      </c>
    </row>
    <row r="1028" spans="2:21" x14ac:dyDescent="0.25">
      <c r="B1028">
        <v>1066</v>
      </c>
      <c r="E1028" t="s">
        <v>1557</v>
      </c>
      <c r="F1028" t="s">
        <v>1525</v>
      </c>
      <c r="G1028">
        <v>7</v>
      </c>
      <c r="H1028" s="48">
        <v>1</v>
      </c>
      <c r="I1028" s="48">
        <v>1</v>
      </c>
      <c r="J1028" s="54">
        <v>46203</v>
      </c>
      <c r="K1028" s="54">
        <v>46210</v>
      </c>
      <c r="L1028" s="54">
        <v>46203</v>
      </c>
      <c r="M1028" s="54">
        <v>46209</v>
      </c>
      <c r="O1028" s="51" t="str">
        <f t="shared" si="112"/>
        <v/>
      </c>
      <c r="P1028" s="51" t="str">
        <f t="shared" si="113"/>
        <v/>
      </c>
      <c r="Q1028" s="52" t="str">
        <f t="shared" si="114"/>
        <v/>
      </c>
      <c r="R1028" s="52" t="str">
        <f t="shared" si="115"/>
        <v/>
      </c>
      <c r="S1028" s="51" t="str">
        <f t="shared" si="116"/>
        <v/>
      </c>
      <c r="T1028" t="str">
        <f t="shared" si="117"/>
        <v/>
      </c>
      <c r="U1028" s="52" t="str">
        <f t="shared" si="118"/>
        <v/>
      </c>
    </row>
    <row r="1029" spans="2:21" x14ac:dyDescent="0.25">
      <c r="B1029">
        <v>1067</v>
      </c>
      <c r="E1029" t="s">
        <v>1560</v>
      </c>
      <c r="F1029" t="s">
        <v>1778</v>
      </c>
      <c r="G1029">
        <v>17</v>
      </c>
      <c r="H1029" s="48">
        <v>0.60319999999999996</v>
      </c>
      <c r="I1029" s="48">
        <v>0.41599999999999998</v>
      </c>
      <c r="J1029" s="54">
        <v>46211</v>
      </c>
      <c r="K1029" s="54">
        <v>46227</v>
      </c>
      <c r="L1029" s="54">
        <v>46216</v>
      </c>
      <c r="M1029" s="54">
        <v>46232</v>
      </c>
      <c r="O1029" s="51" t="str">
        <f t="shared" si="112"/>
        <v/>
      </c>
      <c r="P1029" s="51" t="str">
        <f t="shared" si="113"/>
        <v/>
      </c>
      <c r="Q1029" s="52" t="str">
        <f t="shared" si="114"/>
        <v/>
      </c>
      <c r="R1029" s="52" t="str">
        <f t="shared" si="115"/>
        <v/>
      </c>
      <c r="S1029" s="51" t="str">
        <f t="shared" si="116"/>
        <v/>
      </c>
      <c r="T1029" t="str">
        <f t="shared" si="117"/>
        <v/>
      </c>
      <c r="U1029" s="52" t="str">
        <f t="shared" si="118"/>
        <v/>
      </c>
    </row>
    <row r="1030" spans="2:21" x14ac:dyDescent="0.25">
      <c r="B1030">
        <v>1068</v>
      </c>
      <c r="E1030" t="s">
        <v>1763</v>
      </c>
      <c r="F1030" t="s">
        <v>1778</v>
      </c>
      <c r="G1030">
        <v>17</v>
      </c>
      <c r="H1030" s="48">
        <v>0.60319999999999996</v>
      </c>
      <c r="I1030" s="48">
        <v>0.41599999999999998</v>
      </c>
      <c r="J1030" s="54">
        <v>46211</v>
      </c>
      <c r="K1030" s="54">
        <v>46227</v>
      </c>
      <c r="L1030" s="54">
        <v>46216</v>
      </c>
      <c r="M1030" s="54">
        <v>46232</v>
      </c>
      <c r="O1030" s="51" t="str">
        <f t="shared" si="112"/>
        <v/>
      </c>
      <c r="P1030" s="51" t="str">
        <f t="shared" si="113"/>
        <v/>
      </c>
      <c r="Q1030" s="52" t="str">
        <f t="shared" si="114"/>
        <v/>
      </c>
      <c r="R1030" s="52" t="str">
        <f t="shared" si="115"/>
        <v/>
      </c>
      <c r="S1030" s="51" t="str">
        <f t="shared" si="116"/>
        <v/>
      </c>
      <c r="T1030" t="str">
        <f t="shared" si="117"/>
        <v/>
      </c>
      <c r="U1030" s="52" t="str">
        <f t="shared" si="118"/>
        <v/>
      </c>
    </row>
    <row r="1031" spans="2:21" x14ac:dyDescent="0.25">
      <c r="B1031">
        <v>1069</v>
      </c>
      <c r="C1031" t="s">
        <v>77</v>
      </c>
      <c r="D1031" t="s">
        <v>599</v>
      </c>
      <c r="E1031" t="s">
        <v>1779</v>
      </c>
      <c r="F1031" t="s">
        <v>1778</v>
      </c>
      <c r="G1031">
        <v>17</v>
      </c>
      <c r="H1031" s="48">
        <v>0.60319999999999996</v>
      </c>
      <c r="I1031" s="48">
        <v>0.41599999999999998</v>
      </c>
      <c r="J1031" s="54">
        <v>46211</v>
      </c>
      <c r="K1031" s="54">
        <v>46227</v>
      </c>
      <c r="L1031" s="54">
        <v>46216</v>
      </c>
      <c r="M1031" s="54">
        <v>46232</v>
      </c>
      <c r="O1031" s="51" t="str">
        <f t="shared" si="112"/>
        <v/>
      </c>
      <c r="P1031" s="51" t="str">
        <f t="shared" si="113"/>
        <v/>
      </c>
      <c r="Q1031" s="52" t="str">
        <f t="shared" si="114"/>
        <v/>
      </c>
      <c r="R1031" s="52" t="str">
        <f t="shared" si="115"/>
        <v/>
      </c>
      <c r="S1031" s="51" t="str">
        <f t="shared" si="116"/>
        <v/>
      </c>
      <c r="T1031" t="str">
        <f t="shared" si="117"/>
        <v/>
      </c>
      <c r="U1031" s="52" t="str">
        <f t="shared" si="118"/>
        <v/>
      </c>
    </row>
    <row r="1032" spans="2:21" x14ac:dyDescent="0.25">
      <c r="B1032">
        <v>1070</v>
      </c>
      <c r="C1032" t="s">
        <v>77</v>
      </c>
      <c r="D1032" t="s">
        <v>599</v>
      </c>
      <c r="E1032" t="s">
        <v>1515</v>
      </c>
      <c r="F1032" t="s">
        <v>1519</v>
      </c>
      <c r="G1032">
        <v>4</v>
      </c>
      <c r="H1032" s="48">
        <v>0.87</v>
      </c>
      <c r="I1032" s="48">
        <v>0.6</v>
      </c>
      <c r="J1032" s="54">
        <v>46211</v>
      </c>
      <c r="K1032" s="54">
        <v>46216</v>
      </c>
      <c r="L1032" s="54">
        <v>46216</v>
      </c>
      <c r="M1032" s="54">
        <v>46219</v>
      </c>
      <c r="O1032" s="51" t="str">
        <f t="shared" si="112"/>
        <v>SIM</v>
      </c>
      <c r="P1032" s="51" t="str">
        <f t="shared" si="113"/>
        <v>BL1132-0001-AR-DBA-2004</v>
      </c>
      <c r="Q1032" s="52">
        <f t="shared" si="114"/>
        <v>46219</v>
      </c>
      <c r="R1032" s="52">
        <f t="shared" si="115"/>
        <v>46216</v>
      </c>
      <c r="S1032" s="51" t="str">
        <f t="shared" si="116"/>
        <v/>
      </c>
      <c r="T1032" t="str">
        <f t="shared" si="117"/>
        <v/>
      </c>
      <c r="U1032" s="52" t="str">
        <f t="shared" si="118"/>
        <v/>
      </c>
    </row>
    <row r="1033" spans="2:21" x14ac:dyDescent="0.25">
      <c r="B1033">
        <v>1071</v>
      </c>
      <c r="C1033" t="s">
        <v>77</v>
      </c>
      <c r="D1033" t="s">
        <v>599</v>
      </c>
      <c r="E1033" t="s">
        <v>1517</v>
      </c>
      <c r="F1033" t="s">
        <v>1519</v>
      </c>
      <c r="G1033">
        <v>6</v>
      </c>
      <c r="H1033" s="48">
        <v>0</v>
      </c>
      <c r="I1033" s="48">
        <v>0</v>
      </c>
      <c r="J1033" s="54">
        <v>46216</v>
      </c>
      <c r="K1033" s="54">
        <v>46219</v>
      </c>
      <c r="L1033" s="54">
        <v>46219</v>
      </c>
      <c r="M1033" s="54">
        <v>46224</v>
      </c>
      <c r="O1033" s="51" t="str">
        <f t="shared" si="112"/>
        <v/>
      </c>
      <c r="P1033" s="51" t="str">
        <f t="shared" si="113"/>
        <v/>
      </c>
      <c r="Q1033" s="52" t="str">
        <f t="shared" si="114"/>
        <v/>
      </c>
      <c r="R1033" s="52" t="str">
        <f t="shared" si="115"/>
        <v/>
      </c>
      <c r="S1033" s="51" t="str">
        <f t="shared" si="116"/>
        <v/>
      </c>
      <c r="T1033" t="str">
        <f t="shared" si="117"/>
        <v/>
      </c>
      <c r="U1033" s="52" t="str">
        <f t="shared" si="118"/>
        <v/>
      </c>
    </row>
    <row r="1034" spans="2:21" x14ac:dyDescent="0.25">
      <c r="B1034">
        <v>1072</v>
      </c>
      <c r="C1034" t="s">
        <v>77</v>
      </c>
      <c r="D1034" t="s">
        <v>599</v>
      </c>
      <c r="E1034" t="s">
        <v>1518</v>
      </c>
      <c r="F1034" t="s">
        <v>1519</v>
      </c>
      <c r="G1034">
        <v>4</v>
      </c>
      <c r="H1034" s="48">
        <v>0</v>
      </c>
      <c r="I1034" s="48">
        <v>0</v>
      </c>
      <c r="J1034" s="54">
        <v>46219</v>
      </c>
      <c r="K1034" s="54">
        <v>46224</v>
      </c>
      <c r="L1034" s="54">
        <v>46224</v>
      </c>
      <c r="M1034" s="54">
        <v>46227</v>
      </c>
      <c r="O1034" s="51" t="str">
        <f t="shared" si="112"/>
        <v/>
      </c>
      <c r="P1034" s="51" t="str">
        <f t="shared" si="113"/>
        <v/>
      </c>
      <c r="Q1034" s="52" t="str">
        <f t="shared" si="114"/>
        <v/>
      </c>
      <c r="R1034" s="52" t="str">
        <f t="shared" si="115"/>
        <v/>
      </c>
      <c r="S1034" s="51" t="str">
        <f t="shared" si="116"/>
        <v>SIM</v>
      </c>
      <c r="T1034" t="str">
        <f t="shared" si="117"/>
        <v>BL1132-0001-AR-DBA-2004</v>
      </c>
      <c r="U1034" s="52">
        <f t="shared" si="118"/>
        <v>46227</v>
      </c>
    </row>
    <row r="1035" spans="2:21" x14ac:dyDescent="0.25">
      <c r="B1035">
        <v>1073</v>
      </c>
      <c r="C1035" t="s">
        <v>77</v>
      </c>
      <c r="D1035" t="s">
        <v>599</v>
      </c>
      <c r="E1035" t="s">
        <v>1520</v>
      </c>
      <c r="F1035" t="s">
        <v>1519</v>
      </c>
      <c r="G1035">
        <v>6</v>
      </c>
      <c r="H1035" s="48">
        <v>0</v>
      </c>
      <c r="I1035" s="48">
        <v>0</v>
      </c>
      <c r="J1035" s="54">
        <v>46224</v>
      </c>
      <c r="K1035" s="54">
        <v>46227</v>
      </c>
      <c r="L1035" s="54">
        <v>46227</v>
      </c>
      <c r="M1035" s="54">
        <v>46232</v>
      </c>
      <c r="O1035" s="51" t="str">
        <f t="shared" si="112"/>
        <v/>
      </c>
      <c r="P1035" s="51" t="str">
        <f t="shared" si="113"/>
        <v/>
      </c>
      <c r="Q1035" s="52" t="str">
        <f t="shared" si="114"/>
        <v/>
      </c>
      <c r="R1035" s="52" t="str">
        <f t="shared" si="115"/>
        <v/>
      </c>
      <c r="S1035" s="51" t="str">
        <f t="shared" si="116"/>
        <v/>
      </c>
      <c r="T1035" t="str">
        <f t="shared" si="117"/>
        <v/>
      </c>
      <c r="U1035" s="52" t="str">
        <f t="shared" si="118"/>
        <v/>
      </c>
    </row>
    <row r="1036" spans="2:21" x14ac:dyDescent="0.25">
      <c r="B1036">
        <v>1074</v>
      </c>
      <c r="E1036" t="s">
        <v>1780</v>
      </c>
      <c r="F1036" t="s">
        <v>1781</v>
      </c>
      <c r="G1036">
        <v>67</v>
      </c>
      <c r="H1036" s="48">
        <v>0.73499999999999999</v>
      </c>
      <c r="I1036" s="48">
        <v>0.8367</v>
      </c>
      <c r="J1036" s="54">
        <v>46171</v>
      </c>
      <c r="K1036" s="54">
        <v>46232</v>
      </c>
      <c r="L1036" s="54">
        <v>46171</v>
      </c>
      <c r="M1036" s="54">
        <v>46237</v>
      </c>
      <c r="O1036" s="51" t="str">
        <f t="shared" si="112"/>
        <v/>
      </c>
      <c r="P1036" s="51" t="str">
        <f t="shared" si="113"/>
        <v/>
      </c>
      <c r="Q1036" s="52" t="str">
        <f t="shared" si="114"/>
        <v/>
      </c>
      <c r="R1036" s="52" t="str">
        <f t="shared" si="115"/>
        <v/>
      </c>
      <c r="S1036" s="51" t="str">
        <f t="shared" si="116"/>
        <v/>
      </c>
      <c r="T1036" t="str">
        <f t="shared" si="117"/>
        <v/>
      </c>
      <c r="U1036" s="52" t="str">
        <f t="shared" si="118"/>
        <v/>
      </c>
    </row>
    <row r="1037" spans="2:21" x14ac:dyDescent="0.25">
      <c r="B1037">
        <v>1075</v>
      </c>
      <c r="E1037" t="s">
        <v>1555</v>
      </c>
      <c r="F1037" t="s">
        <v>1591</v>
      </c>
      <c r="G1037">
        <v>39</v>
      </c>
      <c r="H1037" s="48">
        <v>0.98</v>
      </c>
      <c r="I1037" s="48">
        <v>1</v>
      </c>
      <c r="J1037" s="54">
        <v>46171</v>
      </c>
      <c r="K1037" s="54">
        <v>46217</v>
      </c>
      <c r="L1037" s="54">
        <v>46171</v>
      </c>
      <c r="M1037" s="54">
        <v>46209</v>
      </c>
      <c r="O1037" s="51" t="str">
        <f t="shared" si="112"/>
        <v/>
      </c>
      <c r="P1037" s="51" t="str">
        <f t="shared" si="113"/>
        <v/>
      </c>
      <c r="Q1037" s="52" t="str">
        <f t="shared" si="114"/>
        <v/>
      </c>
      <c r="R1037" s="52" t="str">
        <f t="shared" si="115"/>
        <v/>
      </c>
      <c r="S1037" s="51" t="str">
        <f t="shared" si="116"/>
        <v/>
      </c>
      <c r="T1037" t="str">
        <f t="shared" si="117"/>
        <v/>
      </c>
      <c r="U1037" s="52" t="str">
        <f t="shared" si="118"/>
        <v/>
      </c>
    </row>
    <row r="1038" spans="2:21" x14ac:dyDescent="0.25">
      <c r="B1038">
        <v>1076</v>
      </c>
      <c r="E1038" t="s">
        <v>1689</v>
      </c>
      <c r="F1038" t="s">
        <v>1535</v>
      </c>
      <c r="G1038">
        <v>22</v>
      </c>
      <c r="H1038" s="48">
        <v>1</v>
      </c>
      <c r="I1038" s="48">
        <v>1</v>
      </c>
      <c r="J1038" s="54">
        <v>46171</v>
      </c>
      <c r="K1038" s="54">
        <v>46192</v>
      </c>
      <c r="L1038" s="54">
        <v>46171</v>
      </c>
      <c r="M1038" s="54">
        <v>46192</v>
      </c>
      <c r="O1038" s="51" t="str">
        <f t="shared" si="112"/>
        <v/>
      </c>
      <c r="P1038" s="51" t="str">
        <f t="shared" si="113"/>
        <v/>
      </c>
      <c r="Q1038" s="52" t="str">
        <f t="shared" si="114"/>
        <v/>
      </c>
      <c r="R1038" s="52" t="str">
        <f t="shared" si="115"/>
        <v/>
      </c>
      <c r="S1038" s="51" t="str">
        <f t="shared" si="116"/>
        <v/>
      </c>
      <c r="T1038" t="str">
        <f t="shared" si="117"/>
        <v/>
      </c>
      <c r="U1038" s="52" t="str">
        <f t="shared" si="118"/>
        <v/>
      </c>
    </row>
    <row r="1039" spans="2:21" x14ac:dyDescent="0.25">
      <c r="B1039">
        <v>1077</v>
      </c>
      <c r="E1039" t="s">
        <v>1572</v>
      </c>
      <c r="F1039" t="s">
        <v>1588</v>
      </c>
      <c r="G1039">
        <v>22</v>
      </c>
      <c r="H1039" s="48">
        <v>0.92</v>
      </c>
      <c r="I1039" s="48">
        <v>1</v>
      </c>
      <c r="J1039" s="54">
        <v>46196</v>
      </c>
      <c r="K1039" s="54">
        <v>46217</v>
      </c>
      <c r="L1039" s="54">
        <v>46185</v>
      </c>
      <c r="M1039" s="54">
        <v>46206</v>
      </c>
      <c r="O1039" s="51" t="str">
        <f t="shared" si="112"/>
        <v/>
      </c>
      <c r="P1039" s="51" t="str">
        <f t="shared" si="113"/>
        <v/>
      </c>
      <c r="Q1039" s="52" t="str">
        <f t="shared" si="114"/>
        <v/>
      </c>
      <c r="R1039" s="52" t="str">
        <f t="shared" si="115"/>
        <v/>
      </c>
      <c r="S1039" s="51" t="str">
        <f t="shared" si="116"/>
        <v/>
      </c>
      <c r="T1039" t="str">
        <f t="shared" si="117"/>
        <v/>
      </c>
      <c r="U1039" s="52" t="str">
        <f t="shared" si="118"/>
        <v/>
      </c>
    </row>
    <row r="1040" spans="2:21" x14ac:dyDescent="0.25">
      <c r="B1040">
        <v>1078</v>
      </c>
      <c r="E1040" t="s">
        <v>1557</v>
      </c>
      <c r="F1040" t="s">
        <v>1528</v>
      </c>
      <c r="G1040">
        <v>8</v>
      </c>
      <c r="H1040" s="48">
        <v>1</v>
      </c>
      <c r="I1040" s="48">
        <v>1</v>
      </c>
      <c r="J1040" s="54">
        <v>46203</v>
      </c>
      <c r="K1040" s="54">
        <v>46210</v>
      </c>
      <c r="L1040" s="54">
        <v>46202</v>
      </c>
      <c r="M1040" s="54">
        <v>46209</v>
      </c>
      <c r="O1040" s="51" t="str">
        <f t="shared" si="112"/>
        <v/>
      </c>
      <c r="P1040" s="51" t="str">
        <f t="shared" si="113"/>
        <v/>
      </c>
      <c r="Q1040" s="52" t="str">
        <f t="shared" si="114"/>
        <v/>
      </c>
      <c r="R1040" s="52" t="str">
        <f t="shared" si="115"/>
        <v/>
      </c>
      <c r="S1040" s="51" t="str">
        <f t="shared" si="116"/>
        <v/>
      </c>
      <c r="T1040" t="str">
        <f t="shared" si="117"/>
        <v/>
      </c>
      <c r="U1040" s="52" t="str">
        <f t="shared" si="118"/>
        <v/>
      </c>
    </row>
    <row r="1041" spans="2:21" x14ac:dyDescent="0.25">
      <c r="B1041">
        <v>1079</v>
      </c>
      <c r="E1041" t="s">
        <v>1560</v>
      </c>
      <c r="F1041" t="s">
        <v>1559</v>
      </c>
      <c r="G1041">
        <v>19</v>
      </c>
      <c r="H1041" s="48">
        <v>0</v>
      </c>
      <c r="I1041" s="48">
        <v>0.34670000000000001</v>
      </c>
      <c r="J1041" s="54">
        <v>46216</v>
      </c>
      <c r="K1041" s="54">
        <v>46232</v>
      </c>
      <c r="L1041" s="54">
        <v>46219</v>
      </c>
      <c r="M1041" s="54">
        <v>46237</v>
      </c>
      <c r="O1041" s="51" t="str">
        <f t="shared" si="112"/>
        <v/>
      </c>
      <c r="P1041" s="51" t="str">
        <f t="shared" si="113"/>
        <v/>
      </c>
      <c r="Q1041" s="52" t="str">
        <f t="shared" si="114"/>
        <v/>
      </c>
      <c r="R1041" s="52" t="str">
        <f t="shared" si="115"/>
        <v/>
      </c>
      <c r="S1041" s="51" t="str">
        <f t="shared" si="116"/>
        <v/>
      </c>
      <c r="T1041" t="str">
        <f t="shared" si="117"/>
        <v/>
      </c>
      <c r="U1041" s="52" t="str">
        <f t="shared" si="118"/>
        <v/>
      </c>
    </row>
    <row r="1042" spans="2:21" x14ac:dyDescent="0.25">
      <c r="B1042">
        <v>1080</v>
      </c>
      <c r="E1042" t="s">
        <v>1763</v>
      </c>
      <c r="F1042" t="s">
        <v>1559</v>
      </c>
      <c r="G1042">
        <v>19</v>
      </c>
      <c r="H1042" s="48">
        <v>0</v>
      </c>
      <c r="I1042" s="48">
        <v>0.34670000000000001</v>
      </c>
      <c r="J1042" s="54">
        <v>46216</v>
      </c>
      <c r="K1042" s="54">
        <v>46232</v>
      </c>
      <c r="L1042" s="54">
        <v>46219</v>
      </c>
      <c r="M1042" s="54">
        <v>46237</v>
      </c>
      <c r="O1042" s="51" t="str">
        <f t="shared" si="112"/>
        <v/>
      </c>
      <c r="P1042" s="51" t="str">
        <f t="shared" si="113"/>
        <v/>
      </c>
      <c r="Q1042" s="52" t="str">
        <f t="shared" si="114"/>
        <v/>
      </c>
      <c r="R1042" s="52" t="str">
        <f t="shared" si="115"/>
        <v/>
      </c>
      <c r="S1042" s="51" t="str">
        <f t="shared" si="116"/>
        <v/>
      </c>
      <c r="T1042" t="str">
        <f t="shared" si="117"/>
        <v/>
      </c>
      <c r="U1042" s="52" t="str">
        <f t="shared" si="118"/>
        <v/>
      </c>
    </row>
    <row r="1043" spans="2:21" x14ac:dyDescent="0.25">
      <c r="B1043">
        <v>1081</v>
      </c>
      <c r="C1043" t="s">
        <v>78</v>
      </c>
      <c r="D1043" t="s">
        <v>603</v>
      </c>
      <c r="E1043" t="s">
        <v>1782</v>
      </c>
      <c r="F1043" t="s">
        <v>1559</v>
      </c>
      <c r="G1043">
        <v>19</v>
      </c>
      <c r="H1043" s="48">
        <v>0</v>
      </c>
      <c r="I1043" s="48">
        <v>0.34670000000000001</v>
      </c>
      <c r="J1043" s="54">
        <v>46216</v>
      </c>
      <c r="K1043" s="54">
        <v>46232</v>
      </c>
      <c r="L1043" s="54">
        <v>46219</v>
      </c>
      <c r="M1043" s="54">
        <v>46237</v>
      </c>
      <c r="O1043" s="51" t="str">
        <f t="shared" si="112"/>
        <v/>
      </c>
      <c r="P1043" s="51" t="str">
        <f t="shared" si="113"/>
        <v/>
      </c>
      <c r="Q1043" s="52" t="str">
        <f t="shared" si="114"/>
        <v/>
      </c>
      <c r="R1043" s="52" t="str">
        <f t="shared" si="115"/>
        <v/>
      </c>
      <c r="S1043" s="51" t="str">
        <f t="shared" si="116"/>
        <v/>
      </c>
      <c r="T1043" t="str">
        <f t="shared" si="117"/>
        <v/>
      </c>
      <c r="U1043" s="52" t="str">
        <f t="shared" si="118"/>
        <v/>
      </c>
    </row>
    <row r="1044" spans="2:21" x14ac:dyDescent="0.25">
      <c r="B1044">
        <v>1082</v>
      </c>
      <c r="C1044" t="s">
        <v>78</v>
      </c>
      <c r="D1044" t="s">
        <v>603</v>
      </c>
      <c r="E1044" t="s">
        <v>1515</v>
      </c>
      <c r="F1044" t="s">
        <v>1519</v>
      </c>
      <c r="G1044">
        <v>6</v>
      </c>
      <c r="H1044" s="48">
        <v>0</v>
      </c>
      <c r="I1044" s="48">
        <v>0.5</v>
      </c>
      <c r="J1044" s="54">
        <v>46216</v>
      </c>
      <c r="K1044" s="54">
        <v>46219</v>
      </c>
      <c r="L1044" s="54">
        <v>46219</v>
      </c>
      <c r="M1044" s="54">
        <v>46224</v>
      </c>
      <c r="O1044" s="51" t="str">
        <f t="shared" si="112"/>
        <v>SIM</v>
      </c>
      <c r="P1044" s="51" t="str">
        <f t="shared" si="113"/>
        <v>BL1132-0001-AR-DBA-2005</v>
      </c>
      <c r="Q1044" s="52">
        <f t="shared" si="114"/>
        <v>46224</v>
      </c>
      <c r="R1044" s="52">
        <f t="shared" si="115"/>
        <v>46219</v>
      </c>
      <c r="S1044" s="51" t="str">
        <f t="shared" si="116"/>
        <v/>
      </c>
      <c r="T1044" t="str">
        <f t="shared" si="117"/>
        <v/>
      </c>
      <c r="U1044" s="52" t="str">
        <f t="shared" si="118"/>
        <v/>
      </c>
    </row>
    <row r="1045" spans="2:21" x14ac:dyDescent="0.25">
      <c r="B1045">
        <v>1083</v>
      </c>
      <c r="C1045" t="s">
        <v>78</v>
      </c>
      <c r="D1045" t="s">
        <v>603</v>
      </c>
      <c r="E1045" t="s">
        <v>1517</v>
      </c>
      <c r="F1045" t="s">
        <v>1519</v>
      </c>
      <c r="G1045">
        <v>4</v>
      </c>
      <c r="H1045" s="48">
        <v>0</v>
      </c>
      <c r="I1045" s="48">
        <v>0</v>
      </c>
      <c r="J1045" s="54">
        <v>46219</v>
      </c>
      <c r="K1045" s="54">
        <v>46224</v>
      </c>
      <c r="L1045" s="54">
        <v>46224</v>
      </c>
      <c r="M1045" s="54">
        <v>46227</v>
      </c>
      <c r="O1045" s="51" t="str">
        <f t="shared" si="112"/>
        <v/>
      </c>
      <c r="P1045" s="51" t="str">
        <f t="shared" si="113"/>
        <v/>
      </c>
      <c r="Q1045" s="52" t="str">
        <f t="shared" si="114"/>
        <v/>
      </c>
      <c r="R1045" s="52" t="str">
        <f t="shared" si="115"/>
        <v/>
      </c>
      <c r="S1045" s="51" t="str">
        <f t="shared" si="116"/>
        <v/>
      </c>
      <c r="T1045" t="str">
        <f t="shared" si="117"/>
        <v/>
      </c>
      <c r="U1045" s="52" t="str">
        <f t="shared" si="118"/>
        <v/>
      </c>
    </row>
    <row r="1046" spans="2:21" x14ac:dyDescent="0.25">
      <c r="B1046">
        <v>1084</v>
      </c>
      <c r="C1046" t="s">
        <v>78</v>
      </c>
      <c r="D1046" t="s">
        <v>603</v>
      </c>
      <c r="E1046" t="s">
        <v>1518</v>
      </c>
      <c r="F1046" t="s">
        <v>1519</v>
      </c>
      <c r="G1046">
        <v>6</v>
      </c>
      <c r="H1046" s="48">
        <v>0</v>
      </c>
      <c r="I1046" s="48">
        <v>0</v>
      </c>
      <c r="J1046" s="54">
        <v>46224</v>
      </c>
      <c r="K1046" s="54">
        <v>46227</v>
      </c>
      <c r="L1046" s="54">
        <v>46227</v>
      </c>
      <c r="M1046" s="54">
        <v>46232</v>
      </c>
      <c r="O1046" s="51" t="str">
        <f t="shared" si="112"/>
        <v/>
      </c>
      <c r="P1046" s="51" t="str">
        <f t="shared" si="113"/>
        <v/>
      </c>
      <c r="Q1046" s="52" t="str">
        <f t="shared" si="114"/>
        <v/>
      </c>
      <c r="R1046" s="52" t="str">
        <f t="shared" si="115"/>
        <v/>
      </c>
      <c r="S1046" s="51" t="str">
        <f t="shared" si="116"/>
        <v>SIM</v>
      </c>
      <c r="T1046" t="str">
        <f t="shared" si="117"/>
        <v>BL1132-0001-AR-DBA-2005</v>
      </c>
      <c r="U1046" s="52">
        <f t="shared" si="118"/>
        <v>46232</v>
      </c>
    </row>
    <row r="1047" spans="2:21" x14ac:dyDescent="0.25">
      <c r="B1047">
        <v>1085</v>
      </c>
      <c r="C1047" t="s">
        <v>78</v>
      </c>
      <c r="D1047" t="s">
        <v>603</v>
      </c>
      <c r="E1047" t="s">
        <v>1520</v>
      </c>
      <c r="F1047" t="s">
        <v>1519</v>
      </c>
      <c r="G1047">
        <v>6</v>
      </c>
      <c r="H1047" s="48">
        <v>0</v>
      </c>
      <c r="I1047" s="48">
        <v>0</v>
      </c>
      <c r="J1047" s="54">
        <v>46227</v>
      </c>
      <c r="K1047" s="54">
        <v>46232</v>
      </c>
      <c r="L1047" s="54">
        <v>46232</v>
      </c>
      <c r="M1047" s="54">
        <v>46237</v>
      </c>
      <c r="O1047" s="51" t="str">
        <f t="shared" si="112"/>
        <v/>
      </c>
      <c r="P1047" s="51" t="str">
        <f t="shared" si="113"/>
        <v/>
      </c>
      <c r="Q1047" s="52" t="str">
        <f t="shared" si="114"/>
        <v/>
      </c>
      <c r="R1047" s="52" t="str">
        <f t="shared" si="115"/>
        <v/>
      </c>
      <c r="S1047" s="51" t="str">
        <f t="shared" si="116"/>
        <v/>
      </c>
      <c r="T1047" t="str">
        <f t="shared" si="117"/>
        <v/>
      </c>
      <c r="U1047" s="52" t="str">
        <f t="shared" si="118"/>
        <v/>
      </c>
    </row>
    <row r="1048" spans="2:21" x14ac:dyDescent="0.25">
      <c r="B1048">
        <v>1086</v>
      </c>
      <c r="E1048" t="s">
        <v>1783</v>
      </c>
      <c r="F1048" t="s">
        <v>1762</v>
      </c>
      <c r="G1048">
        <v>70</v>
      </c>
      <c r="H1048" s="48">
        <v>0.73499999999999999</v>
      </c>
      <c r="I1048" s="48">
        <v>0.75</v>
      </c>
      <c r="J1048" s="54">
        <v>46171</v>
      </c>
      <c r="K1048" s="54">
        <v>46237</v>
      </c>
      <c r="L1048" s="54">
        <v>46171</v>
      </c>
      <c r="M1048" s="54">
        <v>46240</v>
      </c>
      <c r="O1048" s="51" t="str">
        <f t="shared" si="112"/>
        <v/>
      </c>
      <c r="P1048" s="51" t="str">
        <f t="shared" si="113"/>
        <v/>
      </c>
      <c r="Q1048" s="52" t="str">
        <f t="shared" si="114"/>
        <v/>
      </c>
      <c r="R1048" s="52" t="str">
        <f t="shared" si="115"/>
        <v/>
      </c>
      <c r="S1048" s="51" t="str">
        <f t="shared" si="116"/>
        <v/>
      </c>
      <c r="T1048" t="str">
        <f t="shared" si="117"/>
        <v/>
      </c>
      <c r="U1048" s="52" t="str">
        <f t="shared" si="118"/>
        <v/>
      </c>
    </row>
    <row r="1049" spans="2:21" x14ac:dyDescent="0.25">
      <c r="B1049">
        <v>1087</v>
      </c>
      <c r="E1049" t="s">
        <v>1555</v>
      </c>
      <c r="F1049" t="s">
        <v>1591</v>
      </c>
      <c r="G1049">
        <v>39</v>
      </c>
      <c r="H1049" s="48">
        <v>0.98</v>
      </c>
      <c r="I1049" s="48">
        <v>1</v>
      </c>
      <c r="J1049" s="54">
        <v>46171</v>
      </c>
      <c r="K1049" s="54">
        <v>46217</v>
      </c>
      <c r="L1049" s="54">
        <v>46171</v>
      </c>
      <c r="M1049" s="54">
        <v>46209</v>
      </c>
      <c r="O1049" s="51" t="str">
        <f t="shared" si="112"/>
        <v/>
      </c>
      <c r="P1049" s="51" t="str">
        <f t="shared" si="113"/>
        <v/>
      </c>
      <c r="Q1049" s="52" t="str">
        <f t="shared" si="114"/>
        <v/>
      </c>
      <c r="R1049" s="52" t="str">
        <f t="shared" si="115"/>
        <v/>
      </c>
      <c r="S1049" s="51" t="str">
        <f t="shared" si="116"/>
        <v/>
      </c>
      <c r="T1049" t="str">
        <f t="shared" si="117"/>
        <v/>
      </c>
      <c r="U1049" s="52" t="str">
        <f t="shared" si="118"/>
        <v/>
      </c>
    </row>
    <row r="1050" spans="2:21" x14ac:dyDescent="0.25">
      <c r="B1050">
        <v>1088</v>
      </c>
      <c r="E1050" t="s">
        <v>1689</v>
      </c>
      <c r="F1050" t="s">
        <v>1535</v>
      </c>
      <c r="G1050">
        <v>22</v>
      </c>
      <c r="H1050" s="48">
        <v>1</v>
      </c>
      <c r="I1050" s="48">
        <v>1</v>
      </c>
      <c r="J1050" s="54">
        <v>46171</v>
      </c>
      <c r="K1050" s="54">
        <v>46192</v>
      </c>
      <c r="L1050" s="54">
        <v>46171</v>
      </c>
      <c r="M1050" s="54">
        <v>46192</v>
      </c>
      <c r="O1050" s="51" t="str">
        <f t="shared" si="112"/>
        <v/>
      </c>
      <c r="P1050" s="51" t="str">
        <f t="shared" si="113"/>
        <v/>
      </c>
      <c r="Q1050" s="52" t="str">
        <f t="shared" si="114"/>
        <v/>
      </c>
      <c r="R1050" s="52" t="str">
        <f t="shared" si="115"/>
        <v/>
      </c>
      <c r="S1050" s="51" t="str">
        <f t="shared" si="116"/>
        <v/>
      </c>
      <c r="T1050" t="str">
        <f t="shared" si="117"/>
        <v/>
      </c>
      <c r="U1050" s="52" t="str">
        <f t="shared" si="118"/>
        <v/>
      </c>
    </row>
    <row r="1051" spans="2:21" x14ac:dyDescent="0.25">
      <c r="B1051">
        <v>1089</v>
      </c>
      <c r="E1051" t="s">
        <v>1572</v>
      </c>
      <c r="F1051" t="s">
        <v>1588</v>
      </c>
      <c r="G1051">
        <v>22</v>
      </c>
      <c r="H1051" s="48">
        <v>0.92</v>
      </c>
      <c r="I1051" s="48">
        <v>1</v>
      </c>
      <c r="J1051" s="54">
        <v>46196</v>
      </c>
      <c r="K1051" s="54">
        <v>46217</v>
      </c>
      <c r="L1051" s="54">
        <v>46185</v>
      </c>
      <c r="M1051" s="54">
        <v>46206</v>
      </c>
      <c r="O1051" s="51" t="str">
        <f t="shared" si="112"/>
        <v/>
      </c>
      <c r="P1051" s="51" t="str">
        <f t="shared" si="113"/>
        <v/>
      </c>
      <c r="Q1051" s="52" t="str">
        <f t="shared" si="114"/>
        <v/>
      </c>
      <c r="R1051" s="52" t="str">
        <f t="shared" si="115"/>
        <v/>
      </c>
      <c r="S1051" s="51" t="str">
        <f t="shared" si="116"/>
        <v/>
      </c>
      <c r="T1051" t="str">
        <f t="shared" si="117"/>
        <v/>
      </c>
      <c r="U1051" s="52" t="str">
        <f t="shared" si="118"/>
        <v/>
      </c>
    </row>
    <row r="1052" spans="2:21" x14ac:dyDescent="0.25">
      <c r="B1052">
        <v>1090</v>
      </c>
      <c r="E1052" t="s">
        <v>1557</v>
      </c>
      <c r="F1052" t="s">
        <v>1525</v>
      </c>
      <c r="G1052">
        <v>7</v>
      </c>
      <c r="H1052" s="48">
        <v>1</v>
      </c>
      <c r="I1052" s="48">
        <v>1</v>
      </c>
      <c r="J1052" s="54">
        <v>46203</v>
      </c>
      <c r="K1052" s="54">
        <v>46210</v>
      </c>
      <c r="L1052" s="54">
        <v>46203</v>
      </c>
      <c r="M1052" s="54">
        <v>46209</v>
      </c>
      <c r="O1052" s="51" t="str">
        <f t="shared" si="112"/>
        <v/>
      </c>
      <c r="P1052" s="51" t="str">
        <f t="shared" si="113"/>
        <v/>
      </c>
      <c r="Q1052" s="52" t="str">
        <f t="shared" si="114"/>
        <v/>
      </c>
      <c r="R1052" s="52" t="str">
        <f t="shared" si="115"/>
        <v/>
      </c>
      <c r="S1052" s="51" t="str">
        <f t="shared" si="116"/>
        <v/>
      </c>
      <c r="T1052" t="str">
        <f t="shared" si="117"/>
        <v/>
      </c>
      <c r="U1052" s="52" t="str">
        <f t="shared" si="118"/>
        <v/>
      </c>
    </row>
    <row r="1053" spans="2:21" x14ac:dyDescent="0.25">
      <c r="B1053">
        <v>1091</v>
      </c>
      <c r="E1053" t="s">
        <v>1560</v>
      </c>
      <c r="F1053" t="s">
        <v>1559</v>
      </c>
      <c r="G1053">
        <v>17</v>
      </c>
      <c r="H1053" s="48">
        <v>0</v>
      </c>
      <c r="I1053" s="48">
        <v>0</v>
      </c>
      <c r="J1053" s="54">
        <v>46219</v>
      </c>
      <c r="K1053" s="54">
        <v>46237</v>
      </c>
      <c r="L1053" s="54">
        <v>46224</v>
      </c>
      <c r="M1053" s="54">
        <v>46240</v>
      </c>
      <c r="O1053" s="51" t="str">
        <f t="shared" si="112"/>
        <v/>
      </c>
      <c r="P1053" s="51" t="str">
        <f t="shared" si="113"/>
        <v/>
      </c>
      <c r="Q1053" s="52" t="str">
        <f t="shared" si="114"/>
        <v/>
      </c>
      <c r="R1053" s="52" t="str">
        <f t="shared" si="115"/>
        <v/>
      </c>
      <c r="S1053" s="51" t="str">
        <f t="shared" si="116"/>
        <v/>
      </c>
      <c r="T1053" t="str">
        <f t="shared" si="117"/>
        <v/>
      </c>
      <c r="U1053" s="52" t="str">
        <f t="shared" si="118"/>
        <v/>
      </c>
    </row>
    <row r="1054" spans="2:21" x14ac:dyDescent="0.25">
      <c r="B1054">
        <v>1092</v>
      </c>
      <c r="E1054" t="s">
        <v>1763</v>
      </c>
      <c r="F1054" t="s">
        <v>1559</v>
      </c>
      <c r="G1054">
        <v>17</v>
      </c>
      <c r="H1054" s="48">
        <v>0</v>
      </c>
      <c r="I1054" s="48">
        <v>0</v>
      </c>
      <c r="J1054" s="54">
        <v>46219</v>
      </c>
      <c r="K1054" s="54">
        <v>46237</v>
      </c>
      <c r="L1054" s="54">
        <v>46224</v>
      </c>
      <c r="M1054" s="54">
        <v>46240</v>
      </c>
      <c r="O1054" s="51" t="str">
        <f t="shared" si="112"/>
        <v/>
      </c>
      <c r="P1054" s="51" t="str">
        <f t="shared" si="113"/>
        <v/>
      </c>
      <c r="Q1054" s="52" t="str">
        <f t="shared" si="114"/>
        <v/>
      </c>
      <c r="R1054" s="52" t="str">
        <f t="shared" si="115"/>
        <v/>
      </c>
      <c r="S1054" s="51" t="str">
        <f t="shared" si="116"/>
        <v/>
      </c>
      <c r="T1054" t="str">
        <f t="shared" si="117"/>
        <v/>
      </c>
      <c r="U1054" s="52" t="str">
        <f t="shared" si="118"/>
        <v/>
      </c>
    </row>
    <row r="1055" spans="2:21" x14ac:dyDescent="0.25">
      <c r="B1055">
        <v>1093</v>
      </c>
      <c r="C1055" t="s">
        <v>79</v>
      </c>
      <c r="D1055" t="s">
        <v>607</v>
      </c>
      <c r="E1055" t="s">
        <v>1784</v>
      </c>
      <c r="F1055" t="s">
        <v>1559</v>
      </c>
      <c r="G1055">
        <v>17</v>
      </c>
      <c r="H1055" s="48">
        <v>0</v>
      </c>
      <c r="I1055" s="48">
        <v>0</v>
      </c>
      <c r="J1055" s="54">
        <v>46219</v>
      </c>
      <c r="K1055" s="54">
        <v>46237</v>
      </c>
      <c r="L1055" s="54">
        <v>46224</v>
      </c>
      <c r="M1055" s="54">
        <v>46240</v>
      </c>
      <c r="O1055" s="51" t="str">
        <f t="shared" si="112"/>
        <v/>
      </c>
      <c r="P1055" s="51" t="str">
        <f t="shared" si="113"/>
        <v/>
      </c>
      <c r="Q1055" s="52" t="str">
        <f t="shared" si="114"/>
        <v/>
      </c>
      <c r="R1055" s="52" t="str">
        <f t="shared" si="115"/>
        <v/>
      </c>
      <c r="S1055" s="51" t="str">
        <f t="shared" si="116"/>
        <v/>
      </c>
      <c r="T1055" t="str">
        <f t="shared" si="117"/>
        <v/>
      </c>
      <c r="U1055" s="52" t="str">
        <f t="shared" si="118"/>
        <v/>
      </c>
    </row>
    <row r="1056" spans="2:21" x14ac:dyDescent="0.25">
      <c r="B1056">
        <v>1094</v>
      </c>
      <c r="C1056" t="s">
        <v>79</v>
      </c>
      <c r="D1056" t="s">
        <v>607</v>
      </c>
      <c r="E1056" t="s">
        <v>1515</v>
      </c>
      <c r="F1056" t="s">
        <v>1519</v>
      </c>
      <c r="G1056">
        <v>4</v>
      </c>
      <c r="H1056" s="48">
        <v>0</v>
      </c>
      <c r="I1056" s="48">
        <v>0</v>
      </c>
      <c r="J1056" s="54">
        <v>46219</v>
      </c>
      <c r="K1056" s="54">
        <v>46224</v>
      </c>
      <c r="L1056" s="54">
        <v>46224</v>
      </c>
      <c r="M1056" s="54">
        <v>46227</v>
      </c>
      <c r="O1056" s="51" t="str">
        <f t="shared" si="112"/>
        <v>SIM</v>
      </c>
      <c r="P1056" s="51" t="str">
        <f t="shared" si="113"/>
        <v>BL1132-0001-AR-DBA-2006</v>
      </c>
      <c r="Q1056" s="52">
        <f t="shared" si="114"/>
        <v>46227</v>
      </c>
      <c r="R1056" s="52">
        <f t="shared" si="115"/>
        <v>46224</v>
      </c>
      <c r="S1056" s="51" t="str">
        <f t="shared" si="116"/>
        <v/>
      </c>
      <c r="T1056" t="str">
        <f t="shared" si="117"/>
        <v/>
      </c>
      <c r="U1056" s="52" t="str">
        <f t="shared" si="118"/>
        <v/>
      </c>
    </row>
    <row r="1057" spans="2:21" x14ac:dyDescent="0.25">
      <c r="B1057">
        <v>1095</v>
      </c>
      <c r="C1057" t="s">
        <v>79</v>
      </c>
      <c r="D1057" t="s">
        <v>607</v>
      </c>
      <c r="E1057" t="s">
        <v>1517</v>
      </c>
      <c r="F1057" t="s">
        <v>1519</v>
      </c>
      <c r="G1057">
        <v>6</v>
      </c>
      <c r="H1057" s="48">
        <v>0</v>
      </c>
      <c r="I1057" s="48">
        <v>0</v>
      </c>
      <c r="J1057" s="54">
        <v>46224</v>
      </c>
      <c r="K1057" s="54">
        <v>46227</v>
      </c>
      <c r="L1057" s="54">
        <v>46227</v>
      </c>
      <c r="M1057" s="54">
        <v>46232</v>
      </c>
      <c r="O1057" s="51" t="str">
        <f t="shared" si="112"/>
        <v/>
      </c>
      <c r="P1057" s="51" t="str">
        <f t="shared" si="113"/>
        <v/>
      </c>
      <c r="Q1057" s="52" t="str">
        <f t="shared" si="114"/>
        <v/>
      </c>
      <c r="R1057" s="52" t="str">
        <f t="shared" si="115"/>
        <v/>
      </c>
      <c r="S1057" s="51" t="str">
        <f t="shared" si="116"/>
        <v/>
      </c>
      <c r="T1057" t="str">
        <f t="shared" si="117"/>
        <v/>
      </c>
      <c r="U1057" s="52" t="str">
        <f t="shared" si="118"/>
        <v/>
      </c>
    </row>
    <row r="1058" spans="2:21" x14ac:dyDescent="0.25">
      <c r="B1058">
        <v>1096</v>
      </c>
      <c r="C1058" t="s">
        <v>79</v>
      </c>
      <c r="D1058" t="s">
        <v>607</v>
      </c>
      <c r="E1058" t="s">
        <v>1518</v>
      </c>
      <c r="F1058" t="s">
        <v>1519</v>
      </c>
      <c r="G1058">
        <v>6</v>
      </c>
      <c r="H1058" s="48">
        <v>0</v>
      </c>
      <c r="I1058" s="48">
        <v>0</v>
      </c>
      <c r="J1058" s="54">
        <v>46227</v>
      </c>
      <c r="K1058" s="54">
        <v>46232</v>
      </c>
      <c r="L1058" s="54">
        <v>46232</v>
      </c>
      <c r="M1058" s="54">
        <v>46237</v>
      </c>
      <c r="O1058" s="51" t="str">
        <f t="shared" si="112"/>
        <v/>
      </c>
      <c r="P1058" s="51" t="str">
        <f t="shared" si="113"/>
        <v/>
      </c>
      <c r="Q1058" s="52" t="str">
        <f t="shared" si="114"/>
        <v/>
      </c>
      <c r="R1058" s="52" t="str">
        <f t="shared" si="115"/>
        <v/>
      </c>
      <c r="S1058" s="51" t="str">
        <f t="shared" si="116"/>
        <v>SIM</v>
      </c>
      <c r="T1058" t="str">
        <f t="shared" si="117"/>
        <v>BL1132-0001-AR-DBA-2006</v>
      </c>
      <c r="U1058" s="52">
        <f t="shared" si="118"/>
        <v>46237</v>
      </c>
    </row>
    <row r="1059" spans="2:21" x14ac:dyDescent="0.25">
      <c r="B1059">
        <v>1097</v>
      </c>
      <c r="C1059" t="s">
        <v>79</v>
      </c>
      <c r="D1059" t="s">
        <v>607</v>
      </c>
      <c r="E1059" t="s">
        <v>1520</v>
      </c>
      <c r="F1059" t="s">
        <v>1519</v>
      </c>
      <c r="G1059">
        <v>4</v>
      </c>
      <c r="H1059" s="48">
        <v>0</v>
      </c>
      <c r="I1059" s="48">
        <v>0</v>
      </c>
      <c r="J1059" s="54">
        <v>46232</v>
      </c>
      <c r="K1059" s="54">
        <v>46237</v>
      </c>
      <c r="L1059" s="54">
        <v>46237</v>
      </c>
      <c r="M1059" s="54">
        <v>46240</v>
      </c>
      <c r="O1059" s="51" t="str">
        <f t="shared" si="112"/>
        <v/>
      </c>
      <c r="P1059" s="51" t="str">
        <f t="shared" si="113"/>
        <v/>
      </c>
      <c r="Q1059" s="52" t="str">
        <f t="shared" si="114"/>
        <v/>
      </c>
      <c r="R1059" s="52" t="str">
        <f t="shared" si="115"/>
        <v/>
      </c>
      <c r="S1059" s="51" t="str">
        <f t="shared" si="116"/>
        <v/>
      </c>
      <c r="T1059" t="str">
        <f t="shared" si="117"/>
        <v/>
      </c>
      <c r="U1059" s="52" t="str">
        <f t="shared" si="118"/>
        <v/>
      </c>
    </row>
    <row r="1060" spans="2:21" x14ac:dyDescent="0.25">
      <c r="B1060">
        <v>1098</v>
      </c>
      <c r="E1060" t="s">
        <v>1476</v>
      </c>
      <c r="F1060" t="s">
        <v>1477</v>
      </c>
      <c r="G1060">
        <v>110</v>
      </c>
      <c r="H1060" s="48">
        <v>0</v>
      </c>
      <c r="I1060" s="48">
        <v>0.2311</v>
      </c>
      <c r="J1060" s="54">
        <v>46230</v>
      </c>
      <c r="K1060" s="54">
        <v>46266</v>
      </c>
      <c r="L1060" s="54">
        <v>46164</v>
      </c>
      <c r="M1060" s="54">
        <v>46273</v>
      </c>
      <c r="O1060" s="51" t="str">
        <f t="shared" si="112"/>
        <v/>
      </c>
      <c r="P1060" s="51" t="str">
        <f t="shared" si="113"/>
        <v/>
      </c>
      <c r="Q1060" s="52" t="str">
        <f t="shared" si="114"/>
        <v/>
      </c>
      <c r="R1060" s="52" t="str">
        <f t="shared" si="115"/>
        <v/>
      </c>
      <c r="S1060" s="51" t="str">
        <f t="shared" si="116"/>
        <v/>
      </c>
      <c r="T1060" t="str">
        <f t="shared" si="117"/>
        <v/>
      </c>
      <c r="U1060" s="52" t="str">
        <f t="shared" si="118"/>
        <v/>
      </c>
    </row>
    <row r="1061" spans="2:21" x14ac:dyDescent="0.25">
      <c r="B1061">
        <v>1099</v>
      </c>
      <c r="E1061" t="s">
        <v>1785</v>
      </c>
      <c r="F1061" t="s">
        <v>1477</v>
      </c>
      <c r="G1061">
        <v>110</v>
      </c>
      <c r="H1061" s="48">
        <v>0</v>
      </c>
      <c r="I1061" s="48">
        <v>0</v>
      </c>
      <c r="J1061" s="54">
        <v>46246</v>
      </c>
      <c r="K1061" s="54">
        <v>46266</v>
      </c>
      <c r="L1061" s="54">
        <v>46164</v>
      </c>
      <c r="M1061" s="54">
        <v>46273</v>
      </c>
      <c r="O1061" s="51" t="str">
        <f t="shared" si="112"/>
        <v/>
      </c>
      <c r="P1061" s="51" t="str">
        <f t="shared" si="113"/>
        <v/>
      </c>
      <c r="Q1061" s="52" t="str">
        <f t="shared" si="114"/>
        <v/>
      </c>
      <c r="R1061" s="52" t="str">
        <f t="shared" si="115"/>
        <v/>
      </c>
      <c r="S1061" s="51" t="str">
        <f t="shared" si="116"/>
        <v/>
      </c>
      <c r="T1061" t="str">
        <f t="shared" si="117"/>
        <v/>
      </c>
      <c r="U1061" s="52" t="str">
        <f t="shared" si="118"/>
        <v/>
      </c>
    </row>
    <row r="1062" spans="2:21" x14ac:dyDescent="0.25">
      <c r="B1062">
        <v>1100</v>
      </c>
      <c r="E1062" t="s">
        <v>1786</v>
      </c>
      <c r="F1062" t="s">
        <v>1477</v>
      </c>
      <c r="G1062">
        <v>110</v>
      </c>
      <c r="H1062" s="48">
        <v>0</v>
      </c>
      <c r="I1062" s="48">
        <v>0</v>
      </c>
      <c r="J1062" s="54">
        <v>46246</v>
      </c>
      <c r="K1062" s="54">
        <v>46266</v>
      </c>
      <c r="L1062" s="54">
        <v>46164</v>
      </c>
      <c r="M1062" s="54">
        <v>46273</v>
      </c>
      <c r="O1062" s="51" t="str">
        <f t="shared" si="112"/>
        <v/>
      </c>
      <c r="P1062" s="51" t="str">
        <f t="shared" si="113"/>
        <v/>
      </c>
      <c r="Q1062" s="52" t="str">
        <f t="shared" si="114"/>
        <v/>
      </c>
      <c r="R1062" s="52" t="str">
        <f t="shared" si="115"/>
        <v/>
      </c>
      <c r="S1062" s="51" t="str">
        <f t="shared" si="116"/>
        <v/>
      </c>
      <c r="T1062" t="str">
        <f t="shared" si="117"/>
        <v/>
      </c>
      <c r="U1062" s="52" t="str">
        <f t="shared" si="118"/>
        <v/>
      </c>
    </row>
    <row r="1063" spans="2:21" x14ac:dyDescent="0.25">
      <c r="B1063">
        <v>1101</v>
      </c>
      <c r="E1063" t="s">
        <v>1787</v>
      </c>
      <c r="F1063" t="s">
        <v>1477</v>
      </c>
      <c r="G1063">
        <v>110</v>
      </c>
      <c r="H1063" s="48">
        <v>0</v>
      </c>
      <c r="I1063" s="48">
        <v>0</v>
      </c>
      <c r="J1063" s="54">
        <v>46246</v>
      </c>
      <c r="K1063" s="54">
        <v>46266</v>
      </c>
      <c r="L1063" s="54">
        <v>46164</v>
      </c>
      <c r="M1063" s="54">
        <v>46273</v>
      </c>
      <c r="O1063" s="51" t="str">
        <f t="shared" si="112"/>
        <v/>
      </c>
      <c r="P1063" s="51" t="str">
        <f t="shared" si="113"/>
        <v/>
      </c>
      <c r="Q1063" s="52" t="str">
        <f t="shared" si="114"/>
        <v/>
      </c>
      <c r="R1063" s="52" t="str">
        <f t="shared" si="115"/>
        <v/>
      </c>
      <c r="S1063" s="51" t="str">
        <f t="shared" si="116"/>
        <v/>
      </c>
      <c r="T1063" t="str">
        <f t="shared" si="117"/>
        <v/>
      </c>
      <c r="U1063" s="52" t="str">
        <f t="shared" si="118"/>
        <v/>
      </c>
    </row>
    <row r="1064" spans="2:21" x14ac:dyDescent="0.25">
      <c r="B1064">
        <v>1102</v>
      </c>
      <c r="E1064" t="s">
        <v>1555</v>
      </c>
      <c r="F1064" t="s">
        <v>1523</v>
      </c>
      <c r="G1064">
        <v>13</v>
      </c>
      <c r="H1064" s="48">
        <v>0</v>
      </c>
      <c r="I1064" s="48">
        <v>0</v>
      </c>
      <c r="J1064" s="54">
        <v>46248</v>
      </c>
      <c r="K1064" s="54">
        <v>46259</v>
      </c>
      <c r="L1064" s="54">
        <v>46261</v>
      </c>
      <c r="M1064" s="54">
        <v>46273</v>
      </c>
      <c r="O1064" s="51" t="str">
        <f t="shared" si="112"/>
        <v/>
      </c>
      <c r="P1064" s="51" t="str">
        <f t="shared" si="113"/>
        <v/>
      </c>
      <c r="Q1064" s="52" t="str">
        <f t="shared" si="114"/>
        <v/>
      </c>
      <c r="R1064" s="52" t="str">
        <f t="shared" si="115"/>
        <v/>
      </c>
      <c r="S1064" s="51" t="str">
        <f t="shared" si="116"/>
        <v/>
      </c>
      <c r="T1064" t="str">
        <f t="shared" si="117"/>
        <v/>
      </c>
      <c r="U1064" s="52" t="str">
        <f t="shared" si="118"/>
        <v/>
      </c>
    </row>
    <row r="1065" spans="2:21" x14ac:dyDescent="0.25">
      <c r="B1065">
        <v>1103</v>
      </c>
      <c r="E1065" t="s">
        <v>1572</v>
      </c>
      <c r="F1065" t="s">
        <v>1605</v>
      </c>
      <c r="G1065">
        <v>12</v>
      </c>
      <c r="H1065" s="48">
        <v>0</v>
      </c>
      <c r="I1065" s="48">
        <v>0</v>
      </c>
      <c r="J1065" s="54">
        <v>46251</v>
      </c>
      <c r="K1065" s="54">
        <v>46255</v>
      </c>
      <c r="L1065" s="54">
        <v>46262</v>
      </c>
      <c r="M1065" s="54">
        <v>46273</v>
      </c>
      <c r="O1065" s="51" t="str">
        <f t="shared" si="112"/>
        <v/>
      </c>
      <c r="P1065" s="51" t="str">
        <f t="shared" si="113"/>
        <v/>
      </c>
      <c r="Q1065" s="52" t="str">
        <f t="shared" si="114"/>
        <v/>
      </c>
      <c r="R1065" s="52" t="str">
        <f t="shared" si="115"/>
        <v/>
      </c>
      <c r="S1065" s="51" t="str">
        <f t="shared" si="116"/>
        <v/>
      </c>
      <c r="T1065" t="str">
        <f t="shared" si="117"/>
        <v/>
      </c>
      <c r="U1065" s="52" t="str">
        <f t="shared" si="118"/>
        <v/>
      </c>
    </row>
    <row r="1066" spans="2:21" x14ac:dyDescent="0.25">
      <c r="B1066">
        <v>1104</v>
      </c>
      <c r="E1066" t="s">
        <v>1557</v>
      </c>
      <c r="F1066" t="s">
        <v>1523</v>
      </c>
      <c r="G1066">
        <v>13</v>
      </c>
      <c r="H1066" s="48">
        <v>0</v>
      </c>
      <c r="I1066" s="48">
        <v>0</v>
      </c>
      <c r="J1066" s="54">
        <v>46248</v>
      </c>
      <c r="K1066" s="54">
        <v>46259</v>
      </c>
      <c r="L1066" s="54">
        <v>46261</v>
      </c>
      <c r="M1066" s="54">
        <v>46273</v>
      </c>
      <c r="O1066" s="51" t="str">
        <f t="shared" si="112"/>
        <v/>
      </c>
      <c r="P1066" s="51" t="str">
        <f t="shared" si="113"/>
        <v/>
      </c>
      <c r="Q1066" s="52" t="str">
        <f t="shared" si="114"/>
        <v/>
      </c>
      <c r="R1066" s="52" t="str">
        <f t="shared" si="115"/>
        <v/>
      </c>
      <c r="S1066" s="51" t="str">
        <f t="shared" si="116"/>
        <v/>
      </c>
      <c r="T1066" t="str">
        <f t="shared" si="117"/>
        <v/>
      </c>
      <c r="U1066" s="52" t="str">
        <f t="shared" si="118"/>
        <v/>
      </c>
    </row>
    <row r="1067" spans="2:21" x14ac:dyDescent="0.25">
      <c r="B1067">
        <v>1105</v>
      </c>
      <c r="E1067" t="s">
        <v>1560</v>
      </c>
      <c r="F1067" t="s">
        <v>1494</v>
      </c>
      <c r="G1067">
        <v>1</v>
      </c>
      <c r="H1067" s="48">
        <v>0</v>
      </c>
      <c r="I1067" s="48">
        <v>1</v>
      </c>
      <c r="J1067" s="54">
        <v>46246</v>
      </c>
      <c r="K1067" s="54">
        <v>46266</v>
      </c>
      <c r="L1067" s="54">
        <v>46164</v>
      </c>
      <c r="M1067" s="54">
        <v>46164</v>
      </c>
      <c r="O1067" s="51" t="str">
        <f t="shared" si="112"/>
        <v/>
      </c>
      <c r="P1067" s="51" t="str">
        <f t="shared" si="113"/>
        <v/>
      </c>
      <c r="Q1067" s="52" t="str">
        <f t="shared" si="114"/>
        <v/>
      </c>
      <c r="R1067" s="52" t="str">
        <f t="shared" si="115"/>
        <v/>
      </c>
      <c r="S1067" s="51" t="str">
        <f t="shared" si="116"/>
        <v/>
      </c>
      <c r="T1067" t="str">
        <f t="shared" si="117"/>
        <v/>
      </c>
      <c r="U1067" s="52" t="str">
        <f t="shared" si="118"/>
        <v/>
      </c>
    </row>
    <row r="1068" spans="2:21" x14ac:dyDescent="0.25">
      <c r="B1068">
        <v>1106</v>
      </c>
      <c r="E1068" t="s">
        <v>1557</v>
      </c>
      <c r="F1068" t="s">
        <v>1494</v>
      </c>
      <c r="G1068">
        <v>1</v>
      </c>
      <c r="H1068" s="48">
        <v>0</v>
      </c>
      <c r="I1068" s="48">
        <v>1</v>
      </c>
      <c r="J1068" s="54">
        <v>46246</v>
      </c>
      <c r="K1068" s="54">
        <v>46266</v>
      </c>
      <c r="L1068" s="54">
        <v>46164</v>
      </c>
      <c r="M1068" s="54">
        <v>46164</v>
      </c>
      <c r="O1068" s="51" t="str">
        <f t="shared" si="112"/>
        <v/>
      </c>
      <c r="P1068" s="51" t="str">
        <f t="shared" si="113"/>
        <v/>
      </c>
      <c r="Q1068" s="52" t="str">
        <f t="shared" si="114"/>
        <v/>
      </c>
      <c r="R1068" s="52" t="str">
        <f t="shared" si="115"/>
        <v/>
      </c>
      <c r="S1068" s="51" t="str">
        <f t="shared" si="116"/>
        <v/>
      </c>
      <c r="T1068" t="str">
        <f t="shared" si="117"/>
        <v/>
      </c>
      <c r="U1068" s="52" t="str">
        <f t="shared" si="118"/>
        <v/>
      </c>
    </row>
    <row r="1069" spans="2:21" x14ac:dyDescent="0.25">
      <c r="B1069">
        <v>1112</v>
      </c>
      <c r="E1069" t="s">
        <v>1788</v>
      </c>
      <c r="F1069" t="s">
        <v>1789</v>
      </c>
      <c r="G1069">
        <v>51</v>
      </c>
      <c r="H1069" s="48">
        <v>0</v>
      </c>
      <c r="I1069" s="48">
        <v>0.29380000000000001</v>
      </c>
      <c r="J1069" s="54">
        <v>46230</v>
      </c>
      <c r="K1069" s="54">
        <v>46265</v>
      </c>
      <c r="L1069" s="54">
        <v>46209</v>
      </c>
      <c r="M1069" s="54">
        <v>46259</v>
      </c>
      <c r="O1069" s="51" t="str">
        <f t="shared" si="112"/>
        <v/>
      </c>
      <c r="P1069" s="51" t="str">
        <f t="shared" si="113"/>
        <v/>
      </c>
      <c r="Q1069" s="52" t="str">
        <f t="shared" si="114"/>
        <v/>
      </c>
      <c r="R1069" s="52" t="str">
        <f t="shared" si="115"/>
        <v/>
      </c>
      <c r="S1069" s="51" t="str">
        <f t="shared" si="116"/>
        <v/>
      </c>
      <c r="T1069" t="str">
        <f t="shared" si="117"/>
        <v/>
      </c>
      <c r="U1069" s="52" t="str">
        <f t="shared" si="118"/>
        <v/>
      </c>
    </row>
    <row r="1070" spans="2:21" x14ac:dyDescent="0.25">
      <c r="B1070">
        <v>1113</v>
      </c>
      <c r="E1070" t="s">
        <v>1786</v>
      </c>
      <c r="F1070" t="s">
        <v>1789</v>
      </c>
      <c r="G1070">
        <v>51</v>
      </c>
      <c r="H1070" s="48">
        <v>0</v>
      </c>
      <c r="I1070" s="48">
        <v>0.29380000000000001</v>
      </c>
      <c r="J1070" s="54">
        <v>46230</v>
      </c>
      <c r="K1070" s="54">
        <v>46265</v>
      </c>
      <c r="L1070" s="54">
        <v>46209</v>
      </c>
      <c r="M1070" s="54">
        <v>46259</v>
      </c>
      <c r="O1070" s="51" t="str">
        <f t="shared" si="112"/>
        <v/>
      </c>
      <c r="P1070" s="51" t="str">
        <f t="shared" si="113"/>
        <v/>
      </c>
      <c r="Q1070" s="52" t="str">
        <f t="shared" si="114"/>
        <v/>
      </c>
      <c r="R1070" s="52" t="str">
        <f t="shared" si="115"/>
        <v/>
      </c>
      <c r="S1070" s="51" t="str">
        <f t="shared" si="116"/>
        <v/>
      </c>
      <c r="T1070" t="str">
        <f t="shared" si="117"/>
        <v/>
      </c>
      <c r="U1070" s="52" t="str">
        <f t="shared" si="118"/>
        <v/>
      </c>
    </row>
    <row r="1071" spans="2:21" x14ac:dyDescent="0.25">
      <c r="B1071">
        <v>1114</v>
      </c>
      <c r="E1071" t="s">
        <v>1790</v>
      </c>
      <c r="F1071" t="s">
        <v>1789</v>
      </c>
      <c r="G1071">
        <v>51</v>
      </c>
      <c r="H1071" s="48">
        <v>0</v>
      </c>
      <c r="I1071" s="48">
        <v>0.29380000000000001</v>
      </c>
      <c r="J1071" s="54">
        <v>46230</v>
      </c>
      <c r="K1071" s="54">
        <v>46265</v>
      </c>
      <c r="L1071" s="54">
        <v>46209</v>
      </c>
      <c r="M1071" s="54">
        <v>46259</v>
      </c>
      <c r="O1071" s="51" t="str">
        <f t="shared" si="112"/>
        <v/>
      </c>
      <c r="P1071" s="51" t="str">
        <f t="shared" si="113"/>
        <v/>
      </c>
      <c r="Q1071" s="52" t="str">
        <f t="shared" si="114"/>
        <v/>
      </c>
      <c r="R1071" s="52" t="str">
        <f t="shared" si="115"/>
        <v/>
      </c>
      <c r="S1071" s="51" t="str">
        <f t="shared" si="116"/>
        <v/>
      </c>
      <c r="T1071" t="str">
        <f t="shared" si="117"/>
        <v/>
      </c>
      <c r="U1071" s="52" t="str">
        <f t="shared" si="118"/>
        <v/>
      </c>
    </row>
    <row r="1072" spans="2:21" x14ac:dyDescent="0.25">
      <c r="B1072">
        <v>1115</v>
      </c>
      <c r="E1072" t="s">
        <v>1555</v>
      </c>
      <c r="F1072" t="s">
        <v>1791</v>
      </c>
      <c r="G1072">
        <v>30</v>
      </c>
      <c r="H1072" s="48">
        <v>0</v>
      </c>
      <c r="I1072" s="48">
        <v>0</v>
      </c>
      <c r="J1072" s="54">
        <v>46230</v>
      </c>
      <c r="K1072" s="54">
        <v>46262</v>
      </c>
      <c r="L1072" s="54">
        <v>46230</v>
      </c>
      <c r="M1072" s="54">
        <v>46259</v>
      </c>
      <c r="O1072" s="51" t="str">
        <f t="shared" si="112"/>
        <v/>
      </c>
      <c r="P1072" s="51" t="str">
        <f t="shared" si="113"/>
        <v/>
      </c>
      <c r="Q1072" s="52" t="str">
        <f t="shared" si="114"/>
        <v/>
      </c>
      <c r="R1072" s="52" t="str">
        <f t="shared" si="115"/>
        <v/>
      </c>
      <c r="S1072" s="51" t="str">
        <f t="shared" si="116"/>
        <v/>
      </c>
      <c r="T1072" t="str">
        <f t="shared" si="117"/>
        <v/>
      </c>
      <c r="U1072" s="52" t="str">
        <f t="shared" si="118"/>
        <v/>
      </c>
    </row>
    <row r="1073" spans="2:21" x14ac:dyDescent="0.25">
      <c r="B1073">
        <v>1116</v>
      </c>
      <c r="E1073" t="s">
        <v>1572</v>
      </c>
      <c r="F1073" t="s">
        <v>1594</v>
      </c>
      <c r="G1073">
        <v>14</v>
      </c>
      <c r="H1073" s="48">
        <v>0</v>
      </c>
      <c r="I1073" s="48">
        <v>0</v>
      </c>
      <c r="J1073" s="54">
        <v>46251</v>
      </c>
      <c r="K1073" s="54">
        <v>46262</v>
      </c>
      <c r="L1073" s="54">
        <v>46246</v>
      </c>
      <c r="M1073" s="54">
        <v>46259</v>
      </c>
      <c r="O1073" s="51" t="str">
        <f t="shared" si="112"/>
        <v/>
      </c>
      <c r="P1073" s="51" t="str">
        <f t="shared" si="113"/>
        <v/>
      </c>
      <c r="Q1073" s="52" t="str">
        <f t="shared" si="114"/>
        <v/>
      </c>
      <c r="R1073" s="52" t="str">
        <f t="shared" si="115"/>
        <v/>
      </c>
      <c r="S1073" s="51" t="str">
        <f t="shared" si="116"/>
        <v/>
      </c>
      <c r="T1073" t="str">
        <f t="shared" si="117"/>
        <v/>
      </c>
      <c r="U1073" s="52" t="str">
        <f t="shared" si="118"/>
        <v/>
      </c>
    </row>
    <row r="1074" spans="2:21" x14ac:dyDescent="0.25">
      <c r="B1074">
        <v>1117</v>
      </c>
      <c r="E1074" t="s">
        <v>1557</v>
      </c>
      <c r="F1074" t="s">
        <v>1641</v>
      </c>
      <c r="G1074">
        <v>18</v>
      </c>
      <c r="H1074" s="48">
        <v>0</v>
      </c>
      <c r="I1074" s="48">
        <v>0</v>
      </c>
      <c r="J1074" s="54">
        <v>46247</v>
      </c>
      <c r="K1074" s="54">
        <v>46262</v>
      </c>
      <c r="L1074" s="54">
        <v>46241</v>
      </c>
      <c r="M1074" s="54">
        <v>46258</v>
      </c>
      <c r="O1074" s="51" t="str">
        <f t="shared" si="112"/>
        <v/>
      </c>
      <c r="P1074" s="51" t="str">
        <f t="shared" si="113"/>
        <v/>
      </c>
      <c r="Q1074" s="52" t="str">
        <f t="shared" si="114"/>
        <v/>
      </c>
      <c r="R1074" s="52" t="str">
        <f t="shared" si="115"/>
        <v/>
      </c>
      <c r="S1074" s="51" t="str">
        <f t="shared" si="116"/>
        <v/>
      </c>
      <c r="T1074" t="str">
        <f t="shared" si="117"/>
        <v/>
      </c>
      <c r="U1074" s="52" t="str">
        <f t="shared" si="118"/>
        <v/>
      </c>
    </row>
    <row r="1075" spans="2:21" x14ac:dyDescent="0.25">
      <c r="B1075">
        <v>1118</v>
      </c>
      <c r="E1075" t="s">
        <v>1558</v>
      </c>
      <c r="F1075" t="s">
        <v>1528</v>
      </c>
      <c r="G1075">
        <v>8</v>
      </c>
      <c r="H1075" s="48">
        <v>0</v>
      </c>
      <c r="I1075" s="48">
        <v>0</v>
      </c>
      <c r="J1075" s="54">
        <v>46230</v>
      </c>
      <c r="K1075" s="54">
        <v>46237</v>
      </c>
      <c r="L1075" s="54">
        <v>46230</v>
      </c>
      <c r="M1075" s="54">
        <v>46237</v>
      </c>
      <c r="O1075" s="51" t="str">
        <f t="shared" si="112"/>
        <v/>
      </c>
      <c r="P1075" s="51" t="str">
        <f t="shared" si="113"/>
        <v/>
      </c>
      <c r="Q1075" s="52" t="str">
        <f t="shared" si="114"/>
        <v/>
      </c>
      <c r="R1075" s="52" t="str">
        <f t="shared" si="115"/>
        <v/>
      </c>
      <c r="S1075" s="51" t="str">
        <f t="shared" si="116"/>
        <v/>
      </c>
      <c r="T1075" t="str">
        <f t="shared" si="117"/>
        <v/>
      </c>
      <c r="U1075" s="52" t="str">
        <f t="shared" si="118"/>
        <v/>
      </c>
    </row>
    <row r="1076" spans="2:21" x14ac:dyDescent="0.25">
      <c r="B1076">
        <v>1119</v>
      </c>
      <c r="E1076" t="s">
        <v>1560</v>
      </c>
      <c r="F1076" t="s">
        <v>1792</v>
      </c>
      <c r="G1076">
        <v>46</v>
      </c>
      <c r="H1076" s="48">
        <v>0</v>
      </c>
      <c r="I1076" s="48">
        <v>0.49519999999999997</v>
      </c>
      <c r="J1076" s="54">
        <v>46237</v>
      </c>
      <c r="K1076" s="54">
        <v>46265</v>
      </c>
      <c r="L1076" s="54">
        <v>46209</v>
      </c>
      <c r="M1076" s="54">
        <v>46254</v>
      </c>
      <c r="O1076" s="51" t="str">
        <f t="shared" si="112"/>
        <v/>
      </c>
      <c r="P1076" s="51" t="str">
        <f t="shared" si="113"/>
        <v/>
      </c>
      <c r="Q1076" s="52" t="str">
        <f t="shared" si="114"/>
        <v/>
      </c>
      <c r="R1076" s="52" t="str">
        <f t="shared" si="115"/>
        <v/>
      </c>
      <c r="S1076" s="51" t="str">
        <f t="shared" si="116"/>
        <v/>
      </c>
      <c r="T1076" t="str">
        <f t="shared" si="117"/>
        <v/>
      </c>
      <c r="U1076" s="52" t="str">
        <f t="shared" si="118"/>
        <v/>
      </c>
    </row>
    <row r="1077" spans="2:21" x14ac:dyDescent="0.25">
      <c r="B1077">
        <v>1120</v>
      </c>
      <c r="E1077" t="s">
        <v>1557</v>
      </c>
      <c r="F1077" t="s">
        <v>1535</v>
      </c>
      <c r="G1077">
        <v>18</v>
      </c>
      <c r="H1077" s="48">
        <v>0</v>
      </c>
      <c r="I1077" s="48">
        <v>0</v>
      </c>
      <c r="J1077" s="54">
        <v>46241</v>
      </c>
      <c r="K1077" s="54">
        <v>46260</v>
      </c>
      <c r="L1077" s="54">
        <v>46237</v>
      </c>
      <c r="M1077" s="54">
        <v>46254</v>
      </c>
      <c r="O1077" s="51" t="str">
        <f t="shared" si="112"/>
        <v/>
      </c>
      <c r="P1077" s="51" t="str">
        <f t="shared" si="113"/>
        <v/>
      </c>
      <c r="Q1077" s="52" t="str">
        <f t="shared" si="114"/>
        <v/>
      </c>
      <c r="R1077" s="52" t="str">
        <f t="shared" si="115"/>
        <v/>
      </c>
      <c r="S1077" s="51" t="str">
        <f t="shared" si="116"/>
        <v/>
      </c>
      <c r="T1077" t="str">
        <f t="shared" si="117"/>
        <v/>
      </c>
      <c r="U1077" s="52" t="str">
        <f t="shared" si="118"/>
        <v/>
      </c>
    </row>
    <row r="1078" spans="2:21" x14ac:dyDescent="0.25">
      <c r="B1078">
        <v>1121</v>
      </c>
      <c r="C1078" t="s">
        <v>186</v>
      </c>
      <c r="D1078" t="s">
        <v>1059</v>
      </c>
      <c r="E1078" t="s">
        <v>1793</v>
      </c>
      <c r="F1078" t="s">
        <v>1535</v>
      </c>
      <c r="G1078">
        <v>18</v>
      </c>
      <c r="H1078" s="48">
        <v>0</v>
      </c>
      <c r="I1078" s="48">
        <v>0</v>
      </c>
      <c r="J1078" s="54">
        <v>46241</v>
      </c>
      <c r="K1078" s="54">
        <v>46260</v>
      </c>
      <c r="L1078" s="54">
        <v>46237</v>
      </c>
      <c r="M1078" s="54">
        <v>46254</v>
      </c>
      <c r="O1078" s="51" t="str">
        <f t="shared" si="112"/>
        <v/>
      </c>
      <c r="P1078" s="51" t="str">
        <f t="shared" si="113"/>
        <v/>
      </c>
      <c r="Q1078" s="52" t="str">
        <f t="shared" si="114"/>
        <v/>
      </c>
      <c r="R1078" s="52" t="str">
        <f t="shared" si="115"/>
        <v/>
      </c>
      <c r="S1078" s="51" t="str">
        <f t="shared" si="116"/>
        <v/>
      </c>
      <c r="T1078" t="str">
        <f t="shared" si="117"/>
        <v/>
      </c>
      <c r="U1078" s="52" t="str">
        <f t="shared" si="118"/>
        <v/>
      </c>
    </row>
    <row r="1079" spans="2:21" x14ac:dyDescent="0.25">
      <c r="B1079">
        <v>1122</v>
      </c>
      <c r="C1079" t="s">
        <v>186</v>
      </c>
      <c r="D1079" t="s">
        <v>1059</v>
      </c>
      <c r="E1079" t="s">
        <v>1515</v>
      </c>
      <c r="F1079" t="s">
        <v>1525</v>
      </c>
      <c r="G1079">
        <v>5</v>
      </c>
      <c r="H1079" s="48">
        <v>0</v>
      </c>
      <c r="I1079" s="48">
        <v>0</v>
      </c>
      <c r="J1079" s="54">
        <v>46241</v>
      </c>
      <c r="K1079" s="54">
        <v>46247</v>
      </c>
      <c r="L1079" s="54">
        <v>46237</v>
      </c>
      <c r="M1079" s="54">
        <v>46241</v>
      </c>
      <c r="O1079" s="51" t="str">
        <f t="shared" si="112"/>
        <v>SIM</v>
      </c>
      <c r="P1079" s="51" t="str">
        <f t="shared" si="113"/>
        <v>BL1132-0001-EM-MCA-2009</v>
      </c>
      <c r="Q1079" s="52">
        <f t="shared" si="114"/>
        <v>46241</v>
      </c>
      <c r="R1079" s="52">
        <f t="shared" si="115"/>
        <v>46247</v>
      </c>
      <c r="S1079" s="51" t="str">
        <f t="shared" si="116"/>
        <v/>
      </c>
      <c r="T1079" t="str">
        <f t="shared" si="117"/>
        <v/>
      </c>
      <c r="U1079" s="52" t="str">
        <f t="shared" si="118"/>
        <v/>
      </c>
    </row>
    <row r="1080" spans="2:21" x14ac:dyDescent="0.25">
      <c r="B1080">
        <v>1123</v>
      </c>
      <c r="C1080" t="s">
        <v>186</v>
      </c>
      <c r="D1080" t="s">
        <v>1059</v>
      </c>
      <c r="E1080" t="s">
        <v>1517</v>
      </c>
      <c r="F1080" t="s">
        <v>1519</v>
      </c>
      <c r="G1080">
        <v>6</v>
      </c>
      <c r="H1080" s="48">
        <v>0</v>
      </c>
      <c r="I1080" s="48">
        <v>0</v>
      </c>
      <c r="J1080" s="54">
        <v>46247</v>
      </c>
      <c r="K1080" s="54">
        <v>46252</v>
      </c>
      <c r="L1080" s="54">
        <v>46241</v>
      </c>
      <c r="M1080" s="54">
        <v>46246</v>
      </c>
      <c r="O1080" s="51" t="str">
        <f t="shared" si="112"/>
        <v/>
      </c>
      <c r="P1080" s="51" t="str">
        <f t="shared" si="113"/>
        <v/>
      </c>
      <c r="Q1080" s="52" t="str">
        <f t="shared" si="114"/>
        <v/>
      </c>
      <c r="R1080" s="52" t="str">
        <f t="shared" si="115"/>
        <v/>
      </c>
      <c r="S1080" s="51" t="str">
        <f t="shared" si="116"/>
        <v/>
      </c>
      <c r="T1080" t="str">
        <f t="shared" si="117"/>
        <v/>
      </c>
      <c r="U1080" s="52" t="str">
        <f t="shared" si="118"/>
        <v/>
      </c>
    </row>
    <row r="1081" spans="2:21" x14ac:dyDescent="0.25">
      <c r="B1081">
        <v>1124</v>
      </c>
      <c r="C1081" t="s">
        <v>186</v>
      </c>
      <c r="D1081" t="s">
        <v>1059</v>
      </c>
      <c r="E1081" t="s">
        <v>1518</v>
      </c>
      <c r="F1081" t="s">
        <v>1519</v>
      </c>
      <c r="G1081">
        <v>6</v>
      </c>
      <c r="H1081" s="48">
        <v>0</v>
      </c>
      <c r="I1081" s="48">
        <v>0</v>
      </c>
      <c r="J1081" s="54">
        <v>46252</v>
      </c>
      <c r="K1081" s="54">
        <v>46255</v>
      </c>
      <c r="L1081" s="54">
        <v>46246</v>
      </c>
      <c r="M1081" s="54">
        <v>46251</v>
      </c>
      <c r="O1081" s="51" t="str">
        <f t="shared" si="112"/>
        <v/>
      </c>
      <c r="P1081" s="51" t="str">
        <f t="shared" si="113"/>
        <v/>
      </c>
      <c r="Q1081" s="52" t="str">
        <f t="shared" si="114"/>
        <v/>
      </c>
      <c r="R1081" s="52" t="str">
        <f t="shared" si="115"/>
        <v/>
      </c>
      <c r="S1081" s="51" t="str">
        <f t="shared" si="116"/>
        <v>SIM</v>
      </c>
      <c r="T1081" t="str">
        <f t="shared" si="117"/>
        <v>BL1132-0001-EM-MCA-2009</v>
      </c>
      <c r="U1081" s="52">
        <f t="shared" si="118"/>
        <v>46251</v>
      </c>
    </row>
    <row r="1082" spans="2:21" x14ac:dyDescent="0.25">
      <c r="B1082">
        <v>1125</v>
      </c>
      <c r="C1082" t="s">
        <v>186</v>
      </c>
      <c r="D1082" t="s">
        <v>1059</v>
      </c>
      <c r="E1082" t="s">
        <v>1520</v>
      </c>
      <c r="F1082" t="s">
        <v>1519</v>
      </c>
      <c r="G1082">
        <v>4</v>
      </c>
      <c r="H1082" s="48">
        <v>0</v>
      </c>
      <c r="I1082" s="48">
        <v>0</v>
      </c>
      <c r="J1082" s="54">
        <v>46255</v>
      </c>
      <c r="K1082" s="54">
        <v>46260</v>
      </c>
      <c r="L1082" s="54">
        <v>46251</v>
      </c>
      <c r="M1082" s="54">
        <v>46254</v>
      </c>
      <c r="O1082" s="51" t="str">
        <f t="shared" si="112"/>
        <v/>
      </c>
      <c r="P1082" s="51" t="str">
        <f t="shared" si="113"/>
        <v/>
      </c>
      <c r="Q1082" s="52" t="str">
        <f t="shared" si="114"/>
        <v/>
      </c>
      <c r="R1082" s="52" t="str">
        <f t="shared" si="115"/>
        <v/>
      </c>
      <c r="S1082" s="51" t="str">
        <f t="shared" si="116"/>
        <v/>
      </c>
      <c r="T1082" t="str">
        <f t="shared" si="117"/>
        <v/>
      </c>
      <c r="U1082" s="52" t="str">
        <f t="shared" si="118"/>
        <v/>
      </c>
    </row>
    <row r="1083" spans="2:21" x14ac:dyDescent="0.25">
      <c r="B1083">
        <v>1126</v>
      </c>
      <c r="E1083" t="s">
        <v>1558</v>
      </c>
      <c r="F1083" t="s">
        <v>1535</v>
      </c>
      <c r="G1083">
        <v>18</v>
      </c>
      <c r="H1083" s="48">
        <v>0</v>
      </c>
      <c r="I1083" s="48">
        <v>0.69330000000000003</v>
      </c>
      <c r="J1083" s="54">
        <v>46237</v>
      </c>
      <c r="K1083" s="54">
        <v>46265</v>
      </c>
      <c r="L1083" s="54">
        <v>46209</v>
      </c>
      <c r="M1083" s="54">
        <v>46226</v>
      </c>
      <c r="O1083" s="51" t="str">
        <f t="shared" si="112"/>
        <v/>
      </c>
      <c r="P1083" s="51" t="str">
        <f t="shared" si="113"/>
        <v/>
      </c>
      <c r="Q1083" s="52" t="str">
        <f t="shared" si="114"/>
        <v/>
      </c>
      <c r="R1083" s="52" t="str">
        <f t="shared" si="115"/>
        <v/>
      </c>
      <c r="S1083" s="51" t="str">
        <f t="shared" si="116"/>
        <v/>
      </c>
      <c r="T1083" t="str">
        <f t="shared" si="117"/>
        <v/>
      </c>
      <c r="U1083" s="52" t="str">
        <f t="shared" si="118"/>
        <v/>
      </c>
    </row>
    <row r="1084" spans="2:21" x14ac:dyDescent="0.25">
      <c r="B1084">
        <v>1137</v>
      </c>
      <c r="C1084" t="s">
        <v>252</v>
      </c>
      <c r="D1084" t="s">
        <v>1269</v>
      </c>
      <c r="E1084" t="s">
        <v>1794</v>
      </c>
      <c r="F1084" t="s">
        <v>1535</v>
      </c>
      <c r="G1084">
        <v>18</v>
      </c>
      <c r="H1084" s="48">
        <v>0</v>
      </c>
      <c r="I1084" s="48">
        <v>0.69330000000000003</v>
      </c>
      <c r="J1084" s="54">
        <v>46246</v>
      </c>
      <c r="K1084" s="54">
        <v>46265</v>
      </c>
      <c r="L1084" s="54">
        <v>46209</v>
      </c>
      <c r="M1084" s="54">
        <v>46226</v>
      </c>
      <c r="O1084" s="51" t="str">
        <f t="shared" si="112"/>
        <v/>
      </c>
      <c r="P1084" s="51" t="str">
        <f t="shared" si="113"/>
        <v/>
      </c>
      <c r="Q1084" s="52" t="str">
        <f t="shared" si="114"/>
        <v/>
      </c>
      <c r="R1084" s="52" t="str">
        <f t="shared" si="115"/>
        <v/>
      </c>
      <c r="S1084" s="51" t="str">
        <f t="shared" si="116"/>
        <v/>
      </c>
      <c r="T1084" t="str">
        <f t="shared" si="117"/>
        <v/>
      </c>
      <c r="U1084" s="52" t="str">
        <f t="shared" si="118"/>
        <v/>
      </c>
    </row>
    <row r="1085" spans="2:21" x14ac:dyDescent="0.25">
      <c r="B1085">
        <v>1138</v>
      </c>
      <c r="C1085" t="s">
        <v>252</v>
      </c>
      <c r="D1085" t="s">
        <v>1269</v>
      </c>
      <c r="E1085" t="s">
        <v>1515</v>
      </c>
      <c r="F1085" t="s">
        <v>1525</v>
      </c>
      <c r="G1085">
        <v>5</v>
      </c>
      <c r="H1085" s="48">
        <v>0</v>
      </c>
      <c r="I1085" s="48">
        <v>1</v>
      </c>
      <c r="J1085" s="54">
        <v>46246</v>
      </c>
      <c r="K1085" s="54">
        <v>46252</v>
      </c>
      <c r="L1085" s="54">
        <v>46209</v>
      </c>
      <c r="M1085" s="54">
        <v>46213</v>
      </c>
      <c r="O1085" s="51" t="str">
        <f t="shared" si="112"/>
        <v>SIM</v>
      </c>
      <c r="P1085" s="51" t="str">
        <f t="shared" si="113"/>
        <v>BL1132-0001-ME-PBC-2008</v>
      </c>
      <c r="Q1085" s="52">
        <f t="shared" si="114"/>
        <v>46213</v>
      </c>
      <c r="R1085" s="52">
        <f t="shared" si="115"/>
        <v>46252</v>
      </c>
      <c r="S1085" s="51" t="str">
        <f t="shared" si="116"/>
        <v/>
      </c>
      <c r="T1085" t="str">
        <f t="shared" si="117"/>
        <v/>
      </c>
      <c r="U1085" s="52" t="str">
        <f t="shared" si="118"/>
        <v/>
      </c>
    </row>
    <row r="1086" spans="2:21" x14ac:dyDescent="0.25">
      <c r="B1086">
        <v>1139</v>
      </c>
      <c r="C1086" t="s">
        <v>252</v>
      </c>
      <c r="D1086" t="s">
        <v>1269</v>
      </c>
      <c r="E1086" t="s">
        <v>1517</v>
      </c>
      <c r="F1086" t="s">
        <v>1519</v>
      </c>
      <c r="G1086">
        <v>6</v>
      </c>
      <c r="H1086" s="48">
        <v>0</v>
      </c>
      <c r="I1086" s="48">
        <v>0</v>
      </c>
      <c r="J1086" s="54">
        <v>46252</v>
      </c>
      <c r="K1086" s="54">
        <v>46255</v>
      </c>
      <c r="L1086" s="54">
        <v>46213</v>
      </c>
      <c r="M1086" s="54">
        <v>46218</v>
      </c>
      <c r="O1086" s="51" t="str">
        <f t="shared" si="112"/>
        <v/>
      </c>
      <c r="P1086" s="51" t="str">
        <f t="shared" si="113"/>
        <v/>
      </c>
      <c r="Q1086" s="52" t="str">
        <f t="shared" si="114"/>
        <v/>
      </c>
      <c r="R1086" s="52" t="str">
        <f t="shared" si="115"/>
        <v/>
      </c>
      <c r="S1086" s="51" t="str">
        <f t="shared" si="116"/>
        <v/>
      </c>
      <c r="T1086" t="str">
        <f t="shared" si="117"/>
        <v/>
      </c>
      <c r="U1086" s="52" t="str">
        <f t="shared" si="118"/>
        <v/>
      </c>
    </row>
    <row r="1087" spans="2:21" x14ac:dyDescent="0.25">
      <c r="B1087">
        <v>1140</v>
      </c>
      <c r="C1087" t="s">
        <v>252</v>
      </c>
      <c r="D1087" t="s">
        <v>1269</v>
      </c>
      <c r="E1087" t="s">
        <v>1518</v>
      </c>
      <c r="F1087" t="s">
        <v>1519</v>
      </c>
      <c r="G1087">
        <v>6</v>
      </c>
      <c r="H1087" s="48">
        <v>0</v>
      </c>
      <c r="I1087" s="48">
        <v>0</v>
      </c>
      <c r="J1087" s="54">
        <v>46255</v>
      </c>
      <c r="K1087" s="54">
        <v>46260</v>
      </c>
      <c r="L1087" s="54">
        <v>46218</v>
      </c>
      <c r="M1087" s="54">
        <v>46223</v>
      </c>
      <c r="O1087" s="51" t="str">
        <f t="shared" si="112"/>
        <v/>
      </c>
      <c r="P1087" s="51" t="str">
        <f t="shared" si="113"/>
        <v/>
      </c>
      <c r="Q1087" s="52" t="str">
        <f t="shared" si="114"/>
        <v/>
      </c>
      <c r="R1087" s="52" t="str">
        <f t="shared" si="115"/>
        <v/>
      </c>
      <c r="S1087" s="51" t="str">
        <f t="shared" si="116"/>
        <v>SIM</v>
      </c>
      <c r="T1087" t="str">
        <f t="shared" si="117"/>
        <v>BL1132-0001-ME-PBC-2008</v>
      </c>
      <c r="U1087" s="52">
        <f t="shared" si="118"/>
        <v>46223</v>
      </c>
    </row>
    <row r="1088" spans="2:21" x14ac:dyDescent="0.25">
      <c r="B1088">
        <v>1141</v>
      </c>
      <c r="C1088" t="s">
        <v>252</v>
      </c>
      <c r="D1088" t="s">
        <v>1269</v>
      </c>
      <c r="E1088" t="s">
        <v>1520</v>
      </c>
      <c r="F1088" t="s">
        <v>1519</v>
      </c>
      <c r="G1088">
        <v>4</v>
      </c>
      <c r="H1088" s="48">
        <v>0</v>
      </c>
      <c r="I1088" s="48">
        <v>0</v>
      </c>
      <c r="J1088" s="54">
        <v>46260</v>
      </c>
      <c r="K1088" s="54">
        <v>46265</v>
      </c>
      <c r="L1088" s="54">
        <v>46223</v>
      </c>
      <c r="M1088" s="54">
        <v>46226</v>
      </c>
      <c r="O1088" s="51" t="str">
        <f t="shared" si="112"/>
        <v/>
      </c>
      <c r="P1088" s="51" t="str">
        <f t="shared" si="113"/>
        <v/>
      </c>
      <c r="Q1088" s="52" t="str">
        <f t="shared" si="114"/>
        <v/>
      </c>
      <c r="R1088" s="52" t="str">
        <f t="shared" si="115"/>
        <v/>
      </c>
      <c r="S1088" s="51" t="str">
        <f t="shared" si="116"/>
        <v/>
      </c>
      <c r="T1088" t="str">
        <f t="shared" si="117"/>
        <v/>
      </c>
      <c r="U1088" s="52" t="str">
        <f t="shared" si="118"/>
        <v/>
      </c>
    </row>
    <row r="1089" spans="2:21" x14ac:dyDescent="0.25">
      <c r="B1089">
        <v>1142</v>
      </c>
      <c r="E1089" t="s">
        <v>1478</v>
      </c>
      <c r="F1089" t="s">
        <v>1479</v>
      </c>
      <c r="G1089">
        <v>45</v>
      </c>
      <c r="H1089" s="48">
        <v>0</v>
      </c>
      <c r="I1089" s="48">
        <v>0</v>
      </c>
      <c r="J1089" s="54">
        <v>46232</v>
      </c>
      <c r="K1089" s="54">
        <v>46283</v>
      </c>
      <c r="L1089" s="54">
        <v>46232</v>
      </c>
      <c r="M1089" s="54">
        <v>46276</v>
      </c>
      <c r="O1089" s="51" t="str">
        <f t="shared" si="112"/>
        <v/>
      </c>
      <c r="P1089" s="51" t="str">
        <f t="shared" si="113"/>
        <v/>
      </c>
      <c r="Q1089" s="52" t="str">
        <f t="shared" si="114"/>
        <v/>
      </c>
      <c r="R1089" s="52" t="str">
        <f t="shared" si="115"/>
        <v/>
      </c>
      <c r="S1089" s="51" t="str">
        <f t="shared" si="116"/>
        <v/>
      </c>
      <c r="T1089" t="str">
        <f t="shared" si="117"/>
        <v/>
      </c>
      <c r="U1089" s="52" t="str">
        <f t="shared" si="118"/>
        <v/>
      </c>
    </row>
    <row r="1090" spans="2:21" x14ac:dyDescent="0.25">
      <c r="B1090">
        <v>1143</v>
      </c>
      <c r="E1090" t="s">
        <v>1795</v>
      </c>
      <c r="F1090" t="s">
        <v>1479</v>
      </c>
      <c r="G1090">
        <v>45</v>
      </c>
      <c r="H1090" s="48">
        <v>0</v>
      </c>
      <c r="I1090" s="48">
        <v>0</v>
      </c>
      <c r="J1090" s="54">
        <v>46232</v>
      </c>
      <c r="K1090" s="54">
        <v>46283</v>
      </c>
      <c r="L1090" s="54">
        <v>46232</v>
      </c>
      <c r="M1090" s="54">
        <v>46276</v>
      </c>
      <c r="O1090" s="51" t="str">
        <f t="shared" si="112"/>
        <v/>
      </c>
      <c r="P1090" s="51" t="str">
        <f t="shared" si="113"/>
        <v/>
      </c>
      <c r="Q1090" s="52" t="str">
        <f t="shared" si="114"/>
        <v/>
      </c>
      <c r="R1090" s="52" t="str">
        <f t="shared" si="115"/>
        <v/>
      </c>
      <c r="S1090" s="51" t="str">
        <f t="shared" si="116"/>
        <v/>
      </c>
      <c r="T1090" t="str">
        <f t="shared" si="117"/>
        <v/>
      </c>
      <c r="U1090" s="52" t="str">
        <f t="shared" si="118"/>
        <v/>
      </c>
    </row>
    <row r="1091" spans="2:21" x14ac:dyDescent="0.25">
      <c r="B1091">
        <v>1144</v>
      </c>
      <c r="E1091" t="s">
        <v>1796</v>
      </c>
      <c r="F1091" t="s">
        <v>1479</v>
      </c>
      <c r="G1091">
        <v>45</v>
      </c>
      <c r="H1091" s="48">
        <v>0</v>
      </c>
      <c r="I1091" s="48">
        <v>0</v>
      </c>
      <c r="J1091" s="54">
        <v>46232</v>
      </c>
      <c r="K1091" s="54">
        <v>46283</v>
      </c>
      <c r="L1091" s="54">
        <v>46232</v>
      </c>
      <c r="M1091" s="54">
        <v>46276</v>
      </c>
      <c r="O1091" s="51" t="str">
        <f t="shared" ref="O1091:O1154" si="119">IF(OR(E1091 = "                           1 - Emissão Inicial",E1091="                  1 - Emissão após Design Review 1",E1091 = "                  1 - Emissão para conhecimento",E1091 = "                  1 - Emissão Final",E1091 = "         Lista de Documentos",E1091 = "         Elaboração do cronograma",E1091 = "         Norma de Coordenação"), "SIM", "")</f>
        <v/>
      </c>
      <c r="P1091" s="51" t="str">
        <f t="shared" ref="P1091:P1154" si="120">IF(O1091="SIM",C1091,"")</f>
        <v/>
      </c>
      <c r="Q1091" s="52" t="str">
        <f t="shared" ref="Q1091:Q1154" si="121">IF(O1091="SIM",M1091,"")</f>
        <v/>
      </c>
      <c r="R1091" s="52" t="str">
        <f t="shared" ref="R1091:R1154" si="122">IF(O1091="SIM",K1091,"")</f>
        <v/>
      </c>
      <c r="S1091" s="51" t="str">
        <f t="shared" ref="S1091:S1154" si="123">IF(OR(E1091 = "                           3 - Atendimento de Comentários",E1091="                  1 - Emissão após Design Review 1",E1091 = "                  1 - Emissão para conhecimento",E1091 = "                  1 - Emissão Final",E1091 = "         Lista de Documentos",E1091 = "         Elaboração do cronograma",E1091 = "         Norma de Coordenação"), "SIM", "")</f>
        <v/>
      </c>
      <c r="T1091" t="str">
        <f t="shared" ref="T1091:T1154" si="124">IF(S1091="SIM",C1091,"")</f>
        <v/>
      </c>
      <c r="U1091" s="52" t="str">
        <f t="shared" ref="U1091:U1154" si="125">IF(S1091="SIM",M1091,"")</f>
        <v/>
      </c>
    </row>
    <row r="1092" spans="2:21" x14ac:dyDescent="0.25">
      <c r="B1092">
        <v>1145</v>
      </c>
      <c r="E1092" t="s">
        <v>1797</v>
      </c>
      <c r="F1092" t="s">
        <v>1645</v>
      </c>
      <c r="G1092">
        <v>44</v>
      </c>
      <c r="H1092" s="48">
        <v>0</v>
      </c>
      <c r="I1092" s="48">
        <v>0</v>
      </c>
      <c r="J1092" s="54">
        <v>46232</v>
      </c>
      <c r="K1092" s="54">
        <v>46275</v>
      </c>
      <c r="L1092" s="54">
        <v>46232</v>
      </c>
      <c r="M1092" s="54">
        <v>46275</v>
      </c>
      <c r="O1092" s="51" t="str">
        <f t="shared" si="119"/>
        <v/>
      </c>
      <c r="P1092" s="51" t="str">
        <f t="shared" si="120"/>
        <v/>
      </c>
      <c r="Q1092" s="52" t="str">
        <f t="shared" si="121"/>
        <v/>
      </c>
      <c r="R1092" s="52" t="str">
        <f t="shared" si="122"/>
        <v/>
      </c>
      <c r="S1092" s="51" t="str">
        <f t="shared" si="123"/>
        <v/>
      </c>
      <c r="T1092" t="str">
        <f t="shared" si="124"/>
        <v/>
      </c>
      <c r="U1092" s="52" t="str">
        <f t="shared" si="125"/>
        <v/>
      </c>
    </row>
    <row r="1093" spans="2:21" x14ac:dyDescent="0.25">
      <c r="B1093">
        <v>1146</v>
      </c>
      <c r="E1093" t="s">
        <v>1555</v>
      </c>
      <c r="F1093" t="s">
        <v>1528</v>
      </c>
      <c r="G1093">
        <v>8</v>
      </c>
      <c r="H1093" s="48">
        <v>0</v>
      </c>
      <c r="I1093" s="48">
        <v>0</v>
      </c>
      <c r="J1093" s="54">
        <v>46232</v>
      </c>
      <c r="K1093" s="54">
        <v>46239</v>
      </c>
      <c r="L1093" s="54">
        <v>46232</v>
      </c>
      <c r="M1093" s="54">
        <v>46239</v>
      </c>
      <c r="O1093" s="51" t="str">
        <f t="shared" si="119"/>
        <v/>
      </c>
      <c r="P1093" s="51" t="str">
        <f t="shared" si="120"/>
        <v/>
      </c>
      <c r="Q1093" s="52" t="str">
        <f t="shared" si="121"/>
        <v/>
      </c>
      <c r="R1093" s="52" t="str">
        <f t="shared" si="122"/>
        <v/>
      </c>
      <c r="S1093" s="51" t="str">
        <f t="shared" si="123"/>
        <v/>
      </c>
      <c r="T1093" t="str">
        <f t="shared" si="124"/>
        <v/>
      </c>
      <c r="U1093" s="52" t="str">
        <f t="shared" si="125"/>
        <v/>
      </c>
    </row>
    <row r="1094" spans="2:21" x14ac:dyDescent="0.25">
      <c r="B1094">
        <v>1147</v>
      </c>
      <c r="E1094" t="s">
        <v>1589</v>
      </c>
      <c r="F1094" t="s">
        <v>1528</v>
      </c>
      <c r="G1094">
        <v>8</v>
      </c>
      <c r="H1094" s="48">
        <v>0</v>
      </c>
      <c r="I1094" s="48">
        <v>0</v>
      </c>
      <c r="J1094" s="54">
        <v>46232</v>
      </c>
      <c r="K1094" s="54">
        <v>46239</v>
      </c>
      <c r="L1094" s="54">
        <v>46232</v>
      </c>
      <c r="M1094" s="54">
        <v>46239</v>
      </c>
      <c r="O1094" s="51" t="str">
        <f t="shared" si="119"/>
        <v/>
      </c>
      <c r="P1094" s="51" t="str">
        <f t="shared" si="120"/>
        <v/>
      </c>
      <c r="Q1094" s="52" t="str">
        <f t="shared" si="121"/>
        <v/>
      </c>
      <c r="R1094" s="52" t="str">
        <f t="shared" si="122"/>
        <v/>
      </c>
      <c r="S1094" s="51" t="str">
        <f t="shared" si="123"/>
        <v/>
      </c>
      <c r="T1094" t="str">
        <f t="shared" si="124"/>
        <v/>
      </c>
      <c r="U1094" s="52" t="str">
        <f t="shared" si="125"/>
        <v/>
      </c>
    </row>
    <row r="1095" spans="2:21" x14ac:dyDescent="0.25">
      <c r="B1095">
        <v>1148</v>
      </c>
      <c r="E1095" t="s">
        <v>1560</v>
      </c>
      <c r="F1095" t="s">
        <v>1687</v>
      </c>
      <c r="G1095">
        <v>30</v>
      </c>
      <c r="H1095" s="48">
        <v>0</v>
      </c>
      <c r="I1095" s="48">
        <v>0</v>
      </c>
      <c r="J1095" s="54">
        <v>46246</v>
      </c>
      <c r="K1095" s="54">
        <v>46275</v>
      </c>
      <c r="L1095" s="54">
        <v>46246</v>
      </c>
      <c r="M1095" s="54">
        <v>46275</v>
      </c>
      <c r="O1095" s="51" t="str">
        <f t="shared" si="119"/>
        <v/>
      </c>
      <c r="P1095" s="51" t="str">
        <f t="shared" si="120"/>
        <v/>
      </c>
      <c r="Q1095" s="52" t="str">
        <f t="shared" si="121"/>
        <v/>
      </c>
      <c r="R1095" s="52" t="str">
        <f t="shared" si="122"/>
        <v/>
      </c>
      <c r="S1095" s="51" t="str">
        <f t="shared" si="123"/>
        <v/>
      </c>
      <c r="T1095" t="str">
        <f t="shared" si="124"/>
        <v/>
      </c>
      <c r="U1095" s="52" t="str">
        <f t="shared" si="125"/>
        <v/>
      </c>
    </row>
    <row r="1096" spans="2:21" x14ac:dyDescent="0.25">
      <c r="B1096">
        <v>1149</v>
      </c>
      <c r="E1096" t="s">
        <v>1798</v>
      </c>
      <c r="F1096" t="s">
        <v>1687</v>
      </c>
      <c r="G1096">
        <v>30</v>
      </c>
      <c r="H1096" s="48">
        <v>0</v>
      </c>
      <c r="I1096" s="48">
        <v>0</v>
      </c>
      <c r="J1096" s="54">
        <v>46246</v>
      </c>
      <c r="K1096" s="54">
        <v>46275</v>
      </c>
      <c r="L1096" s="54">
        <v>46246</v>
      </c>
      <c r="M1096" s="54">
        <v>46275</v>
      </c>
      <c r="O1096" s="51" t="str">
        <f t="shared" si="119"/>
        <v/>
      </c>
      <c r="P1096" s="51" t="str">
        <f t="shared" si="120"/>
        <v/>
      </c>
      <c r="Q1096" s="52" t="str">
        <f t="shared" si="121"/>
        <v/>
      </c>
      <c r="R1096" s="52" t="str">
        <f t="shared" si="122"/>
        <v/>
      </c>
      <c r="S1096" s="51" t="str">
        <f t="shared" si="123"/>
        <v/>
      </c>
      <c r="T1096" t="str">
        <f t="shared" si="124"/>
        <v/>
      </c>
      <c r="U1096" s="52" t="str">
        <f t="shared" si="125"/>
        <v/>
      </c>
    </row>
    <row r="1097" spans="2:21" x14ac:dyDescent="0.25">
      <c r="B1097">
        <v>1150</v>
      </c>
      <c r="C1097" t="s">
        <v>123</v>
      </c>
      <c r="D1097" t="s">
        <v>802</v>
      </c>
      <c r="E1097" t="s">
        <v>1799</v>
      </c>
      <c r="F1097" t="s">
        <v>1527</v>
      </c>
      <c r="G1097">
        <v>21</v>
      </c>
      <c r="H1097" s="48">
        <v>0</v>
      </c>
      <c r="I1097" s="48">
        <v>0</v>
      </c>
      <c r="J1097" s="54">
        <v>46246</v>
      </c>
      <c r="K1097" s="54">
        <v>46266</v>
      </c>
      <c r="L1097" s="54">
        <v>46246</v>
      </c>
      <c r="M1097" s="54">
        <v>46266</v>
      </c>
      <c r="O1097" s="51" t="str">
        <f t="shared" si="119"/>
        <v/>
      </c>
      <c r="P1097" s="51" t="str">
        <f t="shared" si="120"/>
        <v/>
      </c>
      <c r="Q1097" s="52" t="str">
        <f t="shared" si="121"/>
        <v/>
      </c>
      <c r="R1097" s="52" t="str">
        <f t="shared" si="122"/>
        <v/>
      </c>
      <c r="S1097" s="51" t="str">
        <f t="shared" si="123"/>
        <v/>
      </c>
      <c r="T1097" t="str">
        <f t="shared" si="124"/>
        <v/>
      </c>
      <c r="U1097" s="52" t="str">
        <f t="shared" si="125"/>
        <v/>
      </c>
    </row>
    <row r="1098" spans="2:21" x14ac:dyDescent="0.25">
      <c r="B1098">
        <v>1151</v>
      </c>
      <c r="C1098" t="s">
        <v>123</v>
      </c>
      <c r="D1098" t="s">
        <v>802</v>
      </c>
      <c r="E1098" t="s">
        <v>1515</v>
      </c>
      <c r="F1098" t="s">
        <v>1528</v>
      </c>
      <c r="G1098">
        <v>8</v>
      </c>
      <c r="H1098" s="48">
        <v>0</v>
      </c>
      <c r="I1098" s="48">
        <v>0</v>
      </c>
      <c r="J1098" s="54">
        <v>46246</v>
      </c>
      <c r="K1098" s="54">
        <v>46253</v>
      </c>
      <c r="L1098" s="54">
        <v>46246</v>
      </c>
      <c r="M1098" s="54">
        <v>46253</v>
      </c>
      <c r="O1098" s="51" t="str">
        <f t="shared" si="119"/>
        <v>SIM</v>
      </c>
      <c r="P1098" s="51" t="str">
        <f t="shared" si="120"/>
        <v>BL1132-0001-CI-MCA-2005</v>
      </c>
      <c r="Q1098" s="52">
        <f t="shared" si="121"/>
        <v>46253</v>
      </c>
      <c r="R1098" s="52">
        <f t="shared" si="122"/>
        <v>46253</v>
      </c>
      <c r="S1098" s="51" t="str">
        <f t="shared" si="123"/>
        <v/>
      </c>
      <c r="T1098" t="str">
        <f t="shared" si="124"/>
        <v/>
      </c>
      <c r="U1098" s="52" t="str">
        <f t="shared" si="125"/>
        <v/>
      </c>
    </row>
    <row r="1099" spans="2:21" x14ac:dyDescent="0.25">
      <c r="B1099">
        <v>1152</v>
      </c>
      <c r="C1099" t="s">
        <v>123</v>
      </c>
      <c r="D1099" t="s">
        <v>802</v>
      </c>
      <c r="E1099" t="s">
        <v>1517</v>
      </c>
      <c r="F1099" t="s">
        <v>1519</v>
      </c>
      <c r="G1099">
        <v>6</v>
      </c>
      <c r="H1099" s="48">
        <v>0</v>
      </c>
      <c r="I1099" s="48">
        <v>0</v>
      </c>
      <c r="J1099" s="54">
        <v>46253</v>
      </c>
      <c r="K1099" s="54">
        <v>46258</v>
      </c>
      <c r="L1099" s="54">
        <v>46253</v>
      </c>
      <c r="M1099" s="54">
        <v>46258</v>
      </c>
      <c r="O1099" s="51" t="str">
        <f t="shared" si="119"/>
        <v/>
      </c>
      <c r="P1099" s="51" t="str">
        <f t="shared" si="120"/>
        <v/>
      </c>
      <c r="Q1099" s="52" t="str">
        <f t="shared" si="121"/>
        <v/>
      </c>
      <c r="R1099" s="52" t="str">
        <f t="shared" si="122"/>
        <v/>
      </c>
      <c r="S1099" s="51" t="str">
        <f t="shared" si="123"/>
        <v/>
      </c>
      <c r="T1099" t="str">
        <f t="shared" si="124"/>
        <v/>
      </c>
      <c r="U1099" s="52" t="str">
        <f t="shared" si="125"/>
        <v/>
      </c>
    </row>
    <row r="1100" spans="2:21" x14ac:dyDescent="0.25">
      <c r="B1100">
        <v>1153</v>
      </c>
      <c r="C1100" t="s">
        <v>123</v>
      </c>
      <c r="D1100" t="s">
        <v>802</v>
      </c>
      <c r="E1100" t="s">
        <v>1518</v>
      </c>
      <c r="F1100" t="s">
        <v>1519</v>
      </c>
      <c r="G1100">
        <v>4</v>
      </c>
      <c r="H1100" s="48">
        <v>0</v>
      </c>
      <c r="I1100" s="48">
        <v>0</v>
      </c>
      <c r="J1100" s="54">
        <v>46258</v>
      </c>
      <c r="K1100" s="54">
        <v>46261</v>
      </c>
      <c r="L1100" s="54">
        <v>46258</v>
      </c>
      <c r="M1100" s="54">
        <v>46261</v>
      </c>
      <c r="O1100" s="51" t="str">
        <f t="shared" si="119"/>
        <v/>
      </c>
      <c r="P1100" s="51" t="str">
        <f t="shared" si="120"/>
        <v/>
      </c>
      <c r="Q1100" s="52" t="str">
        <f t="shared" si="121"/>
        <v/>
      </c>
      <c r="R1100" s="52" t="str">
        <f t="shared" si="122"/>
        <v/>
      </c>
      <c r="S1100" s="51" t="str">
        <f t="shared" si="123"/>
        <v>SIM</v>
      </c>
      <c r="T1100" t="str">
        <f t="shared" si="124"/>
        <v>BL1132-0001-CI-MCA-2005</v>
      </c>
      <c r="U1100" s="52">
        <f t="shared" si="125"/>
        <v>46261</v>
      </c>
    </row>
    <row r="1101" spans="2:21" x14ac:dyDescent="0.25">
      <c r="B1101">
        <v>1154</v>
      </c>
      <c r="C1101" t="s">
        <v>123</v>
      </c>
      <c r="D1101" t="s">
        <v>802</v>
      </c>
      <c r="E1101" t="s">
        <v>1520</v>
      </c>
      <c r="F1101" t="s">
        <v>1519</v>
      </c>
      <c r="G1101">
        <v>6</v>
      </c>
      <c r="H1101" s="48">
        <v>0</v>
      </c>
      <c r="I1101" s="48">
        <v>0</v>
      </c>
      <c r="J1101" s="54">
        <v>46261</v>
      </c>
      <c r="K1101" s="54">
        <v>46266</v>
      </c>
      <c r="L1101" s="54">
        <v>46261</v>
      </c>
      <c r="M1101" s="54">
        <v>46266</v>
      </c>
      <c r="O1101" s="51" t="str">
        <f t="shared" si="119"/>
        <v/>
      </c>
      <c r="P1101" s="51" t="str">
        <f t="shared" si="120"/>
        <v/>
      </c>
      <c r="Q1101" s="52" t="str">
        <f t="shared" si="121"/>
        <v/>
      </c>
      <c r="R1101" s="52" t="str">
        <f t="shared" si="122"/>
        <v/>
      </c>
      <c r="S1101" s="51" t="str">
        <f t="shared" si="123"/>
        <v/>
      </c>
      <c r="T1101" t="str">
        <f t="shared" si="124"/>
        <v/>
      </c>
      <c r="U1101" s="52" t="str">
        <f t="shared" si="125"/>
        <v/>
      </c>
    </row>
    <row r="1102" spans="2:21" x14ac:dyDescent="0.25">
      <c r="B1102">
        <v>1155</v>
      </c>
      <c r="C1102" t="s">
        <v>125</v>
      </c>
      <c r="D1102" t="s">
        <v>812</v>
      </c>
      <c r="E1102" t="s">
        <v>1800</v>
      </c>
      <c r="F1102" t="s">
        <v>1559</v>
      </c>
      <c r="G1102">
        <v>17</v>
      </c>
      <c r="H1102" s="48">
        <v>0</v>
      </c>
      <c r="I1102" s="48">
        <v>0</v>
      </c>
      <c r="J1102" s="54">
        <v>46253</v>
      </c>
      <c r="K1102" s="54">
        <v>46269</v>
      </c>
      <c r="L1102" s="54">
        <v>46253</v>
      </c>
      <c r="M1102" s="54">
        <v>46269</v>
      </c>
      <c r="O1102" s="51" t="str">
        <f t="shared" si="119"/>
        <v/>
      </c>
      <c r="P1102" s="51" t="str">
        <f t="shared" si="120"/>
        <v/>
      </c>
      <c r="Q1102" s="52" t="str">
        <f t="shared" si="121"/>
        <v/>
      </c>
      <c r="R1102" s="52" t="str">
        <f t="shared" si="122"/>
        <v/>
      </c>
      <c r="S1102" s="51" t="str">
        <f t="shared" si="123"/>
        <v/>
      </c>
      <c r="T1102" t="str">
        <f t="shared" si="124"/>
        <v/>
      </c>
      <c r="U1102" s="52" t="str">
        <f t="shared" si="125"/>
        <v/>
      </c>
    </row>
    <row r="1103" spans="2:21" x14ac:dyDescent="0.25">
      <c r="B1103">
        <v>1156</v>
      </c>
      <c r="C1103" t="s">
        <v>125</v>
      </c>
      <c r="D1103" t="s">
        <v>812</v>
      </c>
      <c r="E1103" t="s">
        <v>1515</v>
      </c>
      <c r="F1103" t="s">
        <v>1519</v>
      </c>
      <c r="G1103">
        <v>6</v>
      </c>
      <c r="H1103" s="48">
        <v>0</v>
      </c>
      <c r="I1103" s="48">
        <v>0</v>
      </c>
      <c r="J1103" s="54">
        <v>46253</v>
      </c>
      <c r="K1103" s="54">
        <v>46258</v>
      </c>
      <c r="L1103" s="54">
        <v>46253</v>
      </c>
      <c r="M1103" s="54">
        <v>46258</v>
      </c>
      <c r="O1103" s="51" t="str">
        <f t="shared" si="119"/>
        <v>SIM</v>
      </c>
      <c r="P1103" s="51" t="str">
        <f t="shared" si="120"/>
        <v>BL1132-0001-CI-PQU-2000</v>
      </c>
      <c r="Q1103" s="52">
        <f t="shared" si="121"/>
        <v>46258</v>
      </c>
      <c r="R1103" s="52">
        <f t="shared" si="122"/>
        <v>46258</v>
      </c>
      <c r="S1103" s="51" t="str">
        <f t="shared" si="123"/>
        <v/>
      </c>
      <c r="T1103" t="str">
        <f t="shared" si="124"/>
        <v/>
      </c>
      <c r="U1103" s="52" t="str">
        <f t="shared" si="125"/>
        <v/>
      </c>
    </row>
    <row r="1104" spans="2:21" x14ac:dyDescent="0.25">
      <c r="B1104">
        <v>1157</v>
      </c>
      <c r="C1104" t="s">
        <v>125</v>
      </c>
      <c r="D1104" t="s">
        <v>812</v>
      </c>
      <c r="E1104" t="s">
        <v>1517</v>
      </c>
      <c r="F1104" t="s">
        <v>1519</v>
      </c>
      <c r="G1104">
        <v>4</v>
      </c>
      <c r="H1104" s="48">
        <v>0</v>
      </c>
      <c r="I1104" s="48">
        <v>0</v>
      </c>
      <c r="J1104" s="54">
        <v>46258</v>
      </c>
      <c r="K1104" s="54">
        <v>46261</v>
      </c>
      <c r="L1104" s="54">
        <v>46258</v>
      </c>
      <c r="M1104" s="54">
        <v>46261</v>
      </c>
      <c r="O1104" s="51" t="str">
        <f t="shared" si="119"/>
        <v/>
      </c>
      <c r="P1104" s="51" t="str">
        <f t="shared" si="120"/>
        <v/>
      </c>
      <c r="Q1104" s="52" t="str">
        <f t="shared" si="121"/>
        <v/>
      </c>
      <c r="R1104" s="52" t="str">
        <f t="shared" si="122"/>
        <v/>
      </c>
      <c r="S1104" s="51" t="str">
        <f t="shared" si="123"/>
        <v/>
      </c>
      <c r="T1104" t="str">
        <f t="shared" si="124"/>
        <v/>
      </c>
      <c r="U1104" s="52" t="str">
        <f t="shared" si="125"/>
        <v/>
      </c>
    </row>
    <row r="1105" spans="2:21" x14ac:dyDescent="0.25">
      <c r="B1105">
        <v>1158</v>
      </c>
      <c r="C1105" t="s">
        <v>125</v>
      </c>
      <c r="D1105" t="s">
        <v>812</v>
      </c>
      <c r="E1105" t="s">
        <v>1518</v>
      </c>
      <c r="F1105" t="s">
        <v>1519</v>
      </c>
      <c r="G1105">
        <v>6</v>
      </c>
      <c r="H1105" s="48">
        <v>0</v>
      </c>
      <c r="I1105" s="48">
        <v>0</v>
      </c>
      <c r="J1105" s="54">
        <v>46261</v>
      </c>
      <c r="K1105" s="54">
        <v>46266</v>
      </c>
      <c r="L1105" s="54">
        <v>46261</v>
      </c>
      <c r="M1105" s="54">
        <v>46266</v>
      </c>
      <c r="O1105" s="51" t="str">
        <f t="shared" si="119"/>
        <v/>
      </c>
      <c r="P1105" s="51" t="str">
        <f t="shared" si="120"/>
        <v/>
      </c>
      <c r="Q1105" s="52" t="str">
        <f t="shared" si="121"/>
        <v/>
      </c>
      <c r="R1105" s="52" t="str">
        <f t="shared" si="122"/>
        <v/>
      </c>
      <c r="S1105" s="51" t="str">
        <f t="shared" si="123"/>
        <v>SIM</v>
      </c>
      <c r="T1105" t="str">
        <f t="shared" si="124"/>
        <v>BL1132-0001-CI-PQU-2000</v>
      </c>
      <c r="U1105" s="52">
        <f t="shared" si="125"/>
        <v>46266</v>
      </c>
    </row>
    <row r="1106" spans="2:21" x14ac:dyDescent="0.25">
      <c r="B1106">
        <v>1159</v>
      </c>
      <c r="C1106" t="s">
        <v>125</v>
      </c>
      <c r="D1106" t="s">
        <v>812</v>
      </c>
      <c r="E1106" t="s">
        <v>1520</v>
      </c>
      <c r="F1106" t="s">
        <v>1519</v>
      </c>
      <c r="G1106">
        <v>4</v>
      </c>
      <c r="H1106" s="48">
        <v>0</v>
      </c>
      <c r="I1106" s="48">
        <v>0</v>
      </c>
      <c r="J1106" s="54">
        <v>46266</v>
      </c>
      <c r="K1106" s="54">
        <v>46269</v>
      </c>
      <c r="L1106" s="54">
        <v>46266</v>
      </c>
      <c r="M1106" s="54">
        <v>46269</v>
      </c>
      <c r="O1106" s="51" t="str">
        <f t="shared" si="119"/>
        <v/>
      </c>
      <c r="P1106" s="51" t="str">
        <f t="shared" si="120"/>
        <v/>
      </c>
      <c r="Q1106" s="52" t="str">
        <f t="shared" si="121"/>
        <v/>
      </c>
      <c r="R1106" s="52" t="str">
        <f t="shared" si="122"/>
        <v/>
      </c>
      <c r="S1106" s="51" t="str">
        <f t="shared" si="123"/>
        <v/>
      </c>
      <c r="T1106" t="str">
        <f t="shared" si="124"/>
        <v/>
      </c>
      <c r="U1106" s="52" t="str">
        <f t="shared" si="125"/>
        <v/>
      </c>
    </row>
    <row r="1107" spans="2:21" x14ac:dyDescent="0.25">
      <c r="B1107">
        <v>1160</v>
      </c>
      <c r="C1107" t="s">
        <v>126</v>
      </c>
      <c r="D1107" t="s">
        <v>816</v>
      </c>
      <c r="E1107" t="s">
        <v>1801</v>
      </c>
      <c r="F1107" t="s">
        <v>1559</v>
      </c>
      <c r="G1107">
        <v>18</v>
      </c>
      <c r="H1107" s="48">
        <v>0</v>
      </c>
      <c r="I1107" s="48">
        <v>0</v>
      </c>
      <c r="J1107" s="54">
        <v>46258</v>
      </c>
      <c r="K1107" s="54">
        <v>46275</v>
      </c>
      <c r="L1107" s="54">
        <v>46258</v>
      </c>
      <c r="M1107" s="54">
        <v>46275</v>
      </c>
      <c r="O1107" s="51" t="str">
        <f t="shared" si="119"/>
        <v/>
      </c>
      <c r="P1107" s="51" t="str">
        <f t="shared" si="120"/>
        <v/>
      </c>
      <c r="Q1107" s="52" t="str">
        <f t="shared" si="121"/>
        <v/>
      </c>
      <c r="R1107" s="52" t="str">
        <f t="shared" si="122"/>
        <v/>
      </c>
      <c r="S1107" s="51" t="str">
        <f t="shared" si="123"/>
        <v/>
      </c>
      <c r="T1107" t="str">
        <f t="shared" si="124"/>
        <v/>
      </c>
      <c r="U1107" s="52" t="str">
        <f t="shared" si="125"/>
        <v/>
      </c>
    </row>
    <row r="1108" spans="2:21" x14ac:dyDescent="0.25">
      <c r="B1108">
        <v>1161</v>
      </c>
      <c r="C1108" t="s">
        <v>126</v>
      </c>
      <c r="D1108" t="s">
        <v>816</v>
      </c>
      <c r="E1108" t="s">
        <v>1515</v>
      </c>
      <c r="F1108" t="s">
        <v>1519</v>
      </c>
      <c r="G1108">
        <v>4</v>
      </c>
      <c r="H1108" s="48">
        <v>0</v>
      </c>
      <c r="I1108" s="48">
        <v>0</v>
      </c>
      <c r="J1108" s="54">
        <v>46258</v>
      </c>
      <c r="K1108" s="54">
        <v>46261</v>
      </c>
      <c r="L1108" s="54">
        <v>46258</v>
      </c>
      <c r="M1108" s="54">
        <v>46261</v>
      </c>
      <c r="O1108" s="51" t="str">
        <f t="shared" si="119"/>
        <v>SIM</v>
      </c>
      <c r="P1108" s="51" t="str">
        <f t="shared" si="120"/>
        <v>BL1132-0001-CI-PQU-2001</v>
      </c>
      <c r="Q1108" s="52">
        <f t="shared" si="121"/>
        <v>46261</v>
      </c>
      <c r="R1108" s="52">
        <f t="shared" si="122"/>
        <v>46261</v>
      </c>
      <c r="S1108" s="51" t="str">
        <f t="shared" si="123"/>
        <v/>
      </c>
      <c r="T1108" t="str">
        <f t="shared" si="124"/>
        <v/>
      </c>
      <c r="U1108" s="52" t="str">
        <f t="shared" si="125"/>
        <v/>
      </c>
    </row>
    <row r="1109" spans="2:21" x14ac:dyDescent="0.25">
      <c r="B1109">
        <v>1162</v>
      </c>
      <c r="C1109" t="s">
        <v>126</v>
      </c>
      <c r="D1109" t="s">
        <v>816</v>
      </c>
      <c r="E1109" t="s">
        <v>1517</v>
      </c>
      <c r="F1109" t="s">
        <v>1519</v>
      </c>
      <c r="G1109">
        <v>6</v>
      </c>
      <c r="H1109" s="48">
        <v>0</v>
      </c>
      <c r="I1109" s="48">
        <v>0</v>
      </c>
      <c r="J1109" s="54">
        <v>46261</v>
      </c>
      <c r="K1109" s="54">
        <v>46266</v>
      </c>
      <c r="L1109" s="54">
        <v>46261</v>
      </c>
      <c r="M1109" s="54">
        <v>46266</v>
      </c>
      <c r="O1109" s="51" t="str">
        <f t="shared" si="119"/>
        <v/>
      </c>
      <c r="P1109" s="51" t="str">
        <f t="shared" si="120"/>
        <v/>
      </c>
      <c r="Q1109" s="52" t="str">
        <f t="shared" si="121"/>
        <v/>
      </c>
      <c r="R1109" s="52" t="str">
        <f t="shared" si="122"/>
        <v/>
      </c>
      <c r="S1109" s="51" t="str">
        <f t="shared" si="123"/>
        <v/>
      </c>
      <c r="T1109" t="str">
        <f t="shared" si="124"/>
        <v/>
      </c>
      <c r="U1109" s="52" t="str">
        <f t="shared" si="125"/>
        <v/>
      </c>
    </row>
    <row r="1110" spans="2:21" x14ac:dyDescent="0.25">
      <c r="B1110">
        <v>1163</v>
      </c>
      <c r="C1110" t="s">
        <v>126</v>
      </c>
      <c r="D1110" t="s">
        <v>816</v>
      </c>
      <c r="E1110" t="s">
        <v>1518</v>
      </c>
      <c r="F1110" t="s">
        <v>1519</v>
      </c>
      <c r="G1110">
        <v>4</v>
      </c>
      <c r="H1110" s="48">
        <v>0</v>
      </c>
      <c r="I1110" s="48">
        <v>0</v>
      </c>
      <c r="J1110" s="54">
        <v>46266</v>
      </c>
      <c r="K1110" s="54">
        <v>46269</v>
      </c>
      <c r="L1110" s="54">
        <v>46266</v>
      </c>
      <c r="M1110" s="54">
        <v>46269</v>
      </c>
      <c r="O1110" s="51" t="str">
        <f t="shared" si="119"/>
        <v/>
      </c>
      <c r="P1110" s="51" t="str">
        <f t="shared" si="120"/>
        <v/>
      </c>
      <c r="Q1110" s="52" t="str">
        <f t="shared" si="121"/>
        <v/>
      </c>
      <c r="R1110" s="52" t="str">
        <f t="shared" si="122"/>
        <v/>
      </c>
      <c r="S1110" s="51" t="str">
        <f t="shared" si="123"/>
        <v>SIM</v>
      </c>
      <c r="T1110" t="str">
        <f t="shared" si="124"/>
        <v>BL1132-0001-CI-PQU-2001</v>
      </c>
      <c r="U1110" s="52">
        <f t="shared" si="125"/>
        <v>46269</v>
      </c>
    </row>
    <row r="1111" spans="2:21" x14ac:dyDescent="0.25">
      <c r="B1111">
        <v>1164</v>
      </c>
      <c r="C1111" t="s">
        <v>126</v>
      </c>
      <c r="D1111" t="s">
        <v>816</v>
      </c>
      <c r="E1111" t="s">
        <v>1520</v>
      </c>
      <c r="F1111" t="s">
        <v>1519</v>
      </c>
      <c r="G1111">
        <v>7</v>
      </c>
      <c r="H1111" s="48">
        <v>0</v>
      </c>
      <c r="I1111" s="48">
        <v>0</v>
      </c>
      <c r="J1111" s="54">
        <v>46269</v>
      </c>
      <c r="K1111" s="54">
        <v>46275</v>
      </c>
      <c r="L1111" s="54">
        <v>46269</v>
      </c>
      <c r="M1111" s="54">
        <v>46275</v>
      </c>
      <c r="O1111" s="51" t="str">
        <f t="shared" si="119"/>
        <v/>
      </c>
      <c r="P1111" s="51" t="str">
        <f t="shared" si="120"/>
        <v/>
      </c>
      <c r="Q1111" s="52" t="str">
        <f t="shared" si="121"/>
        <v/>
      </c>
      <c r="R1111" s="52" t="str">
        <f t="shared" si="122"/>
        <v/>
      </c>
      <c r="S1111" s="51" t="str">
        <f t="shared" si="123"/>
        <v/>
      </c>
      <c r="T1111" t="str">
        <f t="shared" si="124"/>
        <v/>
      </c>
      <c r="U1111" s="52" t="str">
        <f t="shared" si="125"/>
        <v/>
      </c>
    </row>
    <row r="1112" spans="2:21" x14ac:dyDescent="0.25">
      <c r="B1112">
        <v>1165</v>
      </c>
      <c r="C1112" t="s">
        <v>123</v>
      </c>
      <c r="D1112" t="s">
        <v>802</v>
      </c>
      <c r="E1112" t="s">
        <v>1799</v>
      </c>
      <c r="F1112" t="s">
        <v>1559</v>
      </c>
      <c r="G1112">
        <v>18</v>
      </c>
      <c r="H1112" s="48">
        <v>0</v>
      </c>
      <c r="I1112" s="48">
        <v>0</v>
      </c>
      <c r="J1112" s="54">
        <v>46258</v>
      </c>
      <c r="K1112" s="54">
        <v>46275</v>
      </c>
      <c r="L1112" s="54">
        <v>46258</v>
      </c>
      <c r="M1112" s="54">
        <v>46275</v>
      </c>
      <c r="O1112" s="51" t="str">
        <f t="shared" si="119"/>
        <v/>
      </c>
      <c r="P1112" s="51" t="str">
        <f t="shared" si="120"/>
        <v/>
      </c>
      <c r="Q1112" s="52" t="str">
        <f t="shared" si="121"/>
        <v/>
      </c>
      <c r="R1112" s="52" t="str">
        <f t="shared" si="122"/>
        <v/>
      </c>
      <c r="S1112" s="51" t="str">
        <f t="shared" si="123"/>
        <v/>
      </c>
      <c r="T1112" t="str">
        <f t="shared" si="124"/>
        <v/>
      </c>
      <c r="U1112" s="52" t="str">
        <f t="shared" si="125"/>
        <v/>
      </c>
    </row>
    <row r="1113" spans="2:21" x14ac:dyDescent="0.25">
      <c r="B1113">
        <v>1166</v>
      </c>
      <c r="C1113" t="s">
        <v>123</v>
      </c>
      <c r="D1113" t="s">
        <v>802</v>
      </c>
      <c r="E1113" t="s">
        <v>1515</v>
      </c>
      <c r="F1113" t="s">
        <v>1519</v>
      </c>
      <c r="G1113">
        <v>4</v>
      </c>
      <c r="H1113" s="48">
        <v>0</v>
      </c>
      <c r="I1113" s="48">
        <v>0</v>
      </c>
      <c r="J1113" s="54">
        <v>46258</v>
      </c>
      <c r="K1113" s="54">
        <v>46261</v>
      </c>
      <c r="L1113" s="54">
        <v>46258</v>
      </c>
      <c r="M1113" s="54">
        <v>46261</v>
      </c>
      <c r="O1113" s="51" t="str">
        <f t="shared" si="119"/>
        <v>SIM</v>
      </c>
      <c r="P1113" s="51" t="str">
        <f t="shared" si="120"/>
        <v>BL1132-0001-CI-MCA-2005</v>
      </c>
      <c r="Q1113" s="52">
        <f t="shared" si="121"/>
        <v>46261</v>
      </c>
      <c r="R1113" s="52">
        <f t="shared" si="122"/>
        <v>46261</v>
      </c>
      <c r="S1113" s="51" t="str">
        <f t="shared" si="123"/>
        <v/>
      </c>
      <c r="T1113" t="str">
        <f t="shared" si="124"/>
        <v/>
      </c>
      <c r="U1113" s="52" t="str">
        <f t="shared" si="125"/>
        <v/>
      </c>
    </row>
    <row r="1114" spans="2:21" x14ac:dyDescent="0.25">
      <c r="B1114">
        <v>1167</v>
      </c>
      <c r="C1114" t="s">
        <v>123</v>
      </c>
      <c r="D1114" t="s">
        <v>802</v>
      </c>
      <c r="E1114" t="s">
        <v>1517</v>
      </c>
      <c r="F1114" t="s">
        <v>1519</v>
      </c>
      <c r="G1114">
        <v>6</v>
      </c>
      <c r="H1114" s="48">
        <v>0</v>
      </c>
      <c r="I1114" s="48">
        <v>0</v>
      </c>
      <c r="J1114" s="54">
        <v>46261</v>
      </c>
      <c r="K1114" s="54">
        <v>46266</v>
      </c>
      <c r="L1114" s="54">
        <v>46261</v>
      </c>
      <c r="M1114" s="54">
        <v>46266</v>
      </c>
      <c r="O1114" s="51" t="str">
        <f t="shared" si="119"/>
        <v/>
      </c>
      <c r="P1114" s="51" t="str">
        <f t="shared" si="120"/>
        <v/>
      </c>
      <c r="Q1114" s="52" t="str">
        <f t="shared" si="121"/>
        <v/>
      </c>
      <c r="R1114" s="52" t="str">
        <f t="shared" si="122"/>
        <v/>
      </c>
      <c r="S1114" s="51" t="str">
        <f t="shared" si="123"/>
        <v/>
      </c>
      <c r="T1114" t="str">
        <f t="shared" si="124"/>
        <v/>
      </c>
      <c r="U1114" s="52" t="str">
        <f t="shared" si="125"/>
        <v/>
      </c>
    </row>
    <row r="1115" spans="2:21" x14ac:dyDescent="0.25">
      <c r="B1115">
        <v>1168</v>
      </c>
      <c r="C1115" t="s">
        <v>123</v>
      </c>
      <c r="D1115" t="s">
        <v>802</v>
      </c>
      <c r="E1115" t="s">
        <v>1518</v>
      </c>
      <c r="F1115" t="s">
        <v>1519</v>
      </c>
      <c r="G1115">
        <v>4</v>
      </c>
      <c r="H1115" s="48">
        <v>0</v>
      </c>
      <c r="I1115" s="48">
        <v>0</v>
      </c>
      <c r="J1115" s="54">
        <v>46266</v>
      </c>
      <c r="K1115" s="54">
        <v>46269</v>
      </c>
      <c r="L1115" s="54">
        <v>46266</v>
      </c>
      <c r="M1115" s="54">
        <v>46269</v>
      </c>
      <c r="O1115" s="51" t="str">
        <f t="shared" si="119"/>
        <v/>
      </c>
      <c r="P1115" s="51" t="str">
        <f t="shared" si="120"/>
        <v/>
      </c>
      <c r="Q1115" s="52" t="str">
        <f t="shared" si="121"/>
        <v/>
      </c>
      <c r="R1115" s="52" t="str">
        <f t="shared" si="122"/>
        <v/>
      </c>
      <c r="S1115" s="51" t="str">
        <f t="shared" si="123"/>
        <v>SIM</v>
      </c>
      <c r="T1115" t="str">
        <f t="shared" si="124"/>
        <v>BL1132-0001-CI-MCA-2005</v>
      </c>
      <c r="U1115" s="52">
        <f t="shared" si="125"/>
        <v>46269</v>
      </c>
    </row>
    <row r="1116" spans="2:21" x14ac:dyDescent="0.25">
      <c r="B1116">
        <v>1169</v>
      </c>
      <c r="C1116" t="s">
        <v>123</v>
      </c>
      <c r="D1116" t="s">
        <v>802</v>
      </c>
      <c r="E1116" t="s">
        <v>1520</v>
      </c>
      <c r="F1116" t="s">
        <v>1519</v>
      </c>
      <c r="G1116">
        <v>7</v>
      </c>
      <c r="H1116" s="48">
        <v>0</v>
      </c>
      <c r="I1116" s="48">
        <v>0</v>
      </c>
      <c r="J1116" s="54">
        <v>46269</v>
      </c>
      <c r="K1116" s="54">
        <v>46275</v>
      </c>
      <c r="L1116" s="54">
        <v>46269</v>
      </c>
      <c r="M1116" s="54">
        <v>46275</v>
      </c>
      <c r="O1116" s="51" t="str">
        <f t="shared" si="119"/>
        <v/>
      </c>
      <c r="P1116" s="51" t="str">
        <f t="shared" si="120"/>
        <v/>
      </c>
      <c r="Q1116" s="52" t="str">
        <f t="shared" si="121"/>
        <v/>
      </c>
      <c r="R1116" s="52" t="str">
        <f t="shared" si="122"/>
        <v/>
      </c>
      <c r="S1116" s="51" t="str">
        <f t="shared" si="123"/>
        <v/>
      </c>
      <c r="T1116" t="str">
        <f t="shared" si="124"/>
        <v/>
      </c>
      <c r="U1116" s="52" t="str">
        <f t="shared" si="125"/>
        <v/>
      </c>
    </row>
    <row r="1117" spans="2:21" x14ac:dyDescent="0.25">
      <c r="B1117">
        <v>1170</v>
      </c>
      <c r="E1117" t="s">
        <v>1802</v>
      </c>
      <c r="F1117" t="s">
        <v>1527</v>
      </c>
      <c r="G1117">
        <v>21</v>
      </c>
      <c r="H1117" s="48">
        <v>0</v>
      </c>
      <c r="I1117" s="48">
        <v>0</v>
      </c>
      <c r="J1117" s="54">
        <v>46239</v>
      </c>
      <c r="K1117" s="54">
        <v>46259</v>
      </c>
      <c r="L1117" s="54">
        <v>46239</v>
      </c>
      <c r="M1117" s="54">
        <v>46259</v>
      </c>
      <c r="O1117" s="51" t="str">
        <f t="shared" si="119"/>
        <v/>
      </c>
      <c r="P1117" s="51" t="str">
        <f t="shared" si="120"/>
        <v/>
      </c>
      <c r="Q1117" s="52" t="str">
        <f t="shared" si="121"/>
        <v/>
      </c>
      <c r="R1117" s="52" t="str">
        <f t="shared" si="122"/>
        <v/>
      </c>
      <c r="S1117" s="51" t="str">
        <f t="shared" si="123"/>
        <v/>
      </c>
      <c r="T1117" t="str">
        <f t="shared" si="124"/>
        <v/>
      </c>
      <c r="U1117" s="52" t="str">
        <f t="shared" si="125"/>
        <v/>
      </c>
    </row>
    <row r="1118" spans="2:21" x14ac:dyDescent="0.25">
      <c r="B1118">
        <v>1171</v>
      </c>
      <c r="E1118" t="s">
        <v>1555</v>
      </c>
      <c r="F1118" t="s">
        <v>1605</v>
      </c>
      <c r="G1118">
        <v>9</v>
      </c>
      <c r="H1118" s="48">
        <v>0</v>
      </c>
      <c r="I1118" s="48">
        <v>0</v>
      </c>
      <c r="J1118" s="54">
        <v>46239</v>
      </c>
      <c r="K1118" s="54">
        <v>46259</v>
      </c>
      <c r="L1118" s="54">
        <v>46239</v>
      </c>
      <c r="M1118" s="54">
        <v>46247</v>
      </c>
      <c r="O1118" s="51" t="str">
        <f t="shared" si="119"/>
        <v/>
      </c>
      <c r="P1118" s="51" t="str">
        <f t="shared" si="120"/>
        <v/>
      </c>
      <c r="Q1118" s="52" t="str">
        <f t="shared" si="121"/>
        <v/>
      </c>
      <c r="R1118" s="52" t="str">
        <f t="shared" si="122"/>
        <v/>
      </c>
      <c r="S1118" s="51" t="str">
        <f t="shared" si="123"/>
        <v/>
      </c>
      <c r="T1118" t="str">
        <f t="shared" si="124"/>
        <v/>
      </c>
      <c r="U1118" s="52" t="str">
        <f t="shared" si="125"/>
        <v/>
      </c>
    </row>
    <row r="1119" spans="2:21" x14ac:dyDescent="0.25">
      <c r="B1119">
        <v>1172</v>
      </c>
      <c r="E1119" t="s">
        <v>1589</v>
      </c>
      <c r="F1119" t="s">
        <v>1605</v>
      </c>
      <c r="G1119">
        <v>9</v>
      </c>
      <c r="H1119" s="48">
        <v>0</v>
      </c>
      <c r="I1119" s="48">
        <v>0</v>
      </c>
      <c r="J1119" s="54">
        <v>46239</v>
      </c>
      <c r="K1119" s="54">
        <v>46247</v>
      </c>
      <c r="L1119" s="54">
        <v>46239</v>
      </c>
      <c r="M1119" s="54">
        <v>46247</v>
      </c>
      <c r="O1119" s="51" t="str">
        <f t="shared" si="119"/>
        <v/>
      </c>
      <c r="P1119" s="51" t="str">
        <f t="shared" si="120"/>
        <v/>
      </c>
      <c r="Q1119" s="52" t="str">
        <f t="shared" si="121"/>
        <v/>
      </c>
      <c r="R1119" s="52" t="str">
        <f t="shared" si="122"/>
        <v/>
      </c>
      <c r="S1119" s="51" t="str">
        <f t="shared" si="123"/>
        <v/>
      </c>
      <c r="T1119" t="str">
        <f t="shared" si="124"/>
        <v/>
      </c>
      <c r="U1119" s="52" t="str">
        <f t="shared" si="125"/>
        <v/>
      </c>
    </row>
    <row r="1120" spans="2:21" x14ac:dyDescent="0.25">
      <c r="B1120">
        <v>1173</v>
      </c>
      <c r="E1120" t="s">
        <v>1560</v>
      </c>
      <c r="F1120" t="s">
        <v>1527</v>
      </c>
      <c r="G1120">
        <v>21</v>
      </c>
      <c r="H1120" s="48">
        <v>0</v>
      </c>
      <c r="I1120" s="48">
        <v>0</v>
      </c>
      <c r="J1120" s="54">
        <v>46239</v>
      </c>
      <c r="K1120" s="54">
        <v>46259</v>
      </c>
      <c r="L1120" s="54">
        <v>46239</v>
      </c>
      <c r="M1120" s="54">
        <v>46259</v>
      </c>
      <c r="O1120" s="51" t="str">
        <f t="shared" si="119"/>
        <v/>
      </c>
      <c r="P1120" s="51" t="str">
        <f t="shared" si="120"/>
        <v/>
      </c>
      <c r="Q1120" s="52" t="str">
        <f t="shared" si="121"/>
        <v/>
      </c>
      <c r="R1120" s="52" t="str">
        <f t="shared" si="122"/>
        <v/>
      </c>
      <c r="S1120" s="51" t="str">
        <f t="shared" si="123"/>
        <v/>
      </c>
      <c r="T1120" t="str">
        <f t="shared" si="124"/>
        <v/>
      </c>
      <c r="U1120" s="52" t="str">
        <f t="shared" si="125"/>
        <v/>
      </c>
    </row>
    <row r="1121" spans="2:21" x14ac:dyDescent="0.25">
      <c r="B1121">
        <v>1174</v>
      </c>
      <c r="E1121" t="s">
        <v>1798</v>
      </c>
      <c r="F1121" t="s">
        <v>1527</v>
      </c>
      <c r="G1121">
        <v>21</v>
      </c>
      <c r="H1121" s="48">
        <v>0</v>
      </c>
      <c r="I1121" s="48">
        <v>0</v>
      </c>
      <c r="J1121" s="54">
        <v>46239</v>
      </c>
      <c r="K1121" s="54">
        <v>46259</v>
      </c>
      <c r="L1121" s="54">
        <v>46239</v>
      </c>
      <c r="M1121" s="54">
        <v>46259</v>
      </c>
      <c r="O1121" s="51" t="str">
        <f t="shared" si="119"/>
        <v/>
      </c>
      <c r="P1121" s="51" t="str">
        <f t="shared" si="120"/>
        <v/>
      </c>
      <c r="Q1121" s="52" t="str">
        <f t="shared" si="121"/>
        <v/>
      </c>
      <c r="R1121" s="52" t="str">
        <f t="shared" si="122"/>
        <v/>
      </c>
      <c r="S1121" s="51" t="str">
        <f t="shared" si="123"/>
        <v/>
      </c>
      <c r="T1121" t="str">
        <f t="shared" si="124"/>
        <v/>
      </c>
      <c r="U1121" s="52" t="str">
        <f t="shared" si="125"/>
        <v/>
      </c>
    </row>
    <row r="1122" spans="2:21" x14ac:dyDescent="0.25">
      <c r="B1122">
        <v>1175</v>
      </c>
      <c r="C1122" t="s">
        <v>122</v>
      </c>
      <c r="D1122" t="s">
        <v>799</v>
      </c>
      <c r="E1122" t="s">
        <v>1803</v>
      </c>
      <c r="F1122" t="s">
        <v>1527</v>
      </c>
      <c r="G1122">
        <v>21</v>
      </c>
      <c r="H1122" s="48">
        <v>0</v>
      </c>
      <c r="I1122" s="48">
        <v>0</v>
      </c>
      <c r="J1122" s="54">
        <v>46239</v>
      </c>
      <c r="K1122" s="54">
        <v>46259</v>
      </c>
      <c r="L1122" s="54">
        <v>46239</v>
      </c>
      <c r="M1122" s="54">
        <v>46259</v>
      </c>
      <c r="O1122" s="51" t="str">
        <f t="shared" si="119"/>
        <v/>
      </c>
      <c r="P1122" s="51" t="str">
        <f t="shared" si="120"/>
        <v/>
      </c>
      <c r="Q1122" s="52" t="str">
        <f t="shared" si="121"/>
        <v/>
      </c>
      <c r="R1122" s="52" t="str">
        <f t="shared" si="122"/>
        <v/>
      </c>
      <c r="S1122" s="51" t="str">
        <f t="shared" si="123"/>
        <v/>
      </c>
      <c r="T1122" t="str">
        <f t="shared" si="124"/>
        <v/>
      </c>
      <c r="U1122" s="52" t="str">
        <f t="shared" si="125"/>
        <v/>
      </c>
    </row>
    <row r="1123" spans="2:21" x14ac:dyDescent="0.25">
      <c r="B1123">
        <v>1176</v>
      </c>
      <c r="C1123" t="s">
        <v>122</v>
      </c>
      <c r="D1123" t="s">
        <v>799</v>
      </c>
      <c r="E1123" t="s">
        <v>1515</v>
      </c>
      <c r="F1123" t="s">
        <v>1528</v>
      </c>
      <c r="G1123">
        <v>8</v>
      </c>
      <c r="H1123" s="48">
        <v>0</v>
      </c>
      <c r="I1123" s="48">
        <v>0</v>
      </c>
      <c r="J1123" s="54">
        <v>46239</v>
      </c>
      <c r="K1123" s="54">
        <v>46246</v>
      </c>
      <c r="L1123" s="54">
        <v>46239</v>
      </c>
      <c r="M1123" s="54">
        <v>46246</v>
      </c>
      <c r="O1123" s="51" t="str">
        <f t="shared" si="119"/>
        <v>SIM</v>
      </c>
      <c r="P1123" s="51" t="str">
        <f t="shared" si="120"/>
        <v>BL1132-0001-CI-MCA-2004</v>
      </c>
      <c r="Q1123" s="52">
        <f t="shared" si="121"/>
        <v>46246</v>
      </c>
      <c r="R1123" s="52">
        <f t="shared" si="122"/>
        <v>46246</v>
      </c>
      <c r="S1123" s="51" t="str">
        <f t="shared" si="123"/>
        <v/>
      </c>
      <c r="T1123" t="str">
        <f t="shared" si="124"/>
        <v/>
      </c>
      <c r="U1123" s="52" t="str">
        <f t="shared" si="125"/>
        <v/>
      </c>
    </row>
    <row r="1124" spans="2:21" x14ac:dyDescent="0.25">
      <c r="B1124">
        <v>1177</v>
      </c>
      <c r="C1124" t="s">
        <v>122</v>
      </c>
      <c r="D1124" t="s">
        <v>799</v>
      </c>
      <c r="E1124" t="s">
        <v>1517</v>
      </c>
      <c r="F1124" t="s">
        <v>1519</v>
      </c>
      <c r="G1124">
        <v>6</v>
      </c>
      <c r="H1124" s="48">
        <v>0</v>
      </c>
      <c r="I1124" s="48">
        <v>0</v>
      </c>
      <c r="J1124" s="54">
        <v>46246</v>
      </c>
      <c r="K1124" s="54">
        <v>46251</v>
      </c>
      <c r="L1124" s="54">
        <v>46246</v>
      </c>
      <c r="M1124" s="54">
        <v>46251</v>
      </c>
      <c r="O1124" s="51" t="str">
        <f t="shared" si="119"/>
        <v/>
      </c>
      <c r="P1124" s="51" t="str">
        <f t="shared" si="120"/>
        <v/>
      </c>
      <c r="Q1124" s="52" t="str">
        <f t="shared" si="121"/>
        <v/>
      </c>
      <c r="R1124" s="52" t="str">
        <f t="shared" si="122"/>
        <v/>
      </c>
      <c r="S1124" s="51" t="str">
        <f t="shared" si="123"/>
        <v/>
      </c>
      <c r="T1124" t="str">
        <f t="shared" si="124"/>
        <v/>
      </c>
      <c r="U1124" s="52" t="str">
        <f t="shared" si="125"/>
        <v/>
      </c>
    </row>
    <row r="1125" spans="2:21" x14ac:dyDescent="0.25">
      <c r="B1125">
        <v>1178</v>
      </c>
      <c r="C1125" t="s">
        <v>122</v>
      </c>
      <c r="D1125" t="s">
        <v>799</v>
      </c>
      <c r="E1125" t="s">
        <v>1518</v>
      </c>
      <c r="F1125" t="s">
        <v>1519</v>
      </c>
      <c r="G1125">
        <v>4</v>
      </c>
      <c r="H1125" s="48">
        <v>0</v>
      </c>
      <c r="I1125" s="48">
        <v>0</v>
      </c>
      <c r="J1125" s="54">
        <v>46251</v>
      </c>
      <c r="K1125" s="54">
        <v>46254</v>
      </c>
      <c r="L1125" s="54">
        <v>46251</v>
      </c>
      <c r="M1125" s="54">
        <v>46254</v>
      </c>
      <c r="O1125" s="51" t="str">
        <f t="shared" si="119"/>
        <v/>
      </c>
      <c r="P1125" s="51" t="str">
        <f t="shared" si="120"/>
        <v/>
      </c>
      <c r="Q1125" s="52" t="str">
        <f t="shared" si="121"/>
        <v/>
      </c>
      <c r="R1125" s="52" t="str">
        <f t="shared" si="122"/>
        <v/>
      </c>
      <c r="S1125" s="51" t="str">
        <f t="shared" si="123"/>
        <v>SIM</v>
      </c>
      <c r="T1125" t="str">
        <f t="shared" si="124"/>
        <v>BL1132-0001-CI-MCA-2004</v>
      </c>
      <c r="U1125" s="52">
        <f t="shared" si="125"/>
        <v>46254</v>
      </c>
    </row>
    <row r="1126" spans="2:21" x14ac:dyDescent="0.25">
      <c r="B1126">
        <v>1179</v>
      </c>
      <c r="C1126" t="s">
        <v>122</v>
      </c>
      <c r="D1126" t="s">
        <v>799</v>
      </c>
      <c r="E1126" t="s">
        <v>1520</v>
      </c>
      <c r="F1126" t="s">
        <v>1519</v>
      </c>
      <c r="G1126">
        <v>6</v>
      </c>
      <c r="H1126" s="48">
        <v>0</v>
      </c>
      <c r="I1126" s="48">
        <v>0</v>
      </c>
      <c r="J1126" s="54">
        <v>46254</v>
      </c>
      <c r="K1126" s="54">
        <v>46259</v>
      </c>
      <c r="L1126" s="54">
        <v>46254</v>
      </c>
      <c r="M1126" s="54">
        <v>46259</v>
      </c>
      <c r="O1126" s="51" t="str">
        <f t="shared" si="119"/>
        <v/>
      </c>
      <c r="P1126" s="51" t="str">
        <f t="shared" si="120"/>
        <v/>
      </c>
      <c r="Q1126" s="52" t="str">
        <f t="shared" si="121"/>
        <v/>
      </c>
      <c r="R1126" s="52" t="str">
        <f t="shared" si="122"/>
        <v/>
      </c>
      <c r="S1126" s="51" t="str">
        <f t="shared" si="123"/>
        <v/>
      </c>
      <c r="T1126" t="str">
        <f t="shared" si="124"/>
        <v/>
      </c>
      <c r="U1126" s="52" t="str">
        <f t="shared" si="125"/>
        <v/>
      </c>
    </row>
    <row r="1127" spans="2:21" x14ac:dyDescent="0.25">
      <c r="B1127">
        <v>1180</v>
      </c>
      <c r="E1127" t="s">
        <v>1804</v>
      </c>
      <c r="F1127" t="s">
        <v>1538</v>
      </c>
      <c r="G1127">
        <v>28</v>
      </c>
      <c r="H1127" s="48">
        <v>0</v>
      </c>
      <c r="I1127" s="48">
        <v>0</v>
      </c>
      <c r="J1127" s="54">
        <v>46247</v>
      </c>
      <c r="K1127" s="54">
        <v>46283</v>
      </c>
      <c r="L1127" s="54">
        <v>46247</v>
      </c>
      <c r="M1127" s="54">
        <v>46274</v>
      </c>
      <c r="O1127" s="51" t="str">
        <f t="shared" si="119"/>
        <v/>
      </c>
      <c r="P1127" s="51" t="str">
        <f t="shared" si="120"/>
        <v/>
      </c>
      <c r="Q1127" s="52" t="str">
        <f t="shared" si="121"/>
        <v/>
      </c>
      <c r="R1127" s="52" t="str">
        <f t="shared" si="122"/>
        <v/>
      </c>
      <c r="S1127" s="51" t="str">
        <f t="shared" si="123"/>
        <v/>
      </c>
      <c r="T1127" t="str">
        <f t="shared" si="124"/>
        <v/>
      </c>
      <c r="U1127" s="52" t="str">
        <f t="shared" si="125"/>
        <v/>
      </c>
    </row>
    <row r="1128" spans="2:21" x14ac:dyDescent="0.25">
      <c r="B1128">
        <v>1181</v>
      </c>
      <c r="E1128" t="s">
        <v>1555</v>
      </c>
      <c r="F1128" t="s">
        <v>1525</v>
      </c>
      <c r="G1128">
        <v>7</v>
      </c>
      <c r="H1128" s="48">
        <v>0</v>
      </c>
      <c r="I1128" s="48">
        <v>0</v>
      </c>
      <c r="J1128" s="54">
        <v>46247</v>
      </c>
      <c r="K1128" s="54">
        <v>46253</v>
      </c>
      <c r="L1128" s="54">
        <v>46247</v>
      </c>
      <c r="M1128" s="54">
        <v>46253</v>
      </c>
      <c r="O1128" s="51" t="str">
        <f t="shared" si="119"/>
        <v/>
      </c>
      <c r="P1128" s="51" t="str">
        <f t="shared" si="120"/>
        <v/>
      </c>
      <c r="Q1128" s="52" t="str">
        <f t="shared" si="121"/>
        <v/>
      </c>
      <c r="R1128" s="52" t="str">
        <f t="shared" si="122"/>
        <v/>
      </c>
      <c r="S1128" s="51" t="str">
        <f t="shared" si="123"/>
        <v/>
      </c>
      <c r="T1128" t="str">
        <f t="shared" si="124"/>
        <v/>
      </c>
      <c r="U1128" s="52" t="str">
        <f t="shared" si="125"/>
        <v/>
      </c>
    </row>
    <row r="1129" spans="2:21" x14ac:dyDescent="0.25">
      <c r="B1129">
        <v>1182</v>
      </c>
      <c r="E1129" t="s">
        <v>1589</v>
      </c>
      <c r="F1129" t="s">
        <v>1525</v>
      </c>
      <c r="G1129">
        <v>7</v>
      </c>
      <c r="H1129" s="48">
        <v>0</v>
      </c>
      <c r="I1129" s="48">
        <v>0</v>
      </c>
      <c r="J1129" s="54">
        <v>46247</v>
      </c>
      <c r="K1129" s="54">
        <v>46253</v>
      </c>
      <c r="L1129" s="54">
        <v>46247</v>
      </c>
      <c r="M1129" s="54">
        <v>46253</v>
      </c>
      <c r="O1129" s="51" t="str">
        <f t="shared" si="119"/>
        <v/>
      </c>
      <c r="P1129" s="51" t="str">
        <f t="shared" si="120"/>
        <v/>
      </c>
      <c r="Q1129" s="52" t="str">
        <f t="shared" si="121"/>
        <v/>
      </c>
      <c r="R1129" s="52" t="str">
        <f t="shared" si="122"/>
        <v/>
      </c>
      <c r="S1129" s="51" t="str">
        <f t="shared" si="123"/>
        <v/>
      </c>
      <c r="T1129" t="str">
        <f t="shared" si="124"/>
        <v/>
      </c>
      <c r="U1129" s="52" t="str">
        <f t="shared" si="125"/>
        <v/>
      </c>
    </row>
    <row r="1130" spans="2:21" x14ac:dyDescent="0.25">
      <c r="B1130">
        <v>1183</v>
      </c>
      <c r="E1130" t="s">
        <v>1560</v>
      </c>
      <c r="F1130" t="s">
        <v>1527</v>
      </c>
      <c r="G1130">
        <v>22</v>
      </c>
      <c r="H1130" s="48">
        <v>0</v>
      </c>
      <c r="I1130" s="48">
        <v>0</v>
      </c>
      <c r="J1130" s="54">
        <v>46253</v>
      </c>
      <c r="K1130" s="54">
        <v>46283</v>
      </c>
      <c r="L1130" s="54">
        <v>46253</v>
      </c>
      <c r="M1130" s="54">
        <v>46274</v>
      </c>
      <c r="O1130" s="51" t="str">
        <f t="shared" si="119"/>
        <v/>
      </c>
      <c r="P1130" s="51" t="str">
        <f t="shared" si="120"/>
        <v/>
      </c>
      <c r="Q1130" s="52" t="str">
        <f t="shared" si="121"/>
        <v/>
      </c>
      <c r="R1130" s="52" t="str">
        <f t="shared" si="122"/>
        <v/>
      </c>
      <c r="S1130" s="51" t="str">
        <f t="shared" si="123"/>
        <v/>
      </c>
      <c r="T1130" t="str">
        <f t="shared" si="124"/>
        <v/>
      </c>
      <c r="U1130" s="52" t="str">
        <f t="shared" si="125"/>
        <v/>
      </c>
    </row>
    <row r="1131" spans="2:21" x14ac:dyDescent="0.25">
      <c r="B1131">
        <v>1184</v>
      </c>
      <c r="E1131" t="s">
        <v>1589</v>
      </c>
      <c r="F1131" t="s">
        <v>1527</v>
      </c>
      <c r="G1131">
        <v>22</v>
      </c>
      <c r="H1131" s="48">
        <v>0</v>
      </c>
      <c r="I1131" s="48">
        <v>0</v>
      </c>
      <c r="J1131" s="54">
        <v>46253</v>
      </c>
      <c r="K1131" s="54">
        <v>46283</v>
      </c>
      <c r="L1131" s="54">
        <v>46253</v>
      </c>
      <c r="M1131" s="54">
        <v>46274</v>
      </c>
      <c r="O1131" s="51" t="str">
        <f t="shared" si="119"/>
        <v/>
      </c>
      <c r="P1131" s="51" t="str">
        <f t="shared" si="120"/>
        <v/>
      </c>
      <c r="Q1131" s="52" t="str">
        <f t="shared" si="121"/>
        <v/>
      </c>
      <c r="R1131" s="52" t="str">
        <f t="shared" si="122"/>
        <v/>
      </c>
      <c r="S1131" s="51" t="str">
        <f t="shared" si="123"/>
        <v/>
      </c>
      <c r="T1131" t="str">
        <f t="shared" si="124"/>
        <v/>
      </c>
      <c r="U1131" s="52" t="str">
        <f t="shared" si="125"/>
        <v/>
      </c>
    </row>
    <row r="1132" spans="2:21" x14ac:dyDescent="0.25">
      <c r="B1132">
        <v>1185</v>
      </c>
      <c r="C1132" t="s">
        <v>121</v>
      </c>
      <c r="D1132" t="s">
        <v>796</v>
      </c>
      <c r="E1132" t="s">
        <v>1805</v>
      </c>
      <c r="F1132" t="s">
        <v>1527</v>
      </c>
      <c r="G1132">
        <v>22</v>
      </c>
      <c r="H1132" s="48">
        <v>0</v>
      </c>
      <c r="I1132" s="48">
        <v>0</v>
      </c>
      <c r="J1132" s="54">
        <v>46253</v>
      </c>
      <c r="K1132" s="54">
        <v>46274</v>
      </c>
      <c r="L1132" s="54">
        <v>46253</v>
      </c>
      <c r="M1132" s="54">
        <v>46274</v>
      </c>
      <c r="O1132" s="51" t="str">
        <f t="shared" si="119"/>
        <v/>
      </c>
      <c r="P1132" s="51" t="str">
        <f t="shared" si="120"/>
        <v/>
      </c>
      <c r="Q1132" s="52" t="str">
        <f t="shared" si="121"/>
        <v/>
      </c>
      <c r="R1132" s="52" t="str">
        <f t="shared" si="122"/>
        <v/>
      </c>
      <c r="S1132" s="51" t="str">
        <f t="shared" si="123"/>
        <v/>
      </c>
      <c r="T1132" t="str">
        <f t="shared" si="124"/>
        <v/>
      </c>
      <c r="U1132" s="52" t="str">
        <f t="shared" si="125"/>
        <v/>
      </c>
    </row>
    <row r="1133" spans="2:21" x14ac:dyDescent="0.25">
      <c r="B1133">
        <v>1186</v>
      </c>
      <c r="C1133" t="s">
        <v>121</v>
      </c>
      <c r="D1133" t="s">
        <v>796</v>
      </c>
      <c r="E1133" t="s">
        <v>1515</v>
      </c>
      <c r="F1133" t="s">
        <v>1528</v>
      </c>
      <c r="G1133">
        <v>8</v>
      </c>
      <c r="H1133" s="48">
        <v>0</v>
      </c>
      <c r="I1133" s="48">
        <v>0</v>
      </c>
      <c r="J1133" s="54">
        <v>46253</v>
      </c>
      <c r="K1133" s="54">
        <v>46260</v>
      </c>
      <c r="L1133" s="54">
        <v>46253</v>
      </c>
      <c r="M1133" s="54">
        <v>46260</v>
      </c>
      <c r="O1133" s="51" t="str">
        <f t="shared" si="119"/>
        <v>SIM</v>
      </c>
      <c r="P1133" s="51" t="str">
        <f t="shared" si="120"/>
        <v>BL1132-0001-CI-MCA-2003</v>
      </c>
      <c r="Q1133" s="52">
        <f t="shared" si="121"/>
        <v>46260</v>
      </c>
      <c r="R1133" s="52">
        <f t="shared" si="122"/>
        <v>46260</v>
      </c>
      <c r="S1133" s="51" t="str">
        <f t="shared" si="123"/>
        <v/>
      </c>
      <c r="T1133" t="str">
        <f t="shared" si="124"/>
        <v/>
      </c>
      <c r="U1133" s="52" t="str">
        <f t="shared" si="125"/>
        <v/>
      </c>
    </row>
    <row r="1134" spans="2:21" x14ac:dyDescent="0.25">
      <c r="B1134">
        <v>1187</v>
      </c>
      <c r="C1134" t="s">
        <v>121</v>
      </c>
      <c r="D1134" t="s">
        <v>796</v>
      </c>
      <c r="E1134" t="s">
        <v>1517</v>
      </c>
      <c r="F1134" t="s">
        <v>1519</v>
      </c>
      <c r="G1134">
        <v>6</v>
      </c>
      <c r="H1134" s="48">
        <v>0</v>
      </c>
      <c r="I1134" s="48">
        <v>0</v>
      </c>
      <c r="J1134" s="54">
        <v>46260</v>
      </c>
      <c r="K1134" s="54">
        <v>46265</v>
      </c>
      <c r="L1134" s="54">
        <v>46260</v>
      </c>
      <c r="M1134" s="54">
        <v>46265</v>
      </c>
      <c r="O1134" s="51" t="str">
        <f t="shared" si="119"/>
        <v/>
      </c>
      <c r="P1134" s="51" t="str">
        <f t="shared" si="120"/>
        <v/>
      </c>
      <c r="Q1134" s="52" t="str">
        <f t="shared" si="121"/>
        <v/>
      </c>
      <c r="R1134" s="52" t="str">
        <f t="shared" si="122"/>
        <v/>
      </c>
      <c r="S1134" s="51" t="str">
        <f t="shared" si="123"/>
        <v/>
      </c>
      <c r="T1134" t="str">
        <f t="shared" si="124"/>
        <v/>
      </c>
      <c r="U1134" s="52" t="str">
        <f t="shared" si="125"/>
        <v/>
      </c>
    </row>
    <row r="1135" spans="2:21" x14ac:dyDescent="0.25">
      <c r="B1135">
        <v>1188</v>
      </c>
      <c r="C1135" t="s">
        <v>121</v>
      </c>
      <c r="D1135" t="s">
        <v>796</v>
      </c>
      <c r="E1135" t="s">
        <v>1518</v>
      </c>
      <c r="F1135" t="s">
        <v>1519</v>
      </c>
      <c r="G1135">
        <v>4</v>
      </c>
      <c r="H1135" s="48">
        <v>0</v>
      </c>
      <c r="I1135" s="48">
        <v>0</v>
      </c>
      <c r="J1135" s="54">
        <v>46265</v>
      </c>
      <c r="K1135" s="54">
        <v>46268</v>
      </c>
      <c r="L1135" s="54">
        <v>46265</v>
      </c>
      <c r="M1135" s="54">
        <v>46268</v>
      </c>
      <c r="O1135" s="51" t="str">
        <f t="shared" si="119"/>
        <v/>
      </c>
      <c r="P1135" s="51" t="str">
        <f t="shared" si="120"/>
        <v/>
      </c>
      <c r="Q1135" s="52" t="str">
        <f t="shared" si="121"/>
        <v/>
      </c>
      <c r="R1135" s="52" t="str">
        <f t="shared" si="122"/>
        <v/>
      </c>
      <c r="S1135" s="51" t="str">
        <f t="shared" si="123"/>
        <v>SIM</v>
      </c>
      <c r="T1135" t="str">
        <f t="shared" si="124"/>
        <v>BL1132-0001-CI-MCA-2003</v>
      </c>
      <c r="U1135" s="52">
        <f t="shared" si="125"/>
        <v>46268</v>
      </c>
    </row>
    <row r="1136" spans="2:21" x14ac:dyDescent="0.25">
      <c r="B1136">
        <v>1189</v>
      </c>
      <c r="C1136" t="s">
        <v>121</v>
      </c>
      <c r="D1136" t="s">
        <v>796</v>
      </c>
      <c r="E1136" t="s">
        <v>1520</v>
      </c>
      <c r="F1136" t="s">
        <v>1519</v>
      </c>
      <c r="G1136">
        <v>7</v>
      </c>
      <c r="H1136" s="48">
        <v>0</v>
      </c>
      <c r="I1136" s="48">
        <v>0</v>
      </c>
      <c r="J1136" s="54">
        <v>46268</v>
      </c>
      <c r="K1136" s="54">
        <v>46274</v>
      </c>
      <c r="L1136" s="54">
        <v>46268</v>
      </c>
      <c r="M1136" s="54">
        <v>46274</v>
      </c>
      <c r="O1136" s="51" t="str">
        <f t="shared" si="119"/>
        <v/>
      </c>
      <c r="P1136" s="51" t="str">
        <f t="shared" si="120"/>
        <v/>
      </c>
      <c r="Q1136" s="52" t="str">
        <f t="shared" si="121"/>
        <v/>
      </c>
      <c r="R1136" s="52" t="str">
        <f t="shared" si="122"/>
        <v/>
      </c>
      <c r="S1136" s="51" t="str">
        <f t="shared" si="123"/>
        <v/>
      </c>
      <c r="T1136" t="str">
        <f t="shared" si="124"/>
        <v/>
      </c>
      <c r="U1136" s="52" t="str">
        <f t="shared" si="125"/>
        <v/>
      </c>
    </row>
    <row r="1137" spans="2:21" x14ac:dyDescent="0.25">
      <c r="B1137">
        <v>1195</v>
      </c>
      <c r="E1137" t="s">
        <v>1806</v>
      </c>
      <c r="F1137" t="s">
        <v>1538</v>
      </c>
      <c r="G1137">
        <v>26</v>
      </c>
      <c r="H1137" s="48">
        <v>0</v>
      </c>
      <c r="I1137" s="48">
        <v>0</v>
      </c>
      <c r="J1137" s="54">
        <v>46253</v>
      </c>
      <c r="K1137" s="54">
        <v>46281</v>
      </c>
      <c r="L1137" s="54">
        <v>46251</v>
      </c>
      <c r="M1137" s="54">
        <v>46276</v>
      </c>
      <c r="O1137" s="51" t="str">
        <f t="shared" si="119"/>
        <v/>
      </c>
      <c r="P1137" s="51" t="str">
        <f t="shared" si="120"/>
        <v/>
      </c>
      <c r="Q1137" s="52" t="str">
        <f t="shared" si="121"/>
        <v/>
      </c>
      <c r="R1137" s="52" t="str">
        <f t="shared" si="122"/>
        <v/>
      </c>
      <c r="S1137" s="51" t="str">
        <f t="shared" si="123"/>
        <v/>
      </c>
      <c r="T1137" t="str">
        <f t="shared" si="124"/>
        <v/>
      </c>
      <c r="U1137" s="52" t="str">
        <f t="shared" si="125"/>
        <v/>
      </c>
    </row>
    <row r="1138" spans="2:21" x14ac:dyDescent="0.25">
      <c r="B1138">
        <v>1196</v>
      </c>
      <c r="E1138" t="s">
        <v>1555</v>
      </c>
      <c r="F1138" t="s">
        <v>1559</v>
      </c>
      <c r="G1138">
        <v>17</v>
      </c>
      <c r="H1138" s="48">
        <v>0</v>
      </c>
      <c r="I1138" s="48">
        <v>0</v>
      </c>
      <c r="J1138" s="54">
        <v>46253</v>
      </c>
      <c r="K1138" s="54">
        <v>46281</v>
      </c>
      <c r="L1138" s="54">
        <v>46251</v>
      </c>
      <c r="M1138" s="54">
        <v>46267</v>
      </c>
      <c r="O1138" s="51" t="str">
        <f t="shared" si="119"/>
        <v/>
      </c>
      <c r="P1138" s="51" t="str">
        <f t="shared" si="120"/>
        <v/>
      </c>
      <c r="Q1138" s="52" t="str">
        <f t="shared" si="121"/>
        <v/>
      </c>
      <c r="R1138" s="52" t="str">
        <f t="shared" si="122"/>
        <v/>
      </c>
      <c r="S1138" s="51" t="str">
        <f t="shared" si="123"/>
        <v/>
      </c>
      <c r="T1138" t="str">
        <f t="shared" si="124"/>
        <v/>
      </c>
      <c r="U1138" s="52" t="str">
        <f t="shared" si="125"/>
        <v/>
      </c>
    </row>
    <row r="1139" spans="2:21" x14ac:dyDescent="0.25">
      <c r="B1139">
        <v>1197</v>
      </c>
      <c r="E1139" t="s">
        <v>1589</v>
      </c>
      <c r="F1139" t="s">
        <v>1528</v>
      </c>
      <c r="G1139">
        <v>8</v>
      </c>
      <c r="H1139" s="48">
        <v>0</v>
      </c>
      <c r="I1139" s="48">
        <v>0</v>
      </c>
      <c r="J1139" s="54">
        <v>46253</v>
      </c>
      <c r="K1139" s="54">
        <v>46260</v>
      </c>
      <c r="L1139" s="54">
        <v>46251</v>
      </c>
      <c r="M1139" s="54">
        <v>46258</v>
      </c>
      <c r="O1139" s="51" t="str">
        <f t="shared" si="119"/>
        <v/>
      </c>
      <c r="P1139" s="51" t="str">
        <f t="shared" si="120"/>
        <v/>
      </c>
      <c r="Q1139" s="52" t="str">
        <f t="shared" si="121"/>
        <v/>
      </c>
      <c r="R1139" s="52" t="str">
        <f t="shared" si="122"/>
        <v/>
      </c>
      <c r="S1139" s="51" t="str">
        <f t="shared" si="123"/>
        <v/>
      </c>
      <c r="T1139" t="str">
        <f t="shared" si="124"/>
        <v/>
      </c>
      <c r="U1139" s="52" t="str">
        <f t="shared" si="125"/>
        <v/>
      </c>
    </row>
    <row r="1140" spans="2:21" x14ac:dyDescent="0.25">
      <c r="B1140">
        <v>1198</v>
      </c>
      <c r="E1140" t="s">
        <v>1557</v>
      </c>
      <c r="F1140" t="s">
        <v>1528</v>
      </c>
      <c r="G1140">
        <v>8</v>
      </c>
      <c r="H1140" s="48">
        <v>0</v>
      </c>
      <c r="I1140" s="48">
        <v>0</v>
      </c>
      <c r="J1140" s="54">
        <v>46274</v>
      </c>
      <c r="K1140" s="54">
        <v>46281</v>
      </c>
      <c r="L1140" s="54">
        <v>46260</v>
      </c>
      <c r="M1140" s="54">
        <v>46267</v>
      </c>
      <c r="O1140" s="51" t="str">
        <f t="shared" si="119"/>
        <v/>
      </c>
      <c r="P1140" s="51" t="str">
        <f t="shared" si="120"/>
        <v/>
      </c>
      <c r="Q1140" s="52" t="str">
        <f t="shared" si="121"/>
        <v/>
      </c>
      <c r="R1140" s="52" t="str">
        <f t="shared" si="122"/>
        <v/>
      </c>
      <c r="S1140" s="51" t="str">
        <f t="shared" si="123"/>
        <v/>
      </c>
      <c r="T1140" t="str">
        <f t="shared" si="124"/>
        <v/>
      </c>
      <c r="U1140" s="52" t="str">
        <f t="shared" si="125"/>
        <v/>
      </c>
    </row>
    <row r="1141" spans="2:21" x14ac:dyDescent="0.25">
      <c r="B1141">
        <v>1199</v>
      </c>
      <c r="E1141" t="s">
        <v>1572</v>
      </c>
      <c r="F1141" t="s">
        <v>1528</v>
      </c>
      <c r="G1141">
        <v>8</v>
      </c>
      <c r="H1141" s="48">
        <v>0</v>
      </c>
      <c r="I1141" s="48">
        <v>0</v>
      </c>
      <c r="J1141" s="54">
        <v>46267</v>
      </c>
      <c r="K1141" s="54">
        <v>46275</v>
      </c>
      <c r="L1141" s="54">
        <v>46260</v>
      </c>
      <c r="M1141" s="54">
        <v>46267</v>
      </c>
      <c r="O1141" s="51" t="str">
        <f t="shared" si="119"/>
        <v/>
      </c>
      <c r="P1141" s="51" t="str">
        <f t="shared" si="120"/>
        <v/>
      </c>
      <c r="Q1141" s="52" t="str">
        <f t="shared" si="121"/>
        <v/>
      </c>
      <c r="R1141" s="52" t="str">
        <f t="shared" si="122"/>
        <v/>
      </c>
      <c r="S1141" s="51" t="str">
        <f t="shared" si="123"/>
        <v/>
      </c>
      <c r="T1141" t="str">
        <f t="shared" si="124"/>
        <v/>
      </c>
      <c r="U1141" s="52" t="str">
        <f t="shared" si="125"/>
        <v/>
      </c>
    </row>
    <row r="1142" spans="2:21" x14ac:dyDescent="0.25">
      <c r="B1142">
        <v>1200</v>
      </c>
      <c r="E1142" t="s">
        <v>1560</v>
      </c>
      <c r="F1142" t="s">
        <v>1578</v>
      </c>
      <c r="G1142">
        <v>24</v>
      </c>
      <c r="H1142" s="48">
        <v>0</v>
      </c>
      <c r="I1142" s="48">
        <v>0</v>
      </c>
      <c r="J1142" s="54">
        <v>46253</v>
      </c>
      <c r="K1142" s="54">
        <v>46281</v>
      </c>
      <c r="L1142" s="54">
        <v>46253</v>
      </c>
      <c r="M1142" s="54">
        <v>46276</v>
      </c>
      <c r="O1142" s="51" t="str">
        <f t="shared" si="119"/>
        <v/>
      </c>
      <c r="P1142" s="51" t="str">
        <f t="shared" si="120"/>
        <v/>
      </c>
      <c r="Q1142" s="52" t="str">
        <f t="shared" si="121"/>
        <v/>
      </c>
      <c r="R1142" s="52" t="str">
        <f t="shared" si="122"/>
        <v/>
      </c>
      <c r="S1142" s="51" t="str">
        <f t="shared" si="123"/>
        <v/>
      </c>
      <c r="T1142" t="str">
        <f t="shared" si="124"/>
        <v/>
      </c>
      <c r="U1142" s="52" t="str">
        <f t="shared" si="125"/>
        <v/>
      </c>
    </row>
    <row r="1143" spans="2:21" x14ac:dyDescent="0.25">
      <c r="B1143">
        <v>1201</v>
      </c>
      <c r="E1143" t="s">
        <v>1572</v>
      </c>
      <c r="F1143" t="s">
        <v>1527</v>
      </c>
      <c r="G1143">
        <v>22</v>
      </c>
      <c r="H1143" s="48">
        <v>0</v>
      </c>
      <c r="I1143" s="48">
        <v>0</v>
      </c>
      <c r="J1143" s="54">
        <v>46260</v>
      </c>
      <c r="K1143" s="54">
        <v>46281</v>
      </c>
      <c r="L1143" s="54">
        <v>46255</v>
      </c>
      <c r="M1143" s="54">
        <v>46276</v>
      </c>
      <c r="O1143" s="51" t="str">
        <f t="shared" si="119"/>
        <v/>
      </c>
      <c r="P1143" s="51" t="str">
        <f t="shared" si="120"/>
        <v/>
      </c>
      <c r="Q1143" s="52" t="str">
        <f t="shared" si="121"/>
        <v/>
      </c>
      <c r="R1143" s="52" t="str">
        <f t="shared" si="122"/>
        <v/>
      </c>
      <c r="S1143" s="51" t="str">
        <f t="shared" si="123"/>
        <v/>
      </c>
      <c r="T1143" t="str">
        <f t="shared" si="124"/>
        <v/>
      </c>
      <c r="U1143" s="52" t="str">
        <f t="shared" si="125"/>
        <v/>
      </c>
    </row>
    <row r="1144" spans="2:21" x14ac:dyDescent="0.25">
      <c r="B1144">
        <v>1202</v>
      </c>
      <c r="C1144" t="s">
        <v>104</v>
      </c>
      <c r="D1144" t="s">
        <v>711</v>
      </c>
      <c r="E1144" t="s">
        <v>1807</v>
      </c>
      <c r="F1144" t="s">
        <v>1527</v>
      </c>
      <c r="G1144">
        <v>22</v>
      </c>
      <c r="H1144" s="48">
        <v>0</v>
      </c>
      <c r="I1144" s="48">
        <v>0</v>
      </c>
      <c r="J1144" s="54">
        <v>46260</v>
      </c>
      <c r="K1144" s="54">
        <v>46281</v>
      </c>
      <c r="L1144" s="54">
        <v>46255</v>
      </c>
      <c r="M1144" s="54">
        <v>46276</v>
      </c>
      <c r="O1144" s="51" t="str">
        <f t="shared" si="119"/>
        <v/>
      </c>
      <c r="P1144" s="51" t="str">
        <f t="shared" si="120"/>
        <v/>
      </c>
      <c r="Q1144" s="52" t="str">
        <f t="shared" si="121"/>
        <v/>
      </c>
      <c r="R1144" s="52" t="str">
        <f t="shared" si="122"/>
        <v/>
      </c>
      <c r="S1144" s="51" t="str">
        <f t="shared" si="123"/>
        <v/>
      </c>
      <c r="T1144" t="str">
        <f t="shared" si="124"/>
        <v/>
      </c>
      <c r="U1144" s="52" t="str">
        <f t="shared" si="125"/>
        <v/>
      </c>
    </row>
    <row r="1145" spans="2:21" x14ac:dyDescent="0.25">
      <c r="B1145">
        <v>1203</v>
      </c>
      <c r="C1145" t="s">
        <v>104</v>
      </c>
      <c r="D1145" t="s">
        <v>711</v>
      </c>
      <c r="E1145" t="s">
        <v>1515</v>
      </c>
      <c r="F1145" t="s">
        <v>1528</v>
      </c>
      <c r="G1145">
        <v>8</v>
      </c>
      <c r="H1145" s="48">
        <v>0</v>
      </c>
      <c r="I1145" s="48">
        <v>0</v>
      </c>
      <c r="J1145" s="54">
        <v>46260</v>
      </c>
      <c r="K1145" s="54">
        <v>46267</v>
      </c>
      <c r="L1145" s="54">
        <v>46255</v>
      </c>
      <c r="M1145" s="54">
        <v>46262</v>
      </c>
      <c r="O1145" s="51" t="str">
        <f t="shared" si="119"/>
        <v>SIM</v>
      </c>
      <c r="P1145" s="51" t="str">
        <f t="shared" si="120"/>
        <v>BL1132-0001-CC-MCA-2110</v>
      </c>
      <c r="Q1145" s="52">
        <f t="shared" si="121"/>
        <v>46262</v>
      </c>
      <c r="R1145" s="52">
        <f t="shared" si="122"/>
        <v>46267</v>
      </c>
      <c r="S1145" s="51" t="str">
        <f t="shared" si="123"/>
        <v/>
      </c>
      <c r="T1145" t="str">
        <f t="shared" si="124"/>
        <v/>
      </c>
      <c r="U1145" s="52" t="str">
        <f t="shared" si="125"/>
        <v/>
      </c>
    </row>
    <row r="1146" spans="2:21" x14ac:dyDescent="0.25">
      <c r="B1146">
        <v>1204</v>
      </c>
      <c r="C1146" t="s">
        <v>104</v>
      </c>
      <c r="D1146" t="s">
        <v>711</v>
      </c>
      <c r="E1146" t="s">
        <v>1517</v>
      </c>
      <c r="F1146" t="s">
        <v>1519</v>
      </c>
      <c r="G1146">
        <v>6</v>
      </c>
      <c r="H1146" s="48">
        <v>0</v>
      </c>
      <c r="I1146" s="48">
        <v>0</v>
      </c>
      <c r="J1146" s="54">
        <v>46267</v>
      </c>
      <c r="K1146" s="54">
        <v>46273</v>
      </c>
      <c r="L1146" s="54">
        <v>46262</v>
      </c>
      <c r="M1146" s="54">
        <v>46267</v>
      </c>
      <c r="O1146" s="51" t="str">
        <f t="shared" si="119"/>
        <v/>
      </c>
      <c r="P1146" s="51" t="str">
        <f t="shared" si="120"/>
        <v/>
      </c>
      <c r="Q1146" s="52" t="str">
        <f t="shared" si="121"/>
        <v/>
      </c>
      <c r="R1146" s="52" t="str">
        <f t="shared" si="122"/>
        <v/>
      </c>
      <c r="S1146" s="51" t="str">
        <f t="shared" si="123"/>
        <v/>
      </c>
      <c r="T1146" t="str">
        <f t="shared" si="124"/>
        <v/>
      </c>
      <c r="U1146" s="52" t="str">
        <f t="shared" si="125"/>
        <v/>
      </c>
    </row>
    <row r="1147" spans="2:21" x14ac:dyDescent="0.25">
      <c r="B1147">
        <v>1205</v>
      </c>
      <c r="C1147" t="s">
        <v>104</v>
      </c>
      <c r="D1147" t="s">
        <v>711</v>
      </c>
      <c r="E1147" t="s">
        <v>1518</v>
      </c>
      <c r="F1147" t="s">
        <v>1519</v>
      </c>
      <c r="G1147">
        <v>7</v>
      </c>
      <c r="H1147" s="48">
        <v>0</v>
      </c>
      <c r="I1147" s="48">
        <v>0</v>
      </c>
      <c r="J1147" s="54">
        <v>46273</v>
      </c>
      <c r="K1147" s="54">
        <v>46276</v>
      </c>
      <c r="L1147" s="54">
        <v>46267</v>
      </c>
      <c r="M1147" s="54">
        <v>46273</v>
      </c>
      <c r="O1147" s="51" t="str">
        <f t="shared" si="119"/>
        <v/>
      </c>
      <c r="P1147" s="51" t="str">
        <f t="shared" si="120"/>
        <v/>
      </c>
      <c r="Q1147" s="52" t="str">
        <f t="shared" si="121"/>
        <v/>
      </c>
      <c r="R1147" s="52" t="str">
        <f t="shared" si="122"/>
        <v/>
      </c>
      <c r="S1147" s="51" t="str">
        <f t="shared" si="123"/>
        <v>SIM</v>
      </c>
      <c r="T1147" t="str">
        <f t="shared" si="124"/>
        <v>BL1132-0001-CC-MCA-2110</v>
      </c>
      <c r="U1147" s="52">
        <f t="shared" si="125"/>
        <v>46273</v>
      </c>
    </row>
    <row r="1148" spans="2:21" x14ac:dyDescent="0.25">
      <c r="B1148">
        <v>1206</v>
      </c>
      <c r="C1148" t="s">
        <v>104</v>
      </c>
      <c r="D1148" t="s">
        <v>711</v>
      </c>
      <c r="E1148" t="s">
        <v>1520</v>
      </c>
      <c r="F1148" t="s">
        <v>1519</v>
      </c>
      <c r="G1148">
        <v>4</v>
      </c>
      <c r="H1148" s="48">
        <v>0</v>
      </c>
      <c r="I1148" s="48">
        <v>0</v>
      </c>
      <c r="J1148" s="54">
        <v>46276</v>
      </c>
      <c r="K1148" s="54">
        <v>46281</v>
      </c>
      <c r="L1148" s="54">
        <v>46273</v>
      </c>
      <c r="M1148" s="54">
        <v>46276</v>
      </c>
      <c r="O1148" s="51" t="str">
        <f t="shared" si="119"/>
        <v/>
      </c>
      <c r="P1148" s="51" t="str">
        <f t="shared" si="120"/>
        <v/>
      </c>
      <c r="Q1148" s="52" t="str">
        <f t="shared" si="121"/>
        <v/>
      </c>
      <c r="R1148" s="52" t="str">
        <f t="shared" si="122"/>
        <v/>
      </c>
      <c r="S1148" s="51" t="str">
        <f t="shared" si="123"/>
        <v/>
      </c>
      <c r="T1148" t="str">
        <f t="shared" si="124"/>
        <v/>
      </c>
      <c r="U1148" s="52" t="str">
        <f t="shared" si="125"/>
        <v/>
      </c>
    </row>
    <row r="1149" spans="2:21" x14ac:dyDescent="0.25">
      <c r="B1149">
        <v>1207</v>
      </c>
      <c r="E1149" t="s">
        <v>1557</v>
      </c>
      <c r="F1149" t="s">
        <v>1527</v>
      </c>
      <c r="G1149">
        <v>22</v>
      </c>
      <c r="H1149" s="48">
        <v>0</v>
      </c>
      <c r="I1149" s="48">
        <v>0</v>
      </c>
      <c r="J1149" s="54">
        <v>46253</v>
      </c>
      <c r="K1149" s="54">
        <v>46274</v>
      </c>
      <c r="L1149" s="54">
        <v>46253</v>
      </c>
      <c r="M1149" s="54">
        <v>46274</v>
      </c>
      <c r="O1149" s="51" t="str">
        <f t="shared" si="119"/>
        <v/>
      </c>
      <c r="P1149" s="51" t="str">
        <f t="shared" si="120"/>
        <v/>
      </c>
      <c r="Q1149" s="52" t="str">
        <f t="shared" si="121"/>
        <v/>
      </c>
      <c r="R1149" s="52" t="str">
        <f t="shared" si="122"/>
        <v/>
      </c>
      <c r="S1149" s="51" t="str">
        <f t="shared" si="123"/>
        <v/>
      </c>
      <c r="T1149" t="str">
        <f t="shared" si="124"/>
        <v/>
      </c>
      <c r="U1149" s="52" t="str">
        <f t="shared" si="125"/>
        <v/>
      </c>
    </row>
    <row r="1150" spans="2:21" x14ac:dyDescent="0.25">
      <c r="B1150">
        <v>1208</v>
      </c>
      <c r="C1150" t="s">
        <v>189</v>
      </c>
      <c r="D1150" t="s">
        <v>1064</v>
      </c>
      <c r="E1150" t="s">
        <v>1807</v>
      </c>
      <c r="F1150" t="s">
        <v>1527</v>
      </c>
      <c r="G1150">
        <v>22</v>
      </c>
      <c r="H1150" s="48">
        <v>0</v>
      </c>
      <c r="I1150" s="48">
        <v>0</v>
      </c>
      <c r="J1150" s="54">
        <v>46253</v>
      </c>
      <c r="K1150" s="54">
        <v>46274</v>
      </c>
      <c r="L1150" s="54">
        <v>46253</v>
      </c>
      <c r="M1150" s="54">
        <v>46274</v>
      </c>
      <c r="O1150" s="51" t="str">
        <f t="shared" si="119"/>
        <v/>
      </c>
      <c r="P1150" s="51" t="str">
        <f t="shared" si="120"/>
        <v/>
      </c>
      <c r="Q1150" s="52" t="str">
        <f t="shared" si="121"/>
        <v/>
      </c>
      <c r="R1150" s="52" t="str">
        <f t="shared" si="122"/>
        <v/>
      </c>
      <c r="S1150" s="51" t="str">
        <f t="shared" si="123"/>
        <v/>
      </c>
      <c r="T1150" t="str">
        <f t="shared" si="124"/>
        <v/>
      </c>
      <c r="U1150" s="52" t="str">
        <f t="shared" si="125"/>
        <v/>
      </c>
    </row>
    <row r="1151" spans="2:21" x14ac:dyDescent="0.25">
      <c r="B1151">
        <v>1209</v>
      </c>
      <c r="C1151" t="s">
        <v>189</v>
      </c>
      <c r="D1151" t="s">
        <v>1064</v>
      </c>
      <c r="E1151" t="s">
        <v>1515</v>
      </c>
      <c r="F1151" t="s">
        <v>1528</v>
      </c>
      <c r="G1151">
        <v>8</v>
      </c>
      <c r="H1151" s="48">
        <v>0</v>
      </c>
      <c r="I1151" s="48">
        <v>0</v>
      </c>
      <c r="J1151" s="54">
        <v>46253</v>
      </c>
      <c r="K1151" s="54">
        <v>46260</v>
      </c>
      <c r="L1151" s="54">
        <v>46253</v>
      </c>
      <c r="M1151" s="54">
        <v>46260</v>
      </c>
      <c r="O1151" s="51" t="str">
        <f t="shared" si="119"/>
        <v>SIM</v>
      </c>
      <c r="P1151" s="51" t="str">
        <f t="shared" si="120"/>
        <v>BL1132-0001-EM-MCA-2012</v>
      </c>
      <c r="Q1151" s="52">
        <f t="shared" si="121"/>
        <v>46260</v>
      </c>
      <c r="R1151" s="52">
        <f t="shared" si="122"/>
        <v>46260</v>
      </c>
      <c r="S1151" s="51" t="str">
        <f t="shared" si="123"/>
        <v/>
      </c>
      <c r="T1151" t="str">
        <f t="shared" si="124"/>
        <v/>
      </c>
      <c r="U1151" s="52" t="str">
        <f t="shared" si="125"/>
        <v/>
      </c>
    </row>
    <row r="1152" spans="2:21" x14ac:dyDescent="0.25">
      <c r="B1152">
        <v>1210</v>
      </c>
      <c r="C1152" t="s">
        <v>189</v>
      </c>
      <c r="D1152" t="s">
        <v>1064</v>
      </c>
      <c r="E1152" t="s">
        <v>1517</v>
      </c>
      <c r="F1152" t="s">
        <v>1519</v>
      </c>
      <c r="G1152">
        <v>6</v>
      </c>
      <c r="H1152" s="48">
        <v>0</v>
      </c>
      <c r="I1152" s="48">
        <v>0</v>
      </c>
      <c r="J1152" s="54">
        <v>46260</v>
      </c>
      <c r="K1152" s="54">
        <v>46265</v>
      </c>
      <c r="L1152" s="54">
        <v>46260</v>
      </c>
      <c r="M1152" s="54">
        <v>46265</v>
      </c>
      <c r="O1152" s="51" t="str">
        <f t="shared" si="119"/>
        <v/>
      </c>
      <c r="P1152" s="51" t="str">
        <f t="shared" si="120"/>
        <v/>
      </c>
      <c r="Q1152" s="52" t="str">
        <f t="shared" si="121"/>
        <v/>
      </c>
      <c r="R1152" s="52" t="str">
        <f t="shared" si="122"/>
        <v/>
      </c>
      <c r="S1152" s="51" t="str">
        <f t="shared" si="123"/>
        <v/>
      </c>
      <c r="T1152" t="str">
        <f t="shared" si="124"/>
        <v/>
      </c>
      <c r="U1152" s="52" t="str">
        <f t="shared" si="125"/>
        <v/>
      </c>
    </row>
    <row r="1153" spans="2:21" x14ac:dyDescent="0.25">
      <c r="B1153">
        <v>1211</v>
      </c>
      <c r="C1153" t="s">
        <v>189</v>
      </c>
      <c r="D1153" t="s">
        <v>1064</v>
      </c>
      <c r="E1153" t="s">
        <v>1518</v>
      </c>
      <c r="F1153" t="s">
        <v>1519</v>
      </c>
      <c r="G1153">
        <v>4</v>
      </c>
      <c r="H1153" s="48">
        <v>0</v>
      </c>
      <c r="I1153" s="48">
        <v>0</v>
      </c>
      <c r="J1153" s="54">
        <v>46265</v>
      </c>
      <c r="K1153" s="54">
        <v>46268</v>
      </c>
      <c r="L1153" s="54">
        <v>46265</v>
      </c>
      <c r="M1153" s="54">
        <v>46268</v>
      </c>
      <c r="O1153" s="51" t="str">
        <f t="shared" si="119"/>
        <v/>
      </c>
      <c r="P1153" s="51" t="str">
        <f t="shared" si="120"/>
        <v/>
      </c>
      <c r="Q1153" s="52" t="str">
        <f t="shared" si="121"/>
        <v/>
      </c>
      <c r="R1153" s="52" t="str">
        <f t="shared" si="122"/>
        <v/>
      </c>
      <c r="S1153" s="51" t="str">
        <f t="shared" si="123"/>
        <v>SIM</v>
      </c>
      <c r="T1153" t="str">
        <f t="shared" si="124"/>
        <v>BL1132-0001-EM-MCA-2012</v>
      </c>
      <c r="U1153" s="52">
        <f t="shared" si="125"/>
        <v>46268</v>
      </c>
    </row>
    <row r="1154" spans="2:21" x14ac:dyDescent="0.25">
      <c r="B1154">
        <v>1212</v>
      </c>
      <c r="C1154" t="s">
        <v>189</v>
      </c>
      <c r="D1154" t="s">
        <v>1064</v>
      </c>
      <c r="E1154" t="s">
        <v>1520</v>
      </c>
      <c r="F1154" t="s">
        <v>1519</v>
      </c>
      <c r="G1154">
        <v>7</v>
      </c>
      <c r="H1154" s="48">
        <v>0</v>
      </c>
      <c r="I1154" s="48">
        <v>0</v>
      </c>
      <c r="J1154" s="54">
        <v>46268</v>
      </c>
      <c r="K1154" s="54">
        <v>46274</v>
      </c>
      <c r="L1154" s="54">
        <v>46268</v>
      </c>
      <c r="M1154" s="54">
        <v>46274</v>
      </c>
      <c r="O1154" s="51" t="str">
        <f t="shared" si="119"/>
        <v/>
      </c>
      <c r="P1154" s="51" t="str">
        <f t="shared" si="120"/>
        <v/>
      </c>
      <c r="Q1154" s="52" t="str">
        <f t="shared" si="121"/>
        <v/>
      </c>
      <c r="R1154" s="52" t="str">
        <f t="shared" si="122"/>
        <v/>
      </c>
      <c r="S1154" s="51" t="str">
        <f t="shared" si="123"/>
        <v/>
      </c>
      <c r="T1154" t="str">
        <f t="shared" si="124"/>
        <v/>
      </c>
      <c r="U1154" s="52" t="str">
        <f t="shared" si="125"/>
        <v/>
      </c>
    </row>
    <row r="1155" spans="2:21" x14ac:dyDescent="0.25">
      <c r="B1155">
        <v>1213</v>
      </c>
      <c r="E1155" t="s">
        <v>1808</v>
      </c>
      <c r="F1155" t="s">
        <v>1514</v>
      </c>
      <c r="G1155">
        <v>28</v>
      </c>
      <c r="H1155" s="48">
        <v>0</v>
      </c>
      <c r="I1155" s="48">
        <v>0</v>
      </c>
      <c r="J1155" s="54">
        <v>46232</v>
      </c>
      <c r="K1155" s="54">
        <v>46259</v>
      </c>
      <c r="L1155" s="54">
        <v>46232</v>
      </c>
      <c r="M1155" s="54">
        <v>46259</v>
      </c>
      <c r="O1155" s="51" t="str">
        <f t="shared" ref="O1155:O1218" si="126">IF(OR(E1155 = "                           1 - Emissão Inicial",E1155="                  1 - Emissão após Design Review 1",E1155 = "                  1 - Emissão para conhecimento",E1155 = "                  1 - Emissão Final",E1155 = "         Lista de Documentos",E1155 = "         Elaboração do cronograma",E1155 = "         Norma de Coordenação"), "SIM", "")</f>
        <v/>
      </c>
      <c r="P1155" s="51" t="str">
        <f t="shared" ref="P1155:P1218" si="127">IF(O1155="SIM",C1155,"")</f>
        <v/>
      </c>
      <c r="Q1155" s="52" t="str">
        <f t="shared" ref="Q1155:Q1218" si="128">IF(O1155="SIM",M1155,"")</f>
        <v/>
      </c>
      <c r="R1155" s="52" t="str">
        <f t="shared" ref="R1155:R1218" si="129">IF(O1155="SIM",K1155,"")</f>
        <v/>
      </c>
      <c r="S1155" s="51" t="str">
        <f t="shared" ref="S1155:S1218" si="130">IF(OR(E1155 = "                           3 - Atendimento de Comentários",E1155="                  1 - Emissão após Design Review 1",E1155 = "                  1 - Emissão para conhecimento",E1155 = "                  1 - Emissão Final",E1155 = "         Lista de Documentos",E1155 = "         Elaboração do cronograma",E1155 = "         Norma de Coordenação"), "SIM", "")</f>
        <v/>
      </c>
      <c r="T1155" t="str">
        <f t="shared" ref="T1155:T1218" si="131">IF(S1155="SIM",C1155,"")</f>
        <v/>
      </c>
      <c r="U1155" s="52" t="str">
        <f t="shared" ref="U1155:U1218" si="132">IF(S1155="SIM",M1155,"")</f>
        <v/>
      </c>
    </row>
    <row r="1156" spans="2:21" x14ac:dyDescent="0.25">
      <c r="B1156">
        <v>1214</v>
      </c>
      <c r="E1156" t="s">
        <v>1796</v>
      </c>
      <c r="F1156" t="s">
        <v>1514</v>
      </c>
      <c r="G1156">
        <v>28</v>
      </c>
      <c r="H1156" s="48">
        <v>0</v>
      </c>
      <c r="I1156" s="48">
        <v>0</v>
      </c>
      <c r="J1156" s="54">
        <v>46232</v>
      </c>
      <c r="K1156" s="54">
        <v>46259</v>
      </c>
      <c r="L1156" s="54">
        <v>46232</v>
      </c>
      <c r="M1156" s="54">
        <v>46259</v>
      </c>
      <c r="O1156" s="51" t="str">
        <f t="shared" si="126"/>
        <v/>
      </c>
      <c r="P1156" s="51" t="str">
        <f t="shared" si="127"/>
        <v/>
      </c>
      <c r="Q1156" s="52" t="str">
        <f t="shared" si="128"/>
        <v/>
      </c>
      <c r="R1156" s="52" t="str">
        <f t="shared" si="129"/>
        <v/>
      </c>
      <c r="S1156" s="51" t="str">
        <f t="shared" si="130"/>
        <v/>
      </c>
      <c r="T1156" t="str">
        <f t="shared" si="131"/>
        <v/>
      </c>
      <c r="U1156" s="52" t="str">
        <f t="shared" si="132"/>
        <v/>
      </c>
    </row>
    <row r="1157" spans="2:21" x14ac:dyDescent="0.25">
      <c r="B1157">
        <v>1215</v>
      </c>
      <c r="E1157" t="s">
        <v>1809</v>
      </c>
      <c r="F1157" t="s">
        <v>1514</v>
      </c>
      <c r="G1157">
        <v>28</v>
      </c>
      <c r="H1157" s="48">
        <v>0</v>
      </c>
      <c r="I1157" s="48">
        <v>0</v>
      </c>
      <c r="J1157" s="54">
        <v>46232</v>
      </c>
      <c r="K1157" s="54">
        <v>46259</v>
      </c>
      <c r="L1157" s="54">
        <v>46232</v>
      </c>
      <c r="M1157" s="54">
        <v>46259</v>
      </c>
      <c r="O1157" s="51" t="str">
        <f t="shared" si="126"/>
        <v/>
      </c>
      <c r="P1157" s="51" t="str">
        <f t="shared" si="127"/>
        <v/>
      </c>
      <c r="Q1157" s="52" t="str">
        <f t="shared" si="128"/>
        <v/>
      </c>
      <c r="R1157" s="52" t="str">
        <f t="shared" si="129"/>
        <v/>
      </c>
      <c r="S1157" s="51" t="str">
        <f t="shared" si="130"/>
        <v/>
      </c>
      <c r="T1157" t="str">
        <f t="shared" si="131"/>
        <v/>
      </c>
      <c r="U1157" s="52" t="str">
        <f t="shared" si="132"/>
        <v/>
      </c>
    </row>
    <row r="1158" spans="2:21" x14ac:dyDescent="0.25">
      <c r="B1158">
        <v>1216</v>
      </c>
      <c r="E1158" t="s">
        <v>1555</v>
      </c>
      <c r="F1158" t="s">
        <v>1516</v>
      </c>
      <c r="G1158">
        <v>13</v>
      </c>
      <c r="H1158" s="48">
        <v>0</v>
      </c>
      <c r="I1158" s="48">
        <v>0</v>
      </c>
      <c r="J1158" s="54">
        <v>46232</v>
      </c>
      <c r="K1158" s="54">
        <v>46244</v>
      </c>
      <c r="L1158" s="54">
        <v>46232</v>
      </c>
      <c r="M1158" s="54">
        <v>46244</v>
      </c>
      <c r="O1158" s="51" t="str">
        <f t="shared" si="126"/>
        <v/>
      </c>
      <c r="P1158" s="51" t="str">
        <f t="shared" si="127"/>
        <v/>
      </c>
      <c r="Q1158" s="52" t="str">
        <f t="shared" si="128"/>
        <v/>
      </c>
      <c r="R1158" s="52" t="str">
        <f t="shared" si="129"/>
        <v/>
      </c>
      <c r="S1158" s="51" t="str">
        <f t="shared" si="130"/>
        <v/>
      </c>
      <c r="T1158" t="str">
        <f t="shared" si="131"/>
        <v/>
      </c>
      <c r="U1158" s="52" t="str">
        <f t="shared" si="132"/>
        <v/>
      </c>
    </row>
    <row r="1159" spans="2:21" x14ac:dyDescent="0.25">
      <c r="B1159">
        <v>1217</v>
      </c>
      <c r="E1159" t="s">
        <v>1589</v>
      </c>
      <c r="F1159" t="s">
        <v>1516</v>
      </c>
      <c r="G1159">
        <v>13</v>
      </c>
      <c r="H1159" s="48">
        <v>0</v>
      </c>
      <c r="I1159" s="48">
        <v>0</v>
      </c>
      <c r="J1159" s="54">
        <v>46232</v>
      </c>
      <c r="K1159" s="54">
        <v>46244</v>
      </c>
      <c r="L1159" s="54">
        <v>46232</v>
      </c>
      <c r="M1159" s="54">
        <v>46244</v>
      </c>
      <c r="O1159" s="51" t="str">
        <f t="shared" si="126"/>
        <v/>
      </c>
      <c r="P1159" s="51" t="str">
        <f t="shared" si="127"/>
        <v/>
      </c>
      <c r="Q1159" s="52" t="str">
        <f t="shared" si="128"/>
        <v/>
      </c>
      <c r="R1159" s="52" t="str">
        <f t="shared" si="129"/>
        <v/>
      </c>
      <c r="S1159" s="51" t="str">
        <f t="shared" si="130"/>
        <v/>
      </c>
      <c r="T1159" t="str">
        <f t="shared" si="131"/>
        <v/>
      </c>
      <c r="U1159" s="52" t="str">
        <f t="shared" si="132"/>
        <v/>
      </c>
    </row>
    <row r="1160" spans="2:21" x14ac:dyDescent="0.25">
      <c r="B1160">
        <v>1218</v>
      </c>
      <c r="E1160" t="s">
        <v>1560</v>
      </c>
      <c r="F1160" t="s">
        <v>1641</v>
      </c>
      <c r="G1160">
        <v>16</v>
      </c>
      <c r="H1160" s="48">
        <v>0</v>
      </c>
      <c r="I1160" s="48">
        <v>0</v>
      </c>
      <c r="J1160" s="54">
        <v>46244</v>
      </c>
      <c r="K1160" s="54">
        <v>46259</v>
      </c>
      <c r="L1160" s="54">
        <v>46244</v>
      </c>
      <c r="M1160" s="54">
        <v>46259</v>
      </c>
      <c r="O1160" s="51" t="str">
        <f t="shared" si="126"/>
        <v/>
      </c>
      <c r="P1160" s="51" t="str">
        <f t="shared" si="127"/>
        <v/>
      </c>
      <c r="Q1160" s="52" t="str">
        <f t="shared" si="128"/>
        <v/>
      </c>
      <c r="R1160" s="52" t="str">
        <f t="shared" si="129"/>
        <v/>
      </c>
      <c r="S1160" s="51" t="str">
        <f t="shared" si="130"/>
        <v/>
      </c>
      <c r="T1160" t="str">
        <f t="shared" si="131"/>
        <v/>
      </c>
      <c r="U1160" s="52" t="str">
        <f t="shared" si="132"/>
        <v/>
      </c>
    </row>
    <row r="1161" spans="2:21" x14ac:dyDescent="0.25">
      <c r="B1161">
        <v>1219</v>
      </c>
      <c r="E1161" t="s">
        <v>1572</v>
      </c>
      <c r="F1161" t="s">
        <v>1641</v>
      </c>
      <c r="G1161">
        <v>16</v>
      </c>
      <c r="H1161" s="48">
        <v>0</v>
      </c>
      <c r="I1161" s="48">
        <v>0</v>
      </c>
      <c r="J1161" s="54">
        <v>46244</v>
      </c>
      <c r="K1161" s="54">
        <v>46259</v>
      </c>
      <c r="L1161" s="54">
        <v>46244</v>
      </c>
      <c r="M1161" s="54">
        <v>46259</v>
      </c>
      <c r="O1161" s="51" t="str">
        <f t="shared" si="126"/>
        <v/>
      </c>
      <c r="P1161" s="51" t="str">
        <f t="shared" si="127"/>
        <v/>
      </c>
      <c r="Q1161" s="52" t="str">
        <f t="shared" si="128"/>
        <v/>
      </c>
      <c r="R1161" s="52" t="str">
        <f t="shared" si="129"/>
        <v/>
      </c>
      <c r="S1161" s="51" t="str">
        <f t="shared" si="130"/>
        <v/>
      </c>
      <c r="T1161" t="str">
        <f t="shared" si="131"/>
        <v/>
      </c>
      <c r="U1161" s="52" t="str">
        <f t="shared" si="132"/>
        <v/>
      </c>
    </row>
    <row r="1162" spans="2:21" x14ac:dyDescent="0.25">
      <c r="B1162">
        <v>1220</v>
      </c>
      <c r="C1162" t="s">
        <v>83</v>
      </c>
      <c r="D1162" t="s">
        <v>628</v>
      </c>
      <c r="E1162" t="s">
        <v>1810</v>
      </c>
      <c r="F1162" t="s">
        <v>1641</v>
      </c>
      <c r="G1162">
        <v>16</v>
      </c>
      <c r="H1162" s="48">
        <v>0</v>
      </c>
      <c r="I1162" s="48">
        <v>0</v>
      </c>
      <c r="J1162" s="54">
        <v>46244</v>
      </c>
      <c r="K1162" s="54">
        <v>46259</v>
      </c>
      <c r="L1162" s="54">
        <v>46244</v>
      </c>
      <c r="M1162" s="54">
        <v>46259</v>
      </c>
      <c r="O1162" s="51" t="str">
        <f t="shared" si="126"/>
        <v/>
      </c>
      <c r="P1162" s="51" t="str">
        <f t="shared" si="127"/>
        <v/>
      </c>
      <c r="Q1162" s="52" t="str">
        <f t="shared" si="128"/>
        <v/>
      </c>
      <c r="R1162" s="52" t="str">
        <f t="shared" si="129"/>
        <v/>
      </c>
      <c r="S1162" s="51" t="str">
        <f t="shared" si="130"/>
        <v/>
      </c>
      <c r="T1162" t="str">
        <f t="shared" si="131"/>
        <v/>
      </c>
      <c r="U1162" s="52" t="str">
        <f t="shared" si="132"/>
        <v/>
      </c>
    </row>
    <row r="1163" spans="2:21" x14ac:dyDescent="0.25">
      <c r="B1163">
        <v>1221</v>
      </c>
      <c r="C1163" t="s">
        <v>83</v>
      </c>
      <c r="D1163" t="s">
        <v>628</v>
      </c>
      <c r="E1163" t="s">
        <v>1515</v>
      </c>
      <c r="F1163" t="s">
        <v>1642</v>
      </c>
      <c r="G1163">
        <v>3</v>
      </c>
      <c r="H1163" s="48">
        <v>0</v>
      </c>
      <c r="I1163" s="48">
        <v>0</v>
      </c>
      <c r="J1163" s="54">
        <v>46244</v>
      </c>
      <c r="K1163" s="54">
        <v>46246</v>
      </c>
      <c r="L1163" s="54">
        <v>46244</v>
      </c>
      <c r="M1163" s="54">
        <v>46246</v>
      </c>
      <c r="O1163" s="51" t="str">
        <f t="shared" si="126"/>
        <v>SIM</v>
      </c>
      <c r="P1163" s="51" t="str">
        <f t="shared" si="127"/>
        <v>BL1132-0001-CC-DBA-2000</v>
      </c>
      <c r="Q1163" s="52">
        <f t="shared" si="128"/>
        <v>46246</v>
      </c>
      <c r="R1163" s="52">
        <f t="shared" si="129"/>
        <v>46246</v>
      </c>
      <c r="S1163" s="51" t="str">
        <f t="shared" si="130"/>
        <v/>
      </c>
      <c r="T1163" t="str">
        <f t="shared" si="131"/>
        <v/>
      </c>
      <c r="U1163" s="52" t="str">
        <f t="shared" si="132"/>
        <v/>
      </c>
    </row>
    <row r="1164" spans="2:21" x14ac:dyDescent="0.25">
      <c r="B1164">
        <v>1222</v>
      </c>
      <c r="C1164" t="s">
        <v>83</v>
      </c>
      <c r="D1164" t="s">
        <v>628</v>
      </c>
      <c r="E1164" t="s">
        <v>1517</v>
      </c>
      <c r="F1164" t="s">
        <v>1519</v>
      </c>
      <c r="G1164">
        <v>6</v>
      </c>
      <c r="H1164" s="48">
        <v>0</v>
      </c>
      <c r="I1164" s="48">
        <v>0</v>
      </c>
      <c r="J1164" s="54">
        <v>46246</v>
      </c>
      <c r="K1164" s="54">
        <v>46251</v>
      </c>
      <c r="L1164" s="54">
        <v>46246</v>
      </c>
      <c r="M1164" s="54">
        <v>46251</v>
      </c>
      <c r="O1164" s="51" t="str">
        <f t="shared" si="126"/>
        <v/>
      </c>
      <c r="P1164" s="51" t="str">
        <f t="shared" si="127"/>
        <v/>
      </c>
      <c r="Q1164" s="52" t="str">
        <f t="shared" si="128"/>
        <v/>
      </c>
      <c r="R1164" s="52" t="str">
        <f t="shared" si="129"/>
        <v/>
      </c>
      <c r="S1164" s="51" t="str">
        <f t="shared" si="130"/>
        <v/>
      </c>
      <c r="T1164" t="str">
        <f t="shared" si="131"/>
        <v/>
      </c>
      <c r="U1164" s="52" t="str">
        <f t="shared" si="132"/>
        <v/>
      </c>
    </row>
    <row r="1165" spans="2:21" x14ac:dyDescent="0.25">
      <c r="B1165">
        <v>1223</v>
      </c>
      <c r="C1165" t="s">
        <v>83</v>
      </c>
      <c r="D1165" t="s">
        <v>628</v>
      </c>
      <c r="E1165" t="s">
        <v>1518</v>
      </c>
      <c r="F1165" t="s">
        <v>1519</v>
      </c>
      <c r="G1165">
        <v>4</v>
      </c>
      <c r="H1165" s="48">
        <v>0</v>
      </c>
      <c r="I1165" s="48">
        <v>0</v>
      </c>
      <c r="J1165" s="54">
        <v>46251</v>
      </c>
      <c r="K1165" s="54">
        <v>46254</v>
      </c>
      <c r="L1165" s="54">
        <v>46251</v>
      </c>
      <c r="M1165" s="54">
        <v>46254</v>
      </c>
      <c r="O1165" s="51" t="str">
        <f t="shared" si="126"/>
        <v/>
      </c>
      <c r="P1165" s="51" t="str">
        <f t="shared" si="127"/>
        <v/>
      </c>
      <c r="Q1165" s="52" t="str">
        <f t="shared" si="128"/>
        <v/>
      </c>
      <c r="R1165" s="52" t="str">
        <f t="shared" si="129"/>
        <v/>
      </c>
      <c r="S1165" s="51" t="str">
        <f t="shared" si="130"/>
        <v>SIM</v>
      </c>
      <c r="T1165" t="str">
        <f t="shared" si="131"/>
        <v>BL1132-0001-CC-DBA-2000</v>
      </c>
      <c r="U1165" s="52">
        <f t="shared" si="132"/>
        <v>46254</v>
      </c>
    </row>
    <row r="1166" spans="2:21" x14ac:dyDescent="0.25">
      <c r="B1166">
        <v>1224</v>
      </c>
      <c r="C1166" t="s">
        <v>83</v>
      </c>
      <c r="D1166" t="s">
        <v>628</v>
      </c>
      <c r="E1166" t="s">
        <v>1520</v>
      </c>
      <c r="F1166" t="s">
        <v>1519</v>
      </c>
      <c r="G1166">
        <v>6</v>
      </c>
      <c r="H1166" s="48">
        <v>0</v>
      </c>
      <c r="I1166" s="48">
        <v>0</v>
      </c>
      <c r="J1166" s="54">
        <v>46254</v>
      </c>
      <c r="K1166" s="54">
        <v>46259</v>
      </c>
      <c r="L1166" s="54">
        <v>46254</v>
      </c>
      <c r="M1166" s="54">
        <v>46259</v>
      </c>
      <c r="O1166" s="51" t="str">
        <f t="shared" si="126"/>
        <v/>
      </c>
      <c r="P1166" s="51" t="str">
        <f t="shared" si="127"/>
        <v/>
      </c>
      <c r="Q1166" s="52" t="str">
        <f t="shared" si="128"/>
        <v/>
      </c>
      <c r="R1166" s="52" t="str">
        <f t="shared" si="129"/>
        <v/>
      </c>
      <c r="S1166" s="51" t="str">
        <f t="shared" si="130"/>
        <v/>
      </c>
      <c r="T1166" t="str">
        <f t="shared" si="131"/>
        <v/>
      </c>
      <c r="U1166" s="52" t="str">
        <f t="shared" si="132"/>
        <v/>
      </c>
    </row>
    <row r="1167" spans="2:21" x14ac:dyDescent="0.25">
      <c r="B1167">
        <v>1225</v>
      </c>
      <c r="C1167" t="s">
        <v>84</v>
      </c>
      <c r="D1167" t="s">
        <v>634</v>
      </c>
      <c r="E1167" t="s">
        <v>1811</v>
      </c>
      <c r="F1167" t="s">
        <v>1641</v>
      </c>
      <c r="G1167">
        <v>16</v>
      </c>
      <c r="H1167" s="48">
        <v>0</v>
      </c>
      <c r="I1167" s="48">
        <v>0</v>
      </c>
      <c r="J1167" s="54">
        <v>46244</v>
      </c>
      <c r="K1167" s="54">
        <v>46259</v>
      </c>
      <c r="L1167" s="54">
        <v>46244</v>
      </c>
      <c r="M1167" s="54">
        <v>46259</v>
      </c>
      <c r="O1167" s="51" t="str">
        <f t="shared" si="126"/>
        <v/>
      </c>
      <c r="P1167" s="51" t="str">
        <f t="shared" si="127"/>
        <v/>
      </c>
      <c r="Q1167" s="52" t="str">
        <f t="shared" si="128"/>
        <v/>
      </c>
      <c r="R1167" s="52" t="str">
        <f t="shared" si="129"/>
        <v/>
      </c>
      <c r="S1167" s="51" t="str">
        <f t="shared" si="130"/>
        <v/>
      </c>
      <c r="T1167" t="str">
        <f t="shared" si="131"/>
        <v/>
      </c>
      <c r="U1167" s="52" t="str">
        <f t="shared" si="132"/>
        <v/>
      </c>
    </row>
    <row r="1168" spans="2:21" x14ac:dyDescent="0.25">
      <c r="B1168">
        <v>1226</v>
      </c>
      <c r="C1168" t="s">
        <v>84</v>
      </c>
      <c r="D1168" t="s">
        <v>634</v>
      </c>
      <c r="E1168" t="s">
        <v>1515</v>
      </c>
      <c r="F1168" t="s">
        <v>1642</v>
      </c>
      <c r="G1168">
        <v>3</v>
      </c>
      <c r="H1168" s="48">
        <v>0</v>
      </c>
      <c r="I1168" s="48">
        <v>0</v>
      </c>
      <c r="J1168" s="54">
        <v>46244</v>
      </c>
      <c r="K1168" s="54">
        <v>46246</v>
      </c>
      <c r="L1168" s="54">
        <v>46244</v>
      </c>
      <c r="M1168" s="54">
        <v>46246</v>
      </c>
      <c r="O1168" s="51" t="str">
        <f t="shared" si="126"/>
        <v>SIM</v>
      </c>
      <c r="P1168" s="51" t="str">
        <f t="shared" si="127"/>
        <v>BL1132-0001-CC-DBA-2001</v>
      </c>
      <c r="Q1168" s="52">
        <f t="shared" si="128"/>
        <v>46246</v>
      </c>
      <c r="R1168" s="52">
        <f t="shared" si="129"/>
        <v>46246</v>
      </c>
      <c r="S1168" s="51" t="str">
        <f t="shared" si="130"/>
        <v/>
      </c>
      <c r="T1168" t="str">
        <f t="shared" si="131"/>
        <v/>
      </c>
      <c r="U1168" s="52" t="str">
        <f t="shared" si="132"/>
        <v/>
      </c>
    </row>
    <row r="1169" spans="2:21" x14ac:dyDescent="0.25">
      <c r="B1169">
        <v>1227</v>
      </c>
      <c r="C1169" t="s">
        <v>84</v>
      </c>
      <c r="D1169" t="s">
        <v>634</v>
      </c>
      <c r="E1169" t="s">
        <v>1517</v>
      </c>
      <c r="F1169" t="s">
        <v>1519</v>
      </c>
      <c r="G1169">
        <v>6</v>
      </c>
      <c r="H1169" s="48">
        <v>0</v>
      </c>
      <c r="I1169" s="48">
        <v>0</v>
      </c>
      <c r="J1169" s="54">
        <v>46246</v>
      </c>
      <c r="K1169" s="54">
        <v>46251</v>
      </c>
      <c r="L1169" s="54">
        <v>46246</v>
      </c>
      <c r="M1169" s="54">
        <v>46251</v>
      </c>
      <c r="O1169" s="51" t="str">
        <f t="shared" si="126"/>
        <v/>
      </c>
      <c r="P1169" s="51" t="str">
        <f t="shared" si="127"/>
        <v/>
      </c>
      <c r="Q1169" s="52" t="str">
        <f t="shared" si="128"/>
        <v/>
      </c>
      <c r="R1169" s="52" t="str">
        <f t="shared" si="129"/>
        <v/>
      </c>
      <c r="S1169" s="51" t="str">
        <f t="shared" si="130"/>
        <v/>
      </c>
      <c r="T1169" t="str">
        <f t="shared" si="131"/>
        <v/>
      </c>
      <c r="U1169" s="52" t="str">
        <f t="shared" si="132"/>
        <v/>
      </c>
    </row>
    <row r="1170" spans="2:21" x14ac:dyDescent="0.25">
      <c r="B1170">
        <v>1228</v>
      </c>
      <c r="C1170" t="s">
        <v>84</v>
      </c>
      <c r="D1170" t="s">
        <v>634</v>
      </c>
      <c r="E1170" t="s">
        <v>1518</v>
      </c>
      <c r="F1170" t="s">
        <v>1519</v>
      </c>
      <c r="G1170">
        <v>4</v>
      </c>
      <c r="H1170" s="48">
        <v>0</v>
      </c>
      <c r="I1170" s="48">
        <v>0</v>
      </c>
      <c r="J1170" s="54">
        <v>46251</v>
      </c>
      <c r="K1170" s="54">
        <v>46254</v>
      </c>
      <c r="L1170" s="54">
        <v>46251</v>
      </c>
      <c r="M1170" s="54">
        <v>46254</v>
      </c>
      <c r="O1170" s="51" t="str">
        <f t="shared" si="126"/>
        <v/>
      </c>
      <c r="P1170" s="51" t="str">
        <f t="shared" si="127"/>
        <v/>
      </c>
      <c r="Q1170" s="52" t="str">
        <f t="shared" si="128"/>
        <v/>
      </c>
      <c r="R1170" s="52" t="str">
        <f t="shared" si="129"/>
        <v/>
      </c>
      <c r="S1170" s="51" t="str">
        <f t="shared" si="130"/>
        <v>SIM</v>
      </c>
      <c r="T1170" t="str">
        <f t="shared" si="131"/>
        <v>BL1132-0001-CC-DBA-2001</v>
      </c>
      <c r="U1170" s="52">
        <f t="shared" si="132"/>
        <v>46254</v>
      </c>
    </row>
    <row r="1171" spans="2:21" x14ac:dyDescent="0.25">
      <c r="B1171">
        <v>1229</v>
      </c>
      <c r="C1171" t="s">
        <v>84</v>
      </c>
      <c r="D1171" t="s">
        <v>634</v>
      </c>
      <c r="E1171" t="s">
        <v>1520</v>
      </c>
      <c r="F1171" t="s">
        <v>1519</v>
      </c>
      <c r="G1171">
        <v>6</v>
      </c>
      <c r="H1171" s="48">
        <v>0</v>
      </c>
      <c r="I1171" s="48">
        <v>0</v>
      </c>
      <c r="J1171" s="54">
        <v>46254</v>
      </c>
      <c r="K1171" s="54">
        <v>46259</v>
      </c>
      <c r="L1171" s="54">
        <v>46254</v>
      </c>
      <c r="M1171" s="54">
        <v>46259</v>
      </c>
      <c r="O1171" s="51" t="str">
        <f t="shared" si="126"/>
        <v/>
      </c>
      <c r="P1171" s="51" t="str">
        <f t="shared" si="127"/>
        <v/>
      </c>
      <c r="Q1171" s="52" t="str">
        <f t="shared" si="128"/>
        <v/>
      </c>
      <c r="R1171" s="52" t="str">
        <f t="shared" si="129"/>
        <v/>
      </c>
      <c r="S1171" s="51" t="str">
        <f t="shared" si="130"/>
        <v/>
      </c>
      <c r="T1171" t="str">
        <f t="shared" si="131"/>
        <v/>
      </c>
      <c r="U1171" s="52" t="str">
        <f t="shared" si="132"/>
        <v/>
      </c>
    </row>
    <row r="1172" spans="2:21" x14ac:dyDescent="0.25">
      <c r="B1172">
        <v>1230</v>
      </c>
      <c r="C1172" t="s">
        <v>85</v>
      </c>
      <c r="D1172" t="s">
        <v>638</v>
      </c>
      <c r="E1172" t="s">
        <v>1812</v>
      </c>
      <c r="F1172" t="s">
        <v>1641</v>
      </c>
      <c r="G1172">
        <v>16</v>
      </c>
      <c r="H1172" s="48">
        <v>0</v>
      </c>
      <c r="I1172" s="48">
        <v>0</v>
      </c>
      <c r="J1172" s="54">
        <v>46244</v>
      </c>
      <c r="K1172" s="54">
        <v>46259</v>
      </c>
      <c r="L1172" s="54">
        <v>46244</v>
      </c>
      <c r="M1172" s="54">
        <v>46259</v>
      </c>
      <c r="O1172" s="51" t="str">
        <f t="shared" si="126"/>
        <v/>
      </c>
      <c r="P1172" s="51" t="str">
        <f t="shared" si="127"/>
        <v/>
      </c>
      <c r="Q1172" s="52" t="str">
        <f t="shared" si="128"/>
        <v/>
      </c>
      <c r="R1172" s="52" t="str">
        <f t="shared" si="129"/>
        <v/>
      </c>
      <c r="S1172" s="51" t="str">
        <f t="shared" si="130"/>
        <v/>
      </c>
      <c r="T1172" t="str">
        <f t="shared" si="131"/>
        <v/>
      </c>
      <c r="U1172" s="52" t="str">
        <f t="shared" si="132"/>
        <v/>
      </c>
    </row>
    <row r="1173" spans="2:21" x14ac:dyDescent="0.25">
      <c r="B1173">
        <v>1231</v>
      </c>
      <c r="C1173" t="s">
        <v>85</v>
      </c>
      <c r="D1173" t="s">
        <v>638</v>
      </c>
      <c r="E1173" t="s">
        <v>1515</v>
      </c>
      <c r="F1173" t="s">
        <v>1642</v>
      </c>
      <c r="G1173">
        <v>3</v>
      </c>
      <c r="H1173" s="48">
        <v>0</v>
      </c>
      <c r="I1173" s="48">
        <v>0</v>
      </c>
      <c r="J1173" s="54">
        <v>46244</v>
      </c>
      <c r="K1173" s="54">
        <v>46246</v>
      </c>
      <c r="L1173" s="54">
        <v>46244</v>
      </c>
      <c r="M1173" s="54">
        <v>46246</v>
      </c>
      <c r="O1173" s="51" t="str">
        <f t="shared" si="126"/>
        <v>SIM</v>
      </c>
      <c r="P1173" s="51" t="str">
        <f t="shared" si="127"/>
        <v>BL1132-0001-CC-DBA-2002</v>
      </c>
      <c r="Q1173" s="52">
        <f t="shared" si="128"/>
        <v>46246</v>
      </c>
      <c r="R1173" s="52">
        <f t="shared" si="129"/>
        <v>46246</v>
      </c>
      <c r="S1173" s="51" t="str">
        <f t="shared" si="130"/>
        <v/>
      </c>
      <c r="T1173" t="str">
        <f t="shared" si="131"/>
        <v/>
      </c>
      <c r="U1173" s="52" t="str">
        <f t="shared" si="132"/>
        <v/>
      </c>
    </row>
    <row r="1174" spans="2:21" x14ac:dyDescent="0.25">
      <c r="B1174">
        <v>1232</v>
      </c>
      <c r="C1174" t="s">
        <v>85</v>
      </c>
      <c r="D1174" t="s">
        <v>638</v>
      </c>
      <c r="E1174" t="s">
        <v>1517</v>
      </c>
      <c r="F1174" t="s">
        <v>1519</v>
      </c>
      <c r="G1174">
        <v>6</v>
      </c>
      <c r="H1174" s="48">
        <v>0</v>
      </c>
      <c r="I1174" s="48">
        <v>0</v>
      </c>
      <c r="J1174" s="54">
        <v>46246</v>
      </c>
      <c r="K1174" s="54">
        <v>46251</v>
      </c>
      <c r="L1174" s="54">
        <v>46246</v>
      </c>
      <c r="M1174" s="54">
        <v>46251</v>
      </c>
      <c r="O1174" s="51" t="str">
        <f t="shared" si="126"/>
        <v/>
      </c>
      <c r="P1174" s="51" t="str">
        <f t="shared" si="127"/>
        <v/>
      </c>
      <c r="Q1174" s="52" t="str">
        <f t="shared" si="128"/>
        <v/>
      </c>
      <c r="R1174" s="52" t="str">
        <f t="shared" si="129"/>
        <v/>
      </c>
      <c r="S1174" s="51" t="str">
        <f t="shared" si="130"/>
        <v/>
      </c>
      <c r="T1174" t="str">
        <f t="shared" si="131"/>
        <v/>
      </c>
      <c r="U1174" s="52" t="str">
        <f t="shared" si="132"/>
        <v/>
      </c>
    </row>
    <row r="1175" spans="2:21" x14ac:dyDescent="0.25">
      <c r="B1175">
        <v>1233</v>
      </c>
      <c r="C1175" t="s">
        <v>85</v>
      </c>
      <c r="D1175" t="s">
        <v>638</v>
      </c>
      <c r="E1175" t="s">
        <v>1518</v>
      </c>
      <c r="F1175" t="s">
        <v>1519</v>
      </c>
      <c r="G1175">
        <v>4</v>
      </c>
      <c r="H1175" s="48">
        <v>0</v>
      </c>
      <c r="I1175" s="48">
        <v>0</v>
      </c>
      <c r="J1175" s="54">
        <v>46251</v>
      </c>
      <c r="K1175" s="54">
        <v>46254</v>
      </c>
      <c r="L1175" s="54">
        <v>46251</v>
      </c>
      <c r="M1175" s="54">
        <v>46254</v>
      </c>
      <c r="O1175" s="51" t="str">
        <f t="shared" si="126"/>
        <v/>
      </c>
      <c r="P1175" s="51" t="str">
        <f t="shared" si="127"/>
        <v/>
      </c>
      <c r="Q1175" s="52" t="str">
        <f t="shared" si="128"/>
        <v/>
      </c>
      <c r="R1175" s="52" t="str">
        <f t="shared" si="129"/>
        <v/>
      </c>
      <c r="S1175" s="51" t="str">
        <f t="shared" si="130"/>
        <v>SIM</v>
      </c>
      <c r="T1175" t="str">
        <f t="shared" si="131"/>
        <v>BL1132-0001-CC-DBA-2002</v>
      </c>
      <c r="U1175" s="52">
        <f t="shared" si="132"/>
        <v>46254</v>
      </c>
    </row>
    <row r="1176" spans="2:21" x14ac:dyDescent="0.25">
      <c r="B1176">
        <v>1234</v>
      </c>
      <c r="C1176" t="s">
        <v>85</v>
      </c>
      <c r="D1176" t="s">
        <v>638</v>
      </c>
      <c r="E1176" t="s">
        <v>1520</v>
      </c>
      <c r="F1176" t="s">
        <v>1519</v>
      </c>
      <c r="G1176">
        <v>6</v>
      </c>
      <c r="H1176" s="48">
        <v>0</v>
      </c>
      <c r="I1176" s="48">
        <v>0</v>
      </c>
      <c r="J1176" s="54">
        <v>46254</v>
      </c>
      <c r="K1176" s="54">
        <v>46259</v>
      </c>
      <c r="L1176" s="54">
        <v>46254</v>
      </c>
      <c r="M1176" s="54">
        <v>46259</v>
      </c>
      <c r="O1176" s="51" t="str">
        <f t="shared" si="126"/>
        <v/>
      </c>
      <c r="P1176" s="51" t="str">
        <f t="shared" si="127"/>
        <v/>
      </c>
      <c r="Q1176" s="52" t="str">
        <f t="shared" si="128"/>
        <v/>
      </c>
      <c r="R1176" s="52" t="str">
        <f t="shared" si="129"/>
        <v/>
      </c>
      <c r="S1176" s="51" t="str">
        <f t="shared" si="130"/>
        <v/>
      </c>
      <c r="T1176" t="str">
        <f t="shared" si="131"/>
        <v/>
      </c>
      <c r="U1176" s="52" t="str">
        <f t="shared" si="132"/>
        <v/>
      </c>
    </row>
    <row r="1177" spans="2:21" x14ac:dyDescent="0.25">
      <c r="B1177">
        <v>1235</v>
      </c>
      <c r="C1177" t="s">
        <v>86</v>
      </c>
      <c r="D1177" t="s">
        <v>642</v>
      </c>
      <c r="E1177" t="s">
        <v>1813</v>
      </c>
      <c r="F1177" t="s">
        <v>1641</v>
      </c>
      <c r="G1177">
        <v>16</v>
      </c>
      <c r="H1177" s="48">
        <v>0</v>
      </c>
      <c r="I1177" s="48">
        <v>0</v>
      </c>
      <c r="J1177" s="54">
        <v>46244</v>
      </c>
      <c r="K1177" s="54">
        <v>46259</v>
      </c>
      <c r="L1177" s="54">
        <v>46244</v>
      </c>
      <c r="M1177" s="54">
        <v>46259</v>
      </c>
      <c r="O1177" s="51" t="str">
        <f t="shared" si="126"/>
        <v/>
      </c>
      <c r="P1177" s="51" t="str">
        <f t="shared" si="127"/>
        <v/>
      </c>
      <c r="Q1177" s="52" t="str">
        <f t="shared" si="128"/>
        <v/>
      </c>
      <c r="R1177" s="52" t="str">
        <f t="shared" si="129"/>
        <v/>
      </c>
      <c r="S1177" s="51" t="str">
        <f t="shared" si="130"/>
        <v/>
      </c>
      <c r="T1177" t="str">
        <f t="shared" si="131"/>
        <v/>
      </c>
      <c r="U1177" s="52" t="str">
        <f t="shared" si="132"/>
        <v/>
      </c>
    </row>
    <row r="1178" spans="2:21" x14ac:dyDescent="0.25">
      <c r="B1178">
        <v>1236</v>
      </c>
      <c r="C1178" t="s">
        <v>86</v>
      </c>
      <c r="D1178" t="s">
        <v>642</v>
      </c>
      <c r="E1178" t="s">
        <v>1515</v>
      </c>
      <c r="F1178" t="s">
        <v>1642</v>
      </c>
      <c r="G1178">
        <v>3</v>
      </c>
      <c r="H1178" s="48">
        <v>0</v>
      </c>
      <c r="I1178" s="48">
        <v>0</v>
      </c>
      <c r="J1178" s="54">
        <v>46244</v>
      </c>
      <c r="K1178" s="54">
        <v>46246</v>
      </c>
      <c r="L1178" s="54">
        <v>46244</v>
      </c>
      <c r="M1178" s="54">
        <v>46246</v>
      </c>
      <c r="O1178" s="51" t="str">
        <f t="shared" si="126"/>
        <v>SIM</v>
      </c>
      <c r="P1178" s="51" t="str">
        <f t="shared" si="127"/>
        <v>BL1132-0001-CC-DBA-2003</v>
      </c>
      <c r="Q1178" s="52">
        <f t="shared" si="128"/>
        <v>46246</v>
      </c>
      <c r="R1178" s="52">
        <f t="shared" si="129"/>
        <v>46246</v>
      </c>
      <c r="S1178" s="51" t="str">
        <f t="shared" si="130"/>
        <v/>
      </c>
      <c r="T1178" t="str">
        <f t="shared" si="131"/>
        <v/>
      </c>
      <c r="U1178" s="52" t="str">
        <f t="shared" si="132"/>
        <v/>
      </c>
    </row>
    <row r="1179" spans="2:21" x14ac:dyDescent="0.25">
      <c r="B1179">
        <v>1237</v>
      </c>
      <c r="C1179" t="s">
        <v>86</v>
      </c>
      <c r="D1179" t="s">
        <v>642</v>
      </c>
      <c r="E1179" t="s">
        <v>1517</v>
      </c>
      <c r="F1179" t="s">
        <v>1519</v>
      </c>
      <c r="G1179">
        <v>6</v>
      </c>
      <c r="H1179" s="48">
        <v>0</v>
      </c>
      <c r="I1179" s="48">
        <v>0</v>
      </c>
      <c r="J1179" s="54">
        <v>46246</v>
      </c>
      <c r="K1179" s="54">
        <v>46251</v>
      </c>
      <c r="L1179" s="54">
        <v>46246</v>
      </c>
      <c r="M1179" s="54">
        <v>46251</v>
      </c>
      <c r="O1179" s="51" t="str">
        <f t="shared" si="126"/>
        <v/>
      </c>
      <c r="P1179" s="51" t="str">
        <f t="shared" si="127"/>
        <v/>
      </c>
      <c r="Q1179" s="52" t="str">
        <f t="shared" si="128"/>
        <v/>
      </c>
      <c r="R1179" s="52" t="str">
        <f t="shared" si="129"/>
        <v/>
      </c>
      <c r="S1179" s="51" t="str">
        <f t="shared" si="130"/>
        <v/>
      </c>
      <c r="T1179" t="str">
        <f t="shared" si="131"/>
        <v/>
      </c>
      <c r="U1179" s="52" t="str">
        <f t="shared" si="132"/>
        <v/>
      </c>
    </row>
    <row r="1180" spans="2:21" x14ac:dyDescent="0.25">
      <c r="B1180">
        <v>1238</v>
      </c>
      <c r="C1180" t="s">
        <v>86</v>
      </c>
      <c r="D1180" t="s">
        <v>642</v>
      </c>
      <c r="E1180" t="s">
        <v>1518</v>
      </c>
      <c r="F1180" t="s">
        <v>1519</v>
      </c>
      <c r="G1180">
        <v>4</v>
      </c>
      <c r="H1180" s="48">
        <v>0</v>
      </c>
      <c r="I1180" s="48">
        <v>0</v>
      </c>
      <c r="J1180" s="54">
        <v>46251</v>
      </c>
      <c r="K1180" s="54">
        <v>46254</v>
      </c>
      <c r="L1180" s="54">
        <v>46251</v>
      </c>
      <c r="M1180" s="54">
        <v>46254</v>
      </c>
      <c r="O1180" s="51" t="str">
        <f t="shared" si="126"/>
        <v/>
      </c>
      <c r="P1180" s="51" t="str">
        <f t="shared" si="127"/>
        <v/>
      </c>
      <c r="Q1180" s="52" t="str">
        <f t="shared" si="128"/>
        <v/>
      </c>
      <c r="R1180" s="52" t="str">
        <f t="shared" si="129"/>
        <v/>
      </c>
      <c r="S1180" s="51" t="str">
        <f t="shared" si="130"/>
        <v>SIM</v>
      </c>
      <c r="T1180" t="str">
        <f t="shared" si="131"/>
        <v>BL1132-0001-CC-DBA-2003</v>
      </c>
      <c r="U1180" s="52">
        <f t="shared" si="132"/>
        <v>46254</v>
      </c>
    </row>
    <row r="1181" spans="2:21" x14ac:dyDescent="0.25">
      <c r="B1181">
        <v>1239</v>
      </c>
      <c r="C1181" t="s">
        <v>86</v>
      </c>
      <c r="D1181" t="s">
        <v>642</v>
      </c>
      <c r="E1181" t="s">
        <v>1520</v>
      </c>
      <c r="F1181" t="s">
        <v>1519</v>
      </c>
      <c r="G1181">
        <v>6</v>
      </c>
      <c r="H1181" s="48">
        <v>0</v>
      </c>
      <c r="I1181" s="48">
        <v>0</v>
      </c>
      <c r="J1181" s="54">
        <v>46254</v>
      </c>
      <c r="K1181" s="54">
        <v>46259</v>
      </c>
      <c r="L1181" s="54">
        <v>46254</v>
      </c>
      <c r="M1181" s="54">
        <v>46259</v>
      </c>
      <c r="O1181" s="51" t="str">
        <f t="shared" si="126"/>
        <v/>
      </c>
      <c r="P1181" s="51" t="str">
        <f t="shared" si="127"/>
        <v/>
      </c>
      <c r="Q1181" s="52" t="str">
        <f t="shared" si="128"/>
        <v/>
      </c>
      <c r="R1181" s="52" t="str">
        <f t="shared" si="129"/>
        <v/>
      </c>
      <c r="S1181" s="51" t="str">
        <f t="shared" si="130"/>
        <v/>
      </c>
      <c r="T1181" t="str">
        <f t="shared" si="131"/>
        <v/>
      </c>
      <c r="U1181" s="52" t="str">
        <f t="shared" si="132"/>
        <v/>
      </c>
    </row>
    <row r="1182" spans="2:21" x14ac:dyDescent="0.25">
      <c r="B1182">
        <v>1240</v>
      </c>
      <c r="C1182" t="s">
        <v>87</v>
      </c>
      <c r="D1182" t="s">
        <v>646</v>
      </c>
      <c r="E1182" t="s">
        <v>1814</v>
      </c>
      <c r="F1182" t="s">
        <v>1641</v>
      </c>
      <c r="G1182">
        <v>16</v>
      </c>
      <c r="H1182" s="48">
        <v>0</v>
      </c>
      <c r="I1182" s="48">
        <v>0</v>
      </c>
      <c r="J1182" s="54">
        <v>46244</v>
      </c>
      <c r="K1182" s="54">
        <v>46259</v>
      </c>
      <c r="L1182" s="54">
        <v>46244</v>
      </c>
      <c r="M1182" s="54">
        <v>46259</v>
      </c>
      <c r="O1182" s="51" t="str">
        <f t="shared" si="126"/>
        <v/>
      </c>
      <c r="P1182" s="51" t="str">
        <f t="shared" si="127"/>
        <v/>
      </c>
      <c r="Q1182" s="52" t="str">
        <f t="shared" si="128"/>
        <v/>
      </c>
      <c r="R1182" s="52" t="str">
        <f t="shared" si="129"/>
        <v/>
      </c>
      <c r="S1182" s="51" t="str">
        <f t="shared" si="130"/>
        <v/>
      </c>
      <c r="T1182" t="str">
        <f t="shared" si="131"/>
        <v/>
      </c>
      <c r="U1182" s="52" t="str">
        <f t="shared" si="132"/>
        <v/>
      </c>
    </row>
    <row r="1183" spans="2:21" x14ac:dyDescent="0.25">
      <c r="B1183">
        <v>1241</v>
      </c>
      <c r="C1183" t="s">
        <v>87</v>
      </c>
      <c r="D1183" t="s">
        <v>646</v>
      </c>
      <c r="E1183" t="s">
        <v>1515</v>
      </c>
      <c r="F1183" t="s">
        <v>1642</v>
      </c>
      <c r="G1183">
        <v>3</v>
      </c>
      <c r="H1183" s="48">
        <v>0</v>
      </c>
      <c r="I1183" s="48">
        <v>0</v>
      </c>
      <c r="J1183" s="54">
        <v>46244</v>
      </c>
      <c r="K1183" s="54">
        <v>46246</v>
      </c>
      <c r="L1183" s="54">
        <v>46244</v>
      </c>
      <c r="M1183" s="54">
        <v>46246</v>
      </c>
      <c r="O1183" s="51" t="str">
        <f t="shared" si="126"/>
        <v>SIM</v>
      </c>
      <c r="P1183" s="51" t="str">
        <f t="shared" si="127"/>
        <v>BL1132-0001-CC-DBA-2004</v>
      </c>
      <c r="Q1183" s="52">
        <f t="shared" si="128"/>
        <v>46246</v>
      </c>
      <c r="R1183" s="52">
        <f t="shared" si="129"/>
        <v>46246</v>
      </c>
      <c r="S1183" s="51" t="str">
        <f t="shared" si="130"/>
        <v/>
      </c>
      <c r="T1183" t="str">
        <f t="shared" si="131"/>
        <v/>
      </c>
      <c r="U1183" s="52" t="str">
        <f t="shared" si="132"/>
        <v/>
      </c>
    </row>
    <row r="1184" spans="2:21" x14ac:dyDescent="0.25">
      <c r="B1184">
        <v>1242</v>
      </c>
      <c r="C1184" t="s">
        <v>87</v>
      </c>
      <c r="D1184" t="s">
        <v>646</v>
      </c>
      <c r="E1184" t="s">
        <v>1517</v>
      </c>
      <c r="F1184" t="s">
        <v>1519</v>
      </c>
      <c r="G1184">
        <v>6</v>
      </c>
      <c r="H1184" s="48">
        <v>0</v>
      </c>
      <c r="I1184" s="48">
        <v>0</v>
      </c>
      <c r="J1184" s="54">
        <v>46246</v>
      </c>
      <c r="K1184" s="54">
        <v>46251</v>
      </c>
      <c r="L1184" s="54">
        <v>46246</v>
      </c>
      <c r="M1184" s="54">
        <v>46251</v>
      </c>
      <c r="O1184" s="51" t="str">
        <f t="shared" si="126"/>
        <v/>
      </c>
      <c r="P1184" s="51" t="str">
        <f t="shared" si="127"/>
        <v/>
      </c>
      <c r="Q1184" s="52" t="str">
        <f t="shared" si="128"/>
        <v/>
      </c>
      <c r="R1184" s="52" t="str">
        <f t="shared" si="129"/>
        <v/>
      </c>
      <c r="S1184" s="51" t="str">
        <f t="shared" si="130"/>
        <v/>
      </c>
      <c r="T1184" t="str">
        <f t="shared" si="131"/>
        <v/>
      </c>
      <c r="U1184" s="52" t="str">
        <f t="shared" si="132"/>
        <v/>
      </c>
    </row>
    <row r="1185" spans="2:21" x14ac:dyDescent="0.25">
      <c r="B1185">
        <v>1243</v>
      </c>
      <c r="C1185" t="s">
        <v>87</v>
      </c>
      <c r="D1185" t="s">
        <v>646</v>
      </c>
      <c r="E1185" t="s">
        <v>1518</v>
      </c>
      <c r="F1185" t="s">
        <v>1519</v>
      </c>
      <c r="G1185">
        <v>4</v>
      </c>
      <c r="H1185" s="48">
        <v>0</v>
      </c>
      <c r="I1185" s="48">
        <v>0</v>
      </c>
      <c r="J1185" s="54">
        <v>46251</v>
      </c>
      <c r="K1185" s="54">
        <v>46254</v>
      </c>
      <c r="L1185" s="54">
        <v>46251</v>
      </c>
      <c r="M1185" s="54">
        <v>46254</v>
      </c>
      <c r="O1185" s="51" t="str">
        <f t="shared" si="126"/>
        <v/>
      </c>
      <c r="P1185" s="51" t="str">
        <f t="shared" si="127"/>
        <v/>
      </c>
      <c r="Q1185" s="52" t="str">
        <f t="shared" si="128"/>
        <v/>
      </c>
      <c r="R1185" s="52" t="str">
        <f t="shared" si="129"/>
        <v/>
      </c>
      <c r="S1185" s="51" t="str">
        <f t="shared" si="130"/>
        <v>SIM</v>
      </c>
      <c r="T1185" t="str">
        <f t="shared" si="131"/>
        <v>BL1132-0001-CC-DBA-2004</v>
      </c>
      <c r="U1185" s="52">
        <f t="shared" si="132"/>
        <v>46254</v>
      </c>
    </row>
    <row r="1186" spans="2:21" x14ac:dyDescent="0.25">
      <c r="B1186">
        <v>1244</v>
      </c>
      <c r="C1186" t="s">
        <v>87</v>
      </c>
      <c r="D1186" t="s">
        <v>646</v>
      </c>
      <c r="E1186" t="s">
        <v>1520</v>
      </c>
      <c r="F1186" t="s">
        <v>1519</v>
      </c>
      <c r="G1186">
        <v>6</v>
      </c>
      <c r="H1186" s="48">
        <v>0</v>
      </c>
      <c r="I1186" s="48">
        <v>0</v>
      </c>
      <c r="J1186" s="54">
        <v>46254</v>
      </c>
      <c r="K1186" s="54">
        <v>46259</v>
      </c>
      <c r="L1186" s="54">
        <v>46254</v>
      </c>
      <c r="M1186" s="54">
        <v>46259</v>
      </c>
      <c r="O1186" s="51" t="str">
        <f t="shared" si="126"/>
        <v/>
      </c>
      <c r="P1186" s="51" t="str">
        <f t="shared" si="127"/>
        <v/>
      </c>
      <c r="Q1186" s="52" t="str">
        <f t="shared" si="128"/>
        <v/>
      </c>
      <c r="R1186" s="52" t="str">
        <f t="shared" si="129"/>
        <v/>
      </c>
      <c r="S1186" s="51" t="str">
        <f t="shared" si="130"/>
        <v/>
      </c>
      <c r="T1186" t="str">
        <f t="shared" si="131"/>
        <v/>
      </c>
      <c r="U1186" s="52" t="str">
        <f t="shared" si="132"/>
        <v/>
      </c>
    </row>
    <row r="1187" spans="2:21" x14ac:dyDescent="0.25">
      <c r="B1187">
        <v>1245</v>
      </c>
      <c r="C1187" t="s">
        <v>88</v>
      </c>
      <c r="D1187" t="s">
        <v>651</v>
      </c>
      <c r="E1187" t="s">
        <v>1815</v>
      </c>
      <c r="F1187" t="s">
        <v>1641</v>
      </c>
      <c r="G1187">
        <v>16</v>
      </c>
      <c r="H1187" s="48">
        <v>0</v>
      </c>
      <c r="I1187" s="48">
        <v>0</v>
      </c>
      <c r="J1187" s="54">
        <v>46244</v>
      </c>
      <c r="K1187" s="54">
        <v>46259</v>
      </c>
      <c r="L1187" s="54">
        <v>46244</v>
      </c>
      <c r="M1187" s="54">
        <v>46259</v>
      </c>
      <c r="O1187" s="51" t="str">
        <f t="shared" si="126"/>
        <v/>
      </c>
      <c r="P1187" s="51" t="str">
        <f t="shared" si="127"/>
        <v/>
      </c>
      <c r="Q1187" s="52" t="str">
        <f t="shared" si="128"/>
        <v/>
      </c>
      <c r="R1187" s="52" t="str">
        <f t="shared" si="129"/>
        <v/>
      </c>
      <c r="S1187" s="51" t="str">
        <f t="shared" si="130"/>
        <v/>
      </c>
      <c r="T1187" t="str">
        <f t="shared" si="131"/>
        <v/>
      </c>
      <c r="U1187" s="52" t="str">
        <f t="shared" si="132"/>
        <v/>
      </c>
    </row>
    <row r="1188" spans="2:21" x14ac:dyDescent="0.25">
      <c r="B1188">
        <v>1246</v>
      </c>
      <c r="C1188" t="s">
        <v>88</v>
      </c>
      <c r="D1188" t="s">
        <v>651</v>
      </c>
      <c r="E1188" t="s">
        <v>1515</v>
      </c>
      <c r="F1188" t="s">
        <v>1642</v>
      </c>
      <c r="G1188">
        <v>3</v>
      </c>
      <c r="H1188" s="48">
        <v>0</v>
      </c>
      <c r="I1188" s="48">
        <v>0</v>
      </c>
      <c r="J1188" s="54">
        <v>46244</v>
      </c>
      <c r="K1188" s="54">
        <v>46246</v>
      </c>
      <c r="L1188" s="54">
        <v>46244</v>
      </c>
      <c r="M1188" s="54">
        <v>46246</v>
      </c>
      <c r="O1188" s="51" t="str">
        <f t="shared" si="126"/>
        <v>SIM</v>
      </c>
      <c r="P1188" s="51" t="str">
        <f t="shared" si="127"/>
        <v>BL1132-0001-CC-DBA-2005</v>
      </c>
      <c r="Q1188" s="52">
        <f t="shared" si="128"/>
        <v>46246</v>
      </c>
      <c r="R1188" s="52">
        <f t="shared" si="129"/>
        <v>46246</v>
      </c>
      <c r="S1188" s="51" t="str">
        <f t="shared" si="130"/>
        <v/>
      </c>
      <c r="T1188" t="str">
        <f t="shared" si="131"/>
        <v/>
      </c>
      <c r="U1188" s="52" t="str">
        <f t="shared" si="132"/>
        <v/>
      </c>
    </row>
    <row r="1189" spans="2:21" x14ac:dyDescent="0.25">
      <c r="B1189">
        <v>1247</v>
      </c>
      <c r="C1189" t="s">
        <v>88</v>
      </c>
      <c r="D1189" t="s">
        <v>651</v>
      </c>
      <c r="E1189" t="s">
        <v>1517</v>
      </c>
      <c r="F1189" t="s">
        <v>1519</v>
      </c>
      <c r="G1189">
        <v>6</v>
      </c>
      <c r="H1189" s="48">
        <v>0</v>
      </c>
      <c r="I1189" s="48">
        <v>0</v>
      </c>
      <c r="J1189" s="54">
        <v>46246</v>
      </c>
      <c r="K1189" s="54">
        <v>46251</v>
      </c>
      <c r="L1189" s="54">
        <v>46246</v>
      </c>
      <c r="M1189" s="54">
        <v>46251</v>
      </c>
      <c r="O1189" s="51" t="str">
        <f t="shared" si="126"/>
        <v/>
      </c>
      <c r="P1189" s="51" t="str">
        <f t="shared" si="127"/>
        <v/>
      </c>
      <c r="Q1189" s="52" t="str">
        <f t="shared" si="128"/>
        <v/>
      </c>
      <c r="R1189" s="52" t="str">
        <f t="shared" si="129"/>
        <v/>
      </c>
      <c r="S1189" s="51" t="str">
        <f t="shared" si="130"/>
        <v/>
      </c>
      <c r="T1189" t="str">
        <f t="shared" si="131"/>
        <v/>
      </c>
      <c r="U1189" s="52" t="str">
        <f t="shared" si="132"/>
        <v/>
      </c>
    </row>
    <row r="1190" spans="2:21" x14ac:dyDescent="0.25">
      <c r="B1190">
        <v>1248</v>
      </c>
      <c r="C1190" t="s">
        <v>88</v>
      </c>
      <c r="D1190" t="s">
        <v>651</v>
      </c>
      <c r="E1190" t="s">
        <v>1518</v>
      </c>
      <c r="F1190" t="s">
        <v>1519</v>
      </c>
      <c r="G1190">
        <v>4</v>
      </c>
      <c r="H1190" s="48">
        <v>0</v>
      </c>
      <c r="I1190" s="48">
        <v>0</v>
      </c>
      <c r="J1190" s="54">
        <v>46251</v>
      </c>
      <c r="K1190" s="54">
        <v>46254</v>
      </c>
      <c r="L1190" s="54">
        <v>46251</v>
      </c>
      <c r="M1190" s="54">
        <v>46254</v>
      </c>
      <c r="O1190" s="51" t="str">
        <f t="shared" si="126"/>
        <v/>
      </c>
      <c r="P1190" s="51" t="str">
        <f t="shared" si="127"/>
        <v/>
      </c>
      <c r="Q1190" s="52" t="str">
        <f t="shared" si="128"/>
        <v/>
      </c>
      <c r="R1190" s="52" t="str">
        <f t="shared" si="129"/>
        <v/>
      </c>
      <c r="S1190" s="51" t="str">
        <f t="shared" si="130"/>
        <v>SIM</v>
      </c>
      <c r="T1190" t="str">
        <f t="shared" si="131"/>
        <v>BL1132-0001-CC-DBA-2005</v>
      </c>
      <c r="U1190" s="52">
        <f t="shared" si="132"/>
        <v>46254</v>
      </c>
    </row>
    <row r="1191" spans="2:21" x14ac:dyDescent="0.25">
      <c r="B1191">
        <v>1249</v>
      </c>
      <c r="C1191" t="s">
        <v>88</v>
      </c>
      <c r="D1191" t="s">
        <v>651</v>
      </c>
      <c r="E1191" t="s">
        <v>1520</v>
      </c>
      <c r="F1191" t="s">
        <v>1519</v>
      </c>
      <c r="G1191">
        <v>6</v>
      </c>
      <c r="H1191" s="48">
        <v>0</v>
      </c>
      <c r="I1191" s="48">
        <v>0</v>
      </c>
      <c r="J1191" s="54">
        <v>46254</v>
      </c>
      <c r="K1191" s="54">
        <v>46259</v>
      </c>
      <c r="L1191" s="54">
        <v>46254</v>
      </c>
      <c r="M1191" s="54">
        <v>46259</v>
      </c>
      <c r="O1191" s="51" t="str">
        <f t="shared" si="126"/>
        <v/>
      </c>
      <c r="P1191" s="51" t="str">
        <f t="shared" si="127"/>
        <v/>
      </c>
      <c r="Q1191" s="52" t="str">
        <f t="shared" si="128"/>
        <v/>
      </c>
      <c r="R1191" s="52" t="str">
        <f t="shared" si="129"/>
        <v/>
      </c>
      <c r="S1191" s="51" t="str">
        <f t="shared" si="130"/>
        <v/>
      </c>
      <c r="T1191" t="str">
        <f t="shared" si="131"/>
        <v/>
      </c>
      <c r="U1191" s="52" t="str">
        <f t="shared" si="132"/>
        <v/>
      </c>
    </row>
    <row r="1192" spans="2:21" x14ac:dyDescent="0.25">
      <c r="B1192">
        <v>1250</v>
      </c>
      <c r="C1192" t="s">
        <v>89</v>
      </c>
      <c r="D1192" t="s">
        <v>655</v>
      </c>
      <c r="E1192" t="s">
        <v>1816</v>
      </c>
      <c r="F1192" t="s">
        <v>1641</v>
      </c>
      <c r="G1192">
        <v>16</v>
      </c>
      <c r="H1192" s="48">
        <v>0</v>
      </c>
      <c r="I1192" s="48">
        <v>0</v>
      </c>
      <c r="J1192" s="54">
        <v>46244</v>
      </c>
      <c r="K1192" s="54">
        <v>46259</v>
      </c>
      <c r="L1192" s="54">
        <v>46244</v>
      </c>
      <c r="M1192" s="54">
        <v>46259</v>
      </c>
      <c r="O1192" s="51" t="str">
        <f t="shared" si="126"/>
        <v/>
      </c>
      <c r="P1192" s="51" t="str">
        <f t="shared" si="127"/>
        <v/>
      </c>
      <c r="Q1192" s="52" t="str">
        <f t="shared" si="128"/>
        <v/>
      </c>
      <c r="R1192" s="52" t="str">
        <f t="shared" si="129"/>
        <v/>
      </c>
      <c r="S1192" s="51" t="str">
        <f t="shared" si="130"/>
        <v/>
      </c>
      <c r="T1192" t="str">
        <f t="shared" si="131"/>
        <v/>
      </c>
      <c r="U1192" s="52" t="str">
        <f t="shared" si="132"/>
        <v/>
      </c>
    </row>
    <row r="1193" spans="2:21" x14ac:dyDescent="0.25">
      <c r="B1193">
        <v>1251</v>
      </c>
      <c r="C1193" t="s">
        <v>89</v>
      </c>
      <c r="D1193" t="s">
        <v>655</v>
      </c>
      <c r="E1193" t="s">
        <v>1515</v>
      </c>
      <c r="F1193" t="s">
        <v>1642</v>
      </c>
      <c r="G1193">
        <v>3</v>
      </c>
      <c r="H1193" s="48">
        <v>0</v>
      </c>
      <c r="I1193" s="48">
        <v>0</v>
      </c>
      <c r="J1193" s="54">
        <v>46244</v>
      </c>
      <c r="K1193" s="54">
        <v>46246</v>
      </c>
      <c r="L1193" s="54">
        <v>46244</v>
      </c>
      <c r="M1193" s="54">
        <v>46246</v>
      </c>
      <c r="O1193" s="51" t="str">
        <f t="shared" si="126"/>
        <v>SIM</v>
      </c>
      <c r="P1193" s="51" t="str">
        <f t="shared" si="127"/>
        <v>BL1132-0001-CC-DBA-2006</v>
      </c>
      <c r="Q1193" s="52">
        <f t="shared" si="128"/>
        <v>46246</v>
      </c>
      <c r="R1193" s="52">
        <f t="shared" si="129"/>
        <v>46246</v>
      </c>
      <c r="S1193" s="51" t="str">
        <f t="shared" si="130"/>
        <v/>
      </c>
      <c r="T1193" t="str">
        <f t="shared" si="131"/>
        <v/>
      </c>
      <c r="U1193" s="52" t="str">
        <f t="shared" si="132"/>
        <v/>
      </c>
    </row>
    <row r="1194" spans="2:21" x14ac:dyDescent="0.25">
      <c r="B1194">
        <v>1252</v>
      </c>
      <c r="C1194" t="s">
        <v>89</v>
      </c>
      <c r="D1194" t="s">
        <v>655</v>
      </c>
      <c r="E1194" t="s">
        <v>1517</v>
      </c>
      <c r="F1194" t="s">
        <v>1519</v>
      </c>
      <c r="G1194">
        <v>6</v>
      </c>
      <c r="H1194" s="48">
        <v>0</v>
      </c>
      <c r="I1194" s="48">
        <v>0</v>
      </c>
      <c r="J1194" s="54">
        <v>46246</v>
      </c>
      <c r="K1194" s="54">
        <v>46251</v>
      </c>
      <c r="L1194" s="54">
        <v>46246</v>
      </c>
      <c r="M1194" s="54">
        <v>46251</v>
      </c>
      <c r="O1194" s="51" t="str">
        <f t="shared" si="126"/>
        <v/>
      </c>
      <c r="P1194" s="51" t="str">
        <f t="shared" si="127"/>
        <v/>
      </c>
      <c r="Q1194" s="52" t="str">
        <f t="shared" si="128"/>
        <v/>
      </c>
      <c r="R1194" s="52" t="str">
        <f t="shared" si="129"/>
        <v/>
      </c>
      <c r="S1194" s="51" t="str">
        <f t="shared" si="130"/>
        <v/>
      </c>
      <c r="T1194" t="str">
        <f t="shared" si="131"/>
        <v/>
      </c>
      <c r="U1194" s="52" t="str">
        <f t="shared" si="132"/>
        <v/>
      </c>
    </row>
    <row r="1195" spans="2:21" x14ac:dyDescent="0.25">
      <c r="B1195">
        <v>1253</v>
      </c>
      <c r="C1195" t="s">
        <v>89</v>
      </c>
      <c r="D1195" t="s">
        <v>655</v>
      </c>
      <c r="E1195" t="s">
        <v>1518</v>
      </c>
      <c r="F1195" t="s">
        <v>1519</v>
      </c>
      <c r="G1195">
        <v>4</v>
      </c>
      <c r="H1195" s="48">
        <v>0</v>
      </c>
      <c r="I1195" s="48">
        <v>0</v>
      </c>
      <c r="J1195" s="54">
        <v>46251</v>
      </c>
      <c r="K1195" s="54">
        <v>46254</v>
      </c>
      <c r="L1195" s="54">
        <v>46251</v>
      </c>
      <c r="M1195" s="54">
        <v>46254</v>
      </c>
      <c r="O1195" s="51" t="str">
        <f t="shared" si="126"/>
        <v/>
      </c>
      <c r="P1195" s="51" t="str">
        <f t="shared" si="127"/>
        <v/>
      </c>
      <c r="Q1195" s="52" t="str">
        <f t="shared" si="128"/>
        <v/>
      </c>
      <c r="R1195" s="52" t="str">
        <f t="shared" si="129"/>
        <v/>
      </c>
      <c r="S1195" s="51" t="str">
        <f t="shared" si="130"/>
        <v>SIM</v>
      </c>
      <c r="T1195" t="str">
        <f t="shared" si="131"/>
        <v>BL1132-0001-CC-DBA-2006</v>
      </c>
      <c r="U1195" s="52">
        <f t="shared" si="132"/>
        <v>46254</v>
      </c>
    </row>
    <row r="1196" spans="2:21" x14ac:dyDescent="0.25">
      <c r="B1196">
        <v>1254</v>
      </c>
      <c r="C1196" t="s">
        <v>89</v>
      </c>
      <c r="D1196" t="s">
        <v>655</v>
      </c>
      <c r="E1196" t="s">
        <v>1520</v>
      </c>
      <c r="F1196" t="s">
        <v>1519</v>
      </c>
      <c r="G1196">
        <v>6</v>
      </c>
      <c r="H1196" s="48">
        <v>0</v>
      </c>
      <c r="I1196" s="48">
        <v>0</v>
      </c>
      <c r="J1196" s="54">
        <v>46254</v>
      </c>
      <c r="K1196" s="54">
        <v>46259</v>
      </c>
      <c r="L1196" s="54">
        <v>46254</v>
      </c>
      <c r="M1196" s="54">
        <v>46259</v>
      </c>
      <c r="O1196" s="51" t="str">
        <f t="shared" si="126"/>
        <v/>
      </c>
      <c r="P1196" s="51" t="str">
        <f t="shared" si="127"/>
        <v/>
      </c>
      <c r="Q1196" s="52" t="str">
        <f t="shared" si="128"/>
        <v/>
      </c>
      <c r="R1196" s="52" t="str">
        <f t="shared" si="129"/>
        <v/>
      </c>
      <c r="S1196" s="51" t="str">
        <f t="shared" si="130"/>
        <v/>
      </c>
      <c r="T1196" t="str">
        <f t="shared" si="131"/>
        <v/>
      </c>
      <c r="U1196" s="52" t="str">
        <f t="shared" si="132"/>
        <v/>
      </c>
    </row>
    <row r="1197" spans="2:21" x14ac:dyDescent="0.25">
      <c r="B1197">
        <v>1255</v>
      </c>
      <c r="C1197" t="s">
        <v>100</v>
      </c>
      <c r="D1197" t="s">
        <v>691</v>
      </c>
      <c r="E1197" t="s">
        <v>1817</v>
      </c>
      <c r="F1197" t="s">
        <v>1641</v>
      </c>
      <c r="G1197">
        <v>16</v>
      </c>
      <c r="H1197" s="48">
        <v>0</v>
      </c>
      <c r="I1197" s="48">
        <v>0</v>
      </c>
      <c r="J1197" s="54">
        <v>46244</v>
      </c>
      <c r="K1197" s="54">
        <v>46259</v>
      </c>
      <c r="L1197" s="54">
        <v>46244</v>
      </c>
      <c r="M1197" s="54">
        <v>46259</v>
      </c>
      <c r="O1197" s="51" t="str">
        <f t="shared" si="126"/>
        <v/>
      </c>
      <c r="P1197" s="51" t="str">
        <f t="shared" si="127"/>
        <v/>
      </c>
      <c r="Q1197" s="52" t="str">
        <f t="shared" si="128"/>
        <v/>
      </c>
      <c r="R1197" s="52" t="str">
        <f t="shared" si="129"/>
        <v/>
      </c>
      <c r="S1197" s="51" t="str">
        <f t="shared" si="130"/>
        <v/>
      </c>
      <c r="T1197" t="str">
        <f t="shared" si="131"/>
        <v/>
      </c>
      <c r="U1197" s="52" t="str">
        <f t="shared" si="132"/>
        <v/>
      </c>
    </row>
    <row r="1198" spans="2:21" x14ac:dyDescent="0.25">
      <c r="B1198">
        <v>1256</v>
      </c>
      <c r="C1198" t="s">
        <v>100</v>
      </c>
      <c r="D1198" t="s">
        <v>691</v>
      </c>
      <c r="E1198" t="s">
        <v>1515</v>
      </c>
      <c r="F1198" t="s">
        <v>1642</v>
      </c>
      <c r="G1198">
        <v>3</v>
      </c>
      <c r="H1198" s="48">
        <v>0</v>
      </c>
      <c r="I1198" s="48">
        <v>0</v>
      </c>
      <c r="J1198" s="54">
        <v>46244</v>
      </c>
      <c r="K1198" s="54">
        <v>46246</v>
      </c>
      <c r="L1198" s="54">
        <v>46244</v>
      </c>
      <c r="M1198" s="54">
        <v>46246</v>
      </c>
      <c r="O1198" s="51" t="str">
        <f t="shared" si="126"/>
        <v>SIM</v>
      </c>
      <c r="P1198" s="51" t="str">
        <f t="shared" si="127"/>
        <v>BL1132-0001-CC-MCA-2011</v>
      </c>
      <c r="Q1198" s="52">
        <f t="shared" si="128"/>
        <v>46246</v>
      </c>
      <c r="R1198" s="52">
        <f t="shared" si="129"/>
        <v>46246</v>
      </c>
      <c r="S1198" s="51" t="str">
        <f t="shared" si="130"/>
        <v/>
      </c>
      <c r="T1198" t="str">
        <f t="shared" si="131"/>
        <v/>
      </c>
      <c r="U1198" s="52" t="str">
        <f t="shared" si="132"/>
        <v/>
      </c>
    </row>
    <row r="1199" spans="2:21" x14ac:dyDescent="0.25">
      <c r="B1199">
        <v>1257</v>
      </c>
      <c r="C1199" t="s">
        <v>100</v>
      </c>
      <c r="D1199" t="s">
        <v>691</v>
      </c>
      <c r="E1199" t="s">
        <v>1517</v>
      </c>
      <c r="F1199" t="s">
        <v>1519</v>
      </c>
      <c r="G1199">
        <v>6</v>
      </c>
      <c r="H1199" s="48">
        <v>0</v>
      </c>
      <c r="I1199" s="48">
        <v>0</v>
      </c>
      <c r="J1199" s="54">
        <v>46246</v>
      </c>
      <c r="K1199" s="54">
        <v>46251</v>
      </c>
      <c r="L1199" s="54">
        <v>46246</v>
      </c>
      <c r="M1199" s="54">
        <v>46251</v>
      </c>
      <c r="O1199" s="51" t="str">
        <f t="shared" si="126"/>
        <v/>
      </c>
      <c r="P1199" s="51" t="str">
        <f t="shared" si="127"/>
        <v/>
      </c>
      <c r="Q1199" s="52" t="str">
        <f t="shared" si="128"/>
        <v/>
      </c>
      <c r="R1199" s="52" t="str">
        <f t="shared" si="129"/>
        <v/>
      </c>
      <c r="S1199" s="51" t="str">
        <f t="shared" si="130"/>
        <v/>
      </c>
      <c r="T1199" t="str">
        <f t="shared" si="131"/>
        <v/>
      </c>
      <c r="U1199" s="52" t="str">
        <f t="shared" si="132"/>
        <v/>
      </c>
    </row>
    <row r="1200" spans="2:21" x14ac:dyDescent="0.25">
      <c r="B1200">
        <v>1258</v>
      </c>
      <c r="C1200" t="s">
        <v>100</v>
      </c>
      <c r="D1200" t="s">
        <v>691</v>
      </c>
      <c r="E1200" t="s">
        <v>1518</v>
      </c>
      <c r="F1200" t="s">
        <v>1519</v>
      </c>
      <c r="G1200">
        <v>4</v>
      </c>
      <c r="H1200" s="48">
        <v>0</v>
      </c>
      <c r="I1200" s="48">
        <v>0</v>
      </c>
      <c r="J1200" s="54">
        <v>46251</v>
      </c>
      <c r="K1200" s="54">
        <v>46254</v>
      </c>
      <c r="L1200" s="54">
        <v>46251</v>
      </c>
      <c r="M1200" s="54">
        <v>46254</v>
      </c>
      <c r="O1200" s="51" t="str">
        <f t="shared" si="126"/>
        <v/>
      </c>
      <c r="P1200" s="51" t="str">
        <f t="shared" si="127"/>
        <v/>
      </c>
      <c r="Q1200" s="52" t="str">
        <f t="shared" si="128"/>
        <v/>
      </c>
      <c r="R1200" s="52" t="str">
        <f t="shared" si="129"/>
        <v/>
      </c>
      <c r="S1200" s="51" t="str">
        <f t="shared" si="130"/>
        <v>SIM</v>
      </c>
      <c r="T1200" t="str">
        <f t="shared" si="131"/>
        <v>BL1132-0001-CC-MCA-2011</v>
      </c>
      <c r="U1200" s="52">
        <f t="shared" si="132"/>
        <v>46254</v>
      </c>
    </row>
    <row r="1201" spans="2:21" x14ac:dyDescent="0.25">
      <c r="B1201">
        <v>1259</v>
      </c>
      <c r="C1201" t="s">
        <v>100</v>
      </c>
      <c r="D1201" t="s">
        <v>691</v>
      </c>
      <c r="E1201" t="s">
        <v>1520</v>
      </c>
      <c r="F1201" t="s">
        <v>1519</v>
      </c>
      <c r="G1201">
        <v>6</v>
      </c>
      <c r="H1201" s="48">
        <v>0</v>
      </c>
      <c r="I1201" s="48">
        <v>0</v>
      </c>
      <c r="J1201" s="54">
        <v>46254</v>
      </c>
      <c r="K1201" s="54">
        <v>46259</v>
      </c>
      <c r="L1201" s="54">
        <v>46254</v>
      </c>
      <c r="M1201" s="54">
        <v>46259</v>
      </c>
      <c r="O1201" s="51" t="str">
        <f t="shared" si="126"/>
        <v/>
      </c>
      <c r="P1201" s="51" t="str">
        <f t="shared" si="127"/>
        <v/>
      </c>
      <c r="Q1201" s="52" t="str">
        <f t="shared" si="128"/>
        <v/>
      </c>
      <c r="R1201" s="52" t="str">
        <f t="shared" si="129"/>
        <v/>
      </c>
      <c r="S1201" s="51" t="str">
        <f t="shared" si="130"/>
        <v/>
      </c>
      <c r="T1201" t="str">
        <f t="shared" si="131"/>
        <v/>
      </c>
      <c r="U1201" s="52" t="str">
        <f t="shared" si="132"/>
        <v/>
      </c>
    </row>
    <row r="1202" spans="2:21" x14ac:dyDescent="0.25">
      <c r="B1202">
        <v>1260</v>
      </c>
      <c r="E1202" t="s">
        <v>1480</v>
      </c>
      <c r="F1202" t="s">
        <v>1473</v>
      </c>
      <c r="G1202">
        <v>107</v>
      </c>
      <c r="H1202" s="48">
        <v>0.06</v>
      </c>
      <c r="I1202" s="48">
        <v>0.27379999999999999</v>
      </c>
      <c r="J1202" s="54">
        <v>46182</v>
      </c>
      <c r="K1202" s="54">
        <v>46288</v>
      </c>
      <c r="L1202" s="54">
        <v>46182</v>
      </c>
      <c r="M1202" s="54">
        <v>46288</v>
      </c>
      <c r="O1202" s="51" t="str">
        <f t="shared" si="126"/>
        <v/>
      </c>
      <c r="P1202" s="51" t="str">
        <f t="shared" si="127"/>
        <v/>
      </c>
      <c r="Q1202" s="52" t="str">
        <f t="shared" si="128"/>
        <v/>
      </c>
      <c r="R1202" s="52" t="str">
        <f t="shared" si="129"/>
        <v/>
      </c>
      <c r="S1202" s="51" t="str">
        <f t="shared" si="130"/>
        <v/>
      </c>
      <c r="T1202" t="str">
        <f t="shared" si="131"/>
        <v/>
      </c>
      <c r="U1202" s="52" t="str">
        <f t="shared" si="132"/>
        <v/>
      </c>
    </row>
    <row r="1203" spans="2:21" x14ac:dyDescent="0.25">
      <c r="B1203">
        <v>1261</v>
      </c>
      <c r="E1203" t="s">
        <v>1818</v>
      </c>
      <c r="F1203" t="s">
        <v>1473</v>
      </c>
      <c r="G1203">
        <v>107</v>
      </c>
      <c r="H1203" s="48">
        <v>0.06</v>
      </c>
      <c r="I1203" s="48">
        <v>0.27379999999999999</v>
      </c>
      <c r="J1203" s="54">
        <v>46182</v>
      </c>
      <c r="K1203" s="54">
        <v>46288</v>
      </c>
      <c r="L1203" s="54">
        <v>46182</v>
      </c>
      <c r="M1203" s="54">
        <v>46288</v>
      </c>
      <c r="O1203" s="51" t="str">
        <f t="shared" si="126"/>
        <v/>
      </c>
      <c r="P1203" s="51" t="str">
        <f t="shared" si="127"/>
        <v/>
      </c>
      <c r="Q1203" s="52" t="str">
        <f t="shared" si="128"/>
        <v/>
      </c>
      <c r="R1203" s="52" t="str">
        <f t="shared" si="129"/>
        <v/>
      </c>
      <c r="S1203" s="51" t="str">
        <f t="shared" si="130"/>
        <v/>
      </c>
      <c r="T1203" t="str">
        <f t="shared" si="131"/>
        <v/>
      </c>
      <c r="U1203" s="52" t="str">
        <f t="shared" si="132"/>
        <v/>
      </c>
    </row>
    <row r="1204" spans="2:21" x14ac:dyDescent="0.25">
      <c r="B1204">
        <v>1262</v>
      </c>
      <c r="E1204" t="s">
        <v>1819</v>
      </c>
      <c r="F1204" t="s">
        <v>1473</v>
      </c>
      <c r="G1204">
        <v>107</v>
      </c>
      <c r="H1204" s="48">
        <v>0.06</v>
      </c>
      <c r="I1204" s="48">
        <v>0.27379999999999999</v>
      </c>
      <c r="J1204" s="54">
        <v>46182</v>
      </c>
      <c r="K1204" s="54">
        <v>46288</v>
      </c>
      <c r="L1204" s="54">
        <v>46182</v>
      </c>
      <c r="M1204" s="54">
        <v>46288</v>
      </c>
      <c r="O1204" s="51" t="str">
        <f t="shared" si="126"/>
        <v/>
      </c>
      <c r="P1204" s="51" t="str">
        <f t="shared" si="127"/>
        <v/>
      </c>
      <c r="Q1204" s="52" t="str">
        <f t="shared" si="128"/>
        <v/>
      </c>
      <c r="R1204" s="52" t="str">
        <f t="shared" si="129"/>
        <v/>
      </c>
      <c r="S1204" s="51" t="str">
        <f t="shared" si="130"/>
        <v/>
      </c>
      <c r="T1204" t="str">
        <f t="shared" si="131"/>
        <v/>
      </c>
      <c r="U1204" s="52" t="str">
        <f t="shared" si="132"/>
        <v/>
      </c>
    </row>
    <row r="1205" spans="2:21" x14ac:dyDescent="0.25">
      <c r="B1205">
        <v>1263</v>
      </c>
      <c r="E1205" t="s">
        <v>1820</v>
      </c>
      <c r="F1205" t="s">
        <v>1473</v>
      </c>
      <c r="G1205">
        <v>107</v>
      </c>
      <c r="H1205" s="48">
        <v>0.06</v>
      </c>
      <c r="I1205" s="48">
        <v>0.27379999999999999</v>
      </c>
      <c r="J1205" s="54">
        <v>46182</v>
      </c>
      <c r="K1205" s="54">
        <v>46288</v>
      </c>
      <c r="L1205" s="54">
        <v>46182</v>
      </c>
      <c r="M1205" s="54">
        <v>46288</v>
      </c>
      <c r="O1205" s="51" t="str">
        <f t="shared" si="126"/>
        <v/>
      </c>
      <c r="P1205" s="51" t="str">
        <f t="shared" si="127"/>
        <v/>
      </c>
      <c r="Q1205" s="52" t="str">
        <f t="shared" si="128"/>
        <v/>
      </c>
      <c r="R1205" s="52" t="str">
        <f t="shared" si="129"/>
        <v/>
      </c>
      <c r="S1205" s="51" t="str">
        <f t="shared" si="130"/>
        <v/>
      </c>
      <c r="T1205" t="str">
        <f t="shared" si="131"/>
        <v/>
      </c>
      <c r="U1205" s="52" t="str">
        <f t="shared" si="132"/>
        <v/>
      </c>
    </row>
    <row r="1206" spans="2:21" x14ac:dyDescent="0.25">
      <c r="B1206">
        <v>1264</v>
      </c>
      <c r="E1206" t="s">
        <v>1560</v>
      </c>
      <c r="F1206" t="s">
        <v>1473</v>
      </c>
      <c r="G1206">
        <v>107</v>
      </c>
      <c r="H1206" s="48">
        <v>0.06</v>
      </c>
      <c r="I1206" s="48">
        <v>0.27379999999999999</v>
      </c>
      <c r="J1206" s="54">
        <v>46182</v>
      </c>
      <c r="K1206" s="54">
        <v>46288</v>
      </c>
      <c r="L1206" s="54">
        <v>46182</v>
      </c>
      <c r="M1206" s="54">
        <v>46288</v>
      </c>
      <c r="O1206" s="51" t="str">
        <f t="shared" si="126"/>
        <v/>
      </c>
      <c r="P1206" s="51" t="str">
        <f t="shared" si="127"/>
        <v/>
      </c>
      <c r="Q1206" s="52" t="str">
        <f t="shared" si="128"/>
        <v/>
      </c>
      <c r="R1206" s="52" t="str">
        <f t="shared" si="129"/>
        <v/>
      </c>
      <c r="S1206" s="51" t="str">
        <f t="shared" si="130"/>
        <v/>
      </c>
      <c r="T1206" t="str">
        <f t="shared" si="131"/>
        <v/>
      </c>
      <c r="U1206" s="52" t="str">
        <f t="shared" si="132"/>
        <v/>
      </c>
    </row>
    <row r="1207" spans="2:21" x14ac:dyDescent="0.25">
      <c r="B1207">
        <v>1265</v>
      </c>
      <c r="E1207" t="s">
        <v>1821</v>
      </c>
      <c r="F1207" t="s">
        <v>1709</v>
      </c>
      <c r="G1207">
        <v>41</v>
      </c>
      <c r="H1207" s="48">
        <v>0</v>
      </c>
      <c r="I1207" s="48">
        <v>0</v>
      </c>
      <c r="J1207" s="54">
        <v>46239</v>
      </c>
      <c r="K1207" s="54">
        <v>46279</v>
      </c>
      <c r="L1207" s="54">
        <v>46241</v>
      </c>
      <c r="M1207" s="54">
        <v>46281</v>
      </c>
      <c r="O1207" s="51" t="str">
        <f t="shared" si="126"/>
        <v/>
      </c>
      <c r="P1207" s="51" t="str">
        <f t="shared" si="127"/>
        <v/>
      </c>
      <c r="Q1207" s="52" t="str">
        <f t="shared" si="128"/>
        <v/>
      </c>
      <c r="R1207" s="52" t="str">
        <f t="shared" si="129"/>
        <v/>
      </c>
      <c r="S1207" s="51" t="str">
        <f t="shared" si="130"/>
        <v/>
      </c>
      <c r="T1207" t="str">
        <f t="shared" si="131"/>
        <v/>
      </c>
      <c r="U1207" s="52" t="str">
        <f t="shared" si="132"/>
        <v/>
      </c>
    </row>
    <row r="1208" spans="2:21" x14ac:dyDescent="0.25">
      <c r="B1208">
        <v>1266</v>
      </c>
      <c r="C1208" t="s">
        <v>260</v>
      </c>
      <c r="D1208" t="s">
        <v>1306</v>
      </c>
      <c r="E1208" t="s">
        <v>1822</v>
      </c>
      <c r="F1208" t="s">
        <v>1578</v>
      </c>
      <c r="G1208">
        <v>25</v>
      </c>
      <c r="H1208" s="48">
        <v>0</v>
      </c>
      <c r="I1208" s="48">
        <v>0</v>
      </c>
      <c r="J1208" s="54">
        <v>46239</v>
      </c>
      <c r="K1208" s="54">
        <v>46261</v>
      </c>
      <c r="L1208" s="54">
        <v>46241</v>
      </c>
      <c r="M1208" s="54">
        <v>46265</v>
      </c>
      <c r="O1208" s="51" t="str">
        <f t="shared" si="126"/>
        <v/>
      </c>
      <c r="P1208" s="51" t="str">
        <f t="shared" si="127"/>
        <v/>
      </c>
      <c r="Q1208" s="52" t="str">
        <f t="shared" si="128"/>
        <v/>
      </c>
      <c r="R1208" s="52" t="str">
        <f t="shared" si="129"/>
        <v/>
      </c>
      <c r="S1208" s="51" t="str">
        <f t="shared" si="130"/>
        <v/>
      </c>
      <c r="T1208" t="str">
        <f t="shared" si="131"/>
        <v/>
      </c>
      <c r="U1208" s="52" t="str">
        <f t="shared" si="132"/>
        <v/>
      </c>
    </row>
    <row r="1209" spans="2:21" x14ac:dyDescent="0.25">
      <c r="B1209">
        <v>1267</v>
      </c>
      <c r="C1209" t="s">
        <v>260</v>
      </c>
      <c r="D1209" t="s">
        <v>1306</v>
      </c>
      <c r="E1209" t="s">
        <v>1515</v>
      </c>
      <c r="F1209" t="s">
        <v>1523</v>
      </c>
      <c r="G1209">
        <v>12</v>
      </c>
      <c r="H1209" s="48">
        <v>0</v>
      </c>
      <c r="I1209" s="48">
        <v>0</v>
      </c>
      <c r="J1209" s="54">
        <v>46239</v>
      </c>
      <c r="K1209" s="54">
        <v>46248</v>
      </c>
      <c r="L1209" s="54">
        <v>46241</v>
      </c>
      <c r="M1209" s="54">
        <v>46252</v>
      </c>
      <c r="O1209" s="51" t="str">
        <f t="shared" si="126"/>
        <v>SIM</v>
      </c>
      <c r="P1209" s="51" t="str">
        <f t="shared" si="127"/>
        <v>BL1132-0001-TU-MCA-2000</v>
      </c>
      <c r="Q1209" s="52">
        <f t="shared" si="128"/>
        <v>46252</v>
      </c>
      <c r="R1209" s="52">
        <f t="shared" si="129"/>
        <v>46248</v>
      </c>
      <c r="S1209" s="51" t="str">
        <f t="shared" si="130"/>
        <v/>
      </c>
      <c r="T1209" t="str">
        <f t="shared" si="131"/>
        <v/>
      </c>
      <c r="U1209" s="52" t="str">
        <f t="shared" si="132"/>
        <v/>
      </c>
    </row>
    <row r="1210" spans="2:21" x14ac:dyDescent="0.25">
      <c r="B1210">
        <v>1268</v>
      </c>
      <c r="C1210" t="s">
        <v>260</v>
      </c>
      <c r="D1210" t="s">
        <v>1306</v>
      </c>
      <c r="E1210" t="s">
        <v>1517</v>
      </c>
      <c r="F1210" t="s">
        <v>1519</v>
      </c>
      <c r="G1210">
        <v>4</v>
      </c>
      <c r="H1210" s="48">
        <v>0</v>
      </c>
      <c r="I1210" s="48">
        <v>0</v>
      </c>
      <c r="J1210" s="54">
        <v>46248</v>
      </c>
      <c r="K1210" s="54">
        <v>46253</v>
      </c>
      <c r="L1210" s="54">
        <v>46252</v>
      </c>
      <c r="M1210" s="54">
        <v>46255</v>
      </c>
      <c r="O1210" s="51" t="str">
        <f t="shared" si="126"/>
        <v/>
      </c>
      <c r="P1210" s="51" t="str">
        <f t="shared" si="127"/>
        <v/>
      </c>
      <c r="Q1210" s="52" t="str">
        <f t="shared" si="128"/>
        <v/>
      </c>
      <c r="R1210" s="52" t="str">
        <f t="shared" si="129"/>
        <v/>
      </c>
      <c r="S1210" s="51" t="str">
        <f t="shared" si="130"/>
        <v/>
      </c>
      <c r="T1210" t="str">
        <f t="shared" si="131"/>
        <v/>
      </c>
      <c r="U1210" s="52" t="str">
        <f t="shared" si="132"/>
        <v/>
      </c>
    </row>
    <row r="1211" spans="2:21" x14ac:dyDescent="0.25">
      <c r="B1211">
        <v>1269</v>
      </c>
      <c r="C1211" t="s">
        <v>260</v>
      </c>
      <c r="D1211" t="s">
        <v>1306</v>
      </c>
      <c r="E1211" t="s">
        <v>1518</v>
      </c>
      <c r="F1211" t="s">
        <v>1519</v>
      </c>
      <c r="G1211">
        <v>6</v>
      </c>
      <c r="H1211" s="48">
        <v>0</v>
      </c>
      <c r="I1211" s="48">
        <v>0</v>
      </c>
      <c r="J1211" s="54">
        <v>46253</v>
      </c>
      <c r="K1211" s="54">
        <v>46258</v>
      </c>
      <c r="L1211" s="54">
        <v>46255</v>
      </c>
      <c r="M1211" s="54">
        <v>46260</v>
      </c>
      <c r="O1211" s="51" t="str">
        <f t="shared" si="126"/>
        <v/>
      </c>
      <c r="P1211" s="51" t="str">
        <f t="shared" si="127"/>
        <v/>
      </c>
      <c r="Q1211" s="52" t="str">
        <f t="shared" si="128"/>
        <v/>
      </c>
      <c r="R1211" s="52" t="str">
        <f t="shared" si="129"/>
        <v/>
      </c>
      <c r="S1211" s="51" t="str">
        <f t="shared" si="130"/>
        <v>SIM</v>
      </c>
      <c r="T1211" t="str">
        <f t="shared" si="131"/>
        <v>BL1132-0001-TU-MCA-2000</v>
      </c>
      <c r="U1211" s="52">
        <f t="shared" si="132"/>
        <v>46260</v>
      </c>
    </row>
    <row r="1212" spans="2:21" x14ac:dyDescent="0.25">
      <c r="B1212">
        <v>1270</v>
      </c>
      <c r="C1212" t="s">
        <v>260</v>
      </c>
      <c r="D1212" t="s">
        <v>1306</v>
      </c>
      <c r="E1212" t="s">
        <v>1520</v>
      </c>
      <c r="F1212" t="s">
        <v>1519</v>
      </c>
      <c r="G1212">
        <v>6</v>
      </c>
      <c r="H1212" s="48">
        <v>0</v>
      </c>
      <c r="I1212" s="48">
        <v>0</v>
      </c>
      <c r="J1212" s="54">
        <v>46258</v>
      </c>
      <c r="K1212" s="54">
        <v>46261</v>
      </c>
      <c r="L1212" s="54">
        <v>46260</v>
      </c>
      <c r="M1212" s="54">
        <v>46265</v>
      </c>
      <c r="O1212" s="51" t="str">
        <f t="shared" si="126"/>
        <v/>
      </c>
      <c r="P1212" s="51" t="str">
        <f t="shared" si="127"/>
        <v/>
      </c>
      <c r="Q1212" s="52" t="str">
        <f t="shared" si="128"/>
        <v/>
      </c>
      <c r="R1212" s="52" t="str">
        <f t="shared" si="129"/>
        <v/>
      </c>
      <c r="S1212" s="51" t="str">
        <f t="shared" si="130"/>
        <v/>
      </c>
      <c r="T1212" t="str">
        <f t="shared" si="131"/>
        <v/>
      </c>
      <c r="U1212" s="52" t="str">
        <f t="shared" si="132"/>
        <v/>
      </c>
    </row>
    <row r="1213" spans="2:21" x14ac:dyDescent="0.25">
      <c r="B1213">
        <v>1271</v>
      </c>
      <c r="C1213" t="s">
        <v>258</v>
      </c>
      <c r="D1213" t="s">
        <v>1300</v>
      </c>
      <c r="E1213" t="s">
        <v>1823</v>
      </c>
      <c r="F1213" t="s">
        <v>1527</v>
      </c>
      <c r="G1213">
        <v>22</v>
      </c>
      <c r="H1213" s="48">
        <v>0</v>
      </c>
      <c r="I1213" s="48">
        <v>0</v>
      </c>
      <c r="J1213" s="54">
        <v>46248</v>
      </c>
      <c r="K1213" s="54">
        <v>46268</v>
      </c>
      <c r="L1213" s="54">
        <v>46252</v>
      </c>
      <c r="M1213" s="54">
        <v>46273</v>
      </c>
      <c r="O1213" s="51" t="str">
        <f t="shared" si="126"/>
        <v/>
      </c>
      <c r="P1213" s="51" t="str">
        <f t="shared" si="127"/>
        <v/>
      </c>
      <c r="Q1213" s="52" t="str">
        <f t="shared" si="128"/>
        <v/>
      </c>
      <c r="R1213" s="52" t="str">
        <f t="shared" si="129"/>
        <v/>
      </c>
      <c r="S1213" s="51" t="str">
        <f t="shared" si="130"/>
        <v/>
      </c>
      <c r="T1213" t="str">
        <f t="shared" si="131"/>
        <v/>
      </c>
      <c r="U1213" s="52" t="str">
        <f t="shared" si="132"/>
        <v/>
      </c>
    </row>
    <row r="1214" spans="2:21" x14ac:dyDescent="0.25">
      <c r="B1214">
        <v>1272</v>
      </c>
      <c r="C1214" t="s">
        <v>258</v>
      </c>
      <c r="D1214" t="s">
        <v>1300</v>
      </c>
      <c r="E1214" t="s">
        <v>1515</v>
      </c>
      <c r="F1214" t="s">
        <v>1528</v>
      </c>
      <c r="G1214">
        <v>8</v>
      </c>
      <c r="H1214" s="48">
        <v>0</v>
      </c>
      <c r="I1214" s="48">
        <v>0</v>
      </c>
      <c r="J1214" s="54">
        <v>46248</v>
      </c>
      <c r="K1214" s="54">
        <v>46255</v>
      </c>
      <c r="L1214" s="54">
        <v>46252</v>
      </c>
      <c r="M1214" s="54">
        <v>46259</v>
      </c>
      <c r="O1214" s="51" t="str">
        <f t="shared" si="126"/>
        <v>SIM</v>
      </c>
      <c r="P1214" s="51" t="str">
        <f t="shared" si="127"/>
        <v>BL1132-0001-TU-ETE-2000</v>
      </c>
      <c r="Q1214" s="52">
        <f t="shared" si="128"/>
        <v>46259</v>
      </c>
      <c r="R1214" s="52">
        <f t="shared" si="129"/>
        <v>46255</v>
      </c>
      <c r="S1214" s="51" t="str">
        <f t="shared" si="130"/>
        <v/>
      </c>
      <c r="T1214" t="str">
        <f t="shared" si="131"/>
        <v/>
      </c>
      <c r="U1214" s="52" t="str">
        <f t="shared" si="132"/>
        <v/>
      </c>
    </row>
    <row r="1215" spans="2:21" x14ac:dyDescent="0.25">
      <c r="B1215">
        <v>1273</v>
      </c>
      <c r="C1215" t="s">
        <v>258</v>
      </c>
      <c r="D1215" t="s">
        <v>1300</v>
      </c>
      <c r="E1215" t="s">
        <v>1517</v>
      </c>
      <c r="F1215" t="s">
        <v>1519</v>
      </c>
      <c r="G1215">
        <v>4</v>
      </c>
      <c r="H1215" s="48">
        <v>0</v>
      </c>
      <c r="I1215" s="48">
        <v>0</v>
      </c>
      <c r="J1215" s="54">
        <v>46255</v>
      </c>
      <c r="K1215" s="54">
        <v>46260</v>
      </c>
      <c r="L1215" s="54">
        <v>46259</v>
      </c>
      <c r="M1215" s="54">
        <v>46262</v>
      </c>
      <c r="O1215" s="51" t="str">
        <f t="shared" si="126"/>
        <v/>
      </c>
      <c r="P1215" s="51" t="str">
        <f t="shared" si="127"/>
        <v/>
      </c>
      <c r="Q1215" s="52" t="str">
        <f t="shared" si="128"/>
        <v/>
      </c>
      <c r="R1215" s="52" t="str">
        <f t="shared" si="129"/>
        <v/>
      </c>
      <c r="S1215" s="51" t="str">
        <f t="shared" si="130"/>
        <v/>
      </c>
      <c r="T1215" t="str">
        <f t="shared" si="131"/>
        <v/>
      </c>
      <c r="U1215" s="52" t="str">
        <f t="shared" si="132"/>
        <v/>
      </c>
    </row>
    <row r="1216" spans="2:21" x14ac:dyDescent="0.25">
      <c r="B1216">
        <v>1274</v>
      </c>
      <c r="C1216" t="s">
        <v>258</v>
      </c>
      <c r="D1216" t="s">
        <v>1300</v>
      </c>
      <c r="E1216" t="s">
        <v>1518</v>
      </c>
      <c r="F1216" t="s">
        <v>1519</v>
      </c>
      <c r="G1216">
        <v>6</v>
      </c>
      <c r="H1216" s="48">
        <v>0</v>
      </c>
      <c r="I1216" s="48">
        <v>0</v>
      </c>
      <c r="J1216" s="54">
        <v>46260</v>
      </c>
      <c r="K1216" s="54">
        <v>46265</v>
      </c>
      <c r="L1216" s="54">
        <v>46262</v>
      </c>
      <c r="M1216" s="54">
        <v>46267</v>
      </c>
      <c r="O1216" s="51" t="str">
        <f t="shared" si="126"/>
        <v/>
      </c>
      <c r="P1216" s="51" t="str">
        <f t="shared" si="127"/>
        <v/>
      </c>
      <c r="Q1216" s="52" t="str">
        <f t="shared" si="128"/>
        <v/>
      </c>
      <c r="R1216" s="52" t="str">
        <f t="shared" si="129"/>
        <v/>
      </c>
      <c r="S1216" s="51" t="str">
        <f t="shared" si="130"/>
        <v>SIM</v>
      </c>
      <c r="T1216" t="str">
        <f t="shared" si="131"/>
        <v>BL1132-0001-TU-ETE-2000</v>
      </c>
      <c r="U1216" s="52">
        <f t="shared" si="132"/>
        <v>46267</v>
      </c>
    </row>
    <row r="1217" spans="2:21" x14ac:dyDescent="0.25">
      <c r="B1217">
        <v>1275</v>
      </c>
      <c r="C1217" t="s">
        <v>258</v>
      </c>
      <c r="D1217" t="s">
        <v>1300</v>
      </c>
      <c r="E1217" t="s">
        <v>1520</v>
      </c>
      <c r="F1217" t="s">
        <v>1519</v>
      </c>
      <c r="G1217">
        <v>7</v>
      </c>
      <c r="H1217" s="48">
        <v>0</v>
      </c>
      <c r="I1217" s="48">
        <v>0</v>
      </c>
      <c r="J1217" s="54">
        <v>46265</v>
      </c>
      <c r="K1217" s="54">
        <v>46268</v>
      </c>
      <c r="L1217" s="54">
        <v>46267</v>
      </c>
      <c r="M1217" s="54">
        <v>46273</v>
      </c>
      <c r="O1217" s="51" t="str">
        <f t="shared" si="126"/>
        <v/>
      </c>
      <c r="P1217" s="51" t="str">
        <f t="shared" si="127"/>
        <v/>
      </c>
      <c r="Q1217" s="52" t="str">
        <f t="shared" si="128"/>
        <v/>
      </c>
      <c r="R1217" s="52" t="str">
        <f t="shared" si="129"/>
        <v/>
      </c>
      <c r="S1217" s="51" t="str">
        <f t="shared" si="130"/>
        <v/>
      </c>
      <c r="T1217" t="str">
        <f t="shared" si="131"/>
        <v/>
      </c>
      <c r="U1217" s="52" t="str">
        <f t="shared" si="132"/>
        <v/>
      </c>
    </row>
    <row r="1218" spans="2:21" x14ac:dyDescent="0.25">
      <c r="B1218">
        <v>1276</v>
      </c>
      <c r="C1218" t="s">
        <v>261</v>
      </c>
      <c r="D1218" t="s">
        <v>1310</v>
      </c>
      <c r="E1218" t="s">
        <v>1824</v>
      </c>
      <c r="F1218" t="s">
        <v>1588</v>
      </c>
      <c r="G1218">
        <v>23</v>
      </c>
      <c r="H1218" s="48">
        <v>0</v>
      </c>
      <c r="I1218" s="48">
        <v>0</v>
      </c>
      <c r="J1218" s="54">
        <v>46255</v>
      </c>
      <c r="K1218" s="54">
        <v>46279</v>
      </c>
      <c r="L1218" s="54">
        <v>46259</v>
      </c>
      <c r="M1218" s="54">
        <v>46281</v>
      </c>
      <c r="O1218" s="51" t="str">
        <f t="shared" si="126"/>
        <v/>
      </c>
      <c r="P1218" s="51" t="str">
        <f t="shared" si="127"/>
        <v/>
      </c>
      <c r="Q1218" s="52" t="str">
        <f t="shared" si="128"/>
        <v/>
      </c>
      <c r="R1218" s="52" t="str">
        <f t="shared" si="129"/>
        <v/>
      </c>
      <c r="S1218" s="51" t="str">
        <f t="shared" si="130"/>
        <v/>
      </c>
      <c r="T1218" t="str">
        <f t="shared" si="131"/>
        <v/>
      </c>
      <c r="U1218" s="52" t="str">
        <f t="shared" si="132"/>
        <v/>
      </c>
    </row>
    <row r="1219" spans="2:21" x14ac:dyDescent="0.25">
      <c r="B1219">
        <v>1277</v>
      </c>
      <c r="C1219" t="s">
        <v>261</v>
      </c>
      <c r="D1219" t="s">
        <v>1310</v>
      </c>
      <c r="E1219" t="s">
        <v>1515</v>
      </c>
      <c r="F1219" t="s">
        <v>1605</v>
      </c>
      <c r="G1219">
        <v>9</v>
      </c>
      <c r="H1219" s="48">
        <v>0</v>
      </c>
      <c r="I1219" s="48">
        <v>0</v>
      </c>
      <c r="J1219" s="54">
        <v>46255</v>
      </c>
      <c r="K1219" s="54">
        <v>46265</v>
      </c>
      <c r="L1219" s="54">
        <v>46259</v>
      </c>
      <c r="M1219" s="54">
        <v>46267</v>
      </c>
      <c r="O1219" s="51" t="str">
        <f t="shared" ref="O1219:O1282" si="133">IF(OR(E1219 = "                           1 - Emissão Inicial",E1219="                  1 - Emissão após Design Review 1",E1219 = "                  1 - Emissão para conhecimento",E1219 = "                  1 - Emissão Final",E1219 = "         Lista de Documentos",E1219 = "         Elaboração do cronograma",E1219 = "         Norma de Coordenação"), "SIM", "")</f>
        <v>SIM</v>
      </c>
      <c r="P1219" s="51" t="str">
        <f t="shared" ref="P1219:P1282" si="134">IF(O1219="SIM",C1219,"")</f>
        <v>BL1132-0001-TU-PQU-2000</v>
      </c>
      <c r="Q1219" s="52">
        <f t="shared" ref="Q1219:Q1282" si="135">IF(O1219="SIM",M1219,"")</f>
        <v>46267</v>
      </c>
      <c r="R1219" s="52">
        <f t="shared" ref="R1219:R1282" si="136">IF(O1219="SIM",K1219,"")</f>
        <v>46265</v>
      </c>
      <c r="S1219" s="51" t="str">
        <f t="shared" ref="S1219:S1282" si="137">IF(OR(E1219 = "                           3 - Atendimento de Comentários",E1219="                  1 - Emissão após Design Review 1",E1219 = "                  1 - Emissão para conhecimento",E1219 = "                  1 - Emissão Final",E1219 = "         Lista de Documentos",E1219 = "         Elaboração do cronograma",E1219 = "         Norma de Coordenação"), "SIM", "")</f>
        <v/>
      </c>
      <c r="T1219" t="str">
        <f t="shared" ref="T1219:T1282" si="138">IF(S1219="SIM",C1219,"")</f>
        <v/>
      </c>
      <c r="U1219" s="52" t="str">
        <f t="shared" ref="U1219:U1282" si="139">IF(S1219="SIM",M1219,"")</f>
        <v/>
      </c>
    </row>
    <row r="1220" spans="2:21" x14ac:dyDescent="0.25">
      <c r="B1220">
        <v>1278</v>
      </c>
      <c r="C1220" t="s">
        <v>261</v>
      </c>
      <c r="D1220" t="s">
        <v>1310</v>
      </c>
      <c r="E1220" t="s">
        <v>1517</v>
      </c>
      <c r="F1220" t="s">
        <v>1519</v>
      </c>
      <c r="G1220">
        <v>7</v>
      </c>
      <c r="H1220" s="48">
        <v>0</v>
      </c>
      <c r="I1220" s="48">
        <v>0</v>
      </c>
      <c r="J1220" s="54">
        <v>46265</v>
      </c>
      <c r="K1220" s="54">
        <v>46268</v>
      </c>
      <c r="L1220" s="54">
        <v>46267</v>
      </c>
      <c r="M1220" s="54">
        <v>46273</v>
      </c>
      <c r="O1220" s="51" t="str">
        <f t="shared" si="133"/>
        <v/>
      </c>
      <c r="P1220" s="51" t="str">
        <f t="shared" si="134"/>
        <v/>
      </c>
      <c r="Q1220" s="52" t="str">
        <f t="shared" si="135"/>
        <v/>
      </c>
      <c r="R1220" s="52" t="str">
        <f t="shared" si="136"/>
        <v/>
      </c>
      <c r="S1220" s="51" t="str">
        <f t="shared" si="137"/>
        <v/>
      </c>
      <c r="T1220" t="str">
        <f t="shared" si="138"/>
        <v/>
      </c>
      <c r="U1220" s="52" t="str">
        <f t="shared" si="139"/>
        <v/>
      </c>
    </row>
    <row r="1221" spans="2:21" x14ac:dyDescent="0.25">
      <c r="B1221">
        <v>1279</v>
      </c>
      <c r="C1221" t="s">
        <v>261</v>
      </c>
      <c r="D1221" t="s">
        <v>1310</v>
      </c>
      <c r="E1221" t="s">
        <v>1518</v>
      </c>
      <c r="F1221" t="s">
        <v>1519</v>
      </c>
      <c r="G1221">
        <v>4</v>
      </c>
      <c r="H1221" s="48">
        <v>0</v>
      </c>
      <c r="I1221" s="48">
        <v>0</v>
      </c>
      <c r="J1221" s="54">
        <v>46268</v>
      </c>
      <c r="K1221" s="54">
        <v>46274</v>
      </c>
      <c r="L1221" s="54">
        <v>46273</v>
      </c>
      <c r="M1221" s="54">
        <v>46276</v>
      </c>
      <c r="O1221" s="51" t="str">
        <f t="shared" si="133"/>
        <v/>
      </c>
      <c r="P1221" s="51" t="str">
        <f t="shared" si="134"/>
        <v/>
      </c>
      <c r="Q1221" s="52" t="str">
        <f t="shared" si="135"/>
        <v/>
      </c>
      <c r="R1221" s="52" t="str">
        <f t="shared" si="136"/>
        <v/>
      </c>
      <c r="S1221" s="51" t="str">
        <f t="shared" si="137"/>
        <v>SIM</v>
      </c>
      <c r="T1221" t="str">
        <f t="shared" si="138"/>
        <v>BL1132-0001-TU-PQU-2000</v>
      </c>
      <c r="U1221" s="52">
        <f t="shared" si="139"/>
        <v>46276</v>
      </c>
    </row>
    <row r="1222" spans="2:21" x14ac:dyDescent="0.25">
      <c r="B1222">
        <v>1280</v>
      </c>
      <c r="C1222" t="s">
        <v>261</v>
      </c>
      <c r="D1222" t="s">
        <v>1310</v>
      </c>
      <c r="E1222" t="s">
        <v>1520</v>
      </c>
      <c r="F1222" t="s">
        <v>1519</v>
      </c>
      <c r="G1222">
        <v>6</v>
      </c>
      <c r="H1222" s="48">
        <v>0</v>
      </c>
      <c r="I1222" s="48">
        <v>0</v>
      </c>
      <c r="J1222" s="54">
        <v>46274</v>
      </c>
      <c r="K1222" s="54">
        <v>46279</v>
      </c>
      <c r="L1222" s="54">
        <v>46276</v>
      </c>
      <c r="M1222" s="54">
        <v>46281</v>
      </c>
      <c r="O1222" s="51" t="str">
        <f t="shared" si="133"/>
        <v/>
      </c>
      <c r="P1222" s="51" t="str">
        <f t="shared" si="134"/>
        <v/>
      </c>
      <c r="Q1222" s="52" t="str">
        <f t="shared" si="135"/>
        <v/>
      </c>
      <c r="R1222" s="52" t="str">
        <f t="shared" si="136"/>
        <v/>
      </c>
      <c r="S1222" s="51" t="str">
        <f t="shared" si="137"/>
        <v/>
      </c>
      <c r="T1222" t="str">
        <f t="shared" si="138"/>
        <v/>
      </c>
      <c r="U1222" s="52" t="str">
        <f t="shared" si="139"/>
        <v/>
      </c>
    </row>
    <row r="1223" spans="2:21" x14ac:dyDescent="0.25">
      <c r="B1223">
        <v>1281</v>
      </c>
      <c r="E1223" t="s">
        <v>1572</v>
      </c>
      <c r="F1223" t="s">
        <v>1538</v>
      </c>
      <c r="G1223">
        <v>28</v>
      </c>
      <c r="H1223" s="48">
        <v>0</v>
      </c>
      <c r="I1223" s="48">
        <v>0</v>
      </c>
      <c r="J1223" s="54">
        <v>46244</v>
      </c>
      <c r="K1223" s="54">
        <v>46261</v>
      </c>
      <c r="L1223" s="54">
        <v>46254</v>
      </c>
      <c r="M1223" s="54">
        <v>46281</v>
      </c>
      <c r="O1223" s="51" t="str">
        <f t="shared" si="133"/>
        <v/>
      </c>
      <c r="P1223" s="51" t="str">
        <f t="shared" si="134"/>
        <v/>
      </c>
      <c r="Q1223" s="52" t="str">
        <f t="shared" si="135"/>
        <v/>
      </c>
      <c r="R1223" s="52" t="str">
        <f t="shared" si="136"/>
        <v/>
      </c>
      <c r="S1223" s="51" t="str">
        <f t="shared" si="137"/>
        <v/>
      </c>
      <c r="T1223" t="str">
        <f t="shared" si="138"/>
        <v/>
      </c>
      <c r="U1223" s="52" t="str">
        <f t="shared" si="139"/>
        <v/>
      </c>
    </row>
    <row r="1224" spans="2:21" x14ac:dyDescent="0.25">
      <c r="B1224">
        <v>1282</v>
      </c>
      <c r="C1224" t="s">
        <v>105</v>
      </c>
      <c r="D1224" t="s">
        <v>716</v>
      </c>
      <c r="E1224" t="s">
        <v>1825</v>
      </c>
      <c r="F1224" t="s">
        <v>1535</v>
      </c>
      <c r="G1224">
        <v>21</v>
      </c>
      <c r="H1224" s="48">
        <v>0</v>
      </c>
      <c r="I1224" s="48">
        <v>0</v>
      </c>
      <c r="J1224" s="54">
        <v>46244</v>
      </c>
      <c r="K1224" s="54">
        <v>46261</v>
      </c>
      <c r="L1224" s="54">
        <v>46254</v>
      </c>
      <c r="M1224" s="54">
        <v>46274</v>
      </c>
      <c r="O1224" s="51" t="str">
        <f t="shared" si="133"/>
        <v/>
      </c>
      <c r="P1224" s="51" t="str">
        <f t="shared" si="134"/>
        <v/>
      </c>
      <c r="Q1224" s="52" t="str">
        <f t="shared" si="135"/>
        <v/>
      </c>
      <c r="R1224" s="52" t="str">
        <f t="shared" si="136"/>
        <v/>
      </c>
      <c r="S1224" s="51" t="str">
        <f t="shared" si="137"/>
        <v/>
      </c>
      <c r="T1224" t="str">
        <f t="shared" si="138"/>
        <v/>
      </c>
      <c r="U1224" s="52" t="str">
        <f t="shared" si="139"/>
        <v/>
      </c>
    </row>
    <row r="1225" spans="2:21" x14ac:dyDescent="0.25">
      <c r="B1225">
        <v>1283</v>
      </c>
      <c r="C1225" t="s">
        <v>105</v>
      </c>
      <c r="D1225" t="s">
        <v>716</v>
      </c>
      <c r="E1225" t="s">
        <v>1515</v>
      </c>
      <c r="F1225" t="s">
        <v>1525</v>
      </c>
      <c r="G1225">
        <v>7</v>
      </c>
      <c r="H1225" s="48">
        <v>0</v>
      </c>
      <c r="I1225" s="48">
        <v>0</v>
      </c>
      <c r="J1225" s="54">
        <v>46244</v>
      </c>
      <c r="K1225" s="54">
        <v>46248</v>
      </c>
      <c r="L1225" s="54">
        <v>46254</v>
      </c>
      <c r="M1225" s="54">
        <v>46260</v>
      </c>
      <c r="O1225" s="51" t="str">
        <f t="shared" si="133"/>
        <v>SIM</v>
      </c>
      <c r="P1225" s="51" t="str">
        <f t="shared" si="134"/>
        <v>BL1132-0001-CC-MCA-2111</v>
      </c>
      <c r="Q1225" s="52">
        <f t="shared" si="135"/>
        <v>46260</v>
      </c>
      <c r="R1225" s="52">
        <f t="shared" si="136"/>
        <v>46248</v>
      </c>
      <c r="S1225" s="51" t="str">
        <f t="shared" si="137"/>
        <v/>
      </c>
      <c r="T1225" t="str">
        <f t="shared" si="138"/>
        <v/>
      </c>
      <c r="U1225" s="52" t="str">
        <f t="shared" si="139"/>
        <v/>
      </c>
    </row>
    <row r="1226" spans="2:21" x14ac:dyDescent="0.25">
      <c r="B1226">
        <v>1284</v>
      </c>
      <c r="C1226" t="s">
        <v>105</v>
      </c>
      <c r="D1226" t="s">
        <v>716</v>
      </c>
      <c r="E1226" t="s">
        <v>1517</v>
      </c>
      <c r="F1226" t="s">
        <v>1519</v>
      </c>
      <c r="G1226">
        <v>6</v>
      </c>
      <c r="H1226" s="48">
        <v>0</v>
      </c>
      <c r="I1226" s="48">
        <v>0</v>
      </c>
      <c r="J1226" s="54">
        <v>46248</v>
      </c>
      <c r="K1226" s="54">
        <v>46253</v>
      </c>
      <c r="L1226" s="54">
        <v>46260</v>
      </c>
      <c r="M1226" s="54">
        <v>46265</v>
      </c>
      <c r="O1226" s="51" t="str">
        <f t="shared" si="133"/>
        <v/>
      </c>
      <c r="P1226" s="51" t="str">
        <f t="shared" si="134"/>
        <v/>
      </c>
      <c r="Q1226" s="52" t="str">
        <f t="shared" si="135"/>
        <v/>
      </c>
      <c r="R1226" s="52" t="str">
        <f t="shared" si="136"/>
        <v/>
      </c>
      <c r="S1226" s="51" t="str">
        <f t="shared" si="137"/>
        <v/>
      </c>
      <c r="T1226" t="str">
        <f t="shared" si="138"/>
        <v/>
      </c>
      <c r="U1226" s="52" t="str">
        <f t="shared" si="139"/>
        <v/>
      </c>
    </row>
    <row r="1227" spans="2:21" x14ac:dyDescent="0.25">
      <c r="B1227">
        <v>1285</v>
      </c>
      <c r="C1227" t="s">
        <v>105</v>
      </c>
      <c r="D1227" t="s">
        <v>716</v>
      </c>
      <c r="E1227" t="s">
        <v>1518</v>
      </c>
      <c r="F1227" t="s">
        <v>1519</v>
      </c>
      <c r="G1227">
        <v>4</v>
      </c>
      <c r="H1227" s="48">
        <v>0</v>
      </c>
      <c r="I1227" s="48">
        <v>0</v>
      </c>
      <c r="J1227" s="54">
        <v>46253</v>
      </c>
      <c r="K1227" s="54">
        <v>46258</v>
      </c>
      <c r="L1227" s="54">
        <v>46265</v>
      </c>
      <c r="M1227" s="54">
        <v>46268</v>
      </c>
      <c r="O1227" s="51" t="str">
        <f t="shared" si="133"/>
        <v/>
      </c>
      <c r="P1227" s="51" t="str">
        <f t="shared" si="134"/>
        <v/>
      </c>
      <c r="Q1227" s="52" t="str">
        <f t="shared" si="135"/>
        <v/>
      </c>
      <c r="R1227" s="52" t="str">
        <f t="shared" si="136"/>
        <v/>
      </c>
      <c r="S1227" s="51" t="str">
        <f t="shared" si="137"/>
        <v>SIM</v>
      </c>
      <c r="T1227" t="str">
        <f t="shared" si="138"/>
        <v>BL1132-0001-CC-MCA-2111</v>
      </c>
      <c r="U1227" s="52">
        <f t="shared" si="139"/>
        <v>46268</v>
      </c>
    </row>
    <row r="1228" spans="2:21" x14ac:dyDescent="0.25">
      <c r="B1228">
        <v>1286</v>
      </c>
      <c r="C1228" t="s">
        <v>105</v>
      </c>
      <c r="D1228" t="s">
        <v>716</v>
      </c>
      <c r="E1228" t="s">
        <v>1520</v>
      </c>
      <c r="F1228" t="s">
        <v>1519</v>
      </c>
      <c r="G1228">
        <v>7</v>
      </c>
      <c r="H1228" s="48">
        <v>0</v>
      </c>
      <c r="I1228" s="48">
        <v>0</v>
      </c>
      <c r="J1228" s="54">
        <v>46258</v>
      </c>
      <c r="K1228" s="54">
        <v>46261</v>
      </c>
      <c r="L1228" s="54">
        <v>46268</v>
      </c>
      <c r="M1228" s="54">
        <v>46274</v>
      </c>
      <c r="O1228" s="51" t="str">
        <f t="shared" si="133"/>
        <v/>
      </c>
      <c r="P1228" s="51" t="str">
        <f t="shared" si="134"/>
        <v/>
      </c>
      <c r="Q1228" s="52" t="str">
        <f t="shared" si="135"/>
        <v/>
      </c>
      <c r="R1228" s="52" t="str">
        <f t="shared" si="136"/>
        <v/>
      </c>
      <c r="S1228" s="51" t="str">
        <f t="shared" si="137"/>
        <v/>
      </c>
      <c r="T1228" t="str">
        <f t="shared" si="138"/>
        <v/>
      </c>
      <c r="U1228" s="52" t="str">
        <f t="shared" si="139"/>
        <v/>
      </c>
    </row>
    <row r="1229" spans="2:21" x14ac:dyDescent="0.25">
      <c r="B1229">
        <v>1287</v>
      </c>
      <c r="C1229" t="s">
        <v>106</v>
      </c>
      <c r="D1229" t="s">
        <v>720</v>
      </c>
      <c r="E1229" t="s">
        <v>1826</v>
      </c>
      <c r="F1229" t="s">
        <v>1527</v>
      </c>
      <c r="G1229">
        <v>22</v>
      </c>
      <c r="H1229" s="48">
        <v>0</v>
      </c>
      <c r="I1229" s="48">
        <v>0</v>
      </c>
      <c r="J1229" s="54" t="s">
        <v>1506</v>
      </c>
      <c r="K1229" s="54" t="s">
        <v>1506</v>
      </c>
      <c r="L1229" s="54">
        <v>46260</v>
      </c>
      <c r="M1229" s="54">
        <v>46281</v>
      </c>
      <c r="O1229" s="51" t="str">
        <f t="shared" si="133"/>
        <v/>
      </c>
      <c r="P1229" s="51" t="str">
        <f t="shared" si="134"/>
        <v/>
      </c>
      <c r="Q1229" s="52" t="str">
        <f t="shared" si="135"/>
        <v/>
      </c>
      <c r="R1229" s="52" t="str">
        <f t="shared" si="136"/>
        <v/>
      </c>
      <c r="S1229" s="51" t="str">
        <f t="shared" si="137"/>
        <v/>
      </c>
      <c r="T1229" t="str">
        <f t="shared" si="138"/>
        <v/>
      </c>
      <c r="U1229" s="52" t="str">
        <f t="shared" si="139"/>
        <v/>
      </c>
    </row>
    <row r="1230" spans="2:21" x14ac:dyDescent="0.25">
      <c r="B1230">
        <v>1288</v>
      </c>
      <c r="C1230" t="s">
        <v>106</v>
      </c>
      <c r="D1230" t="s">
        <v>720</v>
      </c>
      <c r="E1230" t="s">
        <v>1515</v>
      </c>
      <c r="F1230" t="s">
        <v>1528</v>
      </c>
      <c r="G1230">
        <v>8</v>
      </c>
      <c r="H1230" s="48">
        <v>0</v>
      </c>
      <c r="I1230" s="48">
        <v>0</v>
      </c>
      <c r="J1230" s="54" t="s">
        <v>1506</v>
      </c>
      <c r="K1230" s="54" t="s">
        <v>1506</v>
      </c>
      <c r="L1230" s="54">
        <v>46260</v>
      </c>
      <c r="M1230" s="54">
        <v>46267</v>
      </c>
      <c r="O1230" s="51" t="str">
        <f t="shared" si="133"/>
        <v>SIM</v>
      </c>
      <c r="P1230" s="51" t="str">
        <f t="shared" si="134"/>
        <v>BL1132-0001-CC-MCA-2112</v>
      </c>
      <c r="Q1230" s="52">
        <f t="shared" si="135"/>
        <v>46267</v>
      </c>
      <c r="R1230" s="52" t="str">
        <f t="shared" si="136"/>
        <v>ND</v>
      </c>
      <c r="S1230" s="51" t="str">
        <f t="shared" si="137"/>
        <v/>
      </c>
      <c r="T1230" t="str">
        <f t="shared" si="138"/>
        <v/>
      </c>
      <c r="U1230" s="52" t="str">
        <f t="shared" si="139"/>
        <v/>
      </c>
    </row>
    <row r="1231" spans="2:21" x14ac:dyDescent="0.25">
      <c r="B1231">
        <v>1289</v>
      </c>
      <c r="C1231" t="s">
        <v>106</v>
      </c>
      <c r="D1231" t="s">
        <v>720</v>
      </c>
      <c r="E1231" t="s">
        <v>1517</v>
      </c>
      <c r="F1231" t="s">
        <v>1519</v>
      </c>
      <c r="G1231">
        <v>7</v>
      </c>
      <c r="H1231" s="48">
        <v>0</v>
      </c>
      <c r="I1231" s="48">
        <v>0</v>
      </c>
      <c r="J1231" s="54" t="s">
        <v>1506</v>
      </c>
      <c r="K1231" s="54" t="s">
        <v>1506</v>
      </c>
      <c r="L1231" s="54">
        <v>46267</v>
      </c>
      <c r="M1231" s="54">
        <v>46273</v>
      </c>
      <c r="O1231" s="51" t="str">
        <f t="shared" si="133"/>
        <v/>
      </c>
      <c r="P1231" s="51" t="str">
        <f t="shared" si="134"/>
        <v/>
      </c>
      <c r="Q1231" s="52" t="str">
        <f t="shared" si="135"/>
        <v/>
      </c>
      <c r="R1231" s="52" t="str">
        <f t="shared" si="136"/>
        <v/>
      </c>
      <c r="S1231" s="51" t="str">
        <f t="shared" si="137"/>
        <v/>
      </c>
      <c r="T1231" t="str">
        <f t="shared" si="138"/>
        <v/>
      </c>
      <c r="U1231" s="52" t="str">
        <f t="shared" si="139"/>
        <v/>
      </c>
    </row>
    <row r="1232" spans="2:21" x14ac:dyDescent="0.25">
      <c r="B1232">
        <v>1290</v>
      </c>
      <c r="C1232" t="s">
        <v>106</v>
      </c>
      <c r="D1232" t="s">
        <v>720</v>
      </c>
      <c r="E1232" t="s">
        <v>1518</v>
      </c>
      <c r="F1232" t="s">
        <v>1519</v>
      </c>
      <c r="G1232">
        <v>4</v>
      </c>
      <c r="H1232" s="48">
        <v>0</v>
      </c>
      <c r="I1232" s="48">
        <v>0</v>
      </c>
      <c r="J1232" s="54" t="s">
        <v>1506</v>
      </c>
      <c r="K1232" s="54" t="s">
        <v>1506</v>
      </c>
      <c r="L1232" s="54">
        <v>46273</v>
      </c>
      <c r="M1232" s="54">
        <v>46276</v>
      </c>
      <c r="O1232" s="51" t="str">
        <f t="shared" si="133"/>
        <v/>
      </c>
      <c r="P1232" s="51" t="str">
        <f t="shared" si="134"/>
        <v/>
      </c>
      <c r="Q1232" s="52" t="str">
        <f t="shared" si="135"/>
        <v/>
      </c>
      <c r="R1232" s="52" t="str">
        <f t="shared" si="136"/>
        <v/>
      </c>
      <c r="S1232" s="51" t="str">
        <f t="shared" si="137"/>
        <v>SIM</v>
      </c>
      <c r="T1232" t="str">
        <f t="shared" si="138"/>
        <v>BL1132-0001-CC-MCA-2112</v>
      </c>
      <c r="U1232" s="52">
        <f t="shared" si="139"/>
        <v>46276</v>
      </c>
    </row>
    <row r="1233" spans="2:21" x14ac:dyDescent="0.25">
      <c r="B1233">
        <v>1291</v>
      </c>
      <c r="C1233" t="s">
        <v>106</v>
      </c>
      <c r="D1233" t="s">
        <v>720</v>
      </c>
      <c r="E1233" t="s">
        <v>1520</v>
      </c>
      <c r="F1233" t="s">
        <v>1519</v>
      </c>
      <c r="G1233">
        <v>6</v>
      </c>
      <c r="H1233" s="48">
        <v>0</v>
      </c>
      <c r="I1233" s="48">
        <v>0</v>
      </c>
      <c r="J1233" s="54" t="s">
        <v>1506</v>
      </c>
      <c r="K1233" s="54" t="s">
        <v>1506</v>
      </c>
      <c r="L1233" s="54">
        <v>46276</v>
      </c>
      <c r="M1233" s="54">
        <v>46281</v>
      </c>
      <c r="O1233" s="51" t="str">
        <f t="shared" si="133"/>
        <v/>
      </c>
      <c r="P1233" s="51" t="str">
        <f t="shared" si="134"/>
        <v/>
      </c>
      <c r="Q1233" s="52" t="str">
        <f t="shared" si="135"/>
        <v/>
      </c>
      <c r="R1233" s="52" t="str">
        <f t="shared" si="136"/>
        <v/>
      </c>
      <c r="S1233" s="51" t="str">
        <f t="shared" si="137"/>
        <v/>
      </c>
      <c r="T1233" t="str">
        <f t="shared" si="138"/>
        <v/>
      </c>
      <c r="U1233" s="52" t="str">
        <f t="shared" si="139"/>
        <v/>
      </c>
    </row>
    <row r="1234" spans="2:21" x14ac:dyDescent="0.25">
      <c r="B1234">
        <v>1292</v>
      </c>
      <c r="E1234" t="s">
        <v>1557</v>
      </c>
      <c r="F1234" t="s">
        <v>1578</v>
      </c>
      <c r="G1234">
        <v>26</v>
      </c>
      <c r="H1234" s="48">
        <v>0</v>
      </c>
      <c r="I1234" s="48">
        <v>0</v>
      </c>
      <c r="J1234" s="54">
        <v>46238</v>
      </c>
      <c r="K1234" s="54">
        <v>46260</v>
      </c>
      <c r="L1234" s="54">
        <v>46248</v>
      </c>
      <c r="M1234" s="54">
        <v>46273</v>
      </c>
      <c r="O1234" s="51" t="str">
        <f t="shared" si="133"/>
        <v/>
      </c>
      <c r="P1234" s="51" t="str">
        <f t="shared" si="134"/>
        <v/>
      </c>
      <c r="Q1234" s="52" t="str">
        <f t="shared" si="135"/>
        <v/>
      </c>
      <c r="R1234" s="52" t="str">
        <f t="shared" si="136"/>
        <v/>
      </c>
      <c r="S1234" s="51" t="str">
        <f t="shared" si="137"/>
        <v/>
      </c>
      <c r="T1234" t="str">
        <f t="shared" si="138"/>
        <v/>
      </c>
      <c r="U1234" s="52" t="str">
        <f t="shared" si="139"/>
        <v/>
      </c>
    </row>
    <row r="1235" spans="2:21" x14ac:dyDescent="0.25">
      <c r="B1235">
        <v>1293</v>
      </c>
      <c r="C1235" t="s">
        <v>198</v>
      </c>
      <c r="D1235" t="s">
        <v>1104</v>
      </c>
      <c r="E1235" t="s">
        <v>1568</v>
      </c>
      <c r="F1235" t="s">
        <v>1578</v>
      </c>
      <c r="G1235">
        <v>26</v>
      </c>
      <c r="H1235" s="48">
        <v>0</v>
      </c>
      <c r="I1235" s="48">
        <v>0</v>
      </c>
      <c r="J1235" s="54">
        <v>46238</v>
      </c>
      <c r="K1235" s="54">
        <v>46260</v>
      </c>
      <c r="L1235" s="54">
        <v>46248</v>
      </c>
      <c r="M1235" s="54">
        <v>46273</v>
      </c>
      <c r="O1235" s="51" t="str">
        <f t="shared" si="133"/>
        <v/>
      </c>
      <c r="P1235" s="51" t="str">
        <f t="shared" si="134"/>
        <v/>
      </c>
      <c r="Q1235" s="52" t="str">
        <f t="shared" si="135"/>
        <v/>
      </c>
      <c r="R1235" s="52" t="str">
        <f t="shared" si="136"/>
        <v/>
      </c>
      <c r="S1235" s="51" t="str">
        <f t="shared" si="137"/>
        <v/>
      </c>
      <c r="T1235" t="str">
        <f t="shared" si="138"/>
        <v/>
      </c>
      <c r="U1235" s="52" t="str">
        <f t="shared" si="139"/>
        <v/>
      </c>
    </row>
    <row r="1236" spans="2:21" x14ac:dyDescent="0.25">
      <c r="B1236">
        <v>1294</v>
      </c>
      <c r="C1236" t="s">
        <v>198</v>
      </c>
      <c r="D1236" t="s">
        <v>1104</v>
      </c>
      <c r="E1236" t="s">
        <v>1515</v>
      </c>
      <c r="F1236" t="s">
        <v>1523</v>
      </c>
      <c r="G1236">
        <v>12</v>
      </c>
      <c r="H1236" s="48">
        <v>0</v>
      </c>
      <c r="I1236" s="48">
        <v>0</v>
      </c>
      <c r="J1236" s="54">
        <v>46238</v>
      </c>
      <c r="K1236" s="54">
        <v>46247</v>
      </c>
      <c r="L1236" s="54">
        <v>46248</v>
      </c>
      <c r="M1236" s="54">
        <v>46259</v>
      </c>
      <c r="O1236" s="51" t="str">
        <f t="shared" si="133"/>
        <v>SIM</v>
      </c>
      <c r="P1236" s="51" t="str">
        <f t="shared" si="134"/>
        <v>BL1132-0001-EM-PQU-2001</v>
      </c>
      <c r="Q1236" s="52">
        <f t="shared" si="135"/>
        <v>46259</v>
      </c>
      <c r="R1236" s="52">
        <f t="shared" si="136"/>
        <v>46247</v>
      </c>
      <c r="S1236" s="51" t="str">
        <f t="shared" si="137"/>
        <v/>
      </c>
      <c r="T1236" t="str">
        <f t="shared" si="138"/>
        <v/>
      </c>
      <c r="U1236" s="52" t="str">
        <f t="shared" si="139"/>
        <v/>
      </c>
    </row>
    <row r="1237" spans="2:21" x14ac:dyDescent="0.25">
      <c r="B1237">
        <v>1295</v>
      </c>
      <c r="C1237" t="s">
        <v>198</v>
      </c>
      <c r="D1237" t="s">
        <v>1104</v>
      </c>
      <c r="E1237" t="s">
        <v>1517</v>
      </c>
      <c r="F1237" t="s">
        <v>1519</v>
      </c>
      <c r="G1237">
        <v>4</v>
      </c>
      <c r="H1237" s="48">
        <v>0</v>
      </c>
      <c r="I1237" s="48">
        <v>0</v>
      </c>
      <c r="J1237" s="54">
        <v>46247</v>
      </c>
      <c r="K1237" s="54">
        <v>46252</v>
      </c>
      <c r="L1237" s="54">
        <v>46259</v>
      </c>
      <c r="M1237" s="54">
        <v>46262</v>
      </c>
      <c r="O1237" s="51" t="str">
        <f t="shared" si="133"/>
        <v/>
      </c>
      <c r="P1237" s="51" t="str">
        <f t="shared" si="134"/>
        <v/>
      </c>
      <c r="Q1237" s="52" t="str">
        <f t="shared" si="135"/>
        <v/>
      </c>
      <c r="R1237" s="52" t="str">
        <f t="shared" si="136"/>
        <v/>
      </c>
      <c r="S1237" s="51" t="str">
        <f t="shared" si="137"/>
        <v/>
      </c>
      <c r="T1237" t="str">
        <f t="shared" si="138"/>
        <v/>
      </c>
      <c r="U1237" s="52" t="str">
        <f t="shared" si="139"/>
        <v/>
      </c>
    </row>
    <row r="1238" spans="2:21" x14ac:dyDescent="0.25">
      <c r="B1238">
        <v>1296</v>
      </c>
      <c r="C1238" t="s">
        <v>198</v>
      </c>
      <c r="D1238" t="s">
        <v>1104</v>
      </c>
      <c r="E1238" t="s">
        <v>1518</v>
      </c>
      <c r="F1238" t="s">
        <v>1519</v>
      </c>
      <c r="G1238">
        <v>6</v>
      </c>
      <c r="H1238" s="48">
        <v>0</v>
      </c>
      <c r="I1238" s="48">
        <v>0</v>
      </c>
      <c r="J1238" s="54">
        <v>46252</v>
      </c>
      <c r="K1238" s="54">
        <v>46255</v>
      </c>
      <c r="L1238" s="54">
        <v>46262</v>
      </c>
      <c r="M1238" s="54">
        <v>46267</v>
      </c>
      <c r="O1238" s="51" t="str">
        <f t="shared" si="133"/>
        <v/>
      </c>
      <c r="P1238" s="51" t="str">
        <f t="shared" si="134"/>
        <v/>
      </c>
      <c r="Q1238" s="52" t="str">
        <f t="shared" si="135"/>
        <v/>
      </c>
      <c r="R1238" s="52" t="str">
        <f t="shared" si="136"/>
        <v/>
      </c>
      <c r="S1238" s="51" t="str">
        <f t="shared" si="137"/>
        <v>SIM</v>
      </c>
      <c r="T1238" t="str">
        <f t="shared" si="138"/>
        <v>BL1132-0001-EM-PQU-2001</v>
      </c>
      <c r="U1238" s="52">
        <f t="shared" si="139"/>
        <v>46267</v>
      </c>
    </row>
    <row r="1239" spans="2:21" x14ac:dyDescent="0.25">
      <c r="B1239">
        <v>1297</v>
      </c>
      <c r="C1239" t="s">
        <v>198</v>
      </c>
      <c r="D1239" t="s">
        <v>1104</v>
      </c>
      <c r="E1239" t="s">
        <v>1520</v>
      </c>
      <c r="F1239" t="s">
        <v>1519</v>
      </c>
      <c r="G1239">
        <v>7</v>
      </c>
      <c r="H1239" s="48">
        <v>0</v>
      </c>
      <c r="I1239" s="48">
        <v>0</v>
      </c>
      <c r="J1239" s="54">
        <v>46255</v>
      </c>
      <c r="K1239" s="54">
        <v>46260</v>
      </c>
      <c r="L1239" s="54">
        <v>46267</v>
      </c>
      <c r="M1239" s="54">
        <v>46273</v>
      </c>
      <c r="O1239" s="51" t="str">
        <f t="shared" si="133"/>
        <v/>
      </c>
      <c r="P1239" s="51" t="str">
        <f t="shared" si="134"/>
        <v/>
      </c>
      <c r="Q1239" s="52" t="str">
        <f t="shared" si="135"/>
        <v/>
      </c>
      <c r="R1239" s="52" t="str">
        <f t="shared" si="136"/>
        <v/>
      </c>
      <c r="S1239" s="51" t="str">
        <f t="shared" si="137"/>
        <v/>
      </c>
      <c r="T1239" t="str">
        <f t="shared" si="138"/>
        <v/>
      </c>
      <c r="U1239" s="52" t="str">
        <f t="shared" si="139"/>
        <v/>
      </c>
    </row>
    <row r="1240" spans="2:21" x14ac:dyDescent="0.25">
      <c r="B1240">
        <v>1298</v>
      </c>
      <c r="E1240" t="s">
        <v>1558</v>
      </c>
      <c r="F1240" t="s">
        <v>1473</v>
      </c>
      <c r="G1240">
        <v>107</v>
      </c>
      <c r="H1240" s="48">
        <v>0.09</v>
      </c>
      <c r="I1240" s="48">
        <v>0.41089999999999999</v>
      </c>
      <c r="J1240" s="54">
        <v>46182</v>
      </c>
      <c r="K1240" s="54">
        <v>46288</v>
      </c>
      <c r="L1240" s="54">
        <v>46182</v>
      </c>
      <c r="M1240" s="54">
        <v>46288</v>
      </c>
      <c r="O1240" s="51" t="str">
        <f t="shared" si="133"/>
        <v/>
      </c>
      <c r="P1240" s="51" t="str">
        <f t="shared" si="134"/>
        <v/>
      </c>
      <c r="Q1240" s="52" t="str">
        <f t="shared" si="135"/>
        <v/>
      </c>
      <c r="R1240" s="52" t="str">
        <f t="shared" si="136"/>
        <v/>
      </c>
      <c r="S1240" s="51" t="str">
        <f t="shared" si="137"/>
        <v/>
      </c>
      <c r="T1240" t="str">
        <f t="shared" si="138"/>
        <v/>
      </c>
      <c r="U1240" s="52" t="str">
        <f t="shared" si="139"/>
        <v/>
      </c>
    </row>
    <row r="1241" spans="2:21" x14ac:dyDescent="0.25">
      <c r="B1241">
        <v>1299</v>
      </c>
      <c r="C1241" t="s">
        <v>238</v>
      </c>
      <c r="D1241" t="s">
        <v>1227</v>
      </c>
      <c r="E1241" t="s">
        <v>1827</v>
      </c>
      <c r="F1241" t="s">
        <v>1770</v>
      </c>
      <c r="G1241">
        <v>37</v>
      </c>
      <c r="H1241" s="48">
        <v>1</v>
      </c>
      <c r="I1241" s="48">
        <v>0.97330000000000005</v>
      </c>
      <c r="J1241" s="54">
        <v>46182</v>
      </c>
      <c r="K1241" s="54">
        <v>46205</v>
      </c>
      <c r="L1241" s="54">
        <v>46182</v>
      </c>
      <c r="M1241" s="54">
        <v>46218</v>
      </c>
      <c r="O1241" s="51" t="str">
        <f t="shared" si="133"/>
        <v/>
      </c>
      <c r="P1241" s="51" t="str">
        <f t="shared" si="134"/>
        <v/>
      </c>
      <c r="Q1241" s="52" t="str">
        <f t="shared" si="135"/>
        <v/>
      </c>
      <c r="R1241" s="52" t="str">
        <f t="shared" si="136"/>
        <v/>
      </c>
      <c r="S1241" s="51" t="str">
        <f t="shared" si="137"/>
        <v/>
      </c>
      <c r="T1241" t="str">
        <f t="shared" si="138"/>
        <v/>
      </c>
      <c r="U1241" s="52" t="str">
        <f t="shared" si="139"/>
        <v/>
      </c>
    </row>
    <row r="1242" spans="2:21" x14ac:dyDescent="0.25">
      <c r="B1242">
        <v>1300</v>
      </c>
      <c r="C1242" t="s">
        <v>238</v>
      </c>
      <c r="D1242" t="s">
        <v>1227</v>
      </c>
      <c r="E1242" t="s">
        <v>1515</v>
      </c>
      <c r="F1242" t="s">
        <v>1516</v>
      </c>
      <c r="G1242">
        <v>11</v>
      </c>
      <c r="H1242" s="48">
        <v>1</v>
      </c>
      <c r="I1242" s="48">
        <v>1</v>
      </c>
      <c r="J1242" s="54">
        <v>46182</v>
      </c>
      <c r="K1242" s="54">
        <v>46192</v>
      </c>
      <c r="L1242" s="54">
        <v>46182</v>
      </c>
      <c r="M1242" s="54">
        <v>46192</v>
      </c>
      <c r="O1242" s="51" t="str">
        <f t="shared" si="133"/>
        <v>SIM</v>
      </c>
      <c r="P1242" s="51" t="str">
        <f t="shared" si="134"/>
        <v>BL1132-0001-ME-LEI-2000</v>
      </c>
      <c r="Q1242" s="52">
        <f t="shared" si="135"/>
        <v>46192</v>
      </c>
      <c r="R1242" s="52">
        <f t="shared" si="136"/>
        <v>46192</v>
      </c>
      <c r="S1242" s="51" t="str">
        <f t="shared" si="137"/>
        <v/>
      </c>
      <c r="T1242" t="str">
        <f t="shared" si="138"/>
        <v/>
      </c>
      <c r="U1242" s="52" t="str">
        <f t="shared" si="139"/>
        <v/>
      </c>
    </row>
    <row r="1243" spans="2:21" x14ac:dyDescent="0.25">
      <c r="B1243">
        <v>1301</v>
      </c>
      <c r="C1243" t="s">
        <v>238</v>
      </c>
      <c r="D1243" t="s">
        <v>1227</v>
      </c>
      <c r="E1243" t="s">
        <v>1517</v>
      </c>
      <c r="F1243" t="s">
        <v>1516</v>
      </c>
      <c r="G1243">
        <v>13</v>
      </c>
      <c r="H1243" s="48">
        <v>1</v>
      </c>
      <c r="I1243" s="48">
        <v>1</v>
      </c>
      <c r="J1243" s="54">
        <v>46192</v>
      </c>
      <c r="K1243" s="54">
        <v>46197</v>
      </c>
      <c r="L1243" s="54">
        <v>46192</v>
      </c>
      <c r="M1243" s="54">
        <v>46204</v>
      </c>
      <c r="O1243" s="51" t="str">
        <f t="shared" si="133"/>
        <v/>
      </c>
      <c r="P1243" s="51" t="str">
        <f t="shared" si="134"/>
        <v/>
      </c>
      <c r="Q1243" s="52" t="str">
        <f t="shared" si="135"/>
        <v/>
      </c>
      <c r="R1243" s="52" t="str">
        <f t="shared" si="136"/>
        <v/>
      </c>
      <c r="S1243" s="51" t="str">
        <f t="shared" si="137"/>
        <v/>
      </c>
      <c r="T1243" t="str">
        <f t="shared" si="138"/>
        <v/>
      </c>
      <c r="U1243" s="52" t="str">
        <f t="shared" si="139"/>
        <v/>
      </c>
    </row>
    <row r="1244" spans="2:21" x14ac:dyDescent="0.25">
      <c r="B1244">
        <v>1302</v>
      </c>
      <c r="C1244" t="s">
        <v>238</v>
      </c>
      <c r="D1244" t="s">
        <v>1227</v>
      </c>
      <c r="E1244" t="s">
        <v>1518</v>
      </c>
      <c r="F1244" t="s">
        <v>1523</v>
      </c>
      <c r="G1244">
        <v>10</v>
      </c>
      <c r="H1244" s="48">
        <v>1</v>
      </c>
      <c r="I1244" s="48">
        <v>1</v>
      </c>
      <c r="J1244" s="54">
        <v>46197</v>
      </c>
      <c r="K1244" s="54">
        <v>46202</v>
      </c>
      <c r="L1244" s="54">
        <v>46204</v>
      </c>
      <c r="M1244" s="54">
        <v>46213</v>
      </c>
      <c r="O1244" s="51" t="str">
        <f t="shared" si="133"/>
        <v/>
      </c>
      <c r="P1244" s="51" t="str">
        <f t="shared" si="134"/>
        <v/>
      </c>
      <c r="Q1244" s="52" t="str">
        <f t="shared" si="135"/>
        <v/>
      </c>
      <c r="R1244" s="52" t="str">
        <f t="shared" si="136"/>
        <v/>
      </c>
      <c r="S1244" s="51" t="str">
        <f t="shared" si="137"/>
        <v>SIM</v>
      </c>
      <c r="T1244" t="str">
        <f t="shared" si="138"/>
        <v>BL1132-0001-ME-LEI-2000</v>
      </c>
      <c r="U1244" s="52">
        <f t="shared" si="139"/>
        <v>46213</v>
      </c>
    </row>
    <row r="1245" spans="2:21" x14ac:dyDescent="0.25">
      <c r="B1245">
        <v>1303</v>
      </c>
      <c r="C1245" t="s">
        <v>238</v>
      </c>
      <c r="D1245" t="s">
        <v>1227</v>
      </c>
      <c r="E1245" t="s">
        <v>1520</v>
      </c>
      <c r="F1245" t="s">
        <v>1519</v>
      </c>
      <c r="G1245">
        <v>6</v>
      </c>
      <c r="H1245" s="48">
        <v>1</v>
      </c>
      <c r="I1245" s="48">
        <v>0</v>
      </c>
      <c r="J1245" s="54">
        <v>46202</v>
      </c>
      <c r="K1245" s="54">
        <v>46205</v>
      </c>
      <c r="L1245" s="54">
        <v>46213</v>
      </c>
      <c r="M1245" s="54">
        <v>46218</v>
      </c>
      <c r="O1245" s="51" t="str">
        <f t="shared" si="133"/>
        <v/>
      </c>
      <c r="P1245" s="51" t="str">
        <f t="shared" si="134"/>
        <v/>
      </c>
      <c r="Q1245" s="52" t="str">
        <f t="shared" si="135"/>
        <v/>
      </c>
      <c r="R1245" s="52" t="str">
        <f t="shared" si="136"/>
        <v/>
      </c>
      <c r="S1245" s="51" t="str">
        <f t="shared" si="137"/>
        <v/>
      </c>
      <c r="T1245" t="str">
        <f t="shared" si="138"/>
        <v/>
      </c>
      <c r="U1245" s="52" t="str">
        <f t="shared" si="139"/>
        <v/>
      </c>
    </row>
    <row r="1246" spans="2:21" x14ac:dyDescent="0.25">
      <c r="B1246">
        <v>1304</v>
      </c>
      <c r="C1246" t="s">
        <v>240</v>
      </c>
      <c r="D1246" t="s">
        <v>1231</v>
      </c>
      <c r="E1246" t="s">
        <v>1828</v>
      </c>
      <c r="F1246" t="s">
        <v>1527</v>
      </c>
      <c r="G1246">
        <v>21</v>
      </c>
      <c r="H1246" s="48">
        <v>0</v>
      </c>
      <c r="I1246" s="48">
        <v>0</v>
      </c>
      <c r="J1246" s="54">
        <v>46232</v>
      </c>
      <c r="K1246" s="54">
        <v>46252</v>
      </c>
      <c r="L1246" s="54">
        <v>46248</v>
      </c>
      <c r="M1246" s="54">
        <v>46268</v>
      </c>
      <c r="O1246" s="51" t="str">
        <f t="shared" si="133"/>
        <v/>
      </c>
      <c r="P1246" s="51" t="str">
        <f t="shared" si="134"/>
        <v/>
      </c>
      <c r="Q1246" s="52" t="str">
        <f t="shared" si="135"/>
        <v/>
      </c>
      <c r="R1246" s="52" t="str">
        <f t="shared" si="136"/>
        <v/>
      </c>
      <c r="S1246" s="51" t="str">
        <f t="shared" si="137"/>
        <v/>
      </c>
      <c r="T1246" t="str">
        <f t="shared" si="138"/>
        <v/>
      </c>
      <c r="U1246" s="52" t="str">
        <f t="shared" si="139"/>
        <v/>
      </c>
    </row>
    <row r="1247" spans="2:21" x14ac:dyDescent="0.25">
      <c r="B1247">
        <v>1305</v>
      </c>
      <c r="C1247" t="s">
        <v>240</v>
      </c>
      <c r="D1247" t="s">
        <v>1231</v>
      </c>
      <c r="E1247" t="s">
        <v>1515</v>
      </c>
      <c r="F1247" t="s">
        <v>1528</v>
      </c>
      <c r="G1247">
        <v>8</v>
      </c>
      <c r="H1247" s="48">
        <v>0</v>
      </c>
      <c r="I1247" s="48">
        <v>0</v>
      </c>
      <c r="J1247" s="54">
        <v>46232</v>
      </c>
      <c r="K1247" s="54">
        <v>46239</v>
      </c>
      <c r="L1247" s="54">
        <v>46248</v>
      </c>
      <c r="M1247" s="54">
        <v>46255</v>
      </c>
      <c r="O1247" s="51" t="str">
        <f t="shared" si="133"/>
        <v>SIM</v>
      </c>
      <c r="P1247" s="51" t="str">
        <f t="shared" si="134"/>
        <v>BL1132-0001-ME-MCA-2002</v>
      </c>
      <c r="Q1247" s="52">
        <f t="shared" si="135"/>
        <v>46255</v>
      </c>
      <c r="R1247" s="52">
        <f t="shared" si="136"/>
        <v>46239</v>
      </c>
      <c r="S1247" s="51" t="str">
        <f t="shared" si="137"/>
        <v/>
      </c>
      <c r="T1247" t="str">
        <f t="shared" si="138"/>
        <v/>
      </c>
      <c r="U1247" s="52" t="str">
        <f t="shared" si="139"/>
        <v/>
      </c>
    </row>
    <row r="1248" spans="2:21" x14ac:dyDescent="0.25">
      <c r="B1248">
        <v>1306</v>
      </c>
      <c r="C1248" t="s">
        <v>240</v>
      </c>
      <c r="D1248" t="s">
        <v>1231</v>
      </c>
      <c r="E1248" t="s">
        <v>1517</v>
      </c>
      <c r="F1248" t="s">
        <v>1519</v>
      </c>
      <c r="G1248">
        <v>6</v>
      </c>
      <c r="H1248" s="48">
        <v>0</v>
      </c>
      <c r="I1248" s="48">
        <v>0</v>
      </c>
      <c r="J1248" s="54">
        <v>46239</v>
      </c>
      <c r="K1248" s="54">
        <v>46244</v>
      </c>
      <c r="L1248" s="54">
        <v>46255</v>
      </c>
      <c r="M1248" s="54">
        <v>46260</v>
      </c>
      <c r="O1248" s="51" t="str">
        <f t="shared" si="133"/>
        <v/>
      </c>
      <c r="P1248" s="51" t="str">
        <f t="shared" si="134"/>
        <v/>
      </c>
      <c r="Q1248" s="52" t="str">
        <f t="shared" si="135"/>
        <v/>
      </c>
      <c r="R1248" s="52" t="str">
        <f t="shared" si="136"/>
        <v/>
      </c>
      <c r="S1248" s="51" t="str">
        <f t="shared" si="137"/>
        <v/>
      </c>
      <c r="T1248" t="str">
        <f t="shared" si="138"/>
        <v/>
      </c>
      <c r="U1248" s="52" t="str">
        <f t="shared" si="139"/>
        <v/>
      </c>
    </row>
    <row r="1249" spans="2:21" x14ac:dyDescent="0.25">
      <c r="B1249">
        <v>1307</v>
      </c>
      <c r="C1249" t="s">
        <v>240</v>
      </c>
      <c r="D1249" t="s">
        <v>1231</v>
      </c>
      <c r="E1249" t="s">
        <v>1518</v>
      </c>
      <c r="F1249" t="s">
        <v>1519</v>
      </c>
      <c r="G1249">
        <v>6</v>
      </c>
      <c r="H1249" s="48">
        <v>0</v>
      </c>
      <c r="I1249" s="48">
        <v>0</v>
      </c>
      <c r="J1249" s="54">
        <v>46244</v>
      </c>
      <c r="K1249" s="54">
        <v>46247</v>
      </c>
      <c r="L1249" s="54">
        <v>46260</v>
      </c>
      <c r="M1249" s="54">
        <v>46265</v>
      </c>
      <c r="O1249" s="51" t="str">
        <f t="shared" si="133"/>
        <v/>
      </c>
      <c r="P1249" s="51" t="str">
        <f t="shared" si="134"/>
        <v/>
      </c>
      <c r="Q1249" s="52" t="str">
        <f t="shared" si="135"/>
        <v/>
      </c>
      <c r="R1249" s="52" t="str">
        <f t="shared" si="136"/>
        <v/>
      </c>
      <c r="S1249" s="51" t="str">
        <f t="shared" si="137"/>
        <v>SIM</v>
      </c>
      <c r="T1249" t="str">
        <f t="shared" si="138"/>
        <v>BL1132-0001-ME-MCA-2002</v>
      </c>
      <c r="U1249" s="52">
        <f t="shared" si="139"/>
        <v>46265</v>
      </c>
    </row>
    <row r="1250" spans="2:21" x14ac:dyDescent="0.25">
      <c r="B1250">
        <v>1308</v>
      </c>
      <c r="C1250" t="s">
        <v>240</v>
      </c>
      <c r="D1250" t="s">
        <v>1231</v>
      </c>
      <c r="E1250" t="s">
        <v>1520</v>
      </c>
      <c r="F1250" t="s">
        <v>1519</v>
      </c>
      <c r="G1250">
        <v>4</v>
      </c>
      <c r="H1250" s="48">
        <v>0</v>
      </c>
      <c r="I1250" s="48">
        <v>0</v>
      </c>
      <c r="J1250" s="54">
        <v>46247</v>
      </c>
      <c r="K1250" s="54">
        <v>46252</v>
      </c>
      <c r="L1250" s="54">
        <v>46265</v>
      </c>
      <c r="M1250" s="54">
        <v>46268</v>
      </c>
      <c r="O1250" s="51" t="str">
        <f t="shared" si="133"/>
        <v/>
      </c>
      <c r="P1250" s="51" t="str">
        <f t="shared" si="134"/>
        <v/>
      </c>
      <c r="Q1250" s="52" t="str">
        <f t="shared" si="135"/>
        <v/>
      </c>
      <c r="R1250" s="52" t="str">
        <f t="shared" si="136"/>
        <v/>
      </c>
      <c r="S1250" s="51" t="str">
        <f t="shared" si="137"/>
        <v/>
      </c>
      <c r="T1250" t="str">
        <f t="shared" si="138"/>
        <v/>
      </c>
      <c r="U1250" s="52" t="str">
        <f t="shared" si="139"/>
        <v/>
      </c>
    </row>
    <row r="1251" spans="2:21" x14ac:dyDescent="0.25">
      <c r="B1251">
        <v>1309</v>
      </c>
      <c r="C1251" t="s">
        <v>241</v>
      </c>
      <c r="D1251" t="s">
        <v>1235</v>
      </c>
      <c r="E1251" t="s">
        <v>1829</v>
      </c>
      <c r="F1251" t="s">
        <v>1527</v>
      </c>
      <c r="G1251">
        <v>21</v>
      </c>
      <c r="H1251" s="48">
        <v>0</v>
      </c>
      <c r="I1251" s="48">
        <v>0.69330000000000003</v>
      </c>
      <c r="J1251" s="54">
        <v>46239</v>
      </c>
      <c r="K1251" s="54">
        <v>46259</v>
      </c>
      <c r="L1251" s="54">
        <v>46205</v>
      </c>
      <c r="M1251" s="54">
        <v>46225</v>
      </c>
      <c r="O1251" s="51" t="str">
        <f t="shared" si="133"/>
        <v/>
      </c>
      <c r="P1251" s="51" t="str">
        <f t="shared" si="134"/>
        <v/>
      </c>
      <c r="Q1251" s="52" t="str">
        <f t="shared" si="135"/>
        <v/>
      </c>
      <c r="R1251" s="52" t="str">
        <f t="shared" si="136"/>
        <v/>
      </c>
      <c r="S1251" s="51" t="str">
        <f t="shared" si="137"/>
        <v/>
      </c>
      <c r="T1251" t="str">
        <f t="shared" si="138"/>
        <v/>
      </c>
      <c r="U1251" s="52" t="str">
        <f t="shared" si="139"/>
        <v/>
      </c>
    </row>
    <row r="1252" spans="2:21" x14ac:dyDescent="0.25">
      <c r="B1252">
        <v>1310</v>
      </c>
      <c r="C1252" t="s">
        <v>241</v>
      </c>
      <c r="D1252" t="s">
        <v>1235</v>
      </c>
      <c r="E1252" t="s">
        <v>1515</v>
      </c>
      <c r="F1252" t="s">
        <v>1528</v>
      </c>
      <c r="G1252">
        <v>8</v>
      </c>
      <c r="H1252" s="48">
        <v>0</v>
      </c>
      <c r="I1252" s="48">
        <v>1</v>
      </c>
      <c r="J1252" s="54">
        <v>46239</v>
      </c>
      <c r="K1252" s="54">
        <v>46246</v>
      </c>
      <c r="L1252" s="54">
        <v>46205</v>
      </c>
      <c r="M1252" s="54">
        <v>46212</v>
      </c>
      <c r="O1252" s="51" t="str">
        <f t="shared" si="133"/>
        <v>SIM</v>
      </c>
      <c r="P1252" s="51" t="str">
        <f t="shared" si="134"/>
        <v>BL1132-0001-ME-MCA-2003</v>
      </c>
      <c r="Q1252" s="52">
        <f t="shared" si="135"/>
        <v>46212</v>
      </c>
      <c r="R1252" s="52">
        <f t="shared" si="136"/>
        <v>46246</v>
      </c>
      <c r="S1252" s="51" t="str">
        <f t="shared" si="137"/>
        <v/>
      </c>
      <c r="T1252" t="str">
        <f t="shared" si="138"/>
        <v/>
      </c>
      <c r="U1252" s="52" t="str">
        <f t="shared" si="139"/>
        <v/>
      </c>
    </row>
    <row r="1253" spans="2:21" x14ac:dyDescent="0.25">
      <c r="B1253">
        <v>1311</v>
      </c>
      <c r="C1253" t="s">
        <v>241</v>
      </c>
      <c r="D1253" t="s">
        <v>1235</v>
      </c>
      <c r="E1253" t="s">
        <v>1517</v>
      </c>
      <c r="F1253" t="s">
        <v>1519</v>
      </c>
      <c r="G1253">
        <v>6</v>
      </c>
      <c r="H1253" s="48">
        <v>0</v>
      </c>
      <c r="I1253" s="48">
        <v>0</v>
      </c>
      <c r="J1253" s="54">
        <v>46246</v>
      </c>
      <c r="K1253" s="54">
        <v>46251</v>
      </c>
      <c r="L1253" s="54">
        <v>46212</v>
      </c>
      <c r="M1253" s="54">
        <v>46217</v>
      </c>
      <c r="O1253" s="51" t="str">
        <f t="shared" si="133"/>
        <v/>
      </c>
      <c r="P1253" s="51" t="str">
        <f t="shared" si="134"/>
        <v/>
      </c>
      <c r="Q1253" s="52" t="str">
        <f t="shared" si="135"/>
        <v/>
      </c>
      <c r="R1253" s="52" t="str">
        <f t="shared" si="136"/>
        <v/>
      </c>
      <c r="S1253" s="51" t="str">
        <f t="shared" si="137"/>
        <v/>
      </c>
      <c r="T1253" t="str">
        <f t="shared" si="138"/>
        <v/>
      </c>
      <c r="U1253" s="52" t="str">
        <f t="shared" si="139"/>
        <v/>
      </c>
    </row>
    <row r="1254" spans="2:21" x14ac:dyDescent="0.25">
      <c r="B1254">
        <v>1312</v>
      </c>
      <c r="C1254" t="s">
        <v>241</v>
      </c>
      <c r="D1254" t="s">
        <v>1235</v>
      </c>
      <c r="E1254" t="s">
        <v>1518</v>
      </c>
      <c r="F1254" t="s">
        <v>1519</v>
      </c>
      <c r="G1254">
        <v>4</v>
      </c>
      <c r="H1254" s="48">
        <v>0</v>
      </c>
      <c r="I1254" s="48">
        <v>0</v>
      </c>
      <c r="J1254" s="54">
        <v>46251</v>
      </c>
      <c r="K1254" s="54">
        <v>46254</v>
      </c>
      <c r="L1254" s="54">
        <v>46217</v>
      </c>
      <c r="M1254" s="54">
        <v>46220</v>
      </c>
      <c r="O1254" s="51" t="str">
        <f t="shared" si="133"/>
        <v/>
      </c>
      <c r="P1254" s="51" t="str">
        <f t="shared" si="134"/>
        <v/>
      </c>
      <c r="Q1254" s="52" t="str">
        <f t="shared" si="135"/>
        <v/>
      </c>
      <c r="R1254" s="52" t="str">
        <f t="shared" si="136"/>
        <v/>
      </c>
      <c r="S1254" s="51" t="str">
        <f t="shared" si="137"/>
        <v>SIM</v>
      </c>
      <c r="T1254" t="str">
        <f t="shared" si="138"/>
        <v>BL1132-0001-ME-MCA-2003</v>
      </c>
      <c r="U1254" s="52">
        <f t="shared" si="139"/>
        <v>46220</v>
      </c>
    </row>
    <row r="1255" spans="2:21" x14ac:dyDescent="0.25">
      <c r="B1255">
        <v>1313</v>
      </c>
      <c r="C1255" t="s">
        <v>241</v>
      </c>
      <c r="D1255" t="s">
        <v>1235</v>
      </c>
      <c r="E1255" t="s">
        <v>1520</v>
      </c>
      <c r="F1255" t="s">
        <v>1519</v>
      </c>
      <c r="G1255">
        <v>6</v>
      </c>
      <c r="H1255" s="48">
        <v>0</v>
      </c>
      <c r="I1255" s="48">
        <v>0</v>
      </c>
      <c r="J1255" s="54">
        <v>46254</v>
      </c>
      <c r="K1255" s="54">
        <v>46259</v>
      </c>
      <c r="L1255" s="54">
        <v>46220</v>
      </c>
      <c r="M1255" s="54">
        <v>46225</v>
      </c>
      <c r="O1255" s="51" t="str">
        <f t="shared" si="133"/>
        <v/>
      </c>
      <c r="P1255" s="51" t="str">
        <f t="shared" si="134"/>
        <v/>
      </c>
      <c r="Q1255" s="52" t="str">
        <f t="shared" si="135"/>
        <v/>
      </c>
      <c r="R1255" s="52" t="str">
        <f t="shared" si="136"/>
        <v/>
      </c>
      <c r="S1255" s="51" t="str">
        <f t="shared" si="137"/>
        <v/>
      </c>
      <c r="T1255" t="str">
        <f t="shared" si="138"/>
        <v/>
      </c>
      <c r="U1255" s="52" t="str">
        <f t="shared" si="139"/>
        <v/>
      </c>
    </row>
    <row r="1256" spans="2:21" x14ac:dyDescent="0.25">
      <c r="B1256">
        <v>1314</v>
      </c>
      <c r="C1256" t="s">
        <v>251</v>
      </c>
      <c r="D1256" t="s">
        <v>1265</v>
      </c>
      <c r="E1256" t="s">
        <v>1830</v>
      </c>
      <c r="F1256" t="s">
        <v>1594</v>
      </c>
      <c r="G1256">
        <v>12</v>
      </c>
      <c r="H1256" s="48">
        <v>0</v>
      </c>
      <c r="I1256" s="48">
        <v>0.8</v>
      </c>
      <c r="J1256" s="54">
        <v>46246</v>
      </c>
      <c r="K1256" s="54">
        <v>46266</v>
      </c>
      <c r="L1256" s="54">
        <v>46209</v>
      </c>
      <c r="M1256" s="54">
        <v>46220</v>
      </c>
      <c r="O1256" s="51" t="str">
        <f t="shared" si="133"/>
        <v/>
      </c>
      <c r="P1256" s="51" t="str">
        <f t="shared" si="134"/>
        <v/>
      </c>
      <c r="Q1256" s="52" t="str">
        <f t="shared" si="135"/>
        <v/>
      </c>
      <c r="R1256" s="52" t="str">
        <f t="shared" si="136"/>
        <v/>
      </c>
      <c r="S1256" s="51" t="str">
        <f t="shared" si="137"/>
        <v/>
      </c>
      <c r="T1256" t="str">
        <f t="shared" si="138"/>
        <v/>
      </c>
      <c r="U1256" s="52" t="str">
        <f t="shared" si="139"/>
        <v/>
      </c>
    </row>
    <row r="1257" spans="2:21" x14ac:dyDescent="0.25">
      <c r="B1257">
        <v>1315</v>
      </c>
      <c r="C1257" t="s">
        <v>251</v>
      </c>
      <c r="D1257" t="s">
        <v>1265</v>
      </c>
      <c r="E1257" t="s">
        <v>1515</v>
      </c>
      <c r="F1257" t="s">
        <v>1642</v>
      </c>
      <c r="G1257">
        <v>3</v>
      </c>
      <c r="H1257" s="48">
        <v>0</v>
      </c>
      <c r="I1257" s="48">
        <v>1</v>
      </c>
      <c r="J1257" s="54">
        <v>46246</v>
      </c>
      <c r="K1257" s="54">
        <v>46253</v>
      </c>
      <c r="L1257" s="54">
        <v>46209</v>
      </c>
      <c r="M1257" s="54">
        <v>46211</v>
      </c>
      <c r="O1257" s="51" t="str">
        <f t="shared" si="133"/>
        <v>SIM</v>
      </c>
      <c r="P1257" s="51" t="str">
        <f t="shared" si="134"/>
        <v>BL1132-0001-ME-PBC-2007</v>
      </c>
      <c r="Q1257" s="52">
        <f t="shared" si="135"/>
        <v>46211</v>
      </c>
      <c r="R1257" s="52">
        <f t="shared" si="136"/>
        <v>46253</v>
      </c>
      <c r="S1257" s="51" t="str">
        <f t="shared" si="137"/>
        <v/>
      </c>
      <c r="T1257" t="str">
        <f t="shared" si="138"/>
        <v/>
      </c>
      <c r="U1257" s="52" t="str">
        <f t="shared" si="139"/>
        <v/>
      </c>
    </row>
    <row r="1258" spans="2:21" x14ac:dyDescent="0.25">
      <c r="B1258">
        <v>1316</v>
      </c>
      <c r="C1258" t="s">
        <v>251</v>
      </c>
      <c r="D1258" t="s">
        <v>1265</v>
      </c>
      <c r="E1258" t="s">
        <v>1517</v>
      </c>
      <c r="F1258" t="s">
        <v>1692</v>
      </c>
      <c r="G1258">
        <v>2</v>
      </c>
      <c r="H1258" s="48">
        <v>0</v>
      </c>
      <c r="I1258" s="48">
        <v>1</v>
      </c>
      <c r="J1258" s="54">
        <v>46253</v>
      </c>
      <c r="K1258" s="54">
        <v>46258</v>
      </c>
      <c r="L1258" s="54">
        <v>46211</v>
      </c>
      <c r="M1258" s="54">
        <v>46212</v>
      </c>
      <c r="O1258" s="51" t="str">
        <f t="shared" si="133"/>
        <v/>
      </c>
      <c r="P1258" s="51" t="str">
        <f t="shared" si="134"/>
        <v/>
      </c>
      <c r="Q1258" s="52" t="str">
        <f t="shared" si="135"/>
        <v/>
      </c>
      <c r="R1258" s="52" t="str">
        <f t="shared" si="136"/>
        <v/>
      </c>
      <c r="S1258" s="51" t="str">
        <f t="shared" si="137"/>
        <v/>
      </c>
      <c r="T1258" t="str">
        <f t="shared" si="138"/>
        <v/>
      </c>
      <c r="U1258" s="52" t="str">
        <f t="shared" si="139"/>
        <v/>
      </c>
    </row>
    <row r="1259" spans="2:21" x14ac:dyDescent="0.25">
      <c r="B1259">
        <v>1317</v>
      </c>
      <c r="C1259" t="s">
        <v>251</v>
      </c>
      <c r="D1259" t="s">
        <v>1265</v>
      </c>
      <c r="E1259" t="s">
        <v>1518</v>
      </c>
      <c r="F1259" t="s">
        <v>1519</v>
      </c>
      <c r="G1259">
        <v>6</v>
      </c>
      <c r="H1259" s="48">
        <v>0</v>
      </c>
      <c r="I1259" s="48">
        <v>0</v>
      </c>
      <c r="J1259" s="54">
        <v>46258</v>
      </c>
      <c r="K1259" s="54">
        <v>46261</v>
      </c>
      <c r="L1259" s="54">
        <v>46212</v>
      </c>
      <c r="M1259" s="54">
        <v>46217</v>
      </c>
      <c r="O1259" s="51" t="str">
        <f t="shared" si="133"/>
        <v/>
      </c>
      <c r="P1259" s="51" t="str">
        <f t="shared" si="134"/>
        <v/>
      </c>
      <c r="Q1259" s="52" t="str">
        <f t="shared" si="135"/>
        <v/>
      </c>
      <c r="R1259" s="52" t="str">
        <f t="shared" si="136"/>
        <v/>
      </c>
      <c r="S1259" s="51" t="str">
        <f t="shared" si="137"/>
        <v>SIM</v>
      </c>
      <c r="T1259" t="str">
        <f t="shared" si="138"/>
        <v>BL1132-0001-ME-PBC-2007</v>
      </c>
      <c r="U1259" s="52">
        <f t="shared" si="139"/>
        <v>46217</v>
      </c>
    </row>
    <row r="1260" spans="2:21" x14ac:dyDescent="0.25">
      <c r="B1260">
        <v>1318</v>
      </c>
      <c r="C1260" t="s">
        <v>251</v>
      </c>
      <c r="D1260" t="s">
        <v>1265</v>
      </c>
      <c r="E1260" t="s">
        <v>1520</v>
      </c>
      <c r="F1260" t="s">
        <v>1519</v>
      </c>
      <c r="G1260">
        <v>4</v>
      </c>
      <c r="H1260" s="48">
        <v>0</v>
      </c>
      <c r="I1260" s="48">
        <v>0</v>
      </c>
      <c r="J1260" s="54">
        <v>46261</v>
      </c>
      <c r="K1260" s="54">
        <v>46266</v>
      </c>
      <c r="L1260" s="54">
        <v>46217</v>
      </c>
      <c r="M1260" s="54">
        <v>46220</v>
      </c>
      <c r="O1260" s="51" t="str">
        <f t="shared" si="133"/>
        <v/>
      </c>
      <c r="P1260" s="51" t="str">
        <f t="shared" si="134"/>
        <v/>
      </c>
      <c r="Q1260" s="52" t="str">
        <f t="shared" si="135"/>
        <v/>
      </c>
      <c r="R1260" s="52" t="str">
        <f t="shared" si="136"/>
        <v/>
      </c>
      <c r="S1260" s="51" t="str">
        <f t="shared" si="137"/>
        <v/>
      </c>
      <c r="T1260" t="str">
        <f t="shared" si="138"/>
        <v/>
      </c>
      <c r="U1260" s="52" t="str">
        <f t="shared" si="139"/>
        <v/>
      </c>
    </row>
    <row r="1261" spans="2:21" x14ac:dyDescent="0.25">
      <c r="B1261">
        <v>1319</v>
      </c>
      <c r="C1261" t="s">
        <v>225</v>
      </c>
      <c r="D1261" t="s">
        <v>1173</v>
      </c>
      <c r="E1261" t="s">
        <v>1831</v>
      </c>
      <c r="F1261" t="s">
        <v>1535</v>
      </c>
      <c r="G1261">
        <v>20</v>
      </c>
      <c r="H1261" s="48">
        <v>0</v>
      </c>
      <c r="I1261" s="48">
        <v>0.8</v>
      </c>
      <c r="J1261" s="54">
        <v>46253</v>
      </c>
      <c r="K1261" s="54">
        <v>46274</v>
      </c>
      <c r="L1261" s="54">
        <v>46204</v>
      </c>
      <c r="M1261" s="54">
        <v>46223</v>
      </c>
      <c r="O1261" s="51" t="str">
        <f t="shared" si="133"/>
        <v/>
      </c>
      <c r="P1261" s="51" t="str">
        <f t="shared" si="134"/>
        <v/>
      </c>
      <c r="Q1261" s="52" t="str">
        <f t="shared" si="135"/>
        <v/>
      </c>
      <c r="R1261" s="52" t="str">
        <f t="shared" si="136"/>
        <v/>
      </c>
      <c r="S1261" s="51" t="str">
        <f t="shared" si="137"/>
        <v/>
      </c>
      <c r="T1261" t="str">
        <f t="shared" si="138"/>
        <v/>
      </c>
      <c r="U1261" s="52" t="str">
        <f t="shared" si="139"/>
        <v/>
      </c>
    </row>
    <row r="1262" spans="2:21" x14ac:dyDescent="0.25">
      <c r="B1262">
        <v>1320</v>
      </c>
      <c r="C1262" t="s">
        <v>225</v>
      </c>
      <c r="D1262" t="s">
        <v>1173</v>
      </c>
      <c r="E1262" t="s">
        <v>1515</v>
      </c>
      <c r="F1262" t="s">
        <v>1528</v>
      </c>
      <c r="G1262">
        <v>8</v>
      </c>
      <c r="H1262" s="48">
        <v>0</v>
      </c>
      <c r="I1262" s="48">
        <v>1</v>
      </c>
      <c r="J1262" s="54">
        <v>46253</v>
      </c>
      <c r="K1262" s="54">
        <v>46260</v>
      </c>
      <c r="L1262" s="54">
        <v>46204</v>
      </c>
      <c r="M1262" s="54">
        <v>46211</v>
      </c>
      <c r="O1262" s="51" t="str">
        <f t="shared" si="133"/>
        <v>SIM</v>
      </c>
      <c r="P1262" s="51" t="str">
        <f t="shared" si="134"/>
        <v>BL1132-0001-ME-ARJ-2000</v>
      </c>
      <c r="Q1262" s="52">
        <f t="shared" si="135"/>
        <v>46211</v>
      </c>
      <c r="R1262" s="52">
        <f t="shared" si="136"/>
        <v>46260</v>
      </c>
      <c r="S1262" s="51" t="str">
        <f t="shared" si="137"/>
        <v/>
      </c>
      <c r="T1262" t="str">
        <f t="shared" si="138"/>
        <v/>
      </c>
      <c r="U1262" s="52" t="str">
        <f t="shared" si="139"/>
        <v/>
      </c>
    </row>
    <row r="1263" spans="2:21" x14ac:dyDescent="0.25">
      <c r="B1263">
        <v>1321</v>
      </c>
      <c r="C1263" t="s">
        <v>225</v>
      </c>
      <c r="D1263" t="s">
        <v>1173</v>
      </c>
      <c r="E1263" t="s">
        <v>1517</v>
      </c>
      <c r="F1263" t="s">
        <v>1642</v>
      </c>
      <c r="G1263">
        <v>3</v>
      </c>
      <c r="H1263" s="48">
        <v>0</v>
      </c>
      <c r="I1263" s="48">
        <v>1</v>
      </c>
      <c r="J1263" s="54">
        <v>46260</v>
      </c>
      <c r="K1263" s="54">
        <v>46265</v>
      </c>
      <c r="L1263" s="54">
        <v>46211</v>
      </c>
      <c r="M1263" s="54">
        <v>46213</v>
      </c>
      <c r="O1263" s="51" t="str">
        <f t="shared" si="133"/>
        <v/>
      </c>
      <c r="P1263" s="51" t="str">
        <f t="shared" si="134"/>
        <v/>
      </c>
      <c r="Q1263" s="52" t="str">
        <f t="shared" si="135"/>
        <v/>
      </c>
      <c r="R1263" s="52" t="str">
        <f t="shared" si="136"/>
        <v/>
      </c>
      <c r="S1263" s="51" t="str">
        <f t="shared" si="137"/>
        <v/>
      </c>
      <c r="T1263" t="str">
        <f t="shared" si="138"/>
        <v/>
      </c>
      <c r="U1263" s="52" t="str">
        <f t="shared" si="139"/>
        <v/>
      </c>
    </row>
    <row r="1264" spans="2:21" x14ac:dyDescent="0.25">
      <c r="B1264">
        <v>1322</v>
      </c>
      <c r="C1264" t="s">
        <v>225</v>
      </c>
      <c r="D1264" t="s">
        <v>1173</v>
      </c>
      <c r="E1264" t="s">
        <v>1518</v>
      </c>
      <c r="F1264" t="s">
        <v>1519</v>
      </c>
      <c r="G1264">
        <v>6</v>
      </c>
      <c r="H1264" s="48">
        <v>0</v>
      </c>
      <c r="I1264" s="48">
        <v>0</v>
      </c>
      <c r="J1264" s="54">
        <v>46265</v>
      </c>
      <c r="K1264" s="54">
        <v>46268</v>
      </c>
      <c r="L1264" s="54">
        <v>46213</v>
      </c>
      <c r="M1264" s="54">
        <v>46218</v>
      </c>
      <c r="O1264" s="51" t="str">
        <f t="shared" si="133"/>
        <v/>
      </c>
      <c r="P1264" s="51" t="str">
        <f t="shared" si="134"/>
        <v/>
      </c>
      <c r="Q1264" s="52" t="str">
        <f t="shared" si="135"/>
        <v/>
      </c>
      <c r="R1264" s="52" t="str">
        <f t="shared" si="136"/>
        <v/>
      </c>
      <c r="S1264" s="51" t="str">
        <f t="shared" si="137"/>
        <v>SIM</v>
      </c>
      <c r="T1264" t="str">
        <f t="shared" si="138"/>
        <v>BL1132-0001-ME-ARJ-2000</v>
      </c>
      <c r="U1264" s="52">
        <f t="shared" si="139"/>
        <v>46218</v>
      </c>
    </row>
    <row r="1265" spans="2:21" x14ac:dyDescent="0.25">
      <c r="B1265">
        <v>1323</v>
      </c>
      <c r="C1265" t="s">
        <v>225</v>
      </c>
      <c r="D1265" t="s">
        <v>1173</v>
      </c>
      <c r="E1265" t="s">
        <v>1520</v>
      </c>
      <c r="F1265" t="s">
        <v>1519</v>
      </c>
      <c r="G1265">
        <v>6</v>
      </c>
      <c r="H1265" s="48">
        <v>0</v>
      </c>
      <c r="I1265" s="48">
        <v>0</v>
      </c>
      <c r="J1265" s="54">
        <v>46268</v>
      </c>
      <c r="K1265" s="54">
        <v>46274</v>
      </c>
      <c r="L1265" s="54">
        <v>46218</v>
      </c>
      <c r="M1265" s="54">
        <v>46223</v>
      </c>
      <c r="O1265" s="51" t="str">
        <f t="shared" si="133"/>
        <v/>
      </c>
      <c r="P1265" s="51" t="str">
        <f t="shared" si="134"/>
        <v/>
      </c>
      <c r="Q1265" s="52" t="str">
        <f t="shared" si="135"/>
        <v/>
      </c>
      <c r="R1265" s="52" t="str">
        <f t="shared" si="136"/>
        <v/>
      </c>
      <c r="S1265" s="51" t="str">
        <f t="shared" si="137"/>
        <v/>
      </c>
      <c r="T1265" t="str">
        <f t="shared" si="138"/>
        <v/>
      </c>
      <c r="U1265" s="52" t="str">
        <f t="shared" si="139"/>
        <v/>
      </c>
    </row>
    <row r="1266" spans="2:21" x14ac:dyDescent="0.25">
      <c r="B1266">
        <v>1324</v>
      </c>
      <c r="C1266" t="s">
        <v>232</v>
      </c>
      <c r="D1266" t="s">
        <v>1204</v>
      </c>
      <c r="E1266" t="s">
        <v>1832</v>
      </c>
      <c r="F1266" t="s">
        <v>1559</v>
      </c>
      <c r="G1266">
        <v>17</v>
      </c>
      <c r="H1266" s="48">
        <v>0</v>
      </c>
      <c r="I1266" s="48">
        <v>0.69330000000000003</v>
      </c>
      <c r="J1266" s="54">
        <v>46260</v>
      </c>
      <c r="K1266" s="54">
        <v>46279</v>
      </c>
      <c r="L1266" s="54">
        <v>46210</v>
      </c>
      <c r="M1266" s="54">
        <v>46226</v>
      </c>
      <c r="O1266" s="51" t="str">
        <f t="shared" si="133"/>
        <v/>
      </c>
      <c r="P1266" s="51" t="str">
        <f t="shared" si="134"/>
        <v/>
      </c>
      <c r="Q1266" s="52" t="str">
        <f t="shared" si="135"/>
        <v/>
      </c>
      <c r="R1266" s="52" t="str">
        <f t="shared" si="136"/>
        <v/>
      </c>
      <c r="S1266" s="51" t="str">
        <f t="shared" si="137"/>
        <v/>
      </c>
      <c r="T1266" t="str">
        <f t="shared" si="138"/>
        <v/>
      </c>
      <c r="U1266" s="52" t="str">
        <f t="shared" si="139"/>
        <v/>
      </c>
    </row>
    <row r="1267" spans="2:21" x14ac:dyDescent="0.25">
      <c r="B1267">
        <v>1325</v>
      </c>
      <c r="C1267" t="s">
        <v>232</v>
      </c>
      <c r="D1267" t="s">
        <v>1204</v>
      </c>
      <c r="E1267" t="s">
        <v>1515</v>
      </c>
      <c r="F1267" t="s">
        <v>1519</v>
      </c>
      <c r="G1267">
        <v>4</v>
      </c>
      <c r="H1267" s="48">
        <v>0</v>
      </c>
      <c r="I1267" s="48">
        <v>1</v>
      </c>
      <c r="J1267" s="54">
        <v>46260</v>
      </c>
      <c r="K1267" s="54">
        <v>46265</v>
      </c>
      <c r="L1267" s="54">
        <v>46210</v>
      </c>
      <c r="M1267" s="54">
        <v>46213</v>
      </c>
      <c r="O1267" s="51" t="str">
        <f t="shared" si="133"/>
        <v>SIM</v>
      </c>
      <c r="P1267" s="51" t="str">
        <f t="shared" si="134"/>
        <v>BL1132-0001-ME-FDA-2000</v>
      </c>
      <c r="Q1267" s="52">
        <f t="shared" si="135"/>
        <v>46213</v>
      </c>
      <c r="R1267" s="52">
        <f t="shared" si="136"/>
        <v>46265</v>
      </c>
      <c r="S1267" s="51" t="str">
        <f t="shared" si="137"/>
        <v/>
      </c>
      <c r="T1267" t="str">
        <f t="shared" si="138"/>
        <v/>
      </c>
      <c r="U1267" s="52" t="str">
        <f t="shared" si="139"/>
        <v/>
      </c>
    </row>
    <row r="1268" spans="2:21" x14ac:dyDescent="0.25">
      <c r="B1268">
        <v>1326</v>
      </c>
      <c r="C1268" t="s">
        <v>232</v>
      </c>
      <c r="D1268" t="s">
        <v>1204</v>
      </c>
      <c r="E1268" t="s">
        <v>1517</v>
      </c>
      <c r="F1268" t="s">
        <v>1519</v>
      </c>
      <c r="G1268">
        <v>6</v>
      </c>
      <c r="H1268" s="48">
        <v>0</v>
      </c>
      <c r="I1268" s="48">
        <v>0</v>
      </c>
      <c r="J1268" s="54">
        <v>46265</v>
      </c>
      <c r="K1268" s="54">
        <v>46268</v>
      </c>
      <c r="L1268" s="54">
        <v>46213</v>
      </c>
      <c r="M1268" s="54">
        <v>46218</v>
      </c>
      <c r="O1268" s="51" t="str">
        <f t="shared" si="133"/>
        <v/>
      </c>
      <c r="P1268" s="51" t="str">
        <f t="shared" si="134"/>
        <v/>
      </c>
      <c r="Q1268" s="52" t="str">
        <f t="shared" si="135"/>
        <v/>
      </c>
      <c r="R1268" s="52" t="str">
        <f t="shared" si="136"/>
        <v/>
      </c>
      <c r="S1268" s="51" t="str">
        <f t="shared" si="137"/>
        <v/>
      </c>
      <c r="T1268" t="str">
        <f t="shared" si="138"/>
        <v/>
      </c>
      <c r="U1268" s="52" t="str">
        <f t="shared" si="139"/>
        <v/>
      </c>
    </row>
    <row r="1269" spans="2:21" x14ac:dyDescent="0.25">
      <c r="B1269">
        <v>1327</v>
      </c>
      <c r="C1269" t="s">
        <v>232</v>
      </c>
      <c r="D1269" t="s">
        <v>1204</v>
      </c>
      <c r="E1269" t="s">
        <v>1518</v>
      </c>
      <c r="F1269" t="s">
        <v>1519</v>
      </c>
      <c r="G1269">
        <v>6</v>
      </c>
      <c r="H1269" s="48">
        <v>0</v>
      </c>
      <c r="I1269" s="48">
        <v>0</v>
      </c>
      <c r="J1269" s="54">
        <v>46268</v>
      </c>
      <c r="K1269" s="54">
        <v>46274</v>
      </c>
      <c r="L1269" s="54">
        <v>46218</v>
      </c>
      <c r="M1269" s="54">
        <v>46223</v>
      </c>
      <c r="O1269" s="51" t="str">
        <f t="shared" si="133"/>
        <v/>
      </c>
      <c r="P1269" s="51" t="str">
        <f t="shared" si="134"/>
        <v/>
      </c>
      <c r="Q1269" s="52" t="str">
        <f t="shared" si="135"/>
        <v/>
      </c>
      <c r="R1269" s="52" t="str">
        <f t="shared" si="136"/>
        <v/>
      </c>
      <c r="S1269" s="51" t="str">
        <f t="shared" si="137"/>
        <v>SIM</v>
      </c>
      <c r="T1269" t="str">
        <f t="shared" si="138"/>
        <v>BL1132-0001-ME-FDA-2000</v>
      </c>
      <c r="U1269" s="52">
        <f t="shared" si="139"/>
        <v>46223</v>
      </c>
    </row>
    <row r="1270" spans="2:21" x14ac:dyDescent="0.25">
      <c r="B1270">
        <v>1328</v>
      </c>
      <c r="C1270" t="s">
        <v>232</v>
      </c>
      <c r="D1270" t="s">
        <v>1204</v>
      </c>
      <c r="E1270" t="s">
        <v>1520</v>
      </c>
      <c r="F1270" t="s">
        <v>1519</v>
      </c>
      <c r="G1270">
        <v>4</v>
      </c>
      <c r="H1270" s="48">
        <v>0</v>
      </c>
      <c r="I1270" s="48">
        <v>0</v>
      </c>
      <c r="J1270" s="54">
        <v>46274</v>
      </c>
      <c r="K1270" s="54">
        <v>46279</v>
      </c>
      <c r="L1270" s="54">
        <v>46223</v>
      </c>
      <c r="M1270" s="54">
        <v>46226</v>
      </c>
      <c r="O1270" s="51" t="str">
        <f t="shared" si="133"/>
        <v/>
      </c>
      <c r="P1270" s="51" t="str">
        <f t="shared" si="134"/>
        <v/>
      </c>
      <c r="Q1270" s="52" t="str">
        <f t="shared" si="135"/>
        <v/>
      </c>
      <c r="R1270" s="52" t="str">
        <f t="shared" si="136"/>
        <v/>
      </c>
      <c r="S1270" s="51" t="str">
        <f t="shared" si="137"/>
        <v/>
      </c>
      <c r="T1270" t="str">
        <f t="shared" si="138"/>
        <v/>
      </c>
      <c r="U1270" s="52" t="str">
        <f t="shared" si="139"/>
        <v/>
      </c>
    </row>
    <row r="1271" spans="2:21" x14ac:dyDescent="0.25">
      <c r="B1271">
        <v>1329</v>
      </c>
      <c r="C1271" t="s">
        <v>254</v>
      </c>
      <c r="D1271" t="s">
        <v>1279</v>
      </c>
      <c r="E1271" t="s">
        <v>1833</v>
      </c>
      <c r="F1271" t="s">
        <v>1559</v>
      </c>
      <c r="G1271">
        <v>20</v>
      </c>
      <c r="H1271" s="48">
        <v>0</v>
      </c>
      <c r="I1271" s="48">
        <v>0</v>
      </c>
      <c r="J1271" s="54">
        <v>46260</v>
      </c>
      <c r="K1271" s="54">
        <v>46279</v>
      </c>
      <c r="L1271" s="54">
        <v>46255</v>
      </c>
      <c r="M1271" s="54">
        <v>46274</v>
      </c>
      <c r="O1271" s="51" t="str">
        <f t="shared" si="133"/>
        <v/>
      </c>
      <c r="P1271" s="51" t="str">
        <f t="shared" si="134"/>
        <v/>
      </c>
      <c r="Q1271" s="52" t="str">
        <f t="shared" si="135"/>
        <v/>
      </c>
      <c r="R1271" s="52" t="str">
        <f t="shared" si="136"/>
        <v/>
      </c>
      <c r="S1271" s="51" t="str">
        <f t="shared" si="137"/>
        <v/>
      </c>
      <c r="T1271" t="str">
        <f t="shared" si="138"/>
        <v/>
      </c>
      <c r="U1271" s="52" t="str">
        <f t="shared" si="139"/>
        <v/>
      </c>
    </row>
    <row r="1272" spans="2:21" x14ac:dyDescent="0.25">
      <c r="B1272">
        <v>1330</v>
      </c>
      <c r="C1272" t="s">
        <v>254</v>
      </c>
      <c r="D1272" t="s">
        <v>1279</v>
      </c>
      <c r="E1272" t="s">
        <v>1515</v>
      </c>
      <c r="F1272" t="s">
        <v>1519</v>
      </c>
      <c r="G1272">
        <v>6</v>
      </c>
      <c r="H1272" s="48">
        <v>0</v>
      </c>
      <c r="I1272" s="48">
        <v>0</v>
      </c>
      <c r="J1272" s="54">
        <v>46260</v>
      </c>
      <c r="K1272" s="54">
        <v>46265</v>
      </c>
      <c r="L1272" s="54">
        <v>46255</v>
      </c>
      <c r="M1272" s="54">
        <v>46260</v>
      </c>
      <c r="O1272" s="51" t="str">
        <f t="shared" si="133"/>
        <v>SIM</v>
      </c>
      <c r="P1272" s="51" t="str">
        <f t="shared" si="134"/>
        <v>BL1132-0001-ME-PQU-2000</v>
      </c>
      <c r="Q1272" s="52">
        <f t="shared" si="135"/>
        <v>46260</v>
      </c>
      <c r="R1272" s="52">
        <f t="shared" si="136"/>
        <v>46265</v>
      </c>
      <c r="S1272" s="51" t="str">
        <f t="shared" si="137"/>
        <v/>
      </c>
      <c r="T1272" t="str">
        <f t="shared" si="138"/>
        <v/>
      </c>
      <c r="U1272" s="52" t="str">
        <f t="shared" si="139"/>
        <v/>
      </c>
    </row>
    <row r="1273" spans="2:21" x14ac:dyDescent="0.25">
      <c r="B1273">
        <v>1331</v>
      </c>
      <c r="C1273" t="s">
        <v>254</v>
      </c>
      <c r="D1273" t="s">
        <v>1279</v>
      </c>
      <c r="E1273" t="s">
        <v>1517</v>
      </c>
      <c r="F1273" t="s">
        <v>1519</v>
      </c>
      <c r="G1273">
        <v>6</v>
      </c>
      <c r="H1273" s="48">
        <v>0</v>
      </c>
      <c r="I1273" s="48">
        <v>0</v>
      </c>
      <c r="J1273" s="54">
        <v>46265</v>
      </c>
      <c r="K1273" s="54">
        <v>46268</v>
      </c>
      <c r="L1273" s="54">
        <v>46260</v>
      </c>
      <c r="M1273" s="54">
        <v>46265</v>
      </c>
      <c r="O1273" s="51" t="str">
        <f t="shared" si="133"/>
        <v/>
      </c>
      <c r="P1273" s="51" t="str">
        <f t="shared" si="134"/>
        <v/>
      </c>
      <c r="Q1273" s="52" t="str">
        <f t="shared" si="135"/>
        <v/>
      </c>
      <c r="R1273" s="52" t="str">
        <f t="shared" si="136"/>
        <v/>
      </c>
      <c r="S1273" s="51" t="str">
        <f t="shared" si="137"/>
        <v/>
      </c>
      <c r="T1273" t="str">
        <f t="shared" si="138"/>
        <v/>
      </c>
      <c r="U1273" s="52" t="str">
        <f t="shared" si="139"/>
        <v/>
      </c>
    </row>
    <row r="1274" spans="2:21" x14ac:dyDescent="0.25">
      <c r="B1274">
        <v>1332</v>
      </c>
      <c r="C1274" t="s">
        <v>254</v>
      </c>
      <c r="D1274" t="s">
        <v>1279</v>
      </c>
      <c r="E1274" t="s">
        <v>1518</v>
      </c>
      <c r="F1274" t="s">
        <v>1519</v>
      </c>
      <c r="G1274">
        <v>4</v>
      </c>
      <c r="H1274" s="48">
        <v>0</v>
      </c>
      <c r="I1274" s="48">
        <v>0</v>
      </c>
      <c r="J1274" s="54">
        <v>46268</v>
      </c>
      <c r="K1274" s="54">
        <v>46274</v>
      </c>
      <c r="L1274" s="54">
        <v>46265</v>
      </c>
      <c r="M1274" s="54">
        <v>46268</v>
      </c>
      <c r="O1274" s="51" t="str">
        <f t="shared" si="133"/>
        <v/>
      </c>
      <c r="P1274" s="51" t="str">
        <f t="shared" si="134"/>
        <v/>
      </c>
      <c r="Q1274" s="52" t="str">
        <f t="shared" si="135"/>
        <v/>
      </c>
      <c r="R1274" s="52" t="str">
        <f t="shared" si="136"/>
        <v/>
      </c>
      <c r="S1274" s="51" t="str">
        <f t="shared" si="137"/>
        <v>SIM</v>
      </c>
      <c r="T1274" t="str">
        <f t="shared" si="138"/>
        <v>BL1132-0001-ME-PQU-2000</v>
      </c>
      <c r="U1274" s="52">
        <f t="shared" si="139"/>
        <v>46268</v>
      </c>
    </row>
    <row r="1275" spans="2:21" x14ac:dyDescent="0.25">
      <c r="B1275">
        <v>1333</v>
      </c>
      <c r="C1275" t="s">
        <v>254</v>
      </c>
      <c r="D1275" t="s">
        <v>1279</v>
      </c>
      <c r="E1275" t="s">
        <v>1520</v>
      </c>
      <c r="F1275" t="s">
        <v>1519</v>
      </c>
      <c r="G1275">
        <v>7</v>
      </c>
      <c r="H1275" s="48">
        <v>0</v>
      </c>
      <c r="I1275" s="48">
        <v>0</v>
      </c>
      <c r="J1275" s="54">
        <v>46274</v>
      </c>
      <c r="K1275" s="54">
        <v>46279</v>
      </c>
      <c r="L1275" s="54">
        <v>46268</v>
      </c>
      <c r="M1275" s="54">
        <v>46274</v>
      </c>
      <c r="O1275" s="51" t="str">
        <f t="shared" si="133"/>
        <v/>
      </c>
      <c r="P1275" s="51" t="str">
        <f t="shared" si="134"/>
        <v/>
      </c>
      <c r="Q1275" s="52" t="str">
        <f t="shared" si="135"/>
        <v/>
      </c>
      <c r="R1275" s="52" t="str">
        <f t="shared" si="136"/>
        <v/>
      </c>
      <c r="S1275" s="51" t="str">
        <f t="shared" si="137"/>
        <v/>
      </c>
      <c r="T1275" t="str">
        <f t="shared" si="138"/>
        <v/>
      </c>
      <c r="U1275" s="52" t="str">
        <f t="shared" si="139"/>
        <v/>
      </c>
    </row>
    <row r="1276" spans="2:21" x14ac:dyDescent="0.25">
      <c r="B1276">
        <v>1334</v>
      </c>
      <c r="C1276" t="s">
        <v>255</v>
      </c>
      <c r="D1276" t="s">
        <v>1283</v>
      </c>
      <c r="E1276" t="s">
        <v>1834</v>
      </c>
      <c r="F1276" t="s">
        <v>1559</v>
      </c>
      <c r="G1276">
        <v>20</v>
      </c>
      <c r="H1276" s="48">
        <v>0</v>
      </c>
      <c r="I1276" s="48">
        <v>0</v>
      </c>
      <c r="J1276" s="54">
        <v>46260</v>
      </c>
      <c r="K1276" s="54">
        <v>46279</v>
      </c>
      <c r="L1276" s="54">
        <v>46255</v>
      </c>
      <c r="M1276" s="54">
        <v>46274</v>
      </c>
      <c r="O1276" s="51" t="str">
        <f t="shared" si="133"/>
        <v/>
      </c>
      <c r="P1276" s="51" t="str">
        <f t="shared" si="134"/>
        <v/>
      </c>
      <c r="Q1276" s="52" t="str">
        <f t="shared" si="135"/>
        <v/>
      </c>
      <c r="R1276" s="52" t="str">
        <f t="shared" si="136"/>
        <v/>
      </c>
      <c r="S1276" s="51" t="str">
        <f t="shared" si="137"/>
        <v/>
      </c>
      <c r="T1276" t="str">
        <f t="shared" si="138"/>
        <v/>
      </c>
      <c r="U1276" s="52" t="str">
        <f t="shared" si="139"/>
        <v/>
      </c>
    </row>
    <row r="1277" spans="2:21" x14ac:dyDescent="0.25">
      <c r="B1277">
        <v>1335</v>
      </c>
      <c r="C1277" t="s">
        <v>255</v>
      </c>
      <c r="D1277" t="s">
        <v>1283</v>
      </c>
      <c r="E1277" t="s">
        <v>1515</v>
      </c>
      <c r="F1277" t="s">
        <v>1519</v>
      </c>
      <c r="G1277">
        <v>6</v>
      </c>
      <c r="H1277" s="48">
        <v>0</v>
      </c>
      <c r="I1277" s="48">
        <v>0</v>
      </c>
      <c r="J1277" s="54">
        <v>46260</v>
      </c>
      <c r="K1277" s="54">
        <v>46265</v>
      </c>
      <c r="L1277" s="54">
        <v>46255</v>
      </c>
      <c r="M1277" s="54">
        <v>46260</v>
      </c>
      <c r="O1277" s="51" t="str">
        <f t="shared" si="133"/>
        <v>SIM</v>
      </c>
      <c r="P1277" s="51" t="str">
        <f t="shared" si="134"/>
        <v>BL1132-0001-ME-PQU-2001</v>
      </c>
      <c r="Q1277" s="52">
        <f t="shared" si="135"/>
        <v>46260</v>
      </c>
      <c r="R1277" s="52">
        <f t="shared" si="136"/>
        <v>46265</v>
      </c>
      <c r="S1277" s="51" t="str">
        <f t="shared" si="137"/>
        <v/>
      </c>
      <c r="T1277" t="str">
        <f t="shared" si="138"/>
        <v/>
      </c>
      <c r="U1277" s="52" t="str">
        <f t="shared" si="139"/>
        <v/>
      </c>
    </row>
    <row r="1278" spans="2:21" x14ac:dyDescent="0.25">
      <c r="B1278">
        <v>1336</v>
      </c>
      <c r="C1278" t="s">
        <v>255</v>
      </c>
      <c r="D1278" t="s">
        <v>1283</v>
      </c>
      <c r="E1278" t="s">
        <v>1517</v>
      </c>
      <c r="F1278" t="s">
        <v>1519</v>
      </c>
      <c r="G1278">
        <v>6</v>
      </c>
      <c r="H1278" s="48">
        <v>0</v>
      </c>
      <c r="I1278" s="48">
        <v>0</v>
      </c>
      <c r="J1278" s="54">
        <v>46265</v>
      </c>
      <c r="K1278" s="54">
        <v>46268</v>
      </c>
      <c r="L1278" s="54">
        <v>46260</v>
      </c>
      <c r="M1278" s="54">
        <v>46265</v>
      </c>
      <c r="O1278" s="51" t="str">
        <f t="shared" si="133"/>
        <v/>
      </c>
      <c r="P1278" s="51" t="str">
        <f t="shared" si="134"/>
        <v/>
      </c>
      <c r="Q1278" s="52" t="str">
        <f t="shared" si="135"/>
        <v/>
      </c>
      <c r="R1278" s="52" t="str">
        <f t="shared" si="136"/>
        <v/>
      </c>
      <c r="S1278" s="51" t="str">
        <f t="shared" si="137"/>
        <v/>
      </c>
      <c r="T1278" t="str">
        <f t="shared" si="138"/>
        <v/>
      </c>
      <c r="U1278" s="52" t="str">
        <f t="shared" si="139"/>
        <v/>
      </c>
    </row>
    <row r="1279" spans="2:21" x14ac:dyDescent="0.25">
      <c r="B1279">
        <v>1337</v>
      </c>
      <c r="C1279" t="s">
        <v>255</v>
      </c>
      <c r="D1279" t="s">
        <v>1283</v>
      </c>
      <c r="E1279" t="s">
        <v>1518</v>
      </c>
      <c r="F1279" t="s">
        <v>1519</v>
      </c>
      <c r="G1279">
        <v>4</v>
      </c>
      <c r="H1279" s="48">
        <v>0</v>
      </c>
      <c r="I1279" s="48">
        <v>0</v>
      </c>
      <c r="J1279" s="54">
        <v>46268</v>
      </c>
      <c r="K1279" s="54">
        <v>46274</v>
      </c>
      <c r="L1279" s="54">
        <v>46265</v>
      </c>
      <c r="M1279" s="54">
        <v>46268</v>
      </c>
      <c r="O1279" s="51" t="str">
        <f t="shared" si="133"/>
        <v/>
      </c>
      <c r="P1279" s="51" t="str">
        <f t="shared" si="134"/>
        <v/>
      </c>
      <c r="Q1279" s="52" t="str">
        <f t="shared" si="135"/>
        <v/>
      </c>
      <c r="R1279" s="52" t="str">
        <f t="shared" si="136"/>
        <v/>
      </c>
      <c r="S1279" s="51" t="str">
        <f t="shared" si="137"/>
        <v>SIM</v>
      </c>
      <c r="T1279" t="str">
        <f t="shared" si="138"/>
        <v>BL1132-0001-ME-PQU-2001</v>
      </c>
      <c r="U1279" s="52">
        <f t="shared" si="139"/>
        <v>46268</v>
      </c>
    </row>
    <row r="1280" spans="2:21" x14ac:dyDescent="0.25">
      <c r="B1280">
        <v>1338</v>
      </c>
      <c r="C1280" t="s">
        <v>255</v>
      </c>
      <c r="D1280" t="s">
        <v>1283</v>
      </c>
      <c r="E1280" t="s">
        <v>1520</v>
      </c>
      <c r="F1280" t="s">
        <v>1519</v>
      </c>
      <c r="G1280">
        <v>7</v>
      </c>
      <c r="H1280" s="48">
        <v>0</v>
      </c>
      <c r="I1280" s="48">
        <v>0</v>
      </c>
      <c r="J1280" s="54">
        <v>46274</v>
      </c>
      <c r="K1280" s="54">
        <v>46279</v>
      </c>
      <c r="L1280" s="54">
        <v>46268</v>
      </c>
      <c r="M1280" s="54">
        <v>46274</v>
      </c>
      <c r="O1280" s="51" t="str">
        <f t="shared" si="133"/>
        <v/>
      </c>
      <c r="P1280" s="51" t="str">
        <f t="shared" si="134"/>
        <v/>
      </c>
      <c r="Q1280" s="52" t="str">
        <f t="shared" si="135"/>
        <v/>
      </c>
      <c r="R1280" s="52" t="str">
        <f t="shared" si="136"/>
        <v/>
      </c>
      <c r="S1280" s="51" t="str">
        <f t="shared" si="137"/>
        <v/>
      </c>
      <c r="T1280" t="str">
        <f t="shared" si="138"/>
        <v/>
      </c>
      <c r="U1280" s="52" t="str">
        <f t="shared" si="139"/>
        <v/>
      </c>
    </row>
    <row r="1281" spans="2:21" x14ac:dyDescent="0.25">
      <c r="B1281">
        <v>1339</v>
      </c>
      <c r="C1281" t="s">
        <v>256</v>
      </c>
      <c r="D1281" t="s">
        <v>1287</v>
      </c>
      <c r="E1281" t="s">
        <v>1835</v>
      </c>
      <c r="F1281" t="s">
        <v>1559</v>
      </c>
      <c r="G1281">
        <v>20</v>
      </c>
      <c r="H1281" s="48">
        <v>0</v>
      </c>
      <c r="I1281" s="48">
        <v>0</v>
      </c>
      <c r="J1281" s="54">
        <v>46260</v>
      </c>
      <c r="K1281" s="54">
        <v>46279</v>
      </c>
      <c r="L1281" s="54">
        <v>46255</v>
      </c>
      <c r="M1281" s="54">
        <v>46274</v>
      </c>
      <c r="O1281" s="51" t="str">
        <f t="shared" si="133"/>
        <v/>
      </c>
      <c r="P1281" s="51" t="str">
        <f t="shared" si="134"/>
        <v/>
      </c>
      <c r="Q1281" s="52" t="str">
        <f t="shared" si="135"/>
        <v/>
      </c>
      <c r="R1281" s="52" t="str">
        <f t="shared" si="136"/>
        <v/>
      </c>
      <c r="S1281" s="51" t="str">
        <f t="shared" si="137"/>
        <v/>
      </c>
      <c r="T1281" t="str">
        <f t="shared" si="138"/>
        <v/>
      </c>
      <c r="U1281" s="52" t="str">
        <f t="shared" si="139"/>
        <v/>
      </c>
    </row>
    <row r="1282" spans="2:21" x14ac:dyDescent="0.25">
      <c r="B1282">
        <v>1340</v>
      </c>
      <c r="C1282" t="s">
        <v>256</v>
      </c>
      <c r="D1282" t="s">
        <v>1287</v>
      </c>
      <c r="E1282" t="s">
        <v>1515</v>
      </c>
      <c r="F1282" t="s">
        <v>1519</v>
      </c>
      <c r="G1282">
        <v>6</v>
      </c>
      <c r="H1282" s="48">
        <v>0</v>
      </c>
      <c r="I1282" s="48">
        <v>0</v>
      </c>
      <c r="J1282" s="54">
        <v>46260</v>
      </c>
      <c r="K1282" s="54">
        <v>46265</v>
      </c>
      <c r="L1282" s="54">
        <v>46255</v>
      </c>
      <c r="M1282" s="54">
        <v>46260</v>
      </c>
      <c r="O1282" s="51" t="str">
        <f t="shared" si="133"/>
        <v>SIM</v>
      </c>
      <c r="P1282" s="51" t="str">
        <f t="shared" si="134"/>
        <v>BL1132-0001-ME-PQU-2002</v>
      </c>
      <c r="Q1282" s="52">
        <f t="shared" si="135"/>
        <v>46260</v>
      </c>
      <c r="R1282" s="52">
        <f t="shared" si="136"/>
        <v>46265</v>
      </c>
      <c r="S1282" s="51" t="str">
        <f t="shared" si="137"/>
        <v/>
      </c>
      <c r="T1282" t="str">
        <f t="shared" si="138"/>
        <v/>
      </c>
      <c r="U1282" s="52" t="str">
        <f t="shared" si="139"/>
        <v/>
      </c>
    </row>
    <row r="1283" spans="2:21" x14ac:dyDescent="0.25">
      <c r="B1283">
        <v>1341</v>
      </c>
      <c r="C1283" t="s">
        <v>256</v>
      </c>
      <c r="D1283" t="s">
        <v>1287</v>
      </c>
      <c r="E1283" t="s">
        <v>1517</v>
      </c>
      <c r="F1283" t="s">
        <v>1519</v>
      </c>
      <c r="G1283">
        <v>6</v>
      </c>
      <c r="H1283" s="48">
        <v>0</v>
      </c>
      <c r="I1283" s="48">
        <v>0</v>
      </c>
      <c r="J1283" s="54">
        <v>46265</v>
      </c>
      <c r="K1283" s="54">
        <v>46268</v>
      </c>
      <c r="L1283" s="54">
        <v>46260</v>
      </c>
      <c r="M1283" s="54">
        <v>46265</v>
      </c>
      <c r="O1283" s="51" t="str">
        <f t="shared" ref="O1283:O1346" si="140">IF(OR(E1283 = "                           1 - Emissão Inicial",E1283="                  1 - Emissão após Design Review 1",E1283 = "                  1 - Emissão para conhecimento",E1283 = "                  1 - Emissão Final",E1283 = "         Lista de Documentos",E1283 = "         Elaboração do cronograma",E1283 = "         Norma de Coordenação"), "SIM", "")</f>
        <v/>
      </c>
      <c r="P1283" s="51" t="str">
        <f t="shared" ref="P1283:P1346" si="141">IF(O1283="SIM",C1283,"")</f>
        <v/>
      </c>
      <c r="Q1283" s="52" t="str">
        <f t="shared" ref="Q1283:Q1346" si="142">IF(O1283="SIM",M1283,"")</f>
        <v/>
      </c>
      <c r="R1283" s="52" t="str">
        <f t="shared" ref="R1283:R1346" si="143">IF(O1283="SIM",K1283,"")</f>
        <v/>
      </c>
      <c r="S1283" s="51" t="str">
        <f t="shared" ref="S1283:S1346" si="144">IF(OR(E1283 = "                           3 - Atendimento de Comentários",E1283="                  1 - Emissão após Design Review 1",E1283 = "                  1 - Emissão para conhecimento",E1283 = "                  1 - Emissão Final",E1283 = "         Lista de Documentos",E1283 = "         Elaboração do cronograma",E1283 = "         Norma de Coordenação"), "SIM", "")</f>
        <v/>
      </c>
      <c r="T1283" t="str">
        <f t="shared" ref="T1283:T1346" si="145">IF(S1283="SIM",C1283,"")</f>
        <v/>
      </c>
      <c r="U1283" s="52" t="str">
        <f t="shared" ref="U1283:U1346" si="146">IF(S1283="SIM",M1283,"")</f>
        <v/>
      </c>
    </row>
    <row r="1284" spans="2:21" x14ac:dyDescent="0.25">
      <c r="B1284">
        <v>1342</v>
      </c>
      <c r="C1284" t="s">
        <v>256</v>
      </c>
      <c r="D1284" t="s">
        <v>1287</v>
      </c>
      <c r="E1284" t="s">
        <v>1518</v>
      </c>
      <c r="F1284" t="s">
        <v>1519</v>
      </c>
      <c r="G1284">
        <v>4</v>
      </c>
      <c r="H1284" s="48">
        <v>0</v>
      </c>
      <c r="I1284" s="48">
        <v>0</v>
      </c>
      <c r="J1284" s="54">
        <v>46268</v>
      </c>
      <c r="K1284" s="54">
        <v>46274</v>
      </c>
      <c r="L1284" s="54">
        <v>46265</v>
      </c>
      <c r="M1284" s="54">
        <v>46268</v>
      </c>
      <c r="O1284" s="51" t="str">
        <f t="shared" si="140"/>
        <v/>
      </c>
      <c r="P1284" s="51" t="str">
        <f t="shared" si="141"/>
        <v/>
      </c>
      <c r="Q1284" s="52" t="str">
        <f t="shared" si="142"/>
        <v/>
      </c>
      <c r="R1284" s="52" t="str">
        <f t="shared" si="143"/>
        <v/>
      </c>
      <c r="S1284" s="51" t="str">
        <f t="shared" si="144"/>
        <v>SIM</v>
      </c>
      <c r="T1284" t="str">
        <f t="shared" si="145"/>
        <v>BL1132-0001-ME-PQU-2002</v>
      </c>
      <c r="U1284" s="52">
        <f t="shared" si="146"/>
        <v>46268</v>
      </c>
    </row>
    <row r="1285" spans="2:21" x14ac:dyDescent="0.25">
      <c r="B1285">
        <v>1343</v>
      </c>
      <c r="C1285" t="s">
        <v>256</v>
      </c>
      <c r="D1285" t="s">
        <v>1287</v>
      </c>
      <c r="E1285" t="s">
        <v>1520</v>
      </c>
      <c r="F1285" t="s">
        <v>1519</v>
      </c>
      <c r="G1285">
        <v>7</v>
      </c>
      <c r="H1285" s="48">
        <v>0</v>
      </c>
      <c r="I1285" s="48">
        <v>0</v>
      </c>
      <c r="J1285" s="54">
        <v>46274</v>
      </c>
      <c r="K1285" s="54">
        <v>46279</v>
      </c>
      <c r="L1285" s="54">
        <v>46268</v>
      </c>
      <c r="M1285" s="54">
        <v>46274</v>
      </c>
      <c r="O1285" s="51" t="str">
        <f t="shared" si="140"/>
        <v/>
      </c>
      <c r="P1285" s="51" t="str">
        <f t="shared" si="141"/>
        <v/>
      </c>
      <c r="Q1285" s="52" t="str">
        <f t="shared" si="142"/>
        <v/>
      </c>
      <c r="R1285" s="52" t="str">
        <f t="shared" si="143"/>
        <v/>
      </c>
      <c r="S1285" s="51" t="str">
        <f t="shared" si="144"/>
        <v/>
      </c>
      <c r="T1285" t="str">
        <f t="shared" si="145"/>
        <v/>
      </c>
      <c r="U1285" s="52" t="str">
        <f t="shared" si="146"/>
        <v/>
      </c>
    </row>
    <row r="1286" spans="2:21" x14ac:dyDescent="0.25">
      <c r="B1286">
        <v>1344</v>
      </c>
      <c r="C1286" t="s">
        <v>229</v>
      </c>
      <c r="D1286" t="s">
        <v>1195</v>
      </c>
      <c r="E1286" t="s">
        <v>1836</v>
      </c>
      <c r="F1286" t="s">
        <v>1641</v>
      </c>
      <c r="G1286">
        <v>16</v>
      </c>
      <c r="H1286" s="48">
        <v>0</v>
      </c>
      <c r="I1286" s="48">
        <v>0.69330000000000003</v>
      </c>
      <c r="J1286" s="54">
        <v>46265</v>
      </c>
      <c r="K1286" s="54">
        <v>46281</v>
      </c>
      <c r="L1286" s="54">
        <v>46211</v>
      </c>
      <c r="M1286" s="54">
        <v>46226</v>
      </c>
      <c r="O1286" s="51" t="str">
        <f t="shared" si="140"/>
        <v/>
      </c>
      <c r="P1286" s="51" t="str">
        <f t="shared" si="141"/>
        <v/>
      </c>
      <c r="Q1286" s="52" t="str">
        <f t="shared" si="142"/>
        <v/>
      </c>
      <c r="R1286" s="52" t="str">
        <f t="shared" si="143"/>
        <v/>
      </c>
      <c r="S1286" s="51" t="str">
        <f t="shared" si="144"/>
        <v/>
      </c>
      <c r="T1286" t="str">
        <f t="shared" si="145"/>
        <v/>
      </c>
      <c r="U1286" s="52" t="str">
        <f t="shared" si="146"/>
        <v/>
      </c>
    </row>
    <row r="1287" spans="2:21" x14ac:dyDescent="0.25">
      <c r="B1287">
        <v>1345</v>
      </c>
      <c r="C1287" t="s">
        <v>229</v>
      </c>
      <c r="D1287" t="s">
        <v>1195</v>
      </c>
      <c r="E1287" t="s">
        <v>1515</v>
      </c>
      <c r="F1287" t="s">
        <v>1642</v>
      </c>
      <c r="G1287">
        <v>3</v>
      </c>
      <c r="H1287" s="48">
        <v>0</v>
      </c>
      <c r="I1287" s="48">
        <v>1</v>
      </c>
      <c r="J1287" s="54">
        <v>46265</v>
      </c>
      <c r="K1287" s="54">
        <v>46267</v>
      </c>
      <c r="L1287" s="54">
        <v>46211</v>
      </c>
      <c r="M1287" s="54">
        <v>46213</v>
      </c>
      <c r="O1287" s="51" t="str">
        <f t="shared" si="140"/>
        <v>SIM</v>
      </c>
      <c r="P1287" s="51" t="str">
        <f t="shared" si="141"/>
        <v>BL1132-0001-ME-ETE-2005</v>
      </c>
      <c r="Q1287" s="52">
        <f t="shared" si="142"/>
        <v>46213</v>
      </c>
      <c r="R1287" s="52">
        <f t="shared" si="143"/>
        <v>46267</v>
      </c>
      <c r="S1287" s="51" t="str">
        <f t="shared" si="144"/>
        <v/>
      </c>
      <c r="T1287" t="str">
        <f t="shared" si="145"/>
        <v/>
      </c>
      <c r="U1287" s="52" t="str">
        <f t="shared" si="146"/>
        <v/>
      </c>
    </row>
    <row r="1288" spans="2:21" x14ac:dyDescent="0.25">
      <c r="B1288">
        <v>1346</v>
      </c>
      <c r="C1288" t="s">
        <v>229</v>
      </c>
      <c r="D1288" t="s">
        <v>1195</v>
      </c>
      <c r="E1288" t="s">
        <v>1517</v>
      </c>
      <c r="F1288" t="s">
        <v>1519</v>
      </c>
      <c r="G1288">
        <v>6</v>
      </c>
      <c r="H1288" s="48">
        <v>0</v>
      </c>
      <c r="I1288" s="48">
        <v>0</v>
      </c>
      <c r="J1288" s="54">
        <v>46267</v>
      </c>
      <c r="K1288" s="54">
        <v>46273</v>
      </c>
      <c r="L1288" s="54">
        <v>46213</v>
      </c>
      <c r="M1288" s="54">
        <v>46218</v>
      </c>
      <c r="O1288" s="51" t="str">
        <f t="shared" si="140"/>
        <v/>
      </c>
      <c r="P1288" s="51" t="str">
        <f t="shared" si="141"/>
        <v/>
      </c>
      <c r="Q1288" s="52" t="str">
        <f t="shared" si="142"/>
        <v/>
      </c>
      <c r="R1288" s="52" t="str">
        <f t="shared" si="143"/>
        <v/>
      </c>
      <c r="S1288" s="51" t="str">
        <f t="shared" si="144"/>
        <v/>
      </c>
      <c r="T1288" t="str">
        <f t="shared" si="145"/>
        <v/>
      </c>
      <c r="U1288" s="52" t="str">
        <f t="shared" si="146"/>
        <v/>
      </c>
    </row>
    <row r="1289" spans="2:21" x14ac:dyDescent="0.25">
      <c r="B1289">
        <v>1347</v>
      </c>
      <c r="C1289" t="s">
        <v>229</v>
      </c>
      <c r="D1289" t="s">
        <v>1195</v>
      </c>
      <c r="E1289" t="s">
        <v>1518</v>
      </c>
      <c r="F1289" t="s">
        <v>1519</v>
      </c>
      <c r="G1289">
        <v>6</v>
      </c>
      <c r="H1289" s="48">
        <v>0</v>
      </c>
      <c r="I1289" s="48">
        <v>0</v>
      </c>
      <c r="J1289" s="54">
        <v>46273</v>
      </c>
      <c r="K1289" s="54">
        <v>46276</v>
      </c>
      <c r="L1289" s="54">
        <v>46218</v>
      </c>
      <c r="M1289" s="54">
        <v>46223</v>
      </c>
      <c r="O1289" s="51" t="str">
        <f t="shared" si="140"/>
        <v/>
      </c>
      <c r="P1289" s="51" t="str">
        <f t="shared" si="141"/>
        <v/>
      </c>
      <c r="Q1289" s="52" t="str">
        <f t="shared" si="142"/>
        <v/>
      </c>
      <c r="R1289" s="52" t="str">
        <f t="shared" si="143"/>
        <v/>
      </c>
      <c r="S1289" s="51" t="str">
        <f t="shared" si="144"/>
        <v>SIM</v>
      </c>
      <c r="T1289" t="str">
        <f t="shared" si="145"/>
        <v>BL1132-0001-ME-ETE-2005</v>
      </c>
      <c r="U1289" s="52">
        <f t="shared" si="146"/>
        <v>46223</v>
      </c>
    </row>
    <row r="1290" spans="2:21" x14ac:dyDescent="0.25">
      <c r="B1290">
        <v>1348</v>
      </c>
      <c r="C1290" t="s">
        <v>229</v>
      </c>
      <c r="D1290" t="s">
        <v>1195</v>
      </c>
      <c r="E1290" t="s">
        <v>1520</v>
      </c>
      <c r="F1290" t="s">
        <v>1519</v>
      </c>
      <c r="G1290">
        <v>4</v>
      </c>
      <c r="H1290" s="48">
        <v>0</v>
      </c>
      <c r="I1290" s="48">
        <v>0</v>
      </c>
      <c r="J1290" s="54">
        <v>46276</v>
      </c>
      <c r="K1290" s="54">
        <v>46281</v>
      </c>
      <c r="L1290" s="54">
        <v>46223</v>
      </c>
      <c r="M1290" s="54">
        <v>46226</v>
      </c>
      <c r="O1290" s="51" t="str">
        <f t="shared" si="140"/>
        <v/>
      </c>
      <c r="P1290" s="51" t="str">
        <f t="shared" si="141"/>
        <v/>
      </c>
      <c r="Q1290" s="52" t="str">
        <f t="shared" si="142"/>
        <v/>
      </c>
      <c r="R1290" s="52" t="str">
        <f t="shared" si="143"/>
        <v/>
      </c>
      <c r="S1290" s="51" t="str">
        <f t="shared" si="144"/>
        <v/>
      </c>
      <c r="T1290" t="str">
        <f t="shared" si="145"/>
        <v/>
      </c>
      <c r="U1290" s="52" t="str">
        <f t="shared" si="146"/>
        <v/>
      </c>
    </row>
    <row r="1291" spans="2:21" x14ac:dyDescent="0.25">
      <c r="B1291">
        <v>1349</v>
      </c>
      <c r="C1291" t="s">
        <v>226</v>
      </c>
      <c r="D1291" t="s">
        <v>1180</v>
      </c>
      <c r="E1291" t="s">
        <v>1837</v>
      </c>
      <c r="F1291" t="s">
        <v>1641</v>
      </c>
      <c r="G1291">
        <v>16</v>
      </c>
      <c r="H1291" s="48">
        <v>0</v>
      </c>
      <c r="I1291" s="48">
        <v>0</v>
      </c>
      <c r="J1291" s="54">
        <v>46267</v>
      </c>
      <c r="K1291" s="54">
        <v>46288</v>
      </c>
      <c r="L1291" s="54">
        <v>46273</v>
      </c>
      <c r="M1291" s="54">
        <v>46288</v>
      </c>
      <c r="O1291" s="51" t="str">
        <f t="shared" si="140"/>
        <v/>
      </c>
      <c r="P1291" s="51" t="str">
        <f t="shared" si="141"/>
        <v/>
      </c>
      <c r="Q1291" s="52" t="str">
        <f t="shared" si="142"/>
        <v/>
      </c>
      <c r="R1291" s="52" t="str">
        <f t="shared" si="143"/>
        <v/>
      </c>
      <c r="S1291" s="51" t="str">
        <f t="shared" si="144"/>
        <v/>
      </c>
      <c r="T1291" t="str">
        <f t="shared" si="145"/>
        <v/>
      </c>
      <c r="U1291" s="52" t="str">
        <f t="shared" si="146"/>
        <v/>
      </c>
    </row>
    <row r="1292" spans="2:21" x14ac:dyDescent="0.25">
      <c r="B1292">
        <v>1350</v>
      </c>
      <c r="C1292" t="s">
        <v>226</v>
      </c>
      <c r="D1292" t="s">
        <v>1180</v>
      </c>
      <c r="E1292" t="s">
        <v>1515</v>
      </c>
      <c r="F1292" t="s">
        <v>1642</v>
      </c>
      <c r="G1292">
        <v>3</v>
      </c>
      <c r="H1292" s="48">
        <v>0</v>
      </c>
      <c r="I1292" s="48">
        <v>0</v>
      </c>
      <c r="J1292" s="54">
        <v>46267</v>
      </c>
      <c r="K1292" s="54">
        <v>46275</v>
      </c>
      <c r="L1292" s="54">
        <v>46273</v>
      </c>
      <c r="M1292" s="54">
        <v>46275</v>
      </c>
      <c r="O1292" s="51" t="str">
        <f t="shared" si="140"/>
        <v>SIM</v>
      </c>
      <c r="P1292" s="51" t="str">
        <f t="shared" si="141"/>
        <v>BL1132-0001-ME-ARJ-2001</v>
      </c>
      <c r="Q1292" s="52">
        <f t="shared" si="142"/>
        <v>46275</v>
      </c>
      <c r="R1292" s="52">
        <f t="shared" si="143"/>
        <v>46275</v>
      </c>
      <c r="S1292" s="51" t="str">
        <f t="shared" si="144"/>
        <v/>
      </c>
      <c r="T1292" t="str">
        <f t="shared" si="145"/>
        <v/>
      </c>
      <c r="U1292" s="52" t="str">
        <f t="shared" si="146"/>
        <v/>
      </c>
    </row>
    <row r="1293" spans="2:21" x14ac:dyDescent="0.25">
      <c r="B1293">
        <v>1351</v>
      </c>
      <c r="C1293" t="s">
        <v>226</v>
      </c>
      <c r="D1293" t="s">
        <v>1180</v>
      </c>
      <c r="E1293" t="s">
        <v>1517</v>
      </c>
      <c r="F1293" t="s">
        <v>1519</v>
      </c>
      <c r="G1293">
        <v>6</v>
      </c>
      <c r="H1293" s="48">
        <v>0</v>
      </c>
      <c r="I1293" s="48">
        <v>0</v>
      </c>
      <c r="J1293" s="54">
        <v>46275</v>
      </c>
      <c r="K1293" s="54">
        <v>46280</v>
      </c>
      <c r="L1293" s="54">
        <v>46275</v>
      </c>
      <c r="M1293" s="54">
        <v>46280</v>
      </c>
      <c r="O1293" s="51" t="str">
        <f t="shared" si="140"/>
        <v/>
      </c>
      <c r="P1293" s="51" t="str">
        <f t="shared" si="141"/>
        <v/>
      </c>
      <c r="Q1293" s="52" t="str">
        <f t="shared" si="142"/>
        <v/>
      </c>
      <c r="R1293" s="52" t="str">
        <f t="shared" si="143"/>
        <v/>
      </c>
      <c r="S1293" s="51" t="str">
        <f t="shared" si="144"/>
        <v/>
      </c>
      <c r="T1293" t="str">
        <f t="shared" si="145"/>
        <v/>
      </c>
      <c r="U1293" s="52" t="str">
        <f t="shared" si="146"/>
        <v/>
      </c>
    </row>
    <row r="1294" spans="2:21" x14ac:dyDescent="0.25">
      <c r="B1294">
        <v>1352</v>
      </c>
      <c r="C1294" t="s">
        <v>226</v>
      </c>
      <c r="D1294" t="s">
        <v>1180</v>
      </c>
      <c r="E1294" t="s">
        <v>1518</v>
      </c>
      <c r="F1294" t="s">
        <v>1519</v>
      </c>
      <c r="G1294">
        <v>4</v>
      </c>
      <c r="H1294" s="48">
        <v>0</v>
      </c>
      <c r="I1294" s="48">
        <v>0</v>
      </c>
      <c r="J1294" s="54">
        <v>46280</v>
      </c>
      <c r="K1294" s="54">
        <v>46283</v>
      </c>
      <c r="L1294" s="54">
        <v>46280</v>
      </c>
      <c r="M1294" s="54">
        <v>46283</v>
      </c>
      <c r="O1294" s="51" t="str">
        <f t="shared" si="140"/>
        <v/>
      </c>
      <c r="P1294" s="51" t="str">
        <f t="shared" si="141"/>
        <v/>
      </c>
      <c r="Q1294" s="52" t="str">
        <f t="shared" si="142"/>
        <v/>
      </c>
      <c r="R1294" s="52" t="str">
        <f t="shared" si="143"/>
        <v/>
      </c>
      <c r="S1294" s="51" t="str">
        <f t="shared" si="144"/>
        <v>SIM</v>
      </c>
      <c r="T1294" t="str">
        <f t="shared" si="145"/>
        <v>BL1132-0001-ME-ARJ-2001</v>
      </c>
      <c r="U1294" s="52">
        <f t="shared" si="146"/>
        <v>46283</v>
      </c>
    </row>
    <row r="1295" spans="2:21" x14ac:dyDescent="0.25">
      <c r="B1295">
        <v>1353</v>
      </c>
      <c r="C1295" t="s">
        <v>226</v>
      </c>
      <c r="D1295" t="s">
        <v>1180</v>
      </c>
      <c r="E1295" t="s">
        <v>1520</v>
      </c>
      <c r="F1295" t="s">
        <v>1519</v>
      </c>
      <c r="G1295">
        <v>6</v>
      </c>
      <c r="H1295" s="48">
        <v>0</v>
      </c>
      <c r="I1295" s="48">
        <v>0</v>
      </c>
      <c r="J1295" s="54">
        <v>46283</v>
      </c>
      <c r="K1295" s="54">
        <v>46288</v>
      </c>
      <c r="L1295" s="54">
        <v>46283</v>
      </c>
      <c r="M1295" s="54">
        <v>46288</v>
      </c>
      <c r="O1295" s="51" t="str">
        <f t="shared" si="140"/>
        <v/>
      </c>
      <c r="P1295" s="51" t="str">
        <f t="shared" si="141"/>
        <v/>
      </c>
      <c r="Q1295" s="52" t="str">
        <f t="shared" si="142"/>
        <v/>
      </c>
      <c r="R1295" s="52" t="str">
        <f t="shared" si="143"/>
        <v/>
      </c>
      <c r="S1295" s="51" t="str">
        <f t="shared" si="144"/>
        <v/>
      </c>
      <c r="T1295" t="str">
        <f t="shared" si="145"/>
        <v/>
      </c>
      <c r="U1295" s="52" t="str">
        <f t="shared" si="146"/>
        <v/>
      </c>
    </row>
    <row r="1296" spans="2:21" x14ac:dyDescent="0.25">
      <c r="B1296">
        <v>1354</v>
      </c>
      <c r="C1296" t="s">
        <v>1222</v>
      </c>
      <c r="D1296" t="s">
        <v>1223</v>
      </c>
      <c r="E1296" t="s">
        <v>1838</v>
      </c>
      <c r="F1296" t="s">
        <v>1527</v>
      </c>
      <c r="G1296">
        <v>21</v>
      </c>
      <c r="H1296" s="48">
        <v>0.4299</v>
      </c>
      <c r="I1296" s="48">
        <v>0.69330000000000003</v>
      </c>
      <c r="J1296" s="54" t="s">
        <v>1506</v>
      </c>
      <c r="K1296" s="54" t="s">
        <v>1506</v>
      </c>
      <c r="L1296" s="54">
        <v>46205</v>
      </c>
      <c r="M1296" s="54">
        <v>46225</v>
      </c>
      <c r="O1296" s="51" t="str">
        <f t="shared" si="140"/>
        <v/>
      </c>
      <c r="P1296" s="51" t="str">
        <f t="shared" si="141"/>
        <v/>
      </c>
      <c r="Q1296" s="52" t="str">
        <f t="shared" si="142"/>
        <v/>
      </c>
      <c r="R1296" s="52" t="str">
        <f t="shared" si="143"/>
        <v/>
      </c>
      <c r="S1296" s="51" t="str">
        <f t="shared" si="144"/>
        <v/>
      </c>
      <c r="T1296" t="str">
        <f t="shared" si="145"/>
        <v/>
      </c>
      <c r="U1296" s="52" t="str">
        <f t="shared" si="146"/>
        <v/>
      </c>
    </row>
    <row r="1297" spans="2:21" x14ac:dyDescent="0.25">
      <c r="B1297">
        <v>1355</v>
      </c>
      <c r="C1297" t="s">
        <v>1222</v>
      </c>
      <c r="D1297" t="s">
        <v>1223</v>
      </c>
      <c r="E1297" t="s">
        <v>1515</v>
      </c>
      <c r="F1297" t="s">
        <v>1528</v>
      </c>
      <c r="G1297">
        <v>8</v>
      </c>
      <c r="H1297" s="48">
        <v>0.62</v>
      </c>
      <c r="I1297" s="48">
        <v>1</v>
      </c>
      <c r="J1297" s="54" t="s">
        <v>1506</v>
      </c>
      <c r="K1297" s="54" t="s">
        <v>1506</v>
      </c>
      <c r="L1297" s="54">
        <v>46205</v>
      </c>
      <c r="M1297" s="54">
        <v>46212</v>
      </c>
      <c r="O1297" s="51" t="str">
        <f t="shared" si="140"/>
        <v>SIM</v>
      </c>
      <c r="P1297" s="51" t="str">
        <f t="shared" si="141"/>
        <v>BL1132-0001-ME-FDA-2006</v>
      </c>
      <c r="Q1297" s="52">
        <f t="shared" si="142"/>
        <v>46212</v>
      </c>
      <c r="R1297" s="52" t="str">
        <f t="shared" si="143"/>
        <v>ND</v>
      </c>
      <c r="S1297" s="51" t="str">
        <f t="shared" si="144"/>
        <v/>
      </c>
      <c r="T1297" t="str">
        <f t="shared" si="145"/>
        <v/>
      </c>
      <c r="U1297" s="52" t="str">
        <f t="shared" si="146"/>
        <v/>
      </c>
    </row>
    <row r="1298" spans="2:21" x14ac:dyDescent="0.25">
      <c r="B1298">
        <v>1356</v>
      </c>
      <c r="C1298" t="s">
        <v>1222</v>
      </c>
      <c r="D1298" t="s">
        <v>1223</v>
      </c>
      <c r="E1298" t="s">
        <v>1517</v>
      </c>
      <c r="F1298" t="s">
        <v>1519</v>
      </c>
      <c r="G1298">
        <v>6</v>
      </c>
      <c r="H1298" s="48">
        <v>0</v>
      </c>
      <c r="I1298" s="48">
        <v>0</v>
      </c>
      <c r="J1298" s="54" t="s">
        <v>1506</v>
      </c>
      <c r="K1298" s="54" t="s">
        <v>1506</v>
      </c>
      <c r="L1298" s="54">
        <v>46212</v>
      </c>
      <c r="M1298" s="54">
        <v>46217</v>
      </c>
      <c r="O1298" s="51" t="str">
        <f t="shared" si="140"/>
        <v/>
      </c>
      <c r="P1298" s="51" t="str">
        <f t="shared" si="141"/>
        <v/>
      </c>
      <c r="Q1298" s="52" t="str">
        <f t="shared" si="142"/>
        <v/>
      </c>
      <c r="R1298" s="52" t="str">
        <f t="shared" si="143"/>
        <v/>
      </c>
      <c r="S1298" s="51" t="str">
        <f t="shared" si="144"/>
        <v/>
      </c>
      <c r="T1298" t="str">
        <f t="shared" si="145"/>
        <v/>
      </c>
      <c r="U1298" s="52" t="str">
        <f t="shared" si="146"/>
        <v/>
      </c>
    </row>
    <row r="1299" spans="2:21" x14ac:dyDescent="0.25">
      <c r="B1299">
        <v>1357</v>
      </c>
      <c r="C1299" t="s">
        <v>1222</v>
      </c>
      <c r="D1299" t="s">
        <v>1223</v>
      </c>
      <c r="E1299" t="s">
        <v>1518</v>
      </c>
      <c r="F1299" t="s">
        <v>1519</v>
      </c>
      <c r="G1299">
        <v>4</v>
      </c>
      <c r="H1299" s="48">
        <v>0</v>
      </c>
      <c r="I1299" s="48">
        <v>0</v>
      </c>
      <c r="J1299" s="54" t="s">
        <v>1506</v>
      </c>
      <c r="K1299" s="54" t="s">
        <v>1506</v>
      </c>
      <c r="L1299" s="54">
        <v>46217</v>
      </c>
      <c r="M1299" s="54">
        <v>46220</v>
      </c>
      <c r="O1299" s="51" t="str">
        <f t="shared" si="140"/>
        <v/>
      </c>
      <c r="P1299" s="51" t="str">
        <f t="shared" si="141"/>
        <v/>
      </c>
      <c r="Q1299" s="52" t="str">
        <f t="shared" si="142"/>
        <v/>
      </c>
      <c r="R1299" s="52" t="str">
        <f t="shared" si="143"/>
        <v/>
      </c>
      <c r="S1299" s="51" t="str">
        <f t="shared" si="144"/>
        <v>SIM</v>
      </c>
      <c r="T1299" t="str">
        <f t="shared" si="145"/>
        <v>BL1132-0001-ME-FDA-2006</v>
      </c>
      <c r="U1299" s="52">
        <f t="shared" si="146"/>
        <v>46220</v>
      </c>
    </row>
    <row r="1300" spans="2:21" x14ac:dyDescent="0.25">
      <c r="B1300">
        <v>1358</v>
      </c>
      <c r="C1300" t="s">
        <v>1222</v>
      </c>
      <c r="D1300" t="s">
        <v>1223</v>
      </c>
      <c r="E1300" t="s">
        <v>1520</v>
      </c>
      <c r="F1300" t="s">
        <v>1519</v>
      </c>
      <c r="G1300">
        <v>6</v>
      </c>
      <c r="H1300" s="48">
        <v>0</v>
      </c>
      <c r="I1300" s="48">
        <v>0</v>
      </c>
      <c r="J1300" s="54" t="s">
        <v>1506</v>
      </c>
      <c r="K1300" s="54" t="s">
        <v>1506</v>
      </c>
      <c r="L1300" s="54">
        <v>46220</v>
      </c>
      <c r="M1300" s="54">
        <v>46225</v>
      </c>
      <c r="O1300" s="51" t="str">
        <f t="shared" si="140"/>
        <v/>
      </c>
      <c r="P1300" s="51" t="str">
        <f t="shared" si="141"/>
        <v/>
      </c>
      <c r="Q1300" s="52" t="str">
        <f t="shared" si="142"/>
        <v/>
      </c>
      <c r="R1300" s="52" t="str">
        <f t="shared" si="143"/>
        <v/>
      </c>
      <c r="S1300" s="51" t="str">
        <f t="shared" si="144"/>
        <v/>
      </c>
      <c r="T1300" t="str">
        <f t="shared" si="145"/>
        <v/>
      </c>
      <c r="U1300" s="52" t="str">
        <f t="shared" si="146"/>
        <v/>
      </c>
    </row>
    <row r="1301" spans="2:21" x14ac:dyDescent="0.25">
      <c r="B1301">
        <v>1359</v>
      </c>
      <c r="E1301" t="s">
        <v>1481</v>
      </c>
      <c r="F1301" t="s">
        <v>1482</v>
      </c>
      <c r="G1301">
        <v>92</v>
      </c>
      <c r="H1301" s="48">
        <v>0.20349999999999999</v>
      </c>
      <c r="I1301" s="48">
        <v>0.13739999999999999</v>
      </c>
      <c r="J1301" s="54">
        <v>46190</v>
      </c>
      <c r="K1301" s="54">
        <v>46282</v>
      </c>
      <c r="L1301" s="54">
        <v>46190</v>
      </c>
      <c r="M1301" s="54">
        <v>46281</v>
      </c>
      <c r="O1301" s="51" t="str">
        <f t="shared" si="140"/>
        <v/>
      </c>
      <c r="P1301" s="51" t="str">
        <f t="shared" si="141"/>
        <v/>
      </c>
      <c r="Q1301" s="52" t="str">
        <f t="shared" si="142"/>
        <v/>
      </c>
      <c r="R1301" s="52" t="str">
        <f t="shared" si="143"/>
        <v/>
      </c>
      <c r="S1301" s="51" t="str">
        <f t="shared" si="144"/>
        <v/>
      </c>
      <c r="T1301" t="str">
        <f t="shared" si="145"/>
        <v/>
      </c>
      <c r="U1301" s="52" t="str">
        <f t="shared" si="146"/>
        <v/>
      </c>
    </row>
    <row r="1302" spans="2:21" x14ac:dyDescent="0.25">
      <c r="B1302">
        <v>1360</v>
      </c>
      <c r="E1302" t="s">
        <v>1839</v>
      </c>
      <c r="F1302" t="s">
        <v>1482</v>
      </c>
      <c r="G1302">
        <v>92</v>
      </c>
      <c r="H1302" s="48">
        <v>0.20349999999999999</v>
      </c>
      <c r="I1302" s="48">
        <v>0.13739999999999999</v>
      </c>
      <c r="J1302" s="54">
        <v>46190</v>
      </c>
      <c r="K1302" s="54">
        <v>46282</v>
      </c>
      <c r="L1302" s="54">
        <v>46190</v>
      </c>
      <c r="M1302" s="54">
        <v>46281</v>
      </c>
      <c r="O1302" s="51" t="str">
        <f t="shared" si="140"/>
        <v/>
      </c>
      <c r="P1302" s="51" t="str">
        <f t="shared" si="141"/>
        <v/>
      </c>
      <c r="Q1302" s="52" t="str">
        <f t="shared" si="142"/>
        <v/>
      </c>
      <c r="R1302" s="52" t="str">
        <f t="shared" si="143"/>
        <v/>
      </c>
      <c r="S1302" s="51" t="str">
        <f t="shared" si="144"/>
        <v/>
      </c>
      <c r="T1302" t="str">
        <f t="shared" si="145"/>
        <v/>
      </c>
      <c r="U1302" s="52" t="str">
        <f t="shared" si="146"/>
        <v/>
      </c>
    </row>
    <row r="1303" spans="2:21" x14ac:dyDescent="0.25">
      <c r="B1303">
        <v>1361</v>
      </c>
      <c r="E1303" t="s">
        <v>1840</v>
      </c>
      <c r="F1303" t="s">
        <v>1482</v>
      </c>
      <c r="G1303">
        <v>92</v>
      </c>
      <c r="H1303" s="48">
        <v>0.20349999999999999</v>
      </c>
      <c r="I1303" s="48">
        <v>0.13739999999999999</v>
      </c>
      <c r="J1303" s="54">
        <v>46190</v>
      </c>
      <c r="K1303" s="54">
        <v>46282</v>
      </c>
      <c r="L1303" s="54">
        <v>46190</v>
      </c>
      <c r="M1303" s="54">
        <v>46281</v>
      </c>
      <c r="O1303" s="51" t="str">
        <f t="shared" si="140"/>
        <v/>
      </c>
      <c r="P1303" s="51" t="str">
        <f t="shared" si="141"/>
        <v/>
      </c>
      <c r="Q1303" s="52" t="str">
        <f t="shared" si="142"/>
        <v/>
      </c>
      <c r="R1303" s="52" t="str">
        <f t="shared" si="143"/>
        <v/>
      </c>
      <c r="S1303" s="51" t="str">
        <f t="shared" si="144"/>
        <v/>
      </c>
      <c r="T1303" t="str">
        <f t="shared" si="145"/>
        <v/>
      </c>
      <c r="U1303" s="52" t="str">
        <f t="shared" si="146"/>
        <v/>
      </c>
    </row>
    <row r="1304" spans="2:21" x14ac:dyDescent="0.25">
      <c r="B1304">
        <v>1362</v>
      </c>
      <c r="E1304" t="s">
        <v>1841</v>
      </c>
      <c r="F1304" t="s">
        <v>1479</v>
      </c>
      <c r="G1304">
        <v>44</v>
      </c>
      <c r="H1304" s="48">
        <v>0.99470000000000003</v>
      </c>
      <c r="I1304" s="48">
        <v>0.77439999999999998</v>
      </c>
      <c r="J1304" s="54">
        <v>46190</v>
      </c>
      <c r="K1304" s="54">
        <v>46218</v>
      </c>
      <c r="L1304" s="54">
        <v>46190</v>
      </c>
      <c r="M1304" s="54">
        <v>46233</v>
      </c>
      <c r="O1304" s="51" t="str">
        <f t="shared" si="140"/>
        <v/>
      </c>
      <c r="P1304" s="51" t="str">
        <f t="shared" si="141"/>
        <v/>
      </c>
      <c r="Q1304" s="52" t="str">
        <f t="shared" si="142"/>
        <v/>
      </c>
      <c r="R1304" s="52" t="str">
        <f t="shared" si="143"/>
        <v/>
      </c>
      <c r="S1304" s="51" t="str">
        <f t="shared" si="144"/>
        <v/>
      </c>
      <c r="T1304" t="str">
        <f t="shared" si="145"/>
        <v/>
      </c>
      <c r="U1304" s="52" t="str">
        <f t="shared" si="146"/>
        <v/>
      </c>
    </row>
    <row r="1305" spans="2:21" x14ac:dyDescent="0.25">
      <c r="B1305">
        <v>1363</v>
      </c>
      <c r="E1305" t="s">
        <v>1555</v>
      </c>
      <c r="F1305" t="s">
        <v>1523</v>
      </c>
      <c r="G1305">
        <v>10</v>
      </c>
      <c r="H1305" s="48">
        <v>1</v>
      </c>
      <c r="I1305" s="48">
        <v>1</v>
      </c>
      <c r="J1305" s="54">
        <v>46190</v>
      </c>
      <c r="K1305" s="54">
        <v>46199</v>
      </c>
      <c r="L1305" s="54">
        <v>46190</v>
      </c>
      <c r="M1305" s="54">
        <v>46199</v>
      </c>
      <c r="O1305" s="51" t="str">
        <f t="shared" si="140"/>
        <v/>
      </c>
      <c r="P1305" s="51" t="str">
        <f t="shared" si="141"/>
        <v/>
      </c>
      <c r="Q1305" s="52" t="str">
        <f t="shared" si="142"/>
        <v/>
      </c>
      <c r="R1305" s="52" t="str">
        <f t="shared" si="143"/>
        <v/>
      </c>
      <c r="S1305" s="51" t="str">
        <f t="shared" si="144"/>
        <v/>
      </c>
      <c r="T1305" t="str">
        <f t="shared" si="145"/>
        <v/>
      </c>
      <c r="U1305" s="52" t="str">
        <f t="shared" si="146"/>
        <v/>
      </c>
    </row>
    <row r="1306" spans="2:21" x14ac:dyDescent="0.25">
      <c r="B1306">
        <v>1364</v>
      </c>
      <c r="E1306" t="s">
        <v>1589</v>
      </c>
      <c r="F1306" t="s">
        <v>1523</v>
      </c>
      <c r="G1306">
        <v>10</v>
      </c>
      <c r="H1306" s="48">
        <v>1</v>
      </c>
      <c r="I1306" s="48">
        <v>1</v>
      </c>
      <c r="J1306" s="54">
        <v>46190</v>
      </c>
      <c r="K1306" s="54">
        <v>46199</v>
      </c>
      <c r="L1306" s="54">
        <v>46190</v>
      </c>
      <c r="M1306" s="54">
        <v>46199</v>
      </c>
      <c r="O1306" s="51" t="str">
        <f t="shared" si="140"/>
        <v/>
      </c>
      <c r="P1306" s="51" t="str">
        <f t="shared" si="141"/>
        <v/>
      </c>
      <c r="Q1306" s="52" t="str">
        <f t="shared" si="142"/>
        <v/>
      </c>
      <c r="R1306" s="52" t="str">
        <f t="shared" si="143"/>
        <v/>
      </c>
      <c r="S1306" s="51" t="str">
        <f t="shared" si="144"/>
        <v/>
      </c>
      <c r="T1306" t="str">
        <f t="shared" si="145"/>
        <v/>
      </c>
      <c r="U1306" s="52" t="str">
        <f t="shared" si="146"/>
        <v/>
      </c>
    </row>
    <row r="1307" spans="2:21" x14ac:dyDescent="0.25">
      <c r="B1307">
        <v>1365</v>
      </c>
      <c r="E1307" t="s">
        <v>1560</v>
      </c>
      <c r="F1307" t="s">
        <v>1596</v>
      </c>
      <c r="G1307">
        <v>30</v>
      </c>
      <c r="H1307" s="48">
        <v>0.99119999999999997</v>
      </c>
      <c r="I1307" s="48">
        <v>0.624</v>
      </c>
      <c r="J1307" s="54">
        <v>46199</v>
      </c>
      <c r="K1307" s="54">
        <v>46218</v>
      </c>
      <c r="L1307" s="54">
        <v>46204</v>
      </c>
      <c r="M1307" s="54">
        <v>46233</v>
      </c>
      <c r="O1307" s="51" t="str">
        <f t="shared" si="140"/>
        <v/>
      </c>
      <c r="P1307" s="51" t="str">
        <f t="shared" si="141"/>
        <v/>
      </c>
      <c r="Q1307" s="52" t="str">
        <f t="shared" si="142"/>
        <v/>
      </c>
      <c r="R1307" s="52" t="str">
        <f t="shared" si="143"/>
        <v/>
      </c>
      <c r="S1307" s="51" t="str">
        <f t="shared" si="144"/>
        <v/>
      </c>
      <c r="T1307" t="str">
        <f t="shared" si="145"/>
        <v/>
      </c>
      <c r="U1307" s="52" t="str">
        <f t="shared" si="146"/>
        <v/>
      </c>
    </row>
    <row r="1308" spans="2:21" x14ac:dyDescent="0.25">
      <c r="B1308">
        <v>1366</v>
      </c>
      <c r="E1308" t="s">
        <v>1589</v>
      </c>
      <c r="F1308" t="s">
        <v>1596</v>
      </c>
      <c r="G1308">
        <v>30</v>
      </c>
      <c r="H1308" s="48">
        <v>0.99119999999999997</v>
      </c>
      <c r="I1308" s="48">
        <v>0.624</v>
      </c>
      <c r="J1308" s="54">
        <v>46199</v>
      </c>
      <c r="K1308" s="54">
        <v>46218</v>
      </c>
      <c r="L1308" s="54">
        <v>46204</v>
      </c>
      <c r="M1308" s="54">
        <v>46233</v>
      </c>
      <c r="O1308" s="51" t="str">
        <f t="shared" si="140"/>
        <v/>
      </c>
      <c r="P1308" s="51" t="str">
        <f t="shared" si="141"/>
        <v/>
      </c>
      <c r="Q1308" s="52" t="str">
        <f t="shared" si="142"/>
        <v/>
      </c>
      <c r="R1308" s="52" t="str">
        <f t="shared" si="143"/>
        <v/>
      </c>
      <c r="S1308" s="51" t="str">
        <f t="shared" si="144"/>
        <v/>
      </c>
      <c r="T1308" t="str">
        <f t="shared" si="145"/>
        <v/>
      </c>
      <c r="U1308" s="52" t="str">
        <f t="shared" si="146"/>
        <v/>
      </c>
    </row>
    <row r="1309" spans="2:21" x14ac:dyDescent="0.25">
      <c r="B1309">
        <v>1367</v>
      </c>
      <c r="C1309" t="s">
        <v>117</v>
      </c>
      <c r="D1309" t="s">
        <v>777</v>
      </c>
      <c r="E1309" t="s">
        <v>1842</v>
      </c>
      <c r="F1309" t="s">
        <v>1596</v>
      </c>
      <c r="G1309">
        <v>30</v>
      </c>
      <c r="H1309" s="48">
        <v>0.99650000000000005</v>
      </c>
      <c r="I1309" s="48">
        <v>0.624</v>
      </c>
      <c r="J1309" s="54">
        <v>46199</v>
      </c>
      <c r="K1309" s="54">
        <v>46216</v>
      </c>
      <c r="L1309" s="54">
        <v>46204</v>
      </c>
      <c r="M1309" s="54">
        <v>46233</v>
      </c>
      <c r="O1309" s="51" t="str">
        <f t="shared" si="140"/>
        <v/>
      </c>
      <c r="P1309" s="51" t="str">
        <f t="shared" si="141"/>
        <v/>
      </c>
      <c r="Q1309" s="52" t="str">
        <f t="shared" si="142"/>
        <v/>
      </c>
      <c r="R1309" s="52" t="str">
        <f t="shared" si="143"/>
        <v/>
      </c>
      <c r="S1309" s="51" t="str">
        <f t="shared" si="144"/>
        <v/>
      </c>
      <c r="T1309" t="str">
        <f t="shared" si="145"/>
        <v/>
      </c>
      <c r="U1309" s="52" t="str">
        <f t="shared" si="146"/>
        <v/>
      </c>
    </row>
    <row r="1310" spans="2:21" x14ac:dyDescent="0.25">
      <c r="B1310">
        <v>1368</v>
      </c>
      <c r="C1310" t="s">
        <v>117</v>
      </c>
      <c r="D1310" t="s">
        <v>777</v>
      </c>
      <c r="E1310" t="s">
        <v>1515</v>
      </c>
      <c r="F1310" t="s">
        <v>1559</v>
      </c>
      <c r="G1310">
        <v>17</v>
      </c>
      <c r="H1310" s="48">
        <v>1</v>
      </c>
      <c r="I1310" s="48">
        <v>0.9</v>
      </c>
      <c r="J1310" s="54">
        <v>46199</v>
      </c>
      <c r="K1310" s="54">
        <v>46203</v>
      </c>
      <c r="L1310" s="54">
        <v>46204</v>
      </c>
      <c r="M1310" s="54">
        <v>46220</v>
      </c>
      <c r="O1310" s="51" t="str">
        <f t="shared" si="140"/>
        <v>SIM</v>
      </c>
      <c r="P1310" s="51" t="str">
        <f t="shared" si="141"/>
        <v>BL1132-0001-CI-DBA-2000</v>
      </c>
      <c r="Q1310" s="52">
        <f t="shared" si="142"/>
        <v>46220</v>
      </c>
      <c r="R1310" s="52">
        <f t="shared" si="143"/>
        <v>46203</v>
      </c>
      <c r="S1310" s="51" t="str">
        <f t="shared" si="144"/>
        <v/>
      </c>
      <c r="T1310" t="str">
        <f t="shared" si="145"/>
        <v/>
      </c>
      <c r="U1310" s="52" t="str">
        <f t="shared" si="146"/>
        <v/>
      </c>
    </row>
    <row r="1311" spans="2:21" x14ac:dyDescent="0.25">
      <c r="B1311">
        <v>1369</v>
      </c>
      <c r="C1311" t="s">
        <v>117</v>
      </c>
      <c r="D1311" t="s">
        <v>777</v>
      </c>
      <c r="E1311" t="s">
        <v>1517</v>
      </c>
      <c r="F1311" t="s">
        <v>1519</v>
      </c>
      <c r="G1311">
        <v>6</v>
      </c>
      <c r="H1311" s="48">
        <v>1</v>
      </c>
      <c r="I1311" s="48">
        <v>0</v>
      </c>
      <c r="J1311" s="54">
        <v>46203</v>
      </c>
      <c r="K1311" s="54">
        <v>46206</v>
      </c>
      <c r="L1311" s="54">
        <v>46220</v>
      </c>
      <c r="M1311" s="54">
        <v>46225</v>
      </c>
      <c r="O1311" s="51" t="str">
        <f t="shared" si="140"/>
        <v/>
      </c>
      <c r="P1311" s="51" t="str">
        <f t="shared" si="141"/>
        <v/>
      </c>
      <c r="Q1311" s="52" t="str">
        <f t="shared" si="142"/>
        <v/>
      </c>
      <c r="R1311" s="52" t="str">
        <f t="shared" si="143"/>
        <v/>
      </c>
      <c r="S1311" s="51" t="str">
        <f t="shared" si="144"/>
        <v/>
      </c>
      <c r="T1311" t="str">
        <f t="shared" si="145"/>
        <v/>
      </c>
      <c r="U1311" s="52" t="str">
        <f t="shared" si="146"/>
        <v/>
      </c>
    </row>
    <row r="1312" spans="2:21" x14ac:dyDescent="0.25">
      <c r="B1312">
        <v>1370</v>
      </c>
      <c r="C1312" t="s">
        <v>117</v>
      </c>
      <c r="D1312" t="s">
        <v>777</v>
      </c>
      <c r="E1312" t="s">
        <v>1518</v>
      </c>
      <c r="F1312" t="s">
        <v>1519</v>
      </c>
      <c r="G1312">
        <v>6</v>
      </c>
      <c r="H1312" s="48">
        <v>1</v>
      </c>
      <c r="I1312" s="48">
        <v>0</v>
      </c>
      <c r="J1312" s="54">
        <v>46206</v>
      </c>
      <c r="K1312" s="54">
        <v>46211</v>
      </c>
      <c r="L1312" s="54">
        <v>46225</v>
      </c>
      <c r="M1312" s="54">
        <v>46230</v>
      </c>
      <c r="O1312" s="51" t="str">
        <f t="shared" si="140"/>
        <v/>
      </c>
      <c r="P1312" s="51" t="str">
        <f t="shared" si="141"/>
        <v/>
      </c>
      <c r="Q1312" s="52" t="str">
        <f t="shared" si="142"/>
        <v/>
      </c>
      <c r="R1312" s="52" t="str">
        <f t="shared" si="143"/>
        <v/>
      </c>
      <c r="S1312" s="51" t="str">
        <f t="shared" si="144"/>
        <v>SIM</v>
      </c>
      <c r="T1312" t="str">
        <f t="shared" si="145"/>
        <v>BL1132-0001-CI-DBA-2000</v>
      </c>
      <c r="U1312" s="52">
        <f t="shared" si="146"/>
        <v>46230</v>
      </c>
    </row>
    <row r="1313" spans="2:21" x14ac:dyDescent="0.25">
      <c r="B1313">
        <v>1371</v>
      </c>
      <c r="C1313" t="s">
        <v>117</v>
      </c>
      <c r="D1313" t="s">
        <v>777</v>
      </c>
      <c r="E1313" t="s">
        <v>1520</v>
      </c>
      <c r="F1313" t="s">
        <v>1519</v>
      </c>
      <c r="G1313">
        <v>4</v>
      </c>
      <c r="H1313" s="48">
        <v>0.87</v>
      </c>
      <c r="I1313" s="48">
        <v>0</v>
      </c>
      <c r="J1313" s="54">
        <v>46211</v>
      </c>
      <c r="K1313" s="54">
        <v>46216</v>
      </c>
      <c r="L1313" s="54">
        <v>46230</v>
      </c>
      <c r="M1313" s="54">
        <v>46233</v>
      </c>
      <c r="O1313" s="51" t="str">
        <f t="shared" si="140"/>
        <v/>
      </c>
      <c r="P1313" s="51" t="str">
        <f t="shared" si="141"/>
        <v/>
      </c>
      <c r="Q1313" s="52" t="str">
        <f t="shared" si="142"/>
        <v/>
      </c>
      <c r="R1313" s="52" t="str">
        <f t="shared" si="143"/>
        <v/>
      </c>
      <c r="S1313" s="51" t="str">
        <f t="shared" si="144"/>
        <v/>
      </c>
      <c r="T1313" t="str">
        <f t="shared" si="145"/>
        <v/>
      </c>
      <c r="U1313" s="52" t="str">
        <f t="shared" si="146"/>
        <v/>
      </c>
    </row>
    <row r="1314" spans="2:21" x14ac:dyDescent="0.25">
      <c r="B1314">
        <v>1372</v>
      </c>
      <c r="C1314" t="s">
        <v>118</v>
      </c>
      <c r="D1314" t="s">
        <v>782</v>
      </c>
      <c r="E1314" t="s">
        <v>1843</v>
      </c>
      <c r="F1314" t="s">
        <v>1596</v>
      </c>
      <c r="G1314">
        <v>30</v>
      </c>
      <c r="H1314" s="48">
        <v>0.9859</v>
      </c>
      <c r="I1314" s="48">
        <v>0.624</v>
      </c>
      <c r="J1314" s="54">
        <v>46203</v>
      </c>
      <c r="K1314" s="54">
        <v>46218</v>
      </c>
      <c r="L1314" s="54">
        <v>46204</v>
      </c>
      <c r="M1314" s="54">
        <v>46233</v>
      </c>
      <c r="O1314" s="51" t="str">
        <f t="shared" si="140"/>
        <v/>
      </c>
      <c r="P1314" s="51" t="str">
        <f t="shared" si="141"/>
        <v/>
      </c>
      <c r="Q1314" s="52" t="str">
        <f t="shared" si="142"/>
        <v/>
      </c>
      <c r="R1314" s="52" t="str">
        <f t="shared" si="143"/>
        <v/>
      </c>
      <c r="S1314" s="51" t="str">
        <f t="shared" si="144"/>
        <v/>
      </c>
      <c r="T1314" t="str">
        <f t="shared" si="145"/>
        <v/>
      </c>
      <c r="U1314" s="52" t="str">
        <f t="shared" si="146"/>
        <v/>
      </c>
    </row>
    <row r="1315" spans="2:21" x14ac:dyDescent="0.25">
      <c r="B1315">
        <v>1373</v>
      </c>
      <c r="C1315" t="s">
        <v>118</v>
      </c>
      <c r="D1315" t="s">
        <v>782</v>
      </c>
      <c r="E1315" t="s">
        <v>1515</v>
      </c>
      <c r="F1315" t="s">
        <v>1559</v>
      </c>
      <c r="G1315">
        <v>17</v>
      </c>
      <c r="H1315" s="48">
        <v>1</v>
      </c>
      <c r="I1315" s="48">
        <v>0.9</v>
      </c>
      <c r="J1315" s="54">
        <v>46203</v>
      </c>
      <c r="K1315" s="54">
        <v>46205</v>
      </c>
      <c r="L1315" s="54">
        <v>46204</v>
      </c>
      <c r="M1315" s="54">
        <v>46220</v>
      </c>
      <c r="O1315" s="51" t="str">
        <f t="shared" si="140"/>
        <v>SIM</v>
      </c>
      <c r="P1315" s="51" t="str">
        <f t="shared" si="141"/>
        <v>BL1132-0001-CI-DBA-2001</v>
      </c>
      <c r="Q1315" s="52">
        <f t="shared" si="142"/>
        <v>46220</v>
      </c>
      <c r="R1315" s="52">
        <f t="shared" si="143"/>
        <v>46205</v>
      </c>
      <c r="S1315" s="51" t="str">
        <f t="shared" si="144"/>
        <v/>
      </c>
      <c r="T1315" t="str">
        <f t="shared" si="145"/>
        <v/>
      </c>
      <c r="U1315" s="52" t="str">
        <f t="shared" si="146"/>
        <v/>
      </c>
    </row>
    <row r="1316" spans="2:21" x14ac:dyDescent="0.25">
      <c r="B1316">
        <v>1374</v>
      </c>
      <c r="C1316" t="s">
        <v>118</v>
      </c>
      <c r="D1316" t="s">
        <v>782</v>
      </c>
      <c r="E1316" t="s">
        <v>1517</v>
      </c>
      <c r="F1316" t="s">
        <v>1519</v>
      </c>
      <c r="G1316">
        <v>6</v>
      </c>
      <c r="H1316" s="48">
        <v>1</v>
      </c>
      <c r="I1316" s="48">
        <v>0</v>
      </c>
      <c r="J1316" s="54">
        <v>46205</v>
      </c>
      <c r="K1316" s="54">
        <v>46210</v>
      </c>
      <c r="L1316" s="54">
        <v>46220</v>
      </c>
      <c r="M1316" s="54">
        <v>46225</v>
      </c>
      <c r="O1316" s="51" t="str">
        <f t="shared" si="140"/>
        <v/>
      </c>
      <c r="P1316" s="51" t="str">
        <f t="shared" si="141"/>
        <v/>
      </c>
      <c r="Q1316" s="52" t="str">
        <f t="shared" si="142"/>
        <v/>
      </c>
      <c r="R1316" s="52" t="str">
        <f t="shared" si="143"/>
        <v/>
      </c>
      <c r="S1316" s="51" t="str">
        <f t="shared" si="144"/>
        <v/>
      </c>
      <c r="T1316" t="str">
        <f t="shared" si="145"/>
        <v/>
      </c>
      <c r="U1316" s="52" t="str">
        <f t="shared" si="146"/>
        <v/>
      </c>
    </row>
    <row r="1317" spans="2:21" x14ac:dyDescent="0.25">
      <c r="B1317">
        <v>1375</v>
      </c>
      <c r="C1317" t="s">
        <v>118</v>
      </c>
      <c r="D1317" t="s">
        <v>782</v>
      </c>
      <c r="E1317" t="s">
        <v>1518</v>
      </c>
      <c r="F1317" t="s">
        <v>1519</v>
      </c>
      <c r="G1317">
        <v>6</v>
      </c>
      <c r="H1317" s="48">
        <v>1</v>
      </c>
      <c r="I1317" s="48">
        <v>0</v>
      </c>
      <c r="J1317" s="54">
        <v>46210</v>
      </c>
      <c r="K1317" s="54">
        <v>46213</v>
      </c>
      <c r="L1317" s="54">
        <v>46225</v>
      </c>
      <c r="M1317" s="54">
        <v>46230</v>
      </c>
      <c r="O1317" s="51" t="str">
        <f t="shared" si="140"/>
        <v/>
      </c>
      <c r="P1317" s="51" t="str">
        <f t="shared" si="141"/>
        <v/>
      </c>
      <c r="Q1317" s="52" t="str">
        <f t="shared" si="142"/>
        <v/>
      </c>
      <c r="R1317" s="52" t="str">
        <f t="shared" si="143"/>
        <v/>
      </c>
      <c r="S1317" s="51" t="str">
        <f t="shared" si="144"/>
        <v>SIM</v>
      </c>
      <c r="T1317" t="str">
        <f t="shared" si="145"/>
        <v>BL1132-0001-CI-DBA-2001</v>
      </c>
      <c r="U1317" s="52">
        <f t="shared" si="146"/>
        <v>46230</v>
      </c>
    </row>
    <row r="1318" spans="2:21" x14ac:dyDescent="0.25">
      <c r="B1318">
        <v>1376</v>
      </c>
      <c r="C1318" t="s">
        <v>118</v>
      </c>
      <c r="D1318" t="s">
        <v>782</v>
      </c>
      <c r="E1318" t="s">
        <v>1520</v>
      </c>
      <c r="F1318" t="s">
        <v>1519</v>
      </c>
      <c r="G1318">
        <v>4</v>
      </c>
      <c r="H1318" s="48">
        <v>0.47</v>
      </c>
      <c r="I1318" s="48">
        <v>0</v>
      </c>
      <c r="J1318" s="54">
        <v>46213</v>
      </c>
      <c r="K1318" s="54">
        <v>46218</v>
      </c>
      <c r="L1318" s="54">
        <v>46230</v>
      </c>
      <c r="M1318" s="54">
        <v>46233</v>
      </c>
      <c r="O1318" s="51" t="str">
        <f t="shared" si="140"/>
        <v/>
      </c>
      <c r="P1318" s="51" t="str">
        <f t="shared" si="141"/>
        <v/>
      </c>
      <c r="Q1318" s="52" t="str">
        <f t="shared" si="142"/>
        <v/>
      </c>
      <c r="R1318" s="52" t="str">
        <f t="shared" si="143"/>
        <v/>
      </c>
      <c r="S1318" s="51" t="str">
        <f t="shared" si="144"/>
        <v/>
      </c>
      <c r="T1318" t="str">
        <f t="shared" si="145"/>
        <v/>
      </c>
      <c r="U1318" s="52" t="str">
        <f t="shared" si="146"/>
        <v/>
      </c>
    </row>
    <row r="1319" spans="2:21" x14ac:dyDescent="0.25">
      <c r="B1319">
        <v>1377</v>
      </c>
      <c r="E1319" t="s">
        <v>1844</v>
      </c>
      <c r="F1319" t="s">
        <v>1845</v>
      </c>
      <c r="G1319">
        <v>77</v>
      </c>
      <c r="H1319" s="48">
        <v>0.10639999999999999</v>
      </c>
      <c r="I1319" s="48">
        <v>5.9299999999999999E-2</v>
      </c>
      <c r="J1319" s="54">
        <v>46205</v>
      </c>
      <c r="K1319" s="54">
        <v>46282</v>
      </c>
      <c r="L1319" s="54">
        <v>46205</v>
      </c>
      <c r="M1319" s="54">
        <v>46281</v>
      </c>
      <c r="O1319" s="51" t="str">
        <f t="shared" si="140"/>
        <v/>
      </c>
      <c r="P1319" s="51" t="str">
        <f t="shared" si="141"/>
        <v/>
      </c>
      <c r="Q1319" s="52" t="str">
        <f t="shared" si="142"/>
        <v/>
      </c>
      <c r="R1319" s="52" t="str">
        <f t="shared" si="143"/>
        <v/>
      </c>
      <c r="S1319" s="51" t="str">
        <f t="shared" si="144"/>
        <v/>
      </c>
      <c r="T1319" t="str">
        <f t="shared" si="145"/>
        <v/>
      </c>
      <c r="U1319" s="52" t="str">
        <f t="shared" si="146"/>
        <v/>
      </c>
    </row>
    <row r="1320" spans="2:21" x14ac:dyDescent="0.25">
      <c r="B1320">
        <v>1378</v>
      </c>
      <c r="E1320" t="s">
        <v>1555</v>
      </c>
      <c r="F1320" t="s">
        <v>1590</v>
      </c>
      <c r="G1320">
        <v>56</v>
      </c>
      <c r="H1320" s="48">
        <v>0.28399999999999997</v>
      </c>
      <c r="I1320" s="48">
        <v>0.2</v>
      </c>
      <c r="J1320" s="54">
        <v>46205</v>
      </c>
      <c r="K1320" s="54">
        <v>46245</v>
      </c>
      <c r="L1320" s="54">
        <v>46205</v>
      </c>
      <c r="M1320" s="54">
        <v>46260</v>
      </c>
      <c r="O1320" s="51" t="str">
        <f t="shared" si="140"/>
        <v/>
      </c>
      <c r="P1320" s="51" t="str">
        <f t="shared" si="141"/>
        <v/>
      </c>
      <c r="Q1320" s="52" t="str">
        <f t="shared" si="142"/>
        <v/>
      </c>
      <c r="R1320" s="52" t="str">
        <f t="shared" si="143"/>
        <v/>
      </c>
      <c r="S1320" s="51" t="str">
        <f t="shared" si="144"/>
        <v/>
      </c>
      <c r="T1320" t="str">
        <f t="shared" si="145"/>
        <v/>
      </c>
      <c r="U1320" s="52" t="str">
        <f t="shared" si="146"/>
        <v/>
      </c>
    </row>
    <row r="1321" spans="2:21" x14ac:dyDescent="0.25">
      <c r="B1321">
        <v>1379</v>
      </c>
      <c r="E1321" t="s">
        <v>1688</v>
      </c>
      <c r="F1321" t="s">
        <v>1528</v>
      </c>
      <c r="G1321">
        <v>8</v>
      </c>
      <c r="H1321" s="48">
        <v>0</v>
      </c>
      <c r="I1321" s="48">
        <v>0</v>
      </c>
      <c r="J1321" s="54">
        <v>46227</v>
      </c>
      <c r="K1321" s="54">
        <v>46239</v>
      </c>
      <c r="L1321" s="54">
        <v>46234</v>
      </c>
      <c r="M1321" s="54">
        <v>46241</v>
      </c>
      <c r="O1321" s="51" t="str">
        <f t="shared" si="140"/>
        <v/>
      </c>
      <c r="P1321" s="51" t="str">
        <f t="shared" si="141"/>
        <v/>
      </c>
      <c r="Q1321" s="52" t="str">
        <f t="shared" si="142"/>
        <v/>
      </c>
      <c r="R1321" s="52" t="str">
        <f t="shared" si="143"/>
        <v/>
      </c>
      <c r="S1321" s="51" t="str">
        <f t="shared" si="144"/>
        <v/>
      </c>
      <c r="T1321" t="str">
        <f t="shared" si="145"/>
        <v/>
      </c>
      <c r="U1321" s="52" t="str">
        <f t="shared" si="146"/>
        <v/>
      </c>
    </row>
    <row r="1322" spans="2:21" x14ac:dyDescent="0.25">
      <c r="B1322">
        <v>1380</v>
      </c>
      <c r="E1322" t="s">
        <v>1558</v>
      </c>
      <c r="F1322" t="s">
        <v>1605</v>
      </c>
      <c r="G1322">
        <v>9</v>
      </c>
      <c r="H1322" s="48">
        <v>0.42</v>
      </c>
      <c r="I1322" s="48">
        <v>1</v>
      </c>
      <c r="J1322" s="54">
        <v>46212</v>
      </c>
      <c r="K1322" s="54">
        <v>46220</v>
      </c>
      <c r="L1322" s="54">
        <v>46205</v>
      </c>
      <c r="M1322" s="54">
        <v>46213</v>
      </c>
      <c r="O1322" s="51" t="str">
        <f t="shared" si="140"/>
        <v/>
      </c>
      <c r="P1322" s="51" t="str">
        <f t="shared" si="141"/>
        <v/>
      </c>
      <c r="Q1322" s="52" t="str">
        <f t="shared" si="142"/>
        <v/>
      </c>
      <c r="R1322" s="52" t="str">
        <f t="shared" si="143"/>
        <v/>
      </c>
      <c r="S1322" s="51" t="str">
        <f t="shared" si="144"/>
        <v/>
      </c>
      <c r="T1322" t="str">
        <f t="shared" si="145"/>
        <v/>
      </c>
      <c r="U1322" s="52" t="str">
        <f t="shared" si="146"/>
        <v/>
      </c>
    </row>
    <row r="1323" spans="2:21" x14ac:dyDescent="0.25">
      <c r="B1323">
        <v>1381</v>
      </c>
      <c r="E1323" t="s">
        <v>1589</v>
      </c>
      <c r="F1323" t="s">
        <v>1528</v>
      </c>
      <c r="G1323">
        <v>8</v>
      </c>
      <c r="H1323" s="48">
        <v>1</v>
      </c>
      <c r="I1323" s="48">
        <v>0</v>
      </c>
      <c r="J1323" s="54">
        <v>46205</v>
      </c>
      <c r="K1323" s="54">
        <v>46212</v>
      </c>
      <c r="L1323" s="54">
        <v>46220</v>
      </c>
      <c r="M1323" s="54">
        <v>46227</v>
      </c>
      <c r="O1323" s="51" t="str">
        <f t="shared" si="140"/>
        <v/>
      </c>
      <c r="P1323" s="51" t="str">
        <f t="shared" si="141"/>
        <v/>
      </c>
      <c r="Q1323" s="52" t="str">
        <f t="shared" si="142"/>
        <v/>
      </c>
      <c r="R1323" s="52" t="str">
        <f t="shared" si="143"/>
        <v/>
      </c>
      <c r="S1323" s="51" t="str">
        <f t="shared" si="144"/>
        <v/>
      </c>
      <c r="T1323" t="str">
        <f t="shared" si="145"/>
        <v/>
      </c>
      <c r="U1323" s="52" t="str">
        <f t="shared" si="146"/>
        <v/>
      </c>
    </row>
    <row r="1324" spans="2:21" x14ac:dyDescent="0.25">
      <c r="B1324">
        <v>1382</v>
      </c>
      <c r="E1324" t="s">
        <v>1572</v>
      </c>
      <c r="F1324" t="s">
        <v>1516</v>
      </c>
      <c r="G1324">
        <v>13</v>
      </c>
      <c r="H1324" s="48">
        <v>0</v>
      </c>
      <c r="I1324" s="48">
        <v>0</v>
      </c>
      <c r="J1324" s="54">
        <v>46233</v>
      </c>
      <c r="K1324" s="54">
        <v>46245</v>
      </c>
      <c r="L1324" s="54">
        <v>46248</v>
      </c>
      <c r="M1324" s="54">
        <v>46260</v>
      </c>
      <c r="O1324" s="51" t="str">
        <f t="shared" si="140"/>
        <v/>
      </c>
      <c r="P1324" s="51" t="str">
        <f t="shared" si="141"/>
        <v/>
      </c>
      <c r="Q1324" s="52" t="str">
        <f t="shared" si="142"/>
        <v/>
      </c>
      <c r="R1324" s="52" t="str">
        <f t="shared" si="143"/>
        <v/>
      </c>
      <c r="S1324" s="51" t="str">
        <f t="shared" si="144"/>
        <v/>
      </c>
      <c r="T1324" t="str">
        <f t="shared" si="145"/>
        <v/>
      </c>
      <c r="U1324" s="52" t="str">
        <f t="shared" si="146"/>
        <v/>
      </c>
    </row>
    <row r="1325" spans="2:21" x14ac:dyDescent="0.25">
      <c r="B1325">
        <v>1383</v>
      </c>
      <c r="E1325" t="s">
        <v>1689</v>
      </c>
      <c r="F1325" t="s">
        <v>1528</v>
      </c>
      <c r="G1325">
        <v>8</v>
      </c>
      <c r="H1325" s="48">
        <v>0</v>
      </c>
      <c r="I1325" s="48">
        <v>0</v>
      </c>
      <c r="J1325" s="54">
        <v>46220</v>
      </c>
      <c r="K1325" s="54">
        <v>46227</v>
      </c>
      <c r="L1325" s="54">
        <v>46227</v>
      </c>
      <c r="M1325" s="54">
        <v>46234</v>
      </c>
      <c r="O1325" s="51" t="str">
        <f t="shared" si="140"/>
        <v/>
      </c>
      <c r="P1325" s="51" t="str">
        <f t="shared" si="141"/>
        <v/>
      </c>
      <c r="Q1325" s="52" t="str">
        <f t="shared" si="142"/>
        <v/>
      </c>
      <c r="R1325" s="52" t="str">
        <f t="shared" si="143"/>
        <v/>
      </c>
      <c r="S1325" s="51" t="str">
        <f t="shared" si="144"/>
        <v/>
      </c>
      <c r="T1325" t="str">
        <f t="shared" si="145"/>
        <v/>
      </c>
      <c r="U1325" s="52" t="str">
        <f t="shared" si="146"/>
        <v/>
      </c>
    </row>
    <row r="1326" spans="2:21" x14ac:dyDescent="0.25">
      <c r="B1326">
        <v>1384</v>
      </c>
      <c r="E1326" t="s">
        <v>1560</v>
      </c>
      <c r="F1326" t="s">
        <v>1762</v>
      </c>
      <c r="G1326">
        <v>69</v>
      </c>
      <c r="H1326" s="48">
        <v>4.87E-2</v>
      </c>
      <c r="I1326" s="48">
        <v>1.35E-2</v>
      </c>
      <c r="J1326" s="54">
        <v>46212</v>
      </c>
      <c r="K1326" s="54">
        <v>46282</v>
      </c>
      <c r="L1326" s="54">
        <v>46213</v>
      </c>
      <c r="M1326" s="54">
        <v>46281</v>
      </c>
      <c r="O1326" s="51" t="str">
        <f t="shared" si="140"/>
        <v/>
      </c>
      <c r="P1326" s="51" t="str">
        <f t="shared" si="141"/>
        <v/>
      </c>
      <c r="Q1326" s="52" t="str">
        <f t="shared" si="142"/>
        <v/>
      </c>
      <c r="R1326" s="52" t="str">
        <f t="shared" si="143"/>
        <v/>
      </c>
      <c r="S1326" s="51" t="str">
        <f t="shared" si="144"/>
        <v/>
      </c>
      <c r="T1326" t="str">
        <f t="shared" si="145"/>
        <v/>
      </c>
      <c r="U1326" s="52" t="str">
        <f t="shared" si="146"/>
        <v/>
      </c>
    </row>
    <row r="1327" spans="2:21" x14ac:dyDescent="0.25">
      <c r="B1327">
        <v>1385</v>
      </c>
      <c r="E1327" t="s">
        <v>1688</v>
      </c>
      <c r="F1327" t="s">
        <v>1770</v>
      </c>
      <c r="G1327">
        <v>40</v>
      </c>
      <c r="H1327" s="48">
        <v>0</v>
      </c>
      <c r="I1327" s="48">
        <v>0</v>
      </c>
      <c r="J1327" s="54">
        <v>46239</v>
      </c>
      <c r="K1327" s="54">
        <v>46282</v>
      </c>
      <c r="L1327" s="54">
        <v>46241</v>
      </c>
      <c r="M1327" s="54">
        <v>46280</v>
      </c>
      <c r="O1327" s="51" t="str">
        <f t="shared" si="140"/>
        <v/>
      </c>
      <c r="P1327" s="51" t="str">
        <f t="shared" si="141"/>
        <v/>
      </c>
      <c r="Q1327" s="52" t="str">
        <f t="shared" si="142"/>
        <v/>
      </c>
      <c r="R1327" s="52" t="str">
        <f t="shared" si="143"/>
        <v/>
      </c>
      <c r="S1327" s="51" t="str">
        <f t="shared" si="144"/>
        <v/>
      </c>
      <c r="T1327" t="str">
        <f t="shared" si="145"/>
        <v/>
      </c>
      <c r="U1327" s="52" t="str">
        <f t="shared" si="146"/>
        <v/>
      </c>
    </row>
    <row r="1328" spans="2:21" x14ac:dyDescent="0.25">
      <c r="B1328">
        <v>1386</v>
      </c>
      <c r="C1328" t="s">
        <v>148</v>
      </c>
      <c r="D1328" t="s">
        <v>910</v>
      </c>
      <c r="E1328" t="s">
        <v>1658</v>
      </c>
      <c r="F1328" t="s">
        <v>1559</v>
      </c>
      <c r="G1328">
        <v>19</v>
      </c>
      <c r="H1328" s="48">
        <v>0</v>
      </c>
      <c r="I1328" s="48">
        <v>0</v>
      </c>
      <c r="J1328" s="54">
        <v>46239</v>
      </c>
      <c r="K1328" s="54">
        <v>46255</v>
      </c>
      <c r="L1328" s="54">
        <v>46241</v>
      </c>
      <c r="M1328" s="54">
        <v>46259</v>
      </c>
      <c r="O1328" s="51" t="str">
        <f t="shared" si="140"/>
        <v/>
      </c>
      <c r="P1328" s="51" t="str">
        <f t="shared" si="141"/>
        <v/>
      </c>
      <c r="Q1328" s="52" t="str">
        <f t="shared" si="142"/>
        <v/>
      </c>
      <c r="R1328" s="52" t="str">
        <f t="shared" si="143"/>
        <v/>
      </c>
      <c r="S1328" s="51" t="str">
        <f t="shared" si="144"/>
        <v/>
      </c>
      <c r="T1328" t="str">
        <f t="shared" si="145"/>
        <v/>
      </c>
      <c r="U1328" s="52" t="str">
        <f t="shared" si="146"/>
        <v/>
      </c>
    </row>
    <row r="1329" spans="2:21" x14ac:dyDescent="0.25">
      <c r="B1329">
        <v>1387</v>
      </c>
      <c r="C1329" t="s">
        <v>148</v>
      </c>
      <c r="D1329" t="s">
        <v>910</v>
      </c>
      <c r="E1329" t="s">
        <v>1515</v>
      </c>
      <c r="F1329" t="s">
        <v>1519</v>
      </c>
      <c r="G1329">
        <v>6</v>
      </c>
      <c r="H1329" s="48">
        <v>0</v>
      </c>
      <c r="I1329" s="48">
        <v>0</v>
      </c>
      <c r="J1329" s="54">
        <v>46239</v>
      </c>
      <c r="K1329" s="54">
        <v>46244</v>
      </c>
      <c r="L1329" s="54">
        <v>46241</v>
      </c>
      <c r="M1329" s="54">
        <v>46246</v>
      </c>
      <c r="O1329" s="51" t="str">
        <f t="shared" si="140"/>
        <v>SIM</v>
      </c>
      <c r="P1329" s="51" t="str">
        <f t="shared" si="141"/>
        <v>BL1132-0001-EL-EDP-2002</v>
      </c>
      <c r="Q1329" s="52">
        <f t="shared" si="142"/>
        <v>46246</v>
      </c>
      <c r="R1329" s="52">
        <f t="shared" si="143"/>
        <v>46244</v>
      </c>
      <c r="S1329" s="51" t="str">
        <f t="shared" si="144"/>
        <v/>
      </c>
      <c r="T1329" t="str">
        <f t="shared" si="145"/>
        <v/>
      </c>
      <c r="U1329" s="52" t="str">
        <f t="shared" si="146"/>
        <v/>
      </c>
    </row>
    <row r="1330" spans="2:21" x14ac:dyDescent="0.25">
      <c r="B1330">
        <v>1388</v>
      </c>
      <c r="C1330" t="s">
        <v>148</v>
      </c>
      <c r="D1330" t="s">
        <v>910</v>
      </c>
      <c r="E1330" t="s">
        <v>1517</v>
      </c>
      <c r="F1330" t="s">
        <v>1519</v>
      </c>
      <c r="G1330">
        <v>6</v>
      </c>
      <c r="H1330" s="48">
        <v>0</v>
      </c>
      <c r="I1330" s="48">
        <v>0</v>
      </c>
      <c r="J1330" s="54">
        <v>46244</v>
      </c>
      <c r="K1330" s="54">
        <v>46247</v>
      </c>
      <c r="L1330" s="54">
        <v>46246</v>
      </c>
      <c r="M1330" s="54">
        <v>46251</v>
      </c>
      <c r="O1330" s="51" t="str">
        <f t="shared" si="140"/>
        <v/>
      </c>
      <c r="P1330" s="51" t="str">
        <f t="shared" si="141"/>
        <v/>
      </c>
      <c r="Q1330" s="52" t="str">
        <f t="shared" si="142"/>
        <v/>
      </c>
      <c r="R1330" s="52" t="str">
        <f t="shared" si="143"/>
        <v/>
      </c>
      <c r="S1330" s="51" t="str">
        <f t="shared" si="144"/>
        <v/>
      </c>
      <c r="T1330" t="str">
        <f t="shared" si="145"/>
        <v/>
      </c>
      <c r="U1330" s="52" t="str">
        <f t="shared" si="146"/>
        <v/>
      </c>
    </row>
    <row r="1331" spans="2:21" x14ac:dyDescent="0.25">
      <c r="B1331">
        <v>1389</v>
      </c>
      <c r="C1331" t="s">
        <v>148</v>
      </c>
      <c r="D1331" t="s">
        <v>910</v>
      </c>
      <c r="E1331" t="s">
        <v>1518</v>
      </c>
      <c r="F1331" t="s">
        <v>1519</v>
      </c>
      <c r="G1331">
        <v>4</v>
      </c>
      <c r="H1331" s="48">
        <v>0</v>
      </c>
      <c r="I1331" s="48">
        <v>0</v>
      </c>
      <c r="J1331" s="54">
        <v>46247</v>
      </c>
      <c r="K1331" s="54">
        <v>46252</v>
      </c>
      <c r="L1331" s="54">
        <v>46251</v>
      </c>
      <c r="M1331" s="54">
        <v>46254</v>
      </c>
      <c r="O1331" s="51" t="str">
        <f t="shared" si="140"/>
        <v/>
      </c>
      <c r="P1331" s="51" t="str">
        <f t="shared" si="141"/>
        <v/>
      </c>
      <c r="Q1331" s="52" t="str">
        <f t="shared" si="142"/>
        <v/>
      </c>
      <c r="R1331" s="52" t="str">
        <f t="shared" si="143"/>
        <v/>
      </c>
      <c r="S1331" s="51" t="str">
        <f t="shared" si="144"/>
        <v>SIM</v>
      </c>
      <c r="T1331" t="str">
        <f t="shared" si="145"/>
        <v>BL1132-0001-EL-EDP-2002</v>
      </c>
      <c r="U1331" s="52">
        <f t="shared" si="146"/>
        <v>46254</v>
      </c>
    </row>
    <row r="1332" spans="2:21" x14ac:dyDescent="0.25">
      <c r="B1332">
        <v>1390</v>
      </c>
      <c r="C1332" t="s">
        <v>148</v>
      </c>
      <c r="D1332" t="s">
        <v>910</v>
      </c>
      <c r="E1332" t="s">
        <v>1520</v>
      </c>
      <c r="F1332" t="s">
        <v>1519</v>
      </c>
      <c r="G1332">
        <v>6</v>
      </c>
      <c r="H1332" s="48">
        <v>0</v>
      </c>
      <c r="I1332" s="48">
        <v>0</v>
      </c>
      <c r="J1332" s="54">
        <v>46252</v>
      </c>
      <c r="K1332" s="54">
        <v>46255</v>
      </c>
      <c r="L1332" s="54">
        <v>46254</v>
      </c>
      <c r="M1332" s="54">
        <v>46259</v>
      </c>
      <c r="O1332" s="51" t="str">
        <f t="shared" si="140"/>
        <v/>
      </c>
      <c r="P1332" s="51" t="str">
        <f t="shared" si="141"/>
        <v/>
      </c>
      <c r="Q1332" s="52" t="str">
        <f t="shared" si="142"/>
        <v/>
      </c>
      <c r="R1332" s="52" t="str">
        <f t="shared" si="143"/>
        <v/>
      </c>
      <c r="S1332" s="51" t="str">
        <f t="shared" si="144"/>
        <v/>
      </c>
      <c r="T1332" t="str">
        <f t="shared" si="145"/>
        <v/>
      </c>
      <c r="U1332" s="52" t="str">
        <f t="shared" si="146"/>
        <v/>
      </c>
    </row>
    <row r="1333" spans="2:21" x14ac:dyDescent="0.25">
      <c r="B1333">
        <v>1391</v>
      </c>
      <c r="C1333" t="s">
        <v>168</v>
      </c>
      <c r="D1333" t="s">
        <v>998</v>
      </c>
      <c r="E1333" t="s">
        <v>1660</v>
      </c>
      <c r="F1333" t="s">
        <v>1535</v>
      </c>
      <c r="G1333">
        <v>20</v>
      </c>
      <c r="H1333" s="48">
        <v>0</v>
      </c>
      <c r="I1333" s="48">
        <v>0</v>
      </c>
      <c r="J1333" s="54">
        <v>46244</v>
      </c>
      <c r="K1333" s="54">
        <v>46261</v>
      </c>
      <c r="L1333" s="54">
        <v>46246</v>
      </c>
      <c r="M1333" s="54">
        <v>46265</v>
      </c>
      <c r="O1333" s="51" t="str">
        <f t="shared" si="140"/>
        <v/>
      </c>
      <c r="P1333" s="51" t="str">
        <f t="shared" si="141"/>
        <v/>
      </c>
      <c r="Q1333" s="52" t="str">
        <f t="shared" si="142"/>
        <v/>
      </c>
      <c r="R1333" s="52" t="str">
        <f t="shared" si="143"/>
        <v/>
      </c>
      <c r="S1333" s="51" t="str">
        <f t="shared" si="144"/>
        <v/>
      </c>
      <c r="T1333" t="str">
        <f t="shared" si="145"/>
        <v/>
      </c>
      <c r="U1333" s="52" t="str">
        <f t="shared" si="146"/>
        <v/>
      </c>
    </row>
    <row r="1334" spans="2:21" x14ac:dyDescent="0.25">
      <c r="B1334">
        <v>1392</v>
      </c>
      <c r="C1334" t="s">
        <v>168</v>
      </c>
      <c r="D1334" t="s">
        <v>998</v>
      </c>
      <c r="E1334" t="s">
        <v>1515</v>
      </c>
      <c r="F1334" t="s">
        <v>1525</v>
      </c>
      <c r="G1334">
        <v>7</v>
      </c>
      <c r="H1334" s="48">
        <v>0</v>
      </c>
      <c r="I1334" s="48">
        <v>0</v>
      </c>
      <c r="J1334" s="54">
        <v>46244</v>
      </c>
      <c r="K1334" s="54">
        <v>46248</v>
      </c>
      <c r="L1334" s="54">
        <v>46246</v>
      </c>
      <c r="M1334" s="54">
        <v>46252</v>
      </c>
      <c r="O1334" s="51" t="str">
        <f t="shared" si="140"/>
        <v>SIM</v>
      </c>
      <c r="P1334" s="51" t="str">
        <f t="shared" si="141"/>
        <v>BL1132-0001-EL-LEI-2002</v>
      </c>
      <c r="Q1334" s="52">
        <f t="shared" si="142"/>
        <v>46252</v>
      </c>
      <c r="R1334" s="52">
        <f t="shared" si="143"/>
        <v>46248</v>
      </c>
      <c r="S1334" s="51" t="str">
        <f t="shared" si="144"/>
        <v/>
      </c>
      <c r="T1334" t="str">
        <f t="shared" si="145"/>
        <v/>
      </c>
      <c r="U1334" s="52" t="str">
        <f t="shared" si="146"/>
        <v/>
      </c>
    </row>
    <row r="1335" spans="2:21" x14ac:dyDescent="0.25">
      <c r="B1335">
        <v>1393</v>
      </c>
      <c r="C1335" t="s">
        <v>168</v>
      </c>
      <c r="D1335" t="s">
        <v>998</v>
      </c>
      <c r="E1335" t="s">
        <v>1517</v>
      </c>
      <c r="F1335" t="s">
        <v>1519</v>
      </c>
      <c r="G1335">
        <v>4</v>
      </c>
      <c r="H1335" s="48">
        <v>0</v>
      </c>
      <c r="I1335" s="48">
        <v>0</v>
      </c>
      <c r="J1335" s="54">
        <v>46248</v>
      </c>
      <c r="K1335" s="54">
        <v>46253</v>
      </c>
      <c r="L1335" s="54">
        <v>46252</v>
      </c>
      <c r="M1335" s="54">
        <v>46255</v>
      </c>
      <c r="O1335" s="51" t="str">
        <f t="shared" si="140"/>
        <v/>
      </c>
      <c r="P1335" s="51" t="str">
        <f t="shared" si="141"/>
        <v/>
      </c>
      <c r="Q1335" s="52" t="str">
        <f t="shared" si="142"/>
        <v/>
      </c>
      <c r="R1335" s="52" t="str">
        <f t="shared" si="143"/>
        <v/>
      </c>
      <c r="S1335" s="51" t="str">
        <f t="shared" si="144"/>
        <v/>
      </c>
      <c r="T1335" t="str">
        <f t="shared" si="145"/>
        <v/>
      </c>
      <c r="U1335" s="52" t="str">
        <f t="shared" si="146"/>
        <v/>
      </c>
    </row>
    <row r="1336" spans="2:21" x14ac:dyDescent="0.25">
      <c r="B1336">
        <v>1394</v>
      </c>
      <c r="C1336" t="s">
        <v>168</v>
      </c>
      <c r="D1336" t="s">
        <v>998</v>
      </c>
      <c r="E1336" t="s">
        <v>1518</v>
      </c>
      <c r="F1336" t="s">
        <v>1519</v>
      </c>
      <c r="G1336">
        <v>6</v>
      </c>
      <c r="H1336" s="48">
        <v>0</v>
      </c>
      <c r="I1336" s="48">
        <v>0</v>
      </c>
      <c r="J1336" s="54">
        <v>46253</v>
      </c>
      <c r="K1336" s="54">
        <v>46258</v>
      </c>
      <c r="L1336" s="54">
        <v>46255</v>
      </c>
      <c r="M1336" s="54">
        <v>46260</v>
      </c>
      <c r="O1336" s="51" t="str">
        <f t="shared" si="140"/>
        <v/>
      </c>
      <c r="P1336" s="51" t="str">
        <f t="shared" si="141"/>
        <v/>
      </c>
      <c r="Q1336" s="52" t="str">
        <f t="shared" si="142"/>
        <v/>
      </c>
      <c r="R1336" s="52" t="str">
        <f t="shared" si="143"/>
        <v/>
      </c>
      <c r="S1336" s="51" t="str">
        <f t="shared" si="144"/>
        <v>SIM</v>
      </c>
      <c r="T1336" t="str">
        <f t="shared" si="145"/>
        <v>BL1132-0001-EL-LEI-2002</v>
      </c>
      <c r="U1336" s="52">
        <f t="shared" si="146"/>
        <v>46260</v>
      </c>
    </row>
    <row r="1337" spans="2:21" x14ac:dyDescent="0.25">
      <c r="B1337">
        <v>1395</v>
      </c>
      <c r="C1337" t="s">
        <v>168</v>
      </c>
      <c r="D1337" t="s">
        <v>998</v>
      </c>
      <c r="E1337" t="s">
        <v>1520</v>
      </c>
      <c r="F1337" t="s">
        <v>1519</v>
      </c>
      <c r="G1337">
        <v>6</v>
      </c>
      <c r="H1337" s="48">
        <v>0</v>
      </c>
      <c r="I1337" s="48">
        <v>0</v>
      </c>
      <c r="J1337" s="54">
        <v>46258</v>
      </c>
      <c r="K1337" s="54">
        <v>46261</v>
      </c>
      <c r="L1337" s="54">
        <v>46260</v>
      </c>
      <c r="M1337" s="54">
        <v>46265</v>
      </c>
      <c r="O1337" s="51" t="str">
        <f t="shared" si="140"/>
        <v/>
      </c>
      <c r="P1337" s="51" t="str">
        <f t="shared" si="141"/>
        <v/>
      </c>
      <c r="Q1337" s="52" t="str">
        <f t="shared" si="142"/>
        <v/>
      </c>
      <c r="R1337" s="52" t="str">
        <f t="shared" si="143"/>
        <v/>
      </c>
      <c r="S1337" s="51" t="str">
        <f t="shared" si="144"/>
        <v/>
      </c>
      <c r="T1337" t="str">
        <f t="shared" si="145"/>
        <v/>
      </c>
      <c r="U1337" s="52" t="str">
        <f t="shared" si="146"/>
        <v/>
      </c>
    </row>
    <row r="1338" spans="2:21" x14ac:dyDescent="0.25">
      <c r="B1338">
        <v>1396</v>
      </c>
      <c r="C1338" t="s">
        <v>173</v>
      </c>
      <c r="D1338" t="s">
        <v>1016</v>
      </c>
      <c r="E1338" t="s">
        <v>1846</v>
      </c>
      <c r="F1338" t="s">
        <v>1535</v>
      </c>
      <c r="G1338">
        <v>18</v>
      </c>
      <c r="H1338" s="48">
        <v>0</v>
      </c>
      <c r="I1338" s="48">
        <v>0</v>
      </c>
      <c r="J1338" s="54">
        <v>46248</v>
      </c>
      <c r="K1338" s="54">
        <v>46267</v>
      </c>
      <c r="L1338" s="54">
        <v>46252</v>
      </c>
      <c r="M1338" s="54">
        <v>46269</v>
      </c>
      <c r="O1338" s="51" t="str">
        <f t="shared" si="140"/>
        <v/>
      </c>
      <c r="P1338" s="51" t="str">
        <f t="shared" si="141"/>
        <v/>
      </c>
      <c r="Q1338" s="52" t="str">
        <f t="shared" si="142"/>
        <v/>
      </c>
      <c r="R1338" s="52" t="str">
        <f t="shared" si="143"/>
        <v/>
      </c>
      <c r="S1338" s="51" t="str">
        <f t="shared" si="144"/>
        <v/>
      </c>
      <c r="T1338" t="str">
        <f t="shared" si="145"/>
        <v/>
      </c>
      <c r="U1338" s="52" t="str">
        <f t="shared" si="146"/>
        <v/>
      </c>
    </row>
    <row r="1339" spans="2:21" x14ac:dyDescent="0.25">
      <c r="B1339">
        <v>1397</v>
      </c>
      <c r="C1339" t="s">
        <v>173</v>
      </c>
      <c r="D1339" t="s">
        <v>1016</v>
      </c>
      <c r="E1339" t="s">
        <v>1515</v>
      </c>
      <c r="F1339" t="s">
        <v>1525</v>
      </c>
      <c r="G1339">
        <v>7</v>
      </c>
      <c r="H1339" s="48">
        <v>0</v>
      </c>
      <c r="I1339" s="48">
        <v>0</v>
      </c>
      <c r="J1339" s="54">
        <v>46248</v>
      </c>
      <c r="K1339" s="54">
        <v>46254</v>
      </c>
      <c r="L1339" s="54">
        <v>46252</v>
      </c>
      <c r="M1339" s="54">
        <v>46258</v>
      </c>
      <c r="O1339" s="51" t="str">
        <f t="shared" si="140"/>
        <v>SIM</v>
      </c>
      <c r="P1339" s="51" t="str">
        <f t="shared" si="141"/>
        <v>BL1132-0001-EL-MCA-2002</v>
      </c>
      <c r="Q1339" s="52">
        <f t="shared" si="142"/>
        <v>46258</v>
      </c>
      <c r="R1339" s="52">
        <f t="shared" si="143"/>
        <v>46254</v>
      </c>
      <c r="S1339" s="51" t="str">
        <f t="shared" si="144"/>
        <v/>
      </c>
      <c r="T1339" t="str">
        <f t="shared" si="145"/>
        <v/>
      </c>
      <c r="U1339" s="52" t="str">
        <f t="shared" si="146"/>
        <v/>
      </c>
    </row>
    <row r="1340" spans="2:21" x14ac:dyDescent="0.25">
      <c r="B1340">
        <v>1398</v>
      </c>
      <c r="C1340" t="s">
        <v>173</v>
      </c>
      <c r="D1340" t="s">
        <v>1016</v>
      </c>
      <c r="E1340" t="s">
        <v>1517</v>
      </c>
      <c r="F1340" t="s">
        <v>1519</v>
      </c>
      <c r="G1340">
        <v>4</v>
      </c>
      <c r="H1340" s="48">
        <v>0</v>
      </c>
      <c r="I1340" s="48">
        <v>0</v>
      </c>
      <c r="J1340" s="54">
        <v>46254</v>
      </c>
      <c r="K1340" s="54">
        <v>46259</v>
      </c>
      <c r="L1340" s="54">
        <v>46258</v>
      </c>
      <c r="M1340" s="54">
        <v>46261</v>
      </c>
      <c r="O1340" s="51" t="str">
        <f t="shared" si="140"/>
        <v/>
      </c>
      <c r="P1340" s="51" t="str">
        <f t="shared" si="141"/>
        <v/>
      </c>
      <c r="Q1340" s="52" t="str">
        <f t="shared" si="142"/>
        <v/>
      </c>
      <c r="R1340" s="52" t="str">
        <f t="shared" si="143"/>
        <v/>
      </c>
      <c r="S1340" s="51" t="str">
        <f t="shared" si="144"/>
        <v/>
      </c>
      <c r="T1340" t="str">
        <f t="shared" si="145"/>
        <v/>
      </c>
      <c r="U1340" s="52" t="str">
        <f t="shared" si="146"/>
        <v/>
      </c>
    </row>
    <row r="1341" spans="2:21" x14ac:dyDescent="0.25">
      <c r="B1341">
        <v>1399</v>
      </c>
      <c r="C1341" t="s">
        <v>173</v>
      </c>
      <c r="D1341" t="s">
        <v>1016</v>
      </c>
      <c r="E1341" t="s">
        <v>1518</v>
      </c>
      <c r="F1341" t="s">
        <v>1519</v>
      </c>
      <c r="G1341">
        <v>6</v>
      </c>
      <c r="H1341" s="48">
        <v>0</v>
      </c>
      <c r="I1341" s="48">
        <v>0</v>
      </c>
      <c r="J1341" s="54">
        <v>46259</v>
      </c>
      <c r="K1341" s="54">
        <v>46262</v>
      </c>
      <c r="L1341" s="54">
        <v>46261</v>
      </c>
      <c r="M1341" s="54">
        <v>46266</v>
      </c>
      <c r="O1341" s="51" t="str">
        <f t="shared" si="140"/>
        <v/>
      </c>
      <c r="P1341" s="51" t="str">
        <f t="shared" si="141"/>
        <v/>
      </c>
      <c r="Q1341" s="52" t="str">
        <f t="shared" si="142"/>
        <v/>
      </c>
      <c r="R1341" s="52" t="str">
        <f t="shared" si="143"/>
        <v/>
      </c>
      <c r="S1341" s="51" t="str">
        <f t="shared" si="144"/>
        <v>SIM</v>
      </c>
      <c r="T1341" t="str">
        <f t="shared" si="145"/>
        <v>BL1132-0001-EL-MCA-2002</v>
      </c>
      <c r="U1341" s="52">
        <f t="shared" si="146"/>
        <v>46266</v>
      </c>
    </row>
    <row r="1342" spans="2:21" x14ac:dyDescent="0.25">
      <c r="B1342">
        <v>1400</v>
      </c>
      <c r="C1342" t="s">
        <v>173</v>
      </c>
      <c r="D1342" t="s">
        <v>1016</v>
      </c>
      <c r="E1342" t="s">
        <v>1520</v>
      </c>
      <c r="F1342" t="s">
        <v>1519</v>
      </c>
      <c r="G1342">
        <v>4</v>
      </c>
      <c r="H1342" s="48">
        <v>0</v>
      </c>
      <c r="I1342" s="48">
        <v>0</v>
      </c>
      <c r="J1342" s="54">
        <v>46262</v>
      </c>
      <c r="K1342" s="54">
        <v>46267</v>
      </c>
      <c r="L1342" s="54">
        <v>46266</v>
      </c>
      <c r="M1342" s="54">
        <v>46269</v>
      </c>
      <c r="O1342" s="51" t="str">
        <f t="shared" si="140"/>
        <v/>
      </c>
      <c r="P1342" s="51" t="str">
        <f t="shared" si="141"/>
        <v/>
      </c>
      <c r="Q1342" s="52" t="str">
        <f t="shared" si="142"/>
        <v/>
      </c>
      <c r="R1342" s="52" t="str">
        <f t="shared" si="143"/>
        <v/>
      </c>
      <c r="S1342" s="51" t="str">
        <f t="shared" si="144"/>
        <v/>
      </c>
      <c r="T1342" t="str">
        <f t="shared" si="145"/>
        <v/>
      </c>
      <c r="U1342" s="52" t="str">
        <f t="shared" si="146"/>
        <v/>
      </c>
    </row>
    <row r="1343" spans="2:21" x14ac:dyDescent="0.25">
      <c r="B1343">
        <v>1401</v>
      </c>
      <c r="C1343" t="s">
        <v>170</v>
      </c>
      <c r="D1343" t="s">
        <v>1005</v>
      </c>
      <c r="E1343" t="s">
        <v>1847</v>
      </c>
      <c r="F1343" t="s">
        <v>1559</v>
      </c>
      <c r="G1343">
        <v>18</v>
      </c>
      <c r="H1343" s="48">
        <v>0</v>
      </c>
      <c r="I1343" s="48">
        <v>0</v>
      </c>
      <c r="J1343" s="54">
        <v>46254</v>
      </c>
      <c r="K1343" s="54">
        <v>46273</v>
      </c>
      <c r="L1343" s="54">
        <v>46258</v>
      </c>
      <c r="M1343" s="54">
        <v>46275</v>
      </c>
      <c r="O1343" s="51" t="str">
        <f t="shared" si="140"/>
        <v/>
      </c>
      <c r="P1343" s="51" t="str">
        <f t="shared" si="141"/>
        <v/>
      </c>
      <c r="Q1343" s="52" t="str">
        <f t="shared" si="142"/>
        <v/>
      </c>
      <c r="R1343" s="52" t="str">
        <f t="shared" si="143"/>
        <v/>
      </c>
      <c r="S1343" s="51" t="str">
        <f t="shared" si="144"/>
        <v/>
      </c>
      <c r="T1343" t="str">
        <f t="shared" si="145"/>
        <v/>
      </c>
      <c r="U1343" s="52" t="str">
        <f t="shared" si="146"/>
        <v/>
      </c>
    </row>
    <row r="1344" spans="2:21" x14ac:dyDescent="0.25">
      <c r="B1344">
        <v>1402</v>
      </c>
      <c r="C1344" t="s">
        <v>170</v>
      </c>
      <c r="D1344" t="s">
        <v>1005</v>
      </c>
      <c r="E1344" t="s">
        <v>1515</v>
      </c>
      <c r="F1344" t="s">
        <v>1519</v>
      </c>
      <c r="G1344">
        <v>4</v>
      </c>
      <c r="H1344" s="48">
        <v>0</v>
      </c>
      <c r="I1344" s="48">
        <v>0</v>
      </c>
      <c r="J1344" s="54">
        <v>46254</v>
      </c>
      <c r="K1344" s="54">
        <v>46259</v>
      </c>
      <c r="L1344" s="54">
        <v>46258</v>
      </c>
      <c r="M1344" s="54">
        <v>46261</v>
      </c>
      <c r="O1344" s="51" t="str">
        <f t="shared" si="140"/>
        <v>SIM</v>
      </c>
      <c r="P1344" s="51" t="str">
        <f t="shared" si="141"/>
        <v>BL1132-0001-EL-LLC-2002</v>
      </c>
      <c r="Q1344" s="52">
        <f t="shared" si="142"/>
        <v>46261</v>
      </c>
      <c r="R1344" s="52">
        <f t="shared" si="143"/>
        <v>46259</v>
      </c>
      <c r="S1344" s="51" t="str">
        <f t="shared" si="144"/>
        <v/>
      </c>
      <c r="T1344" t="str">
        <f t="shared" si="145"/>
        <v/>
      </c>
      <c r="U1344" s="52" t="str">
        <f t="shared" si="146"/>
        <v/>
      </c>
    </row>
    <row r="1345" spans="2:21" x14ac:dyDescent="0.25">
      <c r="B1345">
        <v>1403</v>
      </c>
      <c r="C1345" t="s">
        <v>170</v>
      </c>
      <c r="D1345" t="s">
        <v>1005</v>
      </c>
      <c r="E1345" t="s">
        <v>1517</v>
      </c>
      <c r="F1345" t="s">
        <v>1519</v>
      </c>
      <c r="G1345">
        <v>6</v>
      </c>
      <c r="H1345" s="48">
        <v>0</v>
      </c>
      <c r="I1345" s="48">
        <v>0</v>
      </c>
      <c r="J1345" s="54">
        <v>46259</v>
      </c>
      <c r="K1345" s="54">
        <v>46262</v>
      </c>
      <c r="L1345" s="54">
        <v>46261</v>
      </c>
      <c r="M1345" s="54">
        <v>46266</v>
      </c>
      <c r="O1345" s="51" t="str">
        <f t="shared" si="140"/>
        <v/>
      </c>
      <c r="P1345" s="51" t="str">
        <f t="shared" si="141"/>
        <v/>
      </c>
      <c r="Q1345" s="52" t="str">
        <f t="shared" si="142"/>
        <v/>
      </c>
      <c r="R1345" s="52" t="str">
        <f t="shared" si="143"/>
        <v/>
      </c>
      <c r="S1345" s="51" t="str">
        <f t="shared" si="144"/>
        <v/>
      </c>
      <c r="T1345" t="str">
        <f t="shared" si="145"/>
        <v/>
      </c>
      <c r="U1345" s="52" t="str">
        <f t="shared" si="146"/>
        <v/>
      </c>
    </row>
    <row r="1346" spans="2:21" x14ac:dyDescent="0.25">
      <c r="B1346">
        <v>1404</v>
      </c>
      <c r="C1346" t="s">
        <v>170</v>
      </c>
      <c r="D1346" t="s">
        <v>1005</v>
      </c>
      <c r="E1346" t="s">
        <v>1518</v>
      </c>
      <c r="F1346" t="s">
        <v>1519</v>
      </c>
      <c r="G1346">
        <v>4</v>
      </c>
      <c r="H1346" s="48">
        <v>0</v>
      </c>
      <c r="I1346" s="48">
        <v>0</v>
      </c>
      <c r="J1346" s="54">
        <v>46262</v>
      </c>
      <c r="K1346" s="54">
        <v>46267</v>
      </c>
      <c r="L1346" s="54">
        <v>46266</v>
      </c>
      <c r="M1346" s="54">
        <v>46269</v>
      </c>
      <c r="O1346" s="51" t="str">
        <f t="shared" si="140"/>
        <v/>
      </c>
      <c r="P1346" s="51" t="str">
        <f t="shared" si="141"/>
        <v/>
      </c>
      <c r="Q1346" s="52" t="str">
        <f t="shared" si="142"/>
        <v/>
      </c>
      <c r="R1346" s="52" t="str">
        <f t="shared" si="143"/>
        <v/>
      </c>
      <c r="S1346" s="51" t="str">
        <f t="shared" si="144"/>
        <v>SIM</v>
      </c>
      <c r="T1346" t="str">
        <f t="shared" si="145"/>
        <v>BL1132-0001-EL-LLC-2002</v>
      </c>
      <c r="U1346" s="52">
        <f t="shared" si="146"/>
        <v>46269</v>
      </c>
    </row>
    <row r="1347" spans="2:21" x14ac:dyDescent="0.25">
      <c r="B1347">
        <v>1405</v>
      </c>
      <c r="C1347" t="s">
        <v>170</v>
      </c>
      <c r="D1347" t="s">
        <v>1005</v>
      </c>
      <c r="E1347" t="s">
        <v>1520</v>
      </c>
      <c r="F1347" t="s">
        <v>1519</v>
      </c>
      <c r="G1347">
        <v>7</v>
      </c>
      <c r="H1347" s="48">
        <v>0</v>
      </c>
      <c r="I1347" s="48">
        <v>0</v>
      </c>
      <c r="J1347" s="54">
        <v>46267</v>
      </c>
      <c r="K1347" s="54">
        <v>46273</v>
      </c>
      <c r="L1347" s="54">
        <v>46269</v>
      </c>
      <c r="M1347" s="54">
        <v>46275</v>
      </c>
      <c r="O1347" s="51" t="str">
        <f t="shared" ref="O1347:O1400" si="147">IF(OR(E1347 = "                           1 - Emissão Inicial",E1347="                  1 - Emissão após Design Review 1",E1347 = "                  1 - Emissão para conhecimento",E1347 = "                  1 - Emissão Final",E1347 = "         Lista de Documentos",E1347 = "         Elaboração do cronograma",E1347 = "         Norma de Coordenação"), "SIM", "")</f>
        <v/>
      </c>
      <c r="P1347" s="51" t="str">
        <f t="shared" ref="P1347:P1410" si="148">IF(O1347="SIM",C1347,"")</f>
        <v/>
      </c>
      <c r="Q1347" s="52" t="str">
        <f t="shared" ref="Q1347:Q1400" si="149">IF(O1347="SIM",M1347,"")</f>
        <v/>
      </c>
      <c r="R1347" s="52" t="str">
        <f t="shared" ref="R1347:R1400" si="150">IF(O1347="SIM",K1347,"")</f>
        <v/>
      </c>
      <c r="S1347" s="51" t="str">
        <f t="shared" ref="S1347:S1400" si="151">IF(OR(E1347 = "                           3 - Atendimento de Comentários",E1347="                  1 - Emissão após Design Review 1",E1347 = "                  1 - Emissão para conhecimento",E1347 = "                  1 - Emissão Final",E1347 = "         Lista de Documentos",E1347 = "         Elaboração do cronograma",E1347 = "         Norma de Coordenação"), "SIM", "")</f>
        <v/>
      </c>
      <c r="T1347" t="str">
        <f t="shared" ref="T1347:T1410" si="152">IF(S1347="SIM",C1347,"")</f>
        <v/>
      </c>
      <c r="U1347" s="52" t="str">
        <f t="shared" ref="U1347:U1400" si="153">IF(S1347="SIM",M1347,"")</f>
        <v/>
      </c>
    </row>
    <row r="1348" spans="2:21" x14ac:dyDescent="0.25">
      <c r="B1348">
        <v>1406</v>
      </c>
      <c r="C1348" t="s">
        <v>176</v>
      </c>
      <c r="D1348" t="s">
        <v>1028</v>
      </c>
      <c r="E1348" t="s">
        <v>1683</v>
      </c>
      <c r="F1348" t="s">
        <v>1559</v>
      </c>
      <c r="G1348">
        <v>20</v>
      </c>
      <c r="H1348" s="48">
        <v>0</v>
      </c>
      <c r="I1348" s="48">
        <v>0</v>
      </c>
      <c r="J1348" s="54">
        <v>46259</v>
      </c>
      <c r="K1348" s="54">
        <v>46279</v>
      </c>
      <c r="L1348" s="54">
        <v>46261</v>
      </c>
      <c r="M1348" s="54">
        <v>46280</v>
      </c>
      <c r="O1348" s="51" t="str">
        <f t="shared" si="147"/>
        <v/>
      </c>
      <c r="P1348" s="51" t="str">
        <f t="shared" si="148"/>
        <v/>
      </c>
      <c r="Q1348" s="52" t="str">
        <f t="shared" si="149"/>
        <v/>
      </c>
      <c r="R1348" s="52" t="str">
        <f t="shared" si="150"/>
        <v/>
      </c>
      <c r="S1348" s="51" t="str">
        <f t="shared" si="151"/>
        <v/>
      </c>
      <c r="T1348" t="str">
        <f t="shared" si="152"/>
        <v/>
      </c>
      <c r="U1348" s="52" t="str">
        <f t="shared" si="153"/>
        <v/>
      </c>
    </row>
    <row r="1349" spans="2:21" x14ac:dyDescent="0.25">
      <c r="B1349">
        <v>1407</v>
      </c>
      <c r="C1349" t="s">
        <v>176</v>
      </c>
      <c r="D1349" t="s">
        <v>1028</v>
      </c>
      <c r="E1349" t="s">
        <v>1515</v>
      </c>
      <c r="F1349" t="s">
        <v>1519</v>
      </c>
      <c r="G1349">
        <v>6</v>
      </c>
      <c r="H1349" s="48">
        <v>0</v>
      </c>
      <c r="I1349" s="48">
        <v>0</v>
      </c>
      <c r="J1349" s="54">
        <v>46259</v>
      </c>
      <c r="K1349" s="54">
        <v>46265</v>
      </c>
      <c r="L1349" s="54">
        <v>46261</v>
      </c>
      <c r="M1349" s="54">
        <v>46266</v>
      </c>
      <c r="O1349" s="51" t="str">
        <f t="shared" si="147"/>
        <v>SIM</v>
      </c>
      <c r="P1349" s="51" t="str">
        <f t="shared" si="148"/>
        <v>BL1132-0001-EL-MDE-2002</v>
      </c>
      <c r="Q1349" s="52">
        <f t="shared" si="149"/>
        <v>46266</v>
      </c>
      <c r="R1349" s="52">
        <f t="shared" si="150"/>
        <v>46265</v>
      </c>
      <c r="S1349" s="51" t="str">
        <f t="shared" si="151"/>
        <v/>
      </c>
      <c r="T1349" t="str">
        <f t="shared" si="152"/>
        <v/>
      </c>
      <c r="U1349" s="52" t="str">
        <f t="shared" si="153"/>
        <v/>
      </c>
    </row>
    <row r="1350" spans="2:21" x14ac:dyDescent="0.25">
      <c r="B1350">
        <v>1408</v>
      </c>
      <c r="C1350" t="s">
        <v>176</v>
      </c>
      <c r="D1350" t="s">
        <v>1028</v>
      </c>
      <c r="E1350" t="s">
        <v>1517</v>
      </c>
      <c r="F1350" t="s">
        <v>1519</v>
      </c>
      <c r="G1350">
        <v>4</v>
      </c>
      <c r="H1350" s="48">
        <v>0</v>
      </c>
      <c r="I1350" s="48">
        <v>0</v>
      </c>
      <c r="J1350" s="54">
        <v>46265</v>
      </c>
      <c r="K1350" s="54">
        <v>46268</v>
      </c>
      <c r="L1350" s="54">
        <v>46266</v>
      </c>
      <c r="M1350" s="54">
        <v>46269</v>
      </c>
      <c r="O1350" s="51" t="str">
        <f t="shared" si="147"/>
        <v/>
      </c>
      <c r="P1350" s="51" t="str">
        <f t="shared" si="148"/>
        <v/>
      </c>
      <c r="Q1350" s="52" t="str">
        <f t="shared" si="149"/>
        <v/>
      </c>
      <c r="R1350" s="52" t="str">
        <f t="shared" si="150"/>
        <v/>
      </c>
      <c r="S1350" s="51" t="str">
        <f t="shared" si="151"/>
        <v/>
      </c>
      <c r="T1350" t="str">
        <f t="shared" si="152"/>
        <v/>
      </c>
      <c r="U1350" s="52" t="str">
        <f t="shared" si="153"/>
        <v/>
      </c>
    </row>
    <row r="1351" spans="2:21" x14ac:dyDescent="0.25">
      <c r="B1351">
        <v>1409</v>
      </c>
      <c r="C1351" t="s">
        <v>176</v>
      </c>
      <c r="D1351" t="s">
        <v>1028</v>
      </c>
      <c r="E1351" t="s">
        <v>1518</v>
      </c>
      <c r="F1351" t="s">
        <v>1519</v>
      </c>
      <c r="G1351">
        <v>7</v>
      </c>
      <c r="H1351" s="48">
        <v>0</v>
      </c>
      <c r="I1351" s="48">
        <v>0</v>
      </c>
      <c r="J1351" s="54">
        <v>46268</v>
      </c>
      <c r="K1351" s="54">
        <v>46274</v>
      </c>
      <c r="L1351" s="54">
        <v>46269</v>
      </c>
      <c r="M1351" s="54">
        <v>46275</v>
      </c>
      <c r="O1351" s="51" t="str">
        <f t="shared" si="147"/>
        <v/>
      </c>
      <c r="P1351" s="51" t="str">
        <f t="shared" si="148"/>
        <v/>
      </c>
      <c r="Q1351" s="52" t="str">
        <f t="shared" si="149"/>
        <v/>
      </c>
      <c r="R1351" s="52" t="str">
        <f t="shared" si="150"/>
        <v/>
      </c>
      <c r="S1351" s="51" t="str">
        <f t="shared" si="151"/>
        <v>SIM</v>
      </c>
      <c r="T1351" t="str">
        <f t="shared" si="152"/>
        <v>BL1132-0001-EL-MDE-2002</v>
      </c>
      <c r="U1351" s="52">
        <f t="shared" si="153"/>
        <v>46275</v>
      </c>
    </row>
    <row r="1352" spans="2:21" x14ac:dyDescent="0.25">
      <c r="B1352">
        <v>1410</v>
      </c>
      <c r="C1352" t="s">
        <v>176</v>
      </c>
      <c r="D1352" t="s">
        <v>1028</v>
      </c>
      <c r="E1352" t="s">
        <v>1520</v>
      </c>
      <c r="F1352" t="s">
        <v>1519</v>
      </c>
      <c r="G1352">
        <v>6</v>
      </c>
      <c r="H1352" s="48">
        <v>0</v>
      </c>
      <c r="I1352" s="48">
        <v>0</v>
      </c>
      <c r="J1352" s="54">
        <v>46274</v>
      </c>
      <c r="K1352" s="54">
        <v>46279</v>
      </c>
      <c r="L1352" s="54">
        <v>46275</v>
      </c>
      <c r="M1352" s="54">
        <v>46280</v>
      </c>
      <c r="O1352" s="51" t="str">
        <f t="shared" si="147"/>
        <v/>
      </c>
      <c r="P1352" s="51" t="str">
        <f t="shared" si="148"/>
        <v/>
      </c>
      <c r="Q1352" s="52" t="str">
        <f t="shared" si="149"/>
        <v/>
      </c>
      <c r="R1352" s="52" t="str">
        <f t="shared" si="150"/>
        <v/>
      </c>
      <c r="S1352" s="51" t="str">
        <f t="shared" si="151"/>
        <v/>
      </c>
      <c r="T1352" t="str">
        <f t="shared" si="152"/>
        <v/>
      </c>
      <c r="U1352" s="52" t="str">
        <f t="shared" si="153"/>
        <v/>
      </c>
    </row>
    <row r="1353" spans="2:21" x14ac:dyDescent="0.25">
      <c r="B1353">
        <v>1411</v>
      </c>
      <c r="C1353" t="s">
        <v>178</v>
      </c>
      <c r="D1353" t="s">
        <v>1035</v>
      </c>
      <c r="E1353" t="s">
        <v>1684</v>
      </c>
      <c r="F1353" t="s">
        <v>1641</v>
      </c>
      <c r="G1353">
        <v>19</v>
      </c>
      <c r="H1353" s="48">
        <v>0</v>
      </c>
      <c r="I1353" s="48">
        <v>0</v>
      </c>
      <c r="J1353" s="54">
        <v>46265</v>
      </c>
      <c r="K1353" s="54">
        <v>46282</v>
      </c>
      <c r="L1353" s="54">
        <v>46262</v>
      </c>
      <c r="M1353" s="54">
        <v>46280</v>
      </c>
      <c r="O1353" s="51" t="str">
        <f t="shared" si="147"/>
        <v/>
      </c>
      <c r="P1353" s="51" t="str">
        <f t="shared" si="148"/>
        <v/>
      </c>
      <c r="Q1353" s="52" t="str">
        <f t="shared" si="149"/>
        <v/>
      </c>
      <c r="R1353" s="52" t="str">
        <f t="shared" si="150"/>
        <v/>
      </c>
      <c r="S1353" s="51" t="str">
        <f t="shared" si="151"/>
        <v/>
      </c>
      <c r="T1353" t="str">
        <f t="shared" si="152"/>
        <v/>
      </c>
      <c r="U1353" s="52" t="str">
        <f t="shared" si="153"/>
        <v/>
      </c>
    </row>
    <row r="1354" spans="2:21" x14ac:dyDescent="0.25">
      <c r="B1354">
        <v>1412</v>
      </c>
      <c r="C1354" t="s">
        <v>178</v>
      </c>
      <c r="D1354" t="s">
        <v>1035</v>
      </c>
      <c r="E1354" t="s">
        <v>1515</v>
      </c>
      <c r="F1354" t="s">
        <v>1642</v>
      </c>
      <c r="G1354">
        <v>5</v>
      </c>
      <c r="H1354" s="48">
        <v>0</v>
      </c>
      <c r="I1354" s="48">
        <v>0</v>
      </c>
      <c r="J1354" s="54">
        <v>46265</v>
      </c>
      <c r="K1354" s="54">
        <v>46268</v>
      </c>
      <c r="L1354" s="54">
        <v>46262</v>
      </c>
      <c r="M1354" s="54">
        <v>46266</v>
      </c>
      <c r="O1354" s="51" t="str">
        <f t="shared" si="147"/>
        <v>SIM</v>
      </c>
      <c r="P1354" s="51" t="str">
        <f t="shared" si="148"/>
        <v>BL1132-0001-EL-PQU-2001</v>
      </c>
      <c r="Q1354" s="52">
        <f t="shared" si="149"/>
        <v>46266</v>
      </c>
      <c r="R1354" s="52">
        <f t="shared" si="150"/>
        <v>46268</v>
      </c>
      <c r="S1354" s="51" t="str">
        <f t="shared" si="151"/>
        <v/>
      </c>
      <c r="T1354" t="str">
        <f t="shared" si="152"/>
        <v/>
      </c>
      <c r="U1354" s="52" t="str">
        <f t="shared" si="153"/>
        <v/>
      </c>
    </row>
    <row r="1355" spans="2:21" x14ac:dyDescent="0.25">
      <c r="B1355">
        <v>1413</v>
      </c>
      <c r="C1355" t="s">
        <v>178</v>
      </c>
      <c r="D1355" t="s">
        <v>1035</v>
      </c>
      <c r="E1355" t="s">
        <v>1517</v>
      </c>
      <c r="F1355" t="s">
        <v>1519</v>
      </c>
      <c r="G1355">
        <v>4</v>
      </c>
      <c r="H1355" s="48">
        <v>0</v>
      </c>
      <c r="I1355" s="48">
        <v>0</v>
      </c>
      <c r="J1355" s="54">
        <v>46268</v>
      </c>
      <c r="K1355" s="54">
        <v>46274</v>
      </c>
      <c r="L1355" s="54">
        <v>46266</v>
      </c>
      <c r="M1355" s="54">
        <v>46269</v>
      </c>
      <c r="O1355" s="51" t="str">
        <f t="shared" si="147"/>
        <v/>
      </c>
      <c r="P1355" s="51" t="str">
        <f t="shared" si="148"/>
        <v/>
      </c>
      <c r="Q1355" s="52" t="str">
        <f t="shared" si="149"/>
        <v/>
      </c>
      <c r="R1355" s="52" t="str">
        <f t="shared" si="150"/>
        <v/>
      </c>
      <c r="S1355" s="51" t="str">
        <f t="shared" si="151"/>
        <v/>
      </c>
      <c r="T1355" t="str">
        <f t="shared" si="152"/>
        <v/>
      </c>
      <c r="U1355" s="52" t="str">
        <f t="shared" si="153"/>
        <v/>
      </c>
    </row>
    <row r="1356" spans="2:21" x14ac:dyDescent="0.25">
      <c r="B1356">
        <v>1414</v>
      </c>
      <c r="C1356" t="s">
        <v>178</v>
      </c>
      <c r="D1356" t="s">
        <v>1035</v>
      </c>
      <c r="E1356" t="s">
        <v>1518</v>
      </c>
      <c r="F1356" t="s">
        <v>1519</v>
      </c>
      <c r="G1356">
        <v>7</v>
      </c>
      <c r="H1356" s="48">
        <v>0</v>
      </c>
      <c r="I1356" s="48">
        <v>0</v>
      </c>
      <c r="J1356" s="54">
        <v>46274</v>
      </c>
      <c r="K1356" s="54">
        <v>46279</v>
      </c>
      <c r="L1356" s="54">
        <v>46269</v>
      </c>
      <c r="M1356" s="54">
        <v>46275</v>
      </c>
      <c r="O1356" s="51" t="str">
        <f t="shared" si="147"/>
        <v/>
      </c>
      <c r="P1356" s="51" t="str">
        <f t="shared" si="148"/>
        <v/>
      </c>
      <c r="Q1356" s="52" t="str">
        <f t="shared" si="149"/>
        <v/>
      </c>
      <c r="R1356" s="52" t="str">
        <f t="shared" si="150"/>
        <v/>
      </c>
      <c r="S1356" s="51" t="str">
        <f t="shared" si="151"/>
        <v>SIM</v>
      </c>
      <c r="T1356" t="str">
        <f t="shared" si="152"/>
        <v>BL1132-0001-EL-PQU-2001</v>
      </c>
      <c r="U1356" s="52">
        <f t="shared" si="153"/>
        <v>46275</v>
      </c>
    </row>
    <row r="1357" spans="2:21" x14ac:dyDescent="0.25">
      <c r="B1357">
        <v>1415</v>
      </c>
      <c r="C1357" t="s">
        <v>178</v>
      </c>
      <c r="D1357" t="s">
        <v>1035</v>
      </c>
      <c r="E1357" t="s">
        <v>1520</v>
      </c>
      <c r="F1357" t="s">
        <v>1519</v>
      </c>
      <c r="G1357">
        <v>6</v>
      </c>
      <c r="H1357" s="48">
        <v>0</v>
      </c>
      <c r="I1357" s="48">
        <v>0</v>
      </c>
      <c r="J1357" s="54">
        <v>46279</v>
      </c>
      <c r="K1357" s="54">
        <v>46282</v>
      </c>
      <c r="L1357" s="54">
        <v>46275</v>
      </c>
      <c r="M1357" s="54">
        <v>46280</v>
      </c>
      <c r="O1357" s="51" t="str">
        <f t="shared" si="147"/>
        <v/>
      </c>
      <c r="P1357" s="51" t="str">
        <f t="shared" si="148"/>
        <v/>
      </c>
      <c r="Q1357" s="52" t="str">
        <f t="shared" si="149"/>
        <v/>
      </c>
      <c r="R1357" s="52" t="str">
        <f t="shared" si="150"/>
        <v/>
      </c>
      <c r="S1357" s="51" t="str">
        <f t="shared" si="151"/>
        <v/>
      </c>
      <c r="T1357" t="str">
        <f t="shared" si="152"/>
        <v/>
      </c>
      <c r="U1357" s="52" t="str">
        <f t="shared" si="153"/>
        <v/>
      </c>
    </row>
    <row r="1358" spans="2:21" x14ac:dyDescent="0.25">
      <c r="B1358">
        <v>1416</v>
      </c>
      <c r="E1358" t="s">
        <v>1589</v>
      </c>
      <c r="F1358" t="s">
        <v>1514</v>
      </c>
      <c r="G1358">
        <v>28</v>
      </c>
      <c r="H1358" s="48">
        <v>0.18149999999999999</v>
      </c>
      <c r="I1358" s="48">
        <v>0</v>
      </c>
      <c r="J1358" s="54">
        <v>46212</v>
      </c>
      <c r="K1358" s="54">
        <v>46239</v>
      </c>
      <c r="L1358" s="54">
        <v>46227</v>
      </c>
      <c r="M1358" s="54">
        <v>46254</v>
      </c>
      <c r="O1358" s="51" t="str">
        <f t="shared" si="147"/>
        <v/>
      </c>
      <c r="P1358" s="51" t="str">
        <f t="shared" si="148"/>
        <v/>
      </c>
      <c r="Q1358" s="52" t="str">
        <f t="shared" si="149"/>
        <v/>
      </c>
      <c r="R1358" s="52" t="str">
        <f t="shared" si="150"/>
        <v/>
      </c>
      <c r="S1358" s="51" t="str">
        <f t="shared" si="151"/>
        <v/>
      </c>
      <c r="T1358" t="str">
        <f t="shared" si="152"/>
        <v/>
      </c>
      <c r="U1358" s="52" t="str">
        <f t="shared" si="153"/>
        <v/>
      </c>
    </row>
    <row r="1359" spans="2:21" x14ac:dyDescent="0.25">
      <c r="B1359">
        <v>1417</v>
      </c>
      <c r="C1359" t="s">
        <v>119</v>
      </c>
      <c r="D1359" t="s">
        <v>787</v>
      </c>
      <c r="E1359" t="s">
        <v>1803</v>
      </c>
      <c r="F1359" t="s">
        <v>1527</v>
      </c>
      <c r="G1359">
        <v>21</v>
      </c>
      <c r="H1359" s="48">
        <v>0.33279999999999998</v>
      </c>
      <c r="I1359" s="48">
        <v>0</v>
      </c>
      <c r="J1359" s="54">
        <v>46212</v>
      </c>
      <c r="K1359" s="54">
        <v>46232</v>
      </c>
      <c r="L1359" s="54">
        <v>46227</v>
      </c>
      <c r="M1359" s="54">
        <v>46247</v>
      </c>
      <c r="O1359" s="51" t="str">
        <f t="shared" si="147"/>
        <v/>
      </c>
      <c r="P1359" s="51" t="str">
        <f t="shared" si="148"/>
        <v/>
      </c>
      <c r="Q1359" s="52" t="str">
        <f t="shared" si="149"/>
        <v/>
      </c>
      <c r="R1359" s="52" t="str">
        <f t="shared" si="150"/>
        <v/>
      </c>
      <c r="S1359" s="51" t="str">
        <f t="shared" si="151"/>
        <v/>
      </c>
      <c r="T1359" t="str">
        <f t="shared" si="152"/>
        <v/>
      </c>
      <c r="U1359" s="52" t="str">
        <f t="shared" si="153"/>
        <v/>
      </c>
    </row>
    <row r="1360" spans="2:21" x14ac:dyDescent="0.25">
      <c r="B1360">
        <v>1418</v>
      </c>
      <c r="C1360" t="s">
        <v>119</v>
      </c>
      <c r="D1360" t="s">
        <v>787</v>
      </c>
      <c r="E1360" t="s">
        <v>1515</v>
      </c>
      <c r="F1360" t="s">
        <v>1528</v>
      </c>
      <c r="G1360">
        <v>8</v>
      </c>
      <c r="H1360" s="48">
        <v>0.48</v>
      </c>
      <c r="I1360" s="48">
        <v>0</v>
      </c>
      <c r="J1360" s="54">
        <v>46212</v>
      </c>
      <c r="K1360" s="54">
        <v>46219</v>
      </c>
      <c r="L1360" s="54">
        <v>46227</v>
      </c>
      <c r="M1360" s="54">
        <v>46234</v>
      </c>
      <c r="O1360" s="51" t="str">
        <f t="shared" si="147"/>
        <v>SIM</v>
      </c>
      <c r="P1360" s="51" t="str">
        <f t="shared" si="148"/>
        <v>BL1132-0001-CI-MCA-2000</v>
      </c>
      <c r="Q1360" s="52">
        <f t="shared" si="149"/>
        <v>46234</v>
      </c>
      <c r="R1360" s="52">
        <f t="shared" si="150"/>
        <v>46219</v>
      </c>
      <c r="S1360" s="51" t="str">
        <f t="shared" si="151"/>
        <v/>
      </c>
      <c r="T1360" t="str">
        <f t="shared" si="152"/>
        <v/>
      </c>
      <c r="U1360" s="52" t="str">
        <f t="shared" si="153"/>
        <v/>
      </c>
    </row>
    <row r="1361" spans="2:21" x14ac:dyDescent="0.25">
      <c r="B1361">
        <v>1419</v>
      </c>
      <c r="C1361" t="s">
        <v>119</v>
      </c>
      <c r="D1361" t="s">
        <v>787</v>
      </c>
      <c r="E1361" t="s">
        <v>1517</v>
      </c>
      <c r="F1361" t="s">
        <v>1519</v>
      </c>
      <c r="G1361">
        <v>6</v>
      </c>
      <c r="H1361" s="48">
        <v>0</v>
      </c>
      <c r="I1361" s="48">
        <v>0</v>
      </c>
      <c r="J1361" s="54">
        <v>46219</v>
      </c>
      <c r="K1361" s="54">
        <v>46224</v>
      </c>
      <c r="L1361" s="54">
        <v>46234</v>
      </c>
      <c r="M1361" s="54">
        <v>46239</v>
      </c>
      <c r="O1361" s="51" t="str">
        <f t="shared" si="147"/>
        <v/>
      </c>
      <c r="P1361" s="51" t="str">
        <f t="shared" si="148"/>
        <v/>
      </c>
      <c r="Q1361" s="52" t="str">
        <f t="shared" si="149"/>
        <v/>
      </c>
      <c r="R1361" s="52" t="str">
        <f t="shared" si="150"/>
        <v/>
      </c>
      <c r="S1361" s="51" t="str">
        <f t="shared" si="151"/>
        <v/>
      </c>
      <c r="T1361" t="str">
        <f t="shared" si="152"/>
        <v/>
      </c>
      <c r="U1361" s="52" t="str">
        <f t="shared" si="153"/>
        <v/>
      </c>
    </row>
    <row r="1362" spans="2:21" x14ac:dyDescent="0.25">
      <c r="B1362">
        <v>1420</v>
      </c>
      <c r="C1362" t="s">
        <v>119</v>
      </c>
      <c r="D1362" t="s">
        <v>787</v>
      </c>
      <c r="E1362" t="s">
        <v>1518</v>
      </c>
      <c r="F1362" t="s">
        <v>1519</v>
      </c>
      <c r="G1362">
        <v>6</v>
      </c>
      <c r="H1362" s="48">
        <v>0</v>
      </c>
      <c r="I1362" s="48">
        <v>0</v>
      </c>
      <c r="J1362" s="54">
        <v>46224</v>
      </c>
      <c r="K1362" s="54">
        <v>46227</v>
      </c>
      <c r="L1362" s="54">
        <v>46239</v>
      </c>
      <c r="M1362" s="54">
        <v>46244</v>
      </c>
      <c r="O1362" s="51" t="str">
        <f t="shared" si="147"/>
        <v/>
      </c>
      <c r="P1362" s="51" t="str">
        <f t="shared" si="148"/>
        <v/>
      </c>
      <c r="Q1362" s="52" t="str">
        <f t="shared" si="149"/>
        <v/>
      </c>
      <c r="R1362" s="52" t="str">
        <f t="shared" si="150"/>
        <v/>
      </c>
      <c r="S1362" s="51" t="str">
        <f t="shared" si="151"/>
        <v>SIM</v>
      </c>
      <c r="T1362" t="str">
        <f t="shared" si="152"/>
        <v>BL1132-0001-CI-MCA-2000</v>
      </c>
      <c r="U1362" s="52">
        <f t="shared" si="153"/>
        <v>46244</v>
      </c>
    </row>
    <row r="1363" spans="2:21" x14ac:dyDescent="0.25">
      <c r="B1363">
        <v>1421</v>
      </c>
      <c r="C1363" t="s">
        <v>119</v>
      </c>
      <c r="D1363" t="s">
        <v>787</v>
      </c>
      <c r="E1363" t="s">
        <v>1520</v>
      </c>
      <c r="F1363" t="s">
        <v>1519</v>
      </c>
      <c r="G1363">
        <v>4</v>
      </c>
      <c r="H1363" s="48">
        <v>0</v>
      </c>
      <c r="I1363" s="48">
        <v>0</v>
      </c>
      <c r="J1363" s="54">
        <v>46227</v>
      </c>
      <c r="K1363" s="54">
        <v>46232</v>
      </c>
      <c r="L1363" s="54">
        <v>46244</v>
      </c>
      <c r="M1363" s="54">
        <v>46247</v>
      </c>
      <c r="O1363" s="51" t="str">
        <f t="shared" si="147"/>
        <v/>
      </c>
      <c r="P1363" s="51" t="str">
        <f t="shared" si="148"/>
        <v/>
      </c>
      <c r="Q1363" s="52" t="str">
        <f t="shared" si="149"/>
        <v/>
      </c>
      <c r="R1363" s="52" t="str">
        <f t="shared" si="150"/>
        <v/>
      </c>
      <c r="S1363" s="51" t="str">
        <f t="shared" si="151"/>
        <v/>
      </c>
      <c r="T1363" t="str">
        <f t="shared" si="152"/>
        <v/>
      </c>
      <c r="U1363" s="52" t="str">
        <f t="shared" si="153"/>
        <v/>
      </c>
    </row>
    <row r="1364" spans="2:21" x14ac:dyDescent="0.25">
      <c r="B1364">
        <v>1422</v>
      </c>
      <c r="C1364" t="s">
        <v>120</v>
      </c>
      <c r="D1364" t="s">
        <v>792</v>
      </c>
      <c r="E1364" t="s">
        <v>1805</v>
      </c>
      <c r="F1364" t="s">
        <v>1527</v>
      </c>
      <c r="G1364">
        <v>21</v>
      </c>
      <c r="H1364" s="48">
        <v>0</v>
      </c>
      <c r="I1364" s="48">
        <v>0</v>
      </c>
      <c r="J1364" s="54">
        <v>46219</v>
      </c>
      <c r="K1364" s="54">
        <v>46239</v>
      </c>
      <c r="L1364" s="54">
        <v>46234</v>
      </c>
      <c r="M1364" s="54">
        <v>46254</v>
      </c>
      <c r="O1364" s="51" t="str">
        <f t="shared" si="147"/>
        <v/>
      </c>
      <c r="P1364" s="51" t="str">
        <f t="shared" si="148"/>
        <v/>
      </c>
      <c r="Q1364" s="52" t="str">
        <f t="shared" si="149"/>
        <v/>
      </c>
      <c r="R1364" s="52" t="str">
        <f t="shared" si="150"/>
        <v/>
      </c>
      <c r="S1364" s="51" t="str">
        <f t="shared" si="151"/>
        <v/>
      </c>
      <c r="T1364" t="str">
        <f t="shared" si="152"/>
        <v/>
      </c>
      <c r="U1364" s="52" t="str">
        <f t="shared" si="153"/>
        <v/>
      </c>
    </row>
    <row r="1365" spans="2:21" x14ac:dyDescent="0.25">
      <c r="B1365">
        <v>1423</v>
      </c>
      <c r="C1365" t="s">
        <v>120</v>
      </c>
      <c r="D1365" t="s">
        <v>792</v>
      </c>
      <c r="E1365" t="s">
        <v>1515</v>
      </c>
      <c r="F1365" t="s">
        <v>1528</v>
      </c>
      <c r="G1365">
        <v>8</v>
      </c>
      <c r="H1365" s="48">
        <v>0</v>
      </c>
      <c r="I1365" s="48">
        <v>0</v>
      </c>
      <c r="J1365" s="54">
        <v>46219</v>
      </c>
      <c r="K1365" s="54">
        <v>46226</v>
      </c>
      <c r="L1365" s="54">
        <v>46234</v>
      </c>
      <c r="M1365" s="54">
        <v>46241</v>
      </c>
      <c r="O1365" s="51" t="str">
        <f t="shared" si="147"/>
        <v>SIM</v>
      </c>
      <c r="P1365" s="51" t="str">
        <f t="shared" si="148"/>
        <v>BL1132-0001-CI-MCA-2002</v>
      </c>
      <c r="Q1365" s="52">
        <f t="shared" si="149"/>
        <v>46241</v>
      </c>
      <c r="R1365" s="52">
        <f t="shared" si="150"/>
        <v>46226</v>
      </c>
      <c r="S1365" s="51" t="str">
        <f t="shared" si="151"/>
        <v/>
      </c>
      <c r="T1365" t="str">
        <f t="shared" si="152"/>
        <v/>
      </c>
      <c r="U1365" s="52" t="str">
        <f t="shared" si="153"/>
        <v/>
      </c>
    </row>
    <row r="1366" spans="2:21" x14ac:dyDescent="0.25">
      <c r="B1366">
        <v>1424</v>
      </c>
      <c r="C1366" t="s">
        <v>120</v>
      </c>
      <c r="D1366" t="s">
        <v>792</v>
      </c>
      <c r="E1366" t="s">
        <v>1517</v>
      </c>
      <c r="F1366" t="s">
        <v>1519</v>
      </c>
      <c r="G1366">
        <v>6</v>
      </c>
      <c r="H1366" s="48">
        <v>0</v>
      </c>
      <c r="I1366" s="48">
        <v>0</v>
      </c>
      <c r="J1366" s="54">
        <v>46226</v>
      </c>
      <c r="K1366" s="54">
        <v>46231</v>
      </c>
      <c r="L1366" s="54">
        <v>46241</v>
      </c>
      <c r="M1366" s="54">
        <v>46246</v>
      </c>
      <c r="O1366" s="51" t="str">
        <f t="shared" si="147"/>
        <v/>
      </c>
      <c r="P1366" s="51" t="str">
        <f t="shared" si="148"/>
        <v/>
      </c>
      <c r="Q1366" s="52" t="str">
        <f t="shared" si="149"/>
        <v/>
      </c>
      <c r="R1366" s="52" t="str">
        <f t="shared" si="150"/>
        <v/>
      </c>
      <c r="S1366" s="51" t="str">
        <f t="shared" si="151"/>
        <v/>
      </c>
      <c r="T1366" t="str">
        <f t="shared" si="152"/>
        <v/>
      </c>
      <c r="U1366" s="52" t="str">
        <f t="shared" si="153"/>
        <v/>
      </c>
    </row>
    <row r="1367" spans="2:21" x14ac:dyDescent="0.25">
      <c r="B1367">
        <v>1425</v>
      </c>
      <c r="C1367" t="s">
        <v>120</v>
      </c>
      <c r="D1367" t="s">
        <v>792</v>
      </c>
      <c r="E1367" t="s">
        <v>1518</v>
      </c>
      <c r="F1367" t="s">
        <v>1519</v>
      </c>
      <c r="G1367">
        <v>6</v>
      </c>
      <c r="H1367" s="48">
        <v>0</v>
      </c>
      <c r="I1367" s="48">
        <v>0</v>
      </c>
      <c r="J1367" s="54">
        <v>46231</v>
      </c>
      <c r="K1367" s="54">
        <v>46234</v>
      </c>
      <c r="L1367" s="54">
        <v>46246</v>
      </c>
      <c r="M1367" s="54">
        <v>46251</v>
      </c>
      <c r="O1367" s="51" t="str">
        <f t="shared" si="147"/>
        <v/>
      </c>
      <c r="P1367" s="51" t="str">
        <f t="shared" si="148"/>
        <v/>
      </c>
      <c r="Q1367" s="52" t="str">
        <f t="shared" si="149"/>
        <v/>
      </c>
      <c r="R1367" s="52" t="str">
        <f t="shared" si="150"/>
        <v/>
      </c>
      <c r="S1367" s="51" t="str">
        <f t="shared" si="151"/>
        <v>SIM</v>
      </c>
      <c r="T1367" t="str">
        <f t="shared" si="152"/>
        <v>BL1132-0001-CI-MCA-2002</v>
      </c>
      <c r="U1367" s="52">
        <f t="shared" si="153"/>
        <v>46251</v>
      </c>
    </row>
    <row r="1368" spans="2:21" x14ac:dyDescent="0.25">
      <c r="B1368">
        <v>1426</v>
      </c>
      <c r="C1368" t="s">
        <v>120</v>
      </c>
      <c r="D1368" t="s">
        <v>792</v>
      </c>
      <c r="E1368" t="s">
        <v>1520</v>
      </c>
      <c r="F1368" t="s">
        <v>1519</v>
      </c>
      <c r="G1368">
        <v>4</v>
      </c>
      <c r="H1368" s="48">
        <v>0</v>
      </c>
      <c r="I1368" s="48">
        <v>0</v>
      </c>
      <c r="J1368" s="54">
        <v>46234</v>
      </c>
      <c r="K1368" s="54">
        <v>46239</v>
      </c>
      <c r="L1368" s="54">
        <v>46251</v>
      </c>
      <c r="M1368" s="54">
        <v>46254</v>
      </c>
      <c r="O1368" s="51" t="str">
        <f t="shared" si="147"/>
        <v/>
      </c>
      <c r="P1368" s="51" t="str">
        <f t="shared" si="148"/>
        <v/>
      </c>
      <c r="Q1368" s="52" t="str">
        <f t="shared" si="149"/>
        <v/>
      </c>
      <c r="R1368" s="52" t="str">
        <f t="shared" si="150"/>
        <v/>
      </c>
      <c r="S1368" s="51" t="str">
        <f t="shared" si="151"/>
        <v/>
      </c>
      <c r="T1368" t="str">
        <f t="shared" si="152"/>
        <v/>
      </c>
      <c r="U1368" s="52" t="str">
        <f t="shared" si="153"/>
        <v/>
      </c>
    </row>
    <row r="1369" spans="2:21" x14ac:dyDescent="0.25">
      <c r="B1369">
        <v>1427</v>
      </c>
      <c r="E1369" t="s">
        <v>1572</v>
      </c>
      <c r="F1369" t="s">
        <v>1709</v>
      </c>
      <c r="G1369">
        <v>41</v>
      </c>
      <c r="H1369" s="48">
        <v>0</v>
      </c>
      <c r="I1369" s="48">
        <v>0</v>
      </c>
      <c r="J1369" s="54">
        <v>46226</v>
      </c>
      <c r="K1369" s="54">
        <v>46265</v>
      </c>
      <c r="L1369" s="54">
        <v>46241</v>
      </c>
      <c r="M1369" s="54">
        <v>46281</v>
      </c>
      <c r="O1369" s="51" t="str">
        <f t="shared" si="147"/>
        <v/>
      </c>
      <c r="P1369" s="51" t="str">
        <f t="shared" si="148"/>
        <v/>
      </c>
      <c r="Q1369" s="52" t="str">
        <f t="shared" si="149"/>
        <v/>
      </c>
      <c r="R1369" s="52" t="str">
        <f t="shared" si="150"/>
        <v/>
      </c>
      <c r="S1369" s="51" t="str">
        <f t="shared" si="151"/>
        <v/>
      </c>
      <c r="T1369" t="str">
        <f t="shared" si="152"/>
        <v/>
      </c>
      <c r="U1369" s="52" t="str">
        <f t="shared" si="153"/>
        <v/>
      </c>
    </row>
    <row r="1370" spans="2:21" x14ac:dyDescent="0.25">
      <c r="B1370">
        <v>1428</v>
      </c>
      <c r="C1370" t="s">
        <v>109</v>
      </c>
      <c r="D1370" t="s">
        <v>733</v>
      </c>
      <c r="E1370" t="s">
        <v>1848</v>
      </c>
      <c r="F1370" t="s">
        <v>1527</v>
      </c>
      <c r="G1370">
        <v>21</v>
      </c>
      <c r="H1370" s="48">
        <v>0</v>
      </c>
      <c r="I1370" s="48">
        <v>0</v>
      </c>
      <c r="J1370" s="54">
        <v>46226</v>
      </c>
      <c r="K1370" s="54">
        <v>46246</v>
      </c>
      <c r="L1370" s="54">
        <v>46241</v>
      </c>
      <c r="M1370" s="54">
        <v>46261</v>
      </c>
      <c r="O1370" s="51" t="str">
        <f t="shared" si="147"/>
        <v/>
      </c>
      <c r="P1370" s="51" t="str">
        <f t="shared" si="148"/>
        <v/>
      </c>
      <c r="Q1370" s="52" t="str">
        <f t="shared" si="149"/>
        <v/>
      </c>
      <c r="R1370" s="52" t="str">
        <f t="shared" si="150"/>
        <v/>
      </c>
      <c r="S1370" s="51" t="str">
        <f t="shared" si="151"/>
        <v/>
      </c>
      <c r="T1370" t="str">
        <f t="shared" si="152"/>
        <v/>
      </c>
      <c r="U1370" s="52" t="str">
        <f t="shared" si="153"/>
        <v/>
      </c>
    </row>
    <row r="1371" spans="2:21" x14ac:dyDescent="0.25">
      <c r="B1371">
        <v>1429</v>
      </c>
      <c r="C1371" t="s">
        <v>109</v>
      </c>
      <c r="D1371" t="s">
        <v>733</v>
      </c>
      <c r="E1371" t="s">
        <v>1515</v>
      </c>
      <c r="F1371" t="s">
        <v>1528</v>
      </c>
      <c r="G1371">
        <v>8</v>
      </c>
      <c r="H1371" s="48">
        <v>0</v>
      </c>
      <c r="I1371" s="48">
        <v>0</v>
      </c>
      <c r="J1371" s="54">
        <v>46226</v>
      </c>
      <c r="K1371" s="54">
        <v>46233</v>
      </c>
      <c r="L1371" s="54">
        <v>46241</v>
      </c>
      <c r="M1371" s="54">
        <v>46248</v>
      </c>
      <c r="O1371" s="51" t="str">
        <f t="shared" si="147"/>
        <v>SIM</v>
      </c>
      <c r="P1371" s="51" t="str">
        <f t="shared" si="148"/>
        <v>BL1132-0001-CC-MCA-2115</v>
      </c>
      <c r="Q1371" s="52">
        <f t="shared" si="149"/>
        <v>46248</v>
      </c>
      <c r="R1371" s="52">
        <f t="shared" si="150"/>
        <v>46233</v>
      </c>
      <c r="S1371" s="51" t="str">
        <f t="shared" si="151"/>
        <v/>
      </c>
      <c r="T1371" t="str">
        <f t="shared" si="152"/>
        <v/>
      </c>
      <c r="U1371" s="52" t="str">
        <f t="shared" si="153"/>
        <v/>
      </c>
    </row>
    <row r="1372" spans="2:21" x14ac:dyDescent="0.25">
      <c r="B1372">
        <v>1430</v>
      </c>
      <c r="C1372" t="s">
        <v>109</v>
      </c>
      <c r="D1372" t="s">
        <v>733</v>
      </c>
      <c r="E1372" t="s">
        <v>1517</v>
      </c>
      <c r="F1372" t="s">
        <v>1519</v>
      </c>
      <c r="G1372">
        <v>6</v>
      </c>
      <c r="H1372" s="48">
        <v>0</v>
      </c>
      <c r="I1372" s="48">
        <v>0</v>
      </c>
      <c r="J1372" s="54">
        <v>46233</v>
      </c>
      <c r="K1372" s="54">
        <v>46238</v>
      </c>
      <c r="L1372" s="54">
        <v>46248</v>
      </c>
      <c r="M1372" s="54">
        <v>46253</v>
      </c>
      <c r="O1372" s="51" t="str">
        <f t="shared" si="147"/>
        <v/>
      </c>
      <c r="P1372" s="51" t="str">
        <f t="shared" si="148"/>
        <v/>
      </c>
      <c r="Q1372" s="52" t="str">
        <f t="shared" si="149"/>
        <v/>
      </c>
      <c r="R1372" s="52" t="str">
        <f t="shared" si="150"/>
        <v/>
      </c>
      <c r="S1372" s="51" t="str">
        <f t="shared" si="151"/>
        <v/>
      </c>
      <c r="T1372" t="str">
        <f t="shared" si="152"/>
        <v/>
      </c>
      <c r="U1372" s="52" t="str">
        <f t="shared" si="153"/>
        <v/>
      </c>
    </row>
    <row r="1373" spans="2:21" x14ac:dyDescent="0.25">
      <c r="B1373">
        <v>1431</v>
      </c>
      <c r="C1373" t="s">
        <v>109</v>
      </c>
      <c r="D1373" t="s">
        <v>733</v>
      </c>
      <c r="E1373" t="s">
        <v>1518</v>
      </c>
      <c r="F1373" t="s">
        <v>1519</v>
      </c>
      <c r="G1373">
        <v>6</v>
      </c>
      <c r="H1373" s="48">
        <v>0</v>
      </c>
      <c r="I1373" s="48">
        <v>0</v>
      </c>
      <c r="J1373" s="54">
        <v>46238</v>
      </c>
      <c r="K1373" s="54">
        <v>46241</v>
      </c>
      <c r="L1373" s="54">
        <v>46253</v>
      </c>
      <c r="M1373" s="54">
        <v>46258</v>
      </c>
      <c r="O1373" s="51" t="str">
        <f t="shared" si="147"/>
        <v/>
      </c>
      <c r="P1373" s="51" t="str">
        <f t="shared" si="148"/>
        <v/>
      </c>
      <c r="Q1373" s="52" t="str">
        <f t="shared" si="149"/>
        <v/>
      </c>
      <c r="R1373" s="52" t="str">
        <f t="shared" si="150"/>
        <v/>
      </c>
      <c r="S1373" s="51" t="str">
        <f t="shared" si="151"/>
        <v>SIM</v>
      </c>
      <c r="T1373" t="str">
        <f t="shared" si="152"/>
        <v>BL1132-0001-CC-MCA-2115</v>
      </c>
      <c r="U1373" s="52">
        <f t="shared" si="153"/>
        <v>46258</v>
      </c>
    </row>
    <row r="1374" spans="2:21" x14ac:dyDescent="0.25">
      <c r="B1374">
        <v>1432</v>
      </c>
      <c r="C1374" t="s">
        <v>109</v>
      </c>
      <c r="D1374" t="s">
        <v>733</v>
      </c>
      <c r="E1374" t="s">
        <v>1520</v>
      </c>
      <c r="F1374" t="s">
        <v>1519</v>
      </c>
      <c r="G1374">
        <v>4</v>
      </c>
      <c r="H1374" s="48">
        <v>0</v>
      </c>
      <c r="I1374" s="48">
        <v>0</v>
      </c>
      <c r="J1374" s="54">
        <v>46241</v>
      </c>
      <c r="K1374" s="54">
        <v>46246</v>
      </c>
      <c r="L1374" s="54">
        <v>46258</v>
      </c>
      <c r="M1374" s="54">
        <v>46261</v>
      </c>
      <c r="O1374" s="51" t="str">
        <f t="shared" si="147"/>
        <v/>
      </c>
      <c r="P1374" s="51" t="str">
        <f t="shared" si="148"/>
        <v/>
      </c>
      <c r="Q1374" s="52" t="str">
        <f t="shared" si="149"/>
        <v/>
      </c>
      <c r="R1374" s="52" t="str">
        <f t="shared" si="150"/>
        <v/>
      </c>
      <c r="S1374" s="51" t="str">
        <f t="shared" si="151"/>
        <v/>
      </c>
      <c r="T1374" t="str">
        <f t="shared" si="152"/>
        <v/>
      </c>
      <c r="U1374" s="52" t="str">
        <f t="shared" si="153"/>
        <v/>
      </c>
    </row>
    <row r="1375" spans="2:21" x14ac:dyDescent="0.25">
      <c r="B1375">
        <v>1433</v>
      </c>
      <c r="C1375" t="s">
        <v>114</v>
      </c>
      <c r="D1375" t="s">
        <v>763</v>
      </c>
      <c r="E1375" t="s">
        <v>1849</v>
      </c>
      <c r="F1375" t="s">
        <v>1527</v>
      </c>
      <c r="G1375">
        <v>22</v>
      </c>
      <c r="H1375" s="48">
        <v>0</v>
      </c>
      <c r="I1375" s="48">
        <v>0</v>
      </c>
      <c r="J1375" s="54">
        <v>46245</v>
      </c>
      <c r="K1375" s="54">
        <v>46265</v>
      </c>
      <c r="L1375" s="54">
        <v>46260</v>
      </c>
      <c r="M1375" s="54">
        <v>46281</v>
      </c>
      <c r="O1375" s="51" t="str">
        <f t="shared" si="147"/>
        <v/>
      </c>
      <c r="P1375" s="51" t="str">
        <f t="shared" si="148"/>
        <v/>
      </c>
      <c r="Q1375" s="52" t="str">
        <f t="shared" si="149"/>
        <v/>
      </c>
      <c r="R1375" s="52" t="str">
        <f t="shared" si="150"/>
        <v/>
      </c>
      <c r="S1375" s="51" t="str">
        <f t="shared" si="151"/>
        <v/>
      </c>
      <c r="T1375" t="str">
        <f t="shared" si="152"/>
        <v/>
      </c>
      <c r="U1375" s="52" t="str">
        <f t="shared" si="153"/>
        <v/>
      </c>
    </row>
    <row r="1376" spans="2:21" x14ac:dyDescent="0.25">
      <c r="B1376">
        <v>1434</v>
      </c>
      <c r="C1376" t="s">
        <v>114</v>
      </c>
      <c r="D1376" t="s">
        <v>763</v>
      </c>
      <c r="E1376" t="s">
        <v>1515</v>
      </c>
      <c r="F1376" t="s">
        <v>1528</v>
      </c>
      <c r="G1376">
        <v>8</v>
      </c>
      <c r="H1376" s="48">
        <v>0</v>
      </c>
      <c r="I1376" s="48">
        <v>0</v>
      </c>
      <c r="J1376" s="54">
        <v>46245</v>
      </c>
      <c r="K1376" s="54">
        <v>46252</v>
      </c>
      <c r="L1376" s="54">
        <v>46260</v>
      </c>
      <c r="M1376" s="54">
        <v>46267</v>
      </c>
      <c r="O1376" s="51" t="str">
        <f t="shared" si="147"/>
        <v>SIM</v>
      </c>
      <c r="P1376" s="51" t="str">
        <f t="shared" si="148"/>
        <v>BL1132-0001-CC-MDE-2000</v>
      </c>
      <c r="Q1376" s="52">
        <f t="shared" si="149"/>
        <v>46267</v>
      </c>
      <c r="R1376" s="52">
        <f t="shared" si="150"/>
        <v>46252</v>
      </c>
      <c r="S1376" s="51" t="str">
        <f t="shared" si="151"/>
        <v/>
      </c>
      <c r="T1376" t="str">
        <f t="shared" si="152"/>
        <v/>
      </c>
      <c r="U1376" s="52" t="str">
        <f t="shared" si="153"/>
        <v/>
      </c>
    </row>
    <row r="1377" spans="2:21" x14ac:dyDescent="0.25">
      <c r="B1377">
        <v>1435</v>
      </c>
      <c r="C1377" t="s">
        <v>114</v>
      </c>
      <c r="D1377" t="s">
        <v>763</v>
      </c>
      <c r="E1377" t="s">
        <v>1517</v>
      </c>
      <c r="F1377" t="s">
        <v>1519</v>
      </c>
      <c r="G1377">
        <v>7</v>
      </c>
      <c r="H1377" s="48">
        <v>0</v>
      </c>
      <c r="I1377" s="48">
        <v>0</v>
      </c>
      <c r="J1377" s="54">
        <v>46252</v>
      </c>
      <c r="K1377" s="54">
        <v>46255</v>
      </c>
      <c r="L1377" s="54">
        <v>46267</v>
      </c>
      <c r="M1377" s="54">
        <v>46273</v>
      </c>
      <c r="O1377" s="51" t="str">
        <f t="shared" si="147"/>
        <v/>
      </c>
      <c r="P1377" s="51" t="str">
        <f t="shared" si="148"/>
        <v/>
      </c>
      <c r="Q1377" s="52" t="str">
        <f t="shared" si="149"/>
        <v/>
      </c>
      <c r="R1377" s="52" t="str">
        <f t="shared" si="150"/>
        <v/>
      </c>
      <c r="S1377" s="51" t="str">
        <f t="shared" si="151"/>
        <v/>
      </c>
      <c r="T1377" t="str">
        <f t="shared" si="152"/>
        <v/>
      </c>
      <c r="U1377" s="52" t="str">
        <f t="shared" si="153"/>
        <v/>
      </c>
    </row>
    <row r="1378" spans="2:21" x14ac:dyDescent="0.25">
      <c r="B1378">
        <v>1436</v>
      </c>
      <c r="C1378" t="s">
        <v>114</v>
      </c>
      <c r="D1378" t="s">
        <v>763</v>
      </c>
      <c r="E1378" t="s">
        <v>1518</v>
      </c>
      <c r="F1378" t="s">
        <v>1519</v>
      </c>
      <c r="G1378">
        <v>4</v>
      </c>
      <c r="H1378" s="48">
        <v>0</v>
      </c>
      <c r="I1378" s="48">
        <v>0</v>
      </c>
      <c r="J1378" s="54">
        <v>46255</v>
      </c>
      <c r="K1378" s="54">
        <v>46260</v>
      </c>
      <c r="L1378" s="54">
        <v>46273</v>
      </c>
      <c r="M1378" s="54">
        <v>46276</v>
      </c>
      <c r="O1378" s="51" t="str">
        <f t="shared" si="147"/>
        <v/>
      </c>
      <c r="P1378" s="51" t="str">
        <f t="shared" si="148"/>
        <v/>
      </c>
      <c r="Q1378" s="52" t="str">
        <f t="shared" si="149"/>
        <v/>
      </c>
      <c r="R1378" s="52" t="str">
        <f t="shared" si="150"/>
        <v/>
      </c>
      <c r="S1378" s="51" t="str">
        <f t="shared" si="151"/>
        <v>SIM</v>
      </c>
      <c r="T1378" t="str">
        <f t="shared" si="152"/>
        <v>BL1132-0001-CC-MDE-2000</v>
      </c>
      <c r="U1378" s="52">
        <f t="shared" si="153"/>
        <v>46276</v>
      </c>
    </row>
    <row r="1379" spans="2:21" x14ac:dyDescent="0.25">
      <c r="B1379">
        <v>1437</v>
      </c>
      <c r="C1379" t="s">
        <v>114</v>
      </c>
      <c r="D1379" t="s">
        <v>763</v>
      </c>
      <c r="E1379" t="s">
        <v>1520</v>
      </c>
      <c r="F1379" t="s">
        <v>1519</v>
      </c>
      <c r="G1379">
        <v>6</v>
      </c>
      <c r="H1379" s="48">
        <v>0</v>
      </c>
      <c r="I1379" s="48">
        <v>0</v>
      </c>
      <c r="J1379" s="54">
        <v>46260</v>
      </c>
      <c r="K1379" s="54">
        <v>46265</v>
      </c>
      <c r="L1379" s="54">
        <v>46276</v>
      </c>
      <c r="M1379" s="54">
        <v>46281</v>
      </c>
      <c r="O1379" s="51" t="str">
        <f t="shared" si="147"/>
        <v/>
      </c>
      <c r="P1379" s="51" t="str">
        <f t="shared" si="148"/>
        <v/>
      </c>
      <c r="Q1379" s="52" t="str">
        <f t="shared" si="149"/>
        <v/>
      </c>
      <c r="R1379" s="52" t="str">
        <f t="shared" si="150"/>
        <v/>
      </c>
      <c r="S1379" s="51" t="str">
        <f t="shared" si="151"/>
        <v/>
      </c>
      <c r="T1379" t="str">
        <f t="shared" si="152"/>
        <v/>
      </c>
      <c r="U1379" s="52" t="str">
        <f t="shared" si="153"/>
        <v/>
      </c>
    </row>
    <row r="1380" spans="2:21" x14ac:dyDescent="0.25">
      <c r="B1380">
        <v>1438</v>
      </c>
      <c r="C1380" t="s">
        <v>115</v>
      </c>
      <c r="D1380" t="s">
        <v>768</v>
      </c>
      <c r="E1380" t="s">
        <v>1850</v>
      </c>
      <c r="F1380" t="s">
        <v>1641</v>
      </c>
      <c r="G1380">
        <v>17</v>
      </c>
      <c r="H1380" s="48">
        <v>0</v>
      </c>
      <c r="I1380" s="48">
        <v>0</v>
      </c>
      <c r="J1380" s="54">
        <v>46245</v>
      </c>
      <c r="K1380" s="54">
        <v>46260</v>
      </c>
      <c r="L1380" s="54">
        <v>46260</v>
      </c>
      <c r="M1380" s="54">
        <v>46276</v>
      </c>
      <c r="O1380" s="51" t="str">
        <f t="shared" si="147"/>
        <v/>
      </c>
      <c r="P1380" s="51" t="str">
        <f t="shared" si="148"/>
        <v/>
      </c>
      <c r="Q1380" s="52" t="str">
        <f t="shared" si="149"/>
        <v/>
      </c>
      <c r="R1380" s="52" t="str">
        <f t="shared" si="150"/>
        <v/>
      </c>
      <c r="S1380" s="51" t="str">
        <f t="shared" si="151"/>
        <v/>
      </c>
      <c r="T1380" t="str">
        <f t="shared" si="152"/>
        <v/>
      </c>
      <c r="U1380" s="52" t="str">
        <f t="shared" si="153"/>
        <v/>
      </c>
    </row>
    <row r="1381" spans="2:21" x14ac:dyDescent="0.25">
      <c r="B1381">
        <v>1439</v>
      </c>
      <c r="C1381" t="s">
        <v>115</v>
      </c>
      <c r="D1381" t="s">
        <v>768</v>
      </c>
      <c r="E1381" t="s">
        <v>1515</v>
      </c>
      <c r="F1381" t="s">
        <v>1642</v>
      </c>
      <c r="G1381">
        <v>3</v>
      </c>
      <c r="H1381" s="48">
        <v>0</v>
      </c>
      <c r="I1381" s="48">
        <v>0</v>
      </c>
      <c r="J1381" s="54">
        <v>46245</v>
      </c>
      <c r="K1381" s="54">
        <v>46247</v>
      </c>
      <c r="L1381" s="54">
        <v>46260</v>
      </c>
      <c r="M1381" s="54">
        <v>46262</v>
      </c>
      <c r="O1381" s="51" t="str">
        <f t="shared" si="147"/>
        <v>SIM</v>
      </c>
      <c r="P1381" s="51" t="str">
        <f t="shared" si="148"/>
        <v>BL1132-0001-CC-PQU-2001</v>
      </c>
      <c r="Q1381" s="52">
        <f t="shared" si="149"/>
        <v>46262</v>
      </c>
      <c r="R1381" s="52">
        <f t="shared" si="150"/>
        <v>46247</v>
      </c>
      <c r="S1381" s="51" t="str">
        <f t="shared" si="151"/>
        <v/>
      </c>
      <c r="T1381" t="str">
        <f t="shared" si="152"/>
        <v/>
      </c>
      <c r="U1381" s="52" t="str">
        <f t="shared" si="153"/>
        <v/>
      </c>
    </row>
    <row r="1382" spans="2:21" x14ac:dyDescent="0.25">
      <c r="B1382">
        <v>1440</v>
      </c>
      <c r="C1382" t="s">
        <v>115</v>
      </c>
      <c r="D1382" t="s">
        <v>768</v>
      </c>
      <c r="E1382" t="s">
        <v>1517</v>
      </c>
      <c r="F1382" t="s">
        <v>1519</v>
      </c>
      <c r="G1382">
        <v>6</v>
      </c>
      <c r="H1382" s="48">
        <v>0</v>
      </c>
      <c r="I1382" s="48">
        <v>0</v>
      </c>
      <c r="J1382" s="54">
        <v>46247</v>
      </c>
      <c r="K1382" s="54">
        <v>46252</v>
      </c>
      <c r="L1382" s="54">
        <v>46262</v>
      </c>
      <c r="M1382" s="54">
        <v>46267</v>
      </c>
      <c r="O1382" s="51" t="str">
        <f t="shared" si="147"/>
        <v/>
      </c>
      <c r="P1382" s="51" t="str">
        <f t="shared" si="148"/>
        <v/>
      </c>
      <c r="Q1382" s="52" t="str">
        <f t="shared" si="149"/>
        <v/>
      </c>
      <c r="R1382" s="52" t="str">
        <f t="shared" si="150"/>
        <v/>
      </c>
      <c r="S1382" s="51" t="str">
        <f t="shared" si="151"/>
        <v/>
      </c>
      <c r="T1382" t="str">
        <f t="shared" si="152"/>
        <v/>
      </c>
      <c r="U1382" s="52" t="str">
        <f t="shared" si="153"/>
        <v/>
      </c>
    </row>
    <row r="1383" spans="2:21" x14ac:dyDescent="0.25">
      <c r="B1383">
        <v>1441</v>
      </c>
      <c r="C1383" t="s">
        <v>115</v>
      </c>
      <c r="D1383" t="s">
        <v>768</v>
      </c>
      <c r="E1383" t="s">
        <v>1518</v>
      </c>
      <c r="F1383" t="s">
        <v>1519</v>
      </c>
      <c r="G1383">
        <v>7</v>
      </c>
      <c r="H1383" s="48">
        <v>0</v>
      </c>
      <c r="I1383" s="48">
        <v>0</v>
      </c>
      <c r="J1383" s="54">
        <v>46252</v>
      </c>
      <c r="K1383" s="54">
        <v>46255</v>
      </c>
      <c r="L1383" s="54">
        <v>46267</v>
      </c>
      <c r="M1383" s="54">
        <v>46273</v>
      </c>
      <c r="O1383" s="51" t="str">
        <f t="shared" si="147"/>
        <v/>
      </c>
      <c r="P1383" s="51" t="str">
        <f t="shared" si="148"/>
        <v/>
      </c>
      <c r="Q1383" s="52" t="str">
        <f t="shared" si="149"/>
        <v/>
      </c>
      <c r="R1383" s="52" t="str">
        <f t="shared" si="150"/>
        <v/>
      </c>
      <c r="S1383" s="51" t="str">
        <f t="shared" si="151"/>
        <v>SIM</v>
      </c>
      <c r="T1383" t="str">
        <f t="shared" si="152"/>
        <v>BL1132-0001-CC-PQU-2001</v>
      </c>
      <c r="U1383" s="52">
        <f t="shared" si="153"/>
        <v>46273</v>
      </c>
    </row>
    <row r="1384" spans="2:21" x14ac:dyDescent="0.25">
      <c r="B1384">
        <v>1442</v>
      </c>
      <c r="C1384" t="s">
        <v>115</v>
      </c>
      <c r="D1384" t="s">
        <v>768</v>
      </c>
      <c r="E1384" t="s">
        <v>1520</v>
      </c>
      <c r="F1384" t="s">
        <v>1519</v>
      </c>
      <c r="G1384">
        <v>4</v>
      </c>
      <c r="H1384" s="48">
        <v>0</v>
      </c>
      <c r="I1384" s="48">
        <v>0</v>
      </c>
      <c r="J1384" s="54">
        <v>46255</v>
      </c>
      <c r="K1384" s="54">
        <v>46260</v>
      </c>
      <c r="L1384" s="54">
        <v>46273</v>
      </c>
      <c r="M1384" s="54">
        <v>46276</v>
      </c>
      <c r="O1384" s="51" t="str">
        <f t="shared" si="147"/>
        <v/>
      </c>
      <c r="P1384" s="51" t="str">
        <f t="shared" si="148"/>
        <v/>
      </c>
      <c r="Q1384" s="52" t="str">
        <f t="shared" si="149"/>
        <v/>
      </c>
      <c r="R1384" s="52" t="str">
        <f t="shared" si="150"/>
        <v/>
      </c>
      <c r="S1384" s="51" t="str">
        <f t="shared" si="151"/>
        <v/>
      </c>
      <c r="T1384" t="str">
        <f t="shared" si="152"/>
        <v/>
      </c>
      <c r="U1384" s="52" t="str">
        <f t="shared" si="153"/>
        <v/>
      </c>
    </row>
    <row r="1385" spans="2:21" x14ac:dyDescent="0.25">
      <c r="B1385">
        <v>1443</v>
      </c>
      <c r="C1385" t="s">
        <v>116</v>
      </c>
      <c r="D1385" t="s">
        <v>772</v>
      </c>
      <c r="E1385" t="s">
        <v>1851</v>
      </c>
      <c r="F1385" t="s">
        <v>1641</v>
      </c>
      <c r="G1385">
        <v>19</v>
      </c>
      <c r="H1385" s="48">
        <v>0</v>
      </c>
      <c r="I1385" s="48">
        <v>0</v>
      </c>
      <c r="J1385" s="54">
        <v>46247</v>
      </c>
      <c r="K1385" s="54">
        <v>46262</v>
      </c>
      <c r="L1385" s="54">
        <v>46262</v>
      </c>
      <c r="M1385" s="54">
        <v>46280</v>
      </c>
      <c r="O1385" s="51" t="str">
        <f t="shared" si="147"/>
        <v/>
      </c>
      <c r="P1385" s="51" t="str">
        <f t="shared" si="148"/>
        <v/>
      </c>
      <c r="Q1385" s="52" t="str">
        <f t="shared" si="149"/>
        <v/>
      </c>
      <c r="R1385" s="52" t="str">
        <f t="shared" si="150"/>
        <v/>
      </c>
      <c r="S1385" s="51" t="str">
        <f t="shared" si="151"/>
        <v/>
      </c>
      <c r="T1385" t="str">
        <f t="shared" si="152"/>
        <v/>
      </c>
      <c r="U1385" s="52" t="str">
        <f t="shared" si="153"/>
        <v/>
      </c>
    </row>
    <row r="1386" spans="2:21" x14ac:dyDescent="0.25">
      <c r="B1386">
        <v>1444</v>
      </c>
      <c r="C1386" t="s">
        <v>116</v>
      </c>
      <c r="D1386" t="s">
        <v>772</v>
      </c>
      <c r="E1386" t="s">
        <v>1515</v>
      </c>
      <c r="F1386" t="s">
        <v>1642</v>
      </c>
      <c r="G1386">
        <v>5</v>
      </c>
      <c r="H1386" s="48">
        <v>0</v>
      </c>
      <c r="I1386" s="48">
        <v>0</v>
      </c>
      <c r="J1386" s="54">
        <v>46247</v>
      </c>
      <c r="K1386" s="54">
        <v>46251</v>
      </c>
      <c r="L1386" s="54">
        <v>46262</v>
      </c>
      <c r="M1386" s="54">
        <v>46266</v>
      </c>
      <c r="O1386" s="51" t="str">
        <f t="shared" si="147"/>
        <v>SIM</v>
      </c>
      <c r="P1386" s="51" t="str">
        <f t="shared" si="148"/>
        <v>BL1132-0001-CC-PQU-2002</v>
      </c>
      <c r="Q1386" s="52">
        <f t="shared" si="149"/>
        <v>46266</v>
      </c>
      <c r="R1386" s="52">
        <f t="shared" si="150"/>
        <v>46251</v>
      </c>
      <c r="S1386" s="51" t="str">
        <f t="shared" si="151"/>
        <v/>
      </c>
      <c r="T1386" t="str">
        <f t="shared" si="152"/>
        <v/>
      </c>
      <c r="U1386" s="52" t="str">
        <f t="shared" si="153"/>
        <v/>
      </c>
    </row>
    <row r="1387" spans="2:21" x14ac:dyDescent="0.25">
      <c r="B1387">
        <v>1445</v>
      </c>
      <c r="C1387" t="s">
        <v>116</v>
      </c>
      <c r="D1387" t="s">
        <v>772</v>
      </c>
      <c r="E1387" t="s">
        <v>1517</v>
      </c>
      <c r="F1387" t="s">
        <v>1519</v>
      </c>
      <c r="G1387">
        <v>4</v>
      </c>
      <c r="H1387" s="48">
        <v>0</v>
      </c>
      <c r="I1387" s="48">
        <v>0</v>
      </c>
      <c r="J1387" s="54">
        <v>46251</v>
      </c>
      <c r="K1387" s="54">
        <v>46254</v>
      </c>
      <c r="L1387" s="54">
        <v>46266</v>
      </c>
      <c r="M1387" s="54">
        <v>46269</v>
      </c>
      <c r="O1387" s="51" t="str">
        <f t="shared" si="147"/>
        <v/>
      </c>
      <c r="P1387" s="51" t="str">
        <f t="shared" si="148"/>
        <v/>
      </c>
      <c r="Q1387" s="52" t="str">
        <f t="shared" si="149"/>
        <v/>
      </c>
      <c r="R1387" s="52" t="str">
        <f t="shared" si="150"/>
        <v/>
      </c>
      <c r="S1387" s="51" t="str">
        <f t="shared" si="151"/>
        <v/>
      </c>
      <c r="T1387" t="str">
        <f t="shared" si="152"/>
        <v/>
      </c>
      <c r="U1387" s="52" t="str">
        <f t="shared" si="153"/>
        <v/>
      </c>
    </row>
    <row r="1388" spans="2:21" x14ac:dyDescent="0.25">
      <c r="B1388">
        <v>1446</v>
      </c>
      <c r="C1388" t="s">
        <v>116</v>
      </c>
      <c r="D1388" t="s">
        <v>772</v>
      </c>
      <c r="E1388" t="s">
        <v>1518</v>
      </c>
      <c r="F1388" t="s">
        <v>1519</v>
      </c>
      <c r="G1388">
        <v>7</v>
      </c>
      <c r="H1388" s="48">
        <v>0</v>
      </c>
      <c r="I1388" s="48">
        <v>0</v>
      </c>
      <c r="J1388" s="54">
        <v>46254</v>
      </c>
      <c r="K1388" s="54">
        <v>46259</v>
      </c>
      <c r="L1388" s="54">
        <v>46269</v>
      </c>
      <c r="M1388" s="54">
        <v>46275</v>
      </c>
      <c r="O1388" s="51" t="str">
        <f t="shared" si="147"/>
        <v/>
      </c>
      <c r="P1388" s="51" t="str">
        <f t="shared" si="148"/>
        <v/>
      </c>
      <c r="Q1388" s="52" t="str">
        <f t="shared" si="149"/>
        <v/>
      </c>
      <c r="R1388" s="52" t="str">
        <f t="shared" si="150"/>
        <v/>
      </c>
      <c r="S1388" s="51" t="str">
        <f t="shared" si="151"/>
        <v>SIM</v>
      </c>
      <c r="T1388" t="str">
        <f t="shared" si="152"/>
        <v>BL1132-0001-CC-PQU-2002</v>
      </c>
      <c r="U1388" s="52">
        <f t="shared" si="153"/>
        <v>46275</v>
      </c>
    </row>
    <row r="1389" spans="2:21" x14ac:dyDescent="0.25">
      <c r="B1389">
        <v>1447</v>
      </c>
      <c r="C1389" t="s">
        <v>116</v>
      </c>
      <c r="D1389" t="s">
        <v>772</v>
      </c>
      <c r="E1389" t="s">
        <v>1520</v>
      </c>
      <c r="F1389" t="s">
        <v>1519</v>
      </c>
      <c r="G1389">
        <v>6</v>
      </c>
      <c r="H1389" s="48">
        <v>0</v>
      </c>
      <c r="I1389" s="48">
        <v>0</v>
      </c>
      <c r="J1389" s="54">
        <v>46259</v>
      </c>
      <c r="K1389" s="54">
        <v>46262</v>
      </c>
      <c r="L1389" s="54">
        <v>46275</v>
      </c>
      <c r="M1389" s="54">
        <v>46280</v>
      </c>
      <c r="O1389" s="51" t="str">
        <f t="shared" si="147"/>
        <v/>
      </c>
      <c r="P1389" s="51" t="str">
        <f t="shared" si="148"/>
        <v/>
      </c>
      <c r="Q1389" s="52" t="str">
        <f t="shared" si="149"/>
        <v/>
      </c>
      <c r="R1389" s="52" t="str">
        <f t="shared" si="150"/>
        <v/>
      </c>
      <c r="S1389" s="51" t="str">
        <f t="shared" si="151"/>
        <v/>
      </c>
      <c r="T1389" t="str">
        <f t="shared" si="152"/>
        <v/>
      </c>
      <c r="U1389" s="52" t="str">
        <f t="shared" si="153"/>
        <v/>
      </c>
    </row>
    <row r="1390" spans="2:21" x14ac:dyDescent="0.25">
      <c r="B1390">
        <v>1448</v>
      </c>
      <c r="E1390" t="s">
        <v>1558</v>
      </c>
      <c r="F1390" t="s">
        <v>1514</v>
      </c>
      <c r="G1390">
        <v>28</v>
      </c>
      <c r="H1390" s="48">
        <v>0</v>
      </c>
      <c r="I1390" s="48">
        <v>0.13869999999999999</v>
      </c>
      <c r="J1390" s="54">
        <v>46220</v>
      </c>
      <c r="K1390" s="54">
        <v>46237</v>
      </c>
      <c r="L1390" s="54">
        <v>46213</v>
      </c>
      <c r="M1390" s="54">
        <v>46240</v>
      </c>
      <c r="O1390" s="51" t="str">
        <f t="shared" si="147"/>
        <v/>
      </c>
      <c r="P1390" s="51" t="str">
        <f t="shared" si="148"/>
        <v/>
      </c>
      <c r="Q1390" s="52" t="str">
        <f t="shared" si="149"/>
        <v/>
      </c>
      <c r="R1390" s="52" t="str">
        <f t="shared" si="150"/>
        <v/>
      </c>
      <c r="S1390" s="51" t="str">
        <f t="shared" si="151"/>
        <v/>
      </c>
      <c r="T1390" t="str">
        <f t="shared" si="152"/>
        <v/>
      </c>
      <c r="U1390" s="52" t="str">
        <f t="shared" si="153"/>
        <v/>
      </c>
    </row>
    <row r="1391" spans="2:21" x14ac:dyDescent="0.25">
      <c r="B1391">
        <v>1449</v>
      </c>
      <c r="C1391" t="s">
        <v>249</v>
      </c>
      <c r="D1391" t="s">
        <v>1255</v>
      </c>
      <c r="E1391" t="s">
        <v>1852</v>
      </c>
      <c r="F1391" t="s">
        <v>1527</v>
      </c>
      <c r="G1391">
        <v>21</v>
      </c>
      <c r="H1391" s="48">
        <v>0</v>
      </c>
      <c r="I1391" s="48">
        <v>0</v>
      </c>
      <c r="J1391" s="54">
        <v>46220</v>
      </c>
      <c r="K1391" s="54">
        <v>46237</v>
      </c>
      <c r="L1391" s="54">
        <v>46220</v>
      </c>
      <c r="M1391" s="54">
        <v>46240</v>
      </c>
      <c r="O1391" s="51" t="str">
        <f t="shared" si="147"/>
        <v/>
      </c>
      <c r="P1391" s="51" t="str">
        <f t="shared" si="148"/>
        <v/>
      </c>
      <c r="Q1391" s="52" t="str">
        <f t="shared" si="149"/>
        <v/>
      </c>
      <c r="R1391" s="52" t="str">
        <f t="shared" si="150"/>
        <v/>
      </c>
      <c r="S1391" s="51" t="str">
        <f t="shared" si="151"/>
        <v/>
      </c>
      <c r="T1391" t="str">
        <f t="shared" si="152"/>
        <v/>
      </c>
      <c r="U1391" s="52" t="str">
        <f t="shared" si="153"/>
        <v/>
      </c>
    </row>
    <row r="1392" spans="2:21" x14ac:dyDescent="0.25">
      <c r="B1392">
        <v>1450</v>
      </c>
      <c r="C1392" t="s">
        <v>249</v>
      </c>
      <c r="D1392" t="s">
        <v>1255</v>
      </c>
      <c r="E1392" t="s">
        <v>1515</v>
      </c>
      <c r="F1392" t="s">
        <v>1528</v>
      </c>
      <c r="G1392">
        <v>8</v>
      </c>
      <c r="H1392" s="48">
        <v>0</v>
      </c>
      <c r="I1392" s="48">
        <v>0</v>
      </c>
      <c r="J1392" s="54">
        <v>46220</v>
      </c>
      <c r="K1392" s="54">
        <v>46224</v>
      </c>
      <c r="L1392" s="54">
        <v>46220</v>
      </c>
      <c r="M1392" s="54">
        <v>46227</v>
      </c>
      <c r="O1392" s="51" t="str">
        <f t="shared" si="147"/>
        <v>SIM</v>
      </c>
      <c r="P1392" s="51" t="str">
        <f t="shared" si="148"/>
        <v>BL1132-0001-ME-PBC-2005</v>
      </c>
      <c r="Q1392" s="52">
        <f t="shared" si="149"/>
        <v>46227</v>
      </c>
      <c r="R1392" s="52">
        <f t="shared" si="150"/>
        <v>46224</v>
      </c>
      <c r="S1392" s="51" t="str">
        <f t="shared" si="151"/>
        <v/>
      </c>
      <c r="T1392" t="str">
        <f t="shared" si="152"/>
        <v/>
      </c>
      <c r="U1392" s="52" t="str">
        <f t="shared" si="153"/>
        <v/>
      </c>
    </row>
    <row r="1393" spans="2:21" x14ac:dyDescent="0.25">
      <c r="B1393">
        <v>1451</v>
      </c>
      <c r="C1393" t="s">
        <v>249</v>
      </c>
      <c r="D1393" t="s">
        <v>1255</v>
      </c>
      <c r="E1393" t="s">
        <v>1517</v>
      </c>
      <c r="F1393" t="s">
        <v>1519</v>
      </c>
      <c r="G1393">
        <v>6</v>
      </c>
      <c r="H1393" s="48">
        <v>0</v>
      </c>
      <c r="I1393" s="48">
        <v>0</v>
      </c>
      <c r="J1393" s="54">
        <v>46224</v>
      </c>
      <c r="K1393" s="54">
        <v>46227</v>
      </c>
      <c r="L1393" s="54">
        <v>46227</v>
      </c>
      <c r="M1393" s="54">
        <v>46232</v>
      </c>
      <c r="O1393" s="51" t="str">
        <f t="shared" si="147"/>
        <v/>
      </c>
      <c r="P1393" s="51" t="str">
        <f t="shared" si="148"/>
        <v/>
      </c>
      <c r="Q1393" s="52" t="str">
        <f t="shared" si="149"/>
        <v/>
      </c>
      <c r="R1393" s="52" t="str">
        <f t="shared" si="150"/>
        <v/>
      </c>
      <c r="S1393" s="51" t="str">
        <f t="shared" si="151"/>
        <v/>
      </c>
      <c r="T1393" t="str">
        <f t="shared" si="152"/>
        <v/>
      </c>
      <c r="U1393" s="52" t="str">
        <f t="shared" si="153"/>
        <v/>
      </c>
    </row>
    <row r="1394" spans="2:21" x14ac:dyDescent="0.25">
      <c r="B1394">
        <v>1452</v>
      </c>
      <c r="C1394" t="s">
        <v>249</v>
      </c>
      <c r="D1394" t="s">
        <v>1255</v>
      </c>
      <c r="E1394" t="s">
        <v>1518</v>
      </c>
      <c r="F1394" t="s">
        <v>1519</v>
      </c>
      <c r="G1394">
        <v>6</v>
      </c>
      <c r="H1394" s="48">
        <v>0</v>
      </c>
      <c r="I1394" s="48">
        <v>0</v>
      </c>
      <c r="J1394" s="54">
        <v>46227</v>
      </c>
      <c r="K1394" s="54">
        <v>46232</v>
      </c>
      <c r="L1394" s="54">
        <v>46232</v>
      </c>
      <c r="M1394" s="54">
        <v>46237</v>
      </c>
      <c r="O1394" s="51" t="str">
        <f t="shared" si="147"/>
        <v/>
      </c>
      <c r="P1394" s="51" t="str">
        <f t="shared" si="148"/>
        <v/>
      </c>
      <c r="Q1394" s="52" t="str">
        <f t="shared" si="149"/>
        <v/>
      </c>
      <c r="R1394" s="52" t="str">
        <f t="shared" si="150"/>
        <v/>
      </c>
      <c r="S1394" s="51" t="str">
        <f t="shared" si="151"/>
        <v>SIM</v>
      </c>
      <c r="T1394" t="str">
        <f t="shared" si="152"/>
        <v>BL1132-0001-ME-PBC-2005</v>
      </c>
      <c r="U1394" s="52">
        <f t="shared" si="153"/>
        <v>46237</v>
      </c>
    </row>
    <row r="1395" spans="2:21" x14ac:dyDescent="0.25">
      <c r="B1395">
        <v>1453</v>
      </c>
      <c r="C1395" t="s">
        <v>249</v>
      </c>
      <c r="D1395" t="s">
        <v>1255</v>
      </c>
      <c r="E1395" t="s">
        <v>1520</v>
      </c>
      <c r="F1395" t="s">
        <v>1519</v>
      </c>
      <c r="G1395">
        <v>4</v>
      </c>
      <c r="H1395" s="48">
        <v>0</v>
      </c>
      <c r="I1395" s="48">
        <v>0</v>
      </c>
      <c r="J1395" s="54">
        <v>46232</v>
      </c>
      <c r="K1395" s="54">
        <v>46237</v>
      </c>
      <c r="L1395" s="54">
        <v>46237</v>
      </c>
      <c r="M1395" s="54">
        <v>46240</v>
      </c>
      <c r="O1395" s="51" t="str">
        <f t="shared" si="147"/>
        <v/>
      </c>
      <c r="P1395" s="51" t="str">
        <f t="shared" si="148"/>
        <v/>
      </c>
      <c r="Q1395" s="52" t="str">
        <f t="shared" si="149"/>
        <v/>
      </c>
      <c r="R1395" s="52" t="str">
        <f t="shared" si="150"/>
        <v/>
      </c>
      <c r="S1395" s="51" t="str">
        <f t="shared" si="151"/>
        <v/>
      </c>
      <c r="T1395" t="str">
        <f t="shared" si="152"/>
        <v/>
      </c>
      <c r="U1395" s="52" t="str">
        <f t="shared" si="153"/>
        <v/>
      </c>
    </row>
    <row r="1396" spans="2:21" x14ac:dyDescent="0.25">
      <c r="B1396">
        <v>1454</v>
      </c>
      <c r="C1396" t="s">
        <v>1441</v>
      </c>
      <c r="D1396" t="s">
        <v>1853</v>
      </c>
      <c r="E1396" t="s">
        <v>1854</v>
      </c>
      <c r="F1396" t="s">
        <v>1527</v>
      </c>
      <c r="G1396">
        <v>21</v>
      </c>
      <c r="H1396" s="48">
        <v>0</v>
      </c>
      <c r="I1396" s="48">
        <v>0.27729999999999999</v>
      </c>
      <c r="J1396" s="54">
        <v>46220</v>
      </c>
      <c r="K1396" s="54">
        <v>46237</v>
      </c>
      <c r="L1396" s="54">
        <v>46213</v>
      </c>
      <c r="M1396" s="54">
        <v>46233</v>
      </c>
      <c r="O1396" s="51" t="str">
        <f t="shared" si="147"/>
        <v/>
      </c>
      <c r="P1396" s="51" t="str">
        <f t="shared" si="148"/>
        <v/>
      </c>
      <c r="Q1396" s="52" t="str">
        <f t="shared" si="149"/>
        <v/>
      </c>
      <c r="R1396" s="52" t="str">
        <f t="shared" si="150"/>
        <v/>
      </c>
      <c r="S1396" s="51" t="str">
        <f t="shared" si="151"/>
        <v/>
      </c>
      <c r="T1396" t="str">
        <f t="shared" si="152"/>
        <v/>
      </c>
      <c r="U1396" s="52" t="str">
        <f t="shared" si="153"/>
        <v/>
      </c>
    </row>
    <row r="1397" spans="2:21" x14ac:dyDescent="0.25">
      <c r="B1397">
        <v>1455</v>
      </c>
      <c r="C1397" t="s">
        <v>1441</v>
      </c>
      <c r="D1397" t="s">
        <v>1853</v>
      </c>
      <c r="E1397" t="s">
        <v>1515</v>
      </c>
      <c r="F1397" t="s">
        <v>1528</v>
      </c>
      <c r="G1397">
        <v>8</v>
      </c>
      <c r="H1397" s="48">
        <v>0</v>
      </c>
      <c r="I1397" s="48">
        <v>0.4</v>
      </c>
      <c r="J1397" s="54">
        <v>46220</v>
      </c>
      <c r="K1397" s="54">
        <v>46224</v>
      </c>
      <c r="L1397" s="54">
        <v>46213</v>
      </c>
      <c r="M1397" s="54">
        <v>46220</v>
      </c>
      <c r="O1397" s="51" t="str">
        <f t="shared" si="147"/>
        <v>SIM</v>
      </c>
      <c r="P1397" s="51" t="str">
        <f t="shared" si="148"/>
        <v>BL1132-0001-ME-FDA-2007</v>
      </c>
      <c r="Q1397" s="52">
        <f t="shared" si="149"/>
        <v>46220</v>
      </c>
      <c r="R1397" s="52">
        <f t="shared" si="150"/>
        <v>46224</v>
      </c>
      <c r="S1397" s="51" t="str">
        <f t="shared" si="151"/>
        <v/>
      </c>
      <c r="T1397" t="str">
        <f t="shared" si="152"/>
        <v/>
      </c>
      <c r="U1397" s="52" t="str">
        <f t="shared" si="153"/>
        <v/>
      </c>
    </row>
    <row r="1398" spans="2:21" x14ac:dyDescent="0.25">
      <c r="B1398">
        <v>1456</v>
      </c>
      <c r="C1398" t="s">
        <v>1441</v>
      </c>
      <c r="D1398" t="s">
        <v>1853</v>
      </c>
      <c r="E1398" t="s">
        <v>1517</v>
      </c>
      <c r="F1398" t="s">
        <v>1519</v>
      </c>
      <c r="G1398">
        <v>6</v>
      </c>
      <c r="H1398" s="48">
        <v>0</v>
      </c>
      <c r="I1398" s="48">
        <v>0</v>
      </c>
      <c r="J1398" s="54">
        <v>46224</v>
      </c>
      <c r="K1398" s="54">
        <v>46227</v>
      </c>
      <c r="L1398" s="54">
        <v>46220</v>
      </c>
      <c r="M1398" s="54">
        <v>46225</v>
      </c>
      <c r="O1398" s="51" t="str">
        <f t="shared" si="147"/>
        <v/>
      </c>
      <c r="P1398" s="51" t="str">
        <f t="shared" si="148"/>
        <v/>
      </c>
      <c r="Q1398" s="52" t="str">
        <f t="shared" si="149"/>
        <v/>
      </c>
      <c r="R1398" s="52" t="str">
        <f t="shared" si="150"/>
        <v/>
      </c>
      <c r="S1398" s="51" t="str">
        <f t="shared" si="151"/>
        <v/>
      </c>
      <c r="T1398" t="str">
        <f t="shared" si="152"/>
        <v/>
      </c>
      <c r="U1398" s="52" t="str">
        <f t="shared" si="153"/>
        <v/>
      </c>
    </row>
    <row r="1399" spans="2:21" x14ac:dyDescent="0.25">
      <c r="B1399">
        <v>1457</v>
      </c>
      <c r="C1399" t="s">
        <v>1441</v>
      </c>
      <c r="D1399" t="s">
        <v>1853</v>
      </c>
      <c r="E1399" t="s">
        <v>1518</v>
      </c>
      <c r="F1399" t="s">
        <v>1519</v>
      </c>
      <c r="G1399">
        <v>6</v>
      </c>
      <c r="H1399" s="48">
        <v>0</v>
      </c>
      <c r="I1399" s="48">
        <v>0</v>
      </c>
      <c r="J1399" s="54">
        <v>46227</v>
      </c>
      <c r="K1399" s="54">
        <v>46232</v>
      </c>
      <c r="L1399" s="54">
        <v>46225</v>
      </c>
      <c r="M1399" s="54">
        <v>46230</v>
      </c>
      <c r="O1399" s="51" t="str">
        <f t="shared" si="147"/>
        <v/>
      </c>
      <c r="P1399" s="51" t="str">
        <f t="shared" si="148"/>
        <v/>
      </c>
      <c r="Q1399" s="52" t="str">
        <f t="shared" si="149"/>
        <v/>
      </c>
      <c r="R1399" s="52" t="str">
        <f t="shared" si="150"/>
        <v/>
      </c>
      <c r="S1399" s="51" t="str">
        <f t="shared" si="151"/>
        <v>SIM</v>
      </c>
      <c r="T1399" t="str">
        <f t="shared" si="152"/>
        <v>BL1132-0001-ME-FDA-2007</v>
      </c>
      <c r="U1399" s="52">
        <f t="shared" si="153"/>
        <v>46230</v>
      </c>
    </row>
    <row r="1400" spans="2:21" x14ac:dyDescent="0.25">
      <c r="B1400">
        <v>1458</v>
      </c>
      <c r="C1400" t="s">
        <v>1441</v>
      </c>
      <c r="D1400" t="s">
        <v>1853</v>
      </c>
      <c r="E1400" t="s">
        <v>1520</v>
      </c>
      <c r="F1400" t="s">
        <v>1519</v>
      </c>
      <c r="G1400">
        <v>4</v>
      </c>
      <c r="H1400" s="48">
        <v>0</v>
      </c>
      <c r="I1400" s="48">
        <v>0</v>
      </c>
      <c r="J1400" s="54">
        <v>46232</v>
      </c>
      <c r="K1400" s="54">
        <v>46237</v>
      </c>
      <c r="L1400" s="54">
        <v>46230</v>
      </c>
      <c r="M1400" s="54">
        <v>46233</v>
      </c>
      <c r="O1400" s="51" t="str">
        <f t="shared" si="147"/>
        <v/>
      </c>
      <c r="P1400" s="51" t="str">
        <f t="shared" si="148"/>
        <v/>
      </c>
      <c r="Q1400" s="52" t="str">
        <f t="shared" si="149"/>
        <v/>
      </c>
      <c r="R1400" s="52" t="str">
        <f t="shared" si="150"/>
        <v/>
      </c>
      <c r="S1400" s="51" t="str">
        <f t="shared" si="151"/>
        <v/>
      </c>
      <c r="T1400" t="str">
        <f t="shared" si="152"/>
        <v/>
      </c>
      <c r="U1400" s="52" t="str">
        <f t="shared" si="153"/>
        <v/>
      </c>
    </row>
    <row r="1401" spans="2:21" x14ac:dyDescent="0.25">
      <c r="H1401" s="48"/>
      <c r="I1401" s="48"/>
      <c r="J1401" s="54"/>
      <c r="R1401" s="52"/>
      <c r="U1401" s="52"/>
    </row>
    <row r="1402" spans="2:21" x14ac:dyDescent="0.25">
      <c r="H1402" s="48"/>
      <c r="I1402" s="48"/>
      <c r="J1402" s="54"/>
      <c r="R1402" s="52"/>
      <c r="U1402" s="52"/>
    </row>
    <row r="1403" spans="2:21" x14ac:dyDescent="0.25">
      <c r="H1403" s="48"/>
      <c r="I1403" s="48"/>
      <c r="J1403" s="54"/>
      <c r="R1403" s="52"/>
      <c r="U1403" s="52"/>
    </row>
    <row r="1404" spans="2:21" x14ac:dyDescent="0.25">
      <c r="H1404" s="48"/>
      <c r="I1404" s="48"/>
      <c r="J1404" s="54"/>
      <c r="R1404" s="52"/>
      <c r="U1404" s="52"/>
    </row>
    <row r="1405" spans="2:21" x14ac:dyDescent="0.25">
      <c r="H1405" s="48"/>
      <c r="I1405" s="48"/>
      <c r="J1405" s="54"/>
      <c r="R1405" s="52"/>
      <c r="U1405" s="52"/>
    </row>
    <row r="1406" spans="2:21" x14ac:dyDescent="0.25">
      <c r="H1406" s="48"/>
      <c r="I1406" s="48"/>
      <c r="J1406" s="54"/>
      <c r="R1406" s="52"/>
      <c r="U1406" s="52"/>
    </row>
    <row r="1407" spans="2:21" x14ac:dyDescent="0.25">
      <c r="H1407" s="48"/>
      <c r="I1407" s="48"/>
      <c r="J1407" s="54"/>
      <c r="R1407" s="52"/>
      <c r="U1407" s="52"/>
    </row>
    <row r="1408" spans="2:21" x14ac:dyDescent="0.25">
      <c r="H1408" s="48"/>
      <c r="I1408" s="48"/>
      <c r="J1408" s="54"/>
      <c r="R1408" s="52"/>
      <c r="U1408" s="52"/>
    </row>
    <row r="1409" spans="8:21" x14ac:dyDescent="0.25">
      <c r="H1409" s="48"/>
      <c r="I1409" s="48"/>
      <c r="J1409" s="54"/>
      <c r="R1409" s="52"/>
      <c r="U1409" s="52"/>
    </row>
    <row r="1410" spans="8:21" x14ac:dyDescent="0.25">
      <c r="H1410" s="48"/>
      <c r="I1410" s="48"/>
      <c r="J1410" s="54"/>
      <c r="R1410" s="52"/>
      <c r="U1410" s="52"/>
    </row>
    <row r="1411" spans="8:21" x14ac:dyDescent="0.25">
      <c r="H1411" s="48"/>
      <c r="I1411" s="48"/>
      <c r="J1411" s="54"/>
      <c r="R1411" s="52"/>
      <c r="U1411" s="52"/>
    </row>
    <row r="1412" spans="8:21" x14ac:dyDescent="0.25">
      <c r="H1412" s="48"/>
      <c r="I1412" s="48"/>
      <c r="J1412" s="54"/>
      <c r="R1412" s="52"/>
      <c r="U1412" s="52"/>
    </row>
    <row r="1413" spans="8:21" x14ac:dyDescent="0.25">
      <c r="H1413" s="48"/>
      <c r="I1413" s="48"/>
      <c r="J1413" s="54"/>
      <c r="R1413" s="52"/>
      <c r="U1413" s="52"/>
    </row>
    <row r="1414" spans="8:21" x14ac:dyDescent="0.25">
      <c r="H1414" s="48"/>
      <c r="I1414" s="48"/>
      <c r="J1414" s="54"/>
      <c r="R1414" s="52"/>
      <c r="U1414" s="52"/>
    </row>
    <row r="1415" spans="8:21" x14ac:dyDescent="0.25">
      <c r="H1415" s="48"/>
      <c r="I1415" s="48"/>
      <c r="J1415" s="54"/>
      <c r="R1415" s="52"/>
      <c r="U1415" s="52"/>
    </row>
    <row r="1416" spans="8:21" x14ac:dyDescent="0.25">
      <c r="H1416" s="48"/>
      <c r="I1416" s="48"/>
      <c r="J1416" s="54"/>
      <c r="R1416" s="52"/>
      <c r="U1416" s="52"/>
    </row>
    <row r="1417" spans="8:21" x14ac:dyDescent="0.25">
      <c r="H1417" s="48"/>
      <c r="I1417" s="48"/>
      <c r="J1417" s="54"/>
      <c r="R1417" s="52"/>
      <c r="U1417" s="52"/>
    </row>
    <row r="1418" spans="8:21" x14ac:dyDescent="0.25">
      <c r="H1418" s="48"/>
      <c r="I1418" s="48"/>
      <c r="J1418" s="54"/>
      <c r="R1418" s="52"/>
      <c r="U1418" s="52"/>
    </row>
    <row r="1419" spans="8:21" x14ac:dyDescent="0.25">
      <c r="H1419" s="48"/>
      <c r="I1419" s="48"/>
      <c r="J1419" s="54"/>
      <c r="R1419" s="52"/>
      <c r="U1419" s="52"/>
    </row>
    <row r="1420" spans="8:21" x14ac:dyDescent="0.25">
      <c r="H1420" s="48"/>
      <c r="I1420" s="48"/>
      <c r="J1420" s="54"/>
      <c r="R1420" s="52"/>
      <c r="U1420" s="52"/>
    </row>
    <row r="1421" spans="8:21" x14ac:dyDescent="0.25">
      <c r="H1421" s="48"/>
      <c r="I1421" s="48"/>
      <c r="J1421" s="54"/>
      <c r="R1421" s="52"/>
      <c r="U1421" s="52"/>
    </row>
    <row r="1422" spans="8:21" x14ac:dyDescent="0.25">
      <c r="H1422" s="48"/>
      <c r="I1422" s="48"/>
      <c r="J1422" s="54"/>
      <c r="R1422" s="52"/>
      <c r="U1422" s="52"/>
    </row>
    <row r="1423" spans="8:21" x14ac:dyDescent="0.25">
      <c r="H1423" s="48"/>
      <c r="I1423" s="48"/>
      <c r="J1423" s="54"/>
      <c r="R1423" s="52"/>
      <c r="U1423" s="52"/>
    </row>
    <row r="1424" spans="8:21" x14ac:dyDescent="0.25">
      <c r="H1424" s="48"/>
      <c r="I1424" s="48"/>
      <c r="J1424" s="54"/>
      <c r="R1424" s="52"/>
      <c r="U1424" s="52"/>
    </row>
    <row r="1425" spans="8:21" x14ac:dyDescent="0.25">
      <c r="H1425" s="48"/>
      <c r="I1425" s="48"/>
      <c r="J1425" s="54"/>
      <c r="R1425" s="52"/>
      <c r="U1425" s="52"/>
    </row>
    <row r="1426" spans="8:21" x14ac:dyDescent="0.25">
      <c r="H1426" s="48"/>
      <c r="I1426" s="48"/>
      <c r="J1426" s="54"/>
      <c r="R1426" s="52"/>
      <c r="U1426" s="52"/>
    </row>
    <row r="1427" spans="8:21" x14ac:dyDescent="0.25">
      <c r="H1427" s="48"/>
      <c r="I1427" s="48"/>
      <c r="J1427" s="54"/>
      <c r="R1427" s="52"/>
      <c r="U1427" s="52"/>
    </row>
    <row r="1428" spans="8:21" x14ac:dyDescent="0.25">
      <c r="H1428" s="48"/>
      <c r="I1428" s="48"/>
      <c r="J1428" s="54"/>
      <c r="R1428" s="52"/>
      <c r="U1428" s="52"/>
    </row>
    <row r="1429" spans="8:21" x14ac:dyDescent="0.25">
      <c r="H1429" s="48"/>
      <c r="I1429" s="48"/>
      <c r="J1429" s="54"/>
      <c r="R1429" s="52"/>
      <c r="U1429" s="52"/>
    </row>
    <row r="1430" spans="8:21" x14ac:dyDescent="0.25">
      <c r="H1430" s="48"/>
      <c r="I1430" s="48"/>
      <c r="J1430" s="54"/>
      <c r="R1430" s="52"/>
      <c r="U1430" s="52"/>
    </row>
    <row r="1431" spans="8:21" x14ac:dyDescent="0.25">
      <c r="H1431" s="48"/>
      <c r="I1431" s="48"/>
      <c r="J1431" s="54"/>
      <c r="R1431" s="52"/>
      <c r="U1431" s="52"/>
    </row>
    <row r="1432" spans="8:21" x14ac:dyDescent="0.25">
      <c r="H1432" s="48"/>
      <c r="I1432" s="48"/>
      <c r="J1432" s="54"/>
      <c r="R1432" s="52"/>
      <c r="U1432" s="52"/>
    </row>
    <row r="1433" spans="8:21" x14ac:dyDescent="0.25">
      <c r="H1433" s="48"/>
      <c r="I1433" s="48"/>
      <c r="J1433" s="54"/>
      <c r="R1433" s="52"/>
      <c r="U1433" s="52"/>
    </row>
    <row r="1434" spans="8:21" x14ac:dyDescent="0.25">
      <c r="H1434" s="48"/>
      <c r="I1434" s="48"/>
      <c r="J1434" s="54"/>
      <c r="R1434" s="52"/>
      <c r="U1434" s="52"/>
    </row>
    <row r="1435" spans="8:21" x14ac:dyDescent="0.25">
      <c r="H1435" s="48"/>
      <c r="I1435" s="48"/>
      <c r="J1435" s="54"/>
      <c r="R1435" s="52"/>
      <c r="U1435" s="52"/>
    </row>
    <row r="1436" spans="8:21" x14ac:dyDescent="0.25">
      <c r="H1436" s="48"/>
      <c r="I1436" s="48"/>
      <c r="J1436" s="54"/>
      <c r="R1436" s="52"/>
      <c r="U1436" s="52"/>
    </row>
    <row r="1437" spans="8:21" x14ac:dyDescent="0.25">
      <c r="H1437" s="48"/>
      <c r="I1437" s="48"/>
      <c r="J1437" s="54"/>
      <c r="R1437" s="52"/>
      <c r="U1437" s="52"/>
    </row>
    <row r="1438" spans="8:21" x14ac:dyDescent="0.25">
      <c r="H1438" s="48"/>
      <c r="I1438" s="48"/>
      <c r="J1438" s="54"/>
      <c r="R1438" s="52"/>
      <c r="U1438" s="52"/>
    </row>
    <row r="1439" spans="8:21" x14ac:dyDescent="0.25">
      <c r="H1439" s="48"/>
      <c r="I1439" s="48"/>
      <c r="J1439" s="54"/>
      <c r="R1439" s="52"/>
      <c r="U1439" s="52"/>
    </row>
    <row r="1440" spans="8:21" x14ac:dyDescent="0.25">
      <c r="H1440" s="48"/>
      <c r="I1440" s="48"/>
      <c r="J1440" s="54"/>
      <c r="R1440" s="52"/>
      <c r="U1440" s="52"/>
    </row>
    <row r="1441" spans="8:21" x14ac:dyDescent="0.25">
      <c r="H1441" s="48"/>
      <c r="I1441" s="48"/>
      <c r="J1441" s="54"/>
      <c r="R1441" s="52"/>
      <c r="U1441" s="52"/>
    </row>
    <row r="1442" spans="8:21" x14ac:dyDescent="0.25">
      <c r="H1442" s="48"/>
      <c r="I1442" s="48"/>
      <c r="J1442" s="54"/>
      <c r="R1442" s="52"/>
      <c r="U1442" s="52"/>
    </row>
    <row r="1443" spans="8:21" x14ac:dyDescent="0.25">
      <c r="H1443" s="48"/>
      <c r="I1443" s="48"/>
      <c r="J1443" s="54"/>
      <c r="R1443" s="52"/>
      <c r="U1443" s="52"/>
    </row>
    <row r="1444" spans="8:21" x14ac:dyDescent="0.25">
      <c r="H1444" s="48"/>
      <c r="I1444" s="48"/>
      <c r="J1444" s="54"/>
      <c r="R1444" s="52"/>
      <c r="U1444" s="52"/>
    </row>
    <row r="1445" spans="8:21" x14ac:dyDescent="0.25">
      <c r="H1445" s="48"/>
      <c r="I1445" s="48"/>
      <c r="J1445" s="54"/>
      <c r="R1445" s="52"/>
      <c r="U1445" s="52"/>
    </row>
    <row r="1446" spans="8:21" x14ac:dyDescent="0.25">
      <c r="H1446" s="48"/>
      <c r="I1446" s="48"/>
      <c r="J1446" s="54"/>
      <c r="R1446" s="52"/>
      <c r="U1446" s="52"/>
    </row>
    <row r="1447" spans="8:21" x14ac:dyDescent="0.25">
      <c r="H1447" s="48"/>
      <c r="I1447" s="48"/>
      <c r="J1447" s="54"/>
      <c r="R1447" s="52"/>
      <c r="U1447" s="52"/>
    </row>
    <row r="1448" spans="8:21" x14ac:dyDescent="0.25">
      <c r="H1448" s="48"/>
      <c r="I1448" s="48"/>
      <c r="J1448" s="54"/>
      <c r="R1448" s="52"/>
      <c r="U1448" s="52"/>
    </row>
    <row r="1449" spans="8:21" x14ac:dyDescent="0.25">
      <c r="H1449" s="48"/>
      <c r="I1449" s="48"/>
      <c r="J1449" s="54"/>
      <c r="R1449" s="52"/>
      <c r="U1449" s="52"/>
    </row>
    <row r="1450" spans="8:21" x14ac:dyDescent="0.25">
      <c r="H1450" s="48"/>
      <c r="I1450" s="48"/>
      <c r="J1450" s="54"/>
      <c r="R1450" s="52"/>
      <c r="U1450" s="52"/>
    </row>
    <row r="1451" spans="8:21" x14ac:dyDescent="0.25">
      <c r="H1451" s="48"/>
      <c r="I1451" s="48"/>
      <c r="J1451" s="54"/>
      <c r="R1451" s="52"/>
      <c r="U1451" s="52"/>
    </row>
  </sheetData>
  <autoFilter ref="D2:M1070" xr:uid="{00000000-0009-0000-0000-000004000000}"/>
  <pageMargins left="0.511811024" right="0.511811024" top="0.78740157499999996" bottom="0.78740157499999996" header="0.31496062000000002" footer="0.31496062000000002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O1400"/>
  <sheetViews>
    <sheetView workbookViewId="0">
      <selection activeCell="B2" sqref="B2:O1400"/>
    </sheetView>
  </sheetViews>
  <sheetFormatPr defaultRowHeight="15" x14ac:dyDescent="0.25"/>
  <sheetData>
    <row r="2" spans="2:15" x14ac:dyDescent="0.25">
      <c r="B2" t="s">
        <v>1445</v>
      </c>
      <c r="C2" t="s">
        <v>1442</v>
      </c>
      <c r="D2" t="s">
        <v>1446</v>
      </c>
      <c r="E2" t="s">
        <v>1855</v>
      </c>
      <c r="F2" t="s">
        <v>1447</v>
      </c>
      <c r="G2" t="s">
        <v>1856</v>
      </c>
      <c r="H2" t="s">
        <v>1448</v>
      </c>
      <c r="I2" t="s">
        <v>1449</v>
      </c>
      <c r="J2" t="s">
        <v>1450</v>
      </c>
      <c r="K2" t="s">
        <v>1451</v>
      </c>
      <c r="L2" t="s">
        <v>1452</v>
      </c>
      <c r="M2" t="s">
        <v>1453</v>
      </c>
      <c r="N2" t="s">
        <v>1454</v>
      </c>
      <c r="O2" t="s">
        <v>1455</v>
      </c>
    </row>
    <row r="3" spans="2:15" x14ac:dyDescent="0.25">
      <c r="B3">
        <v>0</v>
      </c>
      <c r="F3" t="s">
        <v>1456</v>
      </c>
      <c r="H3" t="s">
        <v>1457</v>
      </c>
      <c r="I3">
        <v>125</v>
      </c>
      <c r="J3" s="48">
        <v>0.1986</v>
      </c>
      <c r="K3" s="48">
        <v>0.19950000000000001</v>
      </c>
      <c r="L3" s="54">
        <v>46164</v>
      </c>
      <c r="M3" s="54">
        <v>46288</v>
      </c>
      <c r="N3" s="54">
        <v>46164</v>
      </c>
      <c r="O3" s="54">
        <v>46288</v>
      </c>
    </row>
    <row r="4" spans="2:15" x14ac:dyDescent="0.25">
      <c r="B4">
        <v>1</v>
      </c>
      <c r="F4" t="s">
        <v>1458</v>
      </c>
      <c r="H4" t="s">
        <v>1459</v>
      </c>
      <c r="I4">
        <v>125</v>
      </c>
      <c r="J4" s="48">
        <v>0.74219999999999997</v>
      </c>
      <c r="K4" s="48">
        <v>0.69820000000000004</v>
      </c>
      <c r="L4" s="54">
        <v>46164</v>
      </c>
      <c r="M4" s="54">
        <v>46288</v>
      </c>
      <c r="N4" s="54">
        <v>46164</v>
      </c>
      <c r="O4" s="54">
        <v>46288</v>
      </c>
    </row>
    <row r="5" spans="2:15" x14ac:dyDescent="0.25">
      <c r="B5">
        <v>2</v>
      </c>
      <c r="F5" t="s">
        <v>1460</v>
      </c>
      <c r="H5" t="s">
        <v>1459</v>
      </c>
      <c r="I5">
        <v>125</v>
      </c>
      <c r="J5" s="48">
        <v>0.74219999999999997</v>
      </c>
      <c r="K5" s="48">
        <v>0.69820000000000004</v>
      </c>
      <c r="L5" s="54">
        <v>46164</v>
      </c>
      <c r="M5" s="54">
        <v>46288</v>
      </c>
      <c r="N5" s="54">
        <v>46164</v>
      </c>
      <c r="O5" s="54">
        <v>46288</v>
      </c>
    </row>
    <row r="6" spans="2:15" x14ac:dyDescent="0.25">
      <c r="B6">
        <v>3</v>
      </c>
      <c r="F6" t="s">
        <v>1489</v>
      </c>
      <c r="H6" t="s">
        <v>1459</v>
      </c>
      <c r="I6">
        <v>125</v>
      </c>
      <c r="J6" s="48">
        <v>0.74219999999999997</v>
      </c>
      <c r="K6" s="48">
        <v>0.69820000000000004</v>
      </c>
      <c r="L6" s="54">
        <v>46164</v>
      </c>
      <c r="M6" s="54">
        <v>46288</v>
      </c>
      <c r="N6" s="54">
        <v>46164</v>
      </c>
      <c r="O6" s="54">
        <v>46288</v>
      </c>
    </row>
    <row r="7" spans="2:15" x14ac:dyDescent="0.25">
      <c r="B7">
        <v>4</v>
      </c>
      <c r="F7" t="s">
        <v>1490</v>
      </c>
      <c r="H7" t="s">
        <v>1459</v>
      </c>
      <c r="I7">
        <v>125</v>
      </c>
      <c r="J7" s="48">
        <v>0.74219999999999997</v>
      </c>
      <c r="K7" s="48">
        <v>0.69820000000000004</v>
      </c>
      <c r="L7" s="54">
        <v>46164</v>
      </c>
      <c r="M7" s="54">
        <v>46288</v>
      </c>
      <c r="N7" s="54">
        <v>46164</v>
      </c>
      <c r="O7" s="54">
        <v>46288</v>
      </c>
    </row>
    <row r="8" spans="2:15" x14ac:dyDescent="0.25">
      <c r="B8">
        <v>5</v>
      </c>
      <c r="F8" t="s">
        <v>1491</v>
      </c>
      <c r="H8" t="s">
        <v>1459</v>
      </c>
      <c r="I8">
        <v>125</v>
      </c>
      <c r="J8" s="48">
        <v>0.74219999999999997</v>
      </c>
      <c r="K8" s="48">
        <v>0.69820000000000004</v>
      </c>
      <c r="L8" s="54">
        <v>46164</v>
      </c>
      <c r="M8" s="54">
        <v>46288</v>
      </c>
      <c r="N8" s="54">
        <v>46164</v>
      </c>
      <c r="O8" s="54">
        <v>46288</v>
      </c>
    </row>
    <row r="9" spans="2:15" x14ac:dyDescent="0.25">
      <c r="B9">
        <v>6</v>
      </c>
      <c r="F9" t="s">
        <v>1492</v>
      </c>
      <c r="H9" t="s">
        <v>1459</v>
      </c>
      <c r="I9">
        <v>125</v>
      </c>
      <c r="J9" s="48">
        <v>0.74219999999999997</v>
      </c>
      <c r="K9" s="48">
        <v>0.69820000000000004</v>
      </c>
      <c r="L9" s="54">
        <v>46164</v>
      </c>
      <c r="M9" s="54">
        <v>46288</v>
      </c>
      <c r="N9" s="54">
        <v>46164</v>
      </c>
      <c r="O9" s="54">
        <v>46288</v>
      </c>
    </row>
    <row r="10" spans="2:15" x14ac:dyDescent="0.25">
      <c r="B10">
        <v>7</v>
      </c>
      <c r="F10" t="s">
        <v>1493</v>
      </c>
      <c r="H10" t="s">
        <v>1494</v>
      </c>
      <c r="I10">
        <v>1</v>
      </c>
      <c r="J10" s="48">
        <v>1</v>
      </c>
      <c r="K10" s="48">
        <v>1</v>
      </c>
      <c r="L10" s="54">
        <v>46164</v>
      </c>
      <c r="M10" s="54">
        <v>46164</v>
      </c>
      <c r="N10" s="54">
        <v>46164</v>
      </c>
      <c r="O10" s="54">
        <v>46164</v>
      </c>
    </row>
    <row r="11" spans="2:15" x14ac:dyDescent="0.25">
      <c r="B11">
        <v>8</v>
      </c>
      <c r="E11">
        <v>75</v>
      </c>
      <c r="F11" t="s">
        <v>1495</v>
      </c>
      <c r="G11" t="s">
        <v>1857</v>
      </c>
      <c r="H11" t="s">
        <v>1494</v>
      </c>
      <c r="I11">
        <v>1</v>
      </c>
      <c r="J11" s="48">
        <v>1</v>
      </c>
      <c r="K11" s="48">
        <v>1</v>
      </c>
      <c r="L11" s="54">
        <v>46164</v>
      </c>
      <c r="M11" s="54">
        <v>46164</v>
      </c>
      <c r="N11" s="54">
        <v>46164</v>
      </c>
      <c r="O11" s="54">
        <v>46164</v>
      </c>
    </row>
    <row r="12" spans="2:15" x14ac:dyDescent="0.25">
      <c r="B12">
        <v>9</v>
      </c>
      <c r="F12" t="s">
        <v>1496</v>
      </c>
      <c r="H12" t="s">
        <v>1858</v>
      </c>
      <c r="I12">
        <v>82</v>
      </c>
      <c r="J12" s="48">
        <v>0</v>
      </c>
      <c r="K12" s="48">
        <v>0</v>
      </c>
      <c r="L12" s="54">
        <v>46167</v>
      </c>
      <c r="M12" s="54">
        <v>46220</v>
      </c>
      <c r="N12" s="54">
        <v>46167</v>
      </c>
      <c r="O12" s="54">
        <v>46248</v>
      </c>
    </row>
    <row r="13" spans="2:15" x14ac:dyDescent="0.25">
      <c r="B13">
        <v>10</v>
      </c>
      <c r="E13" t="s">
        <v>1859</v>
      </c>
      <c r="F13" t="s">
        <v>1498</v>
      </c>
      <c r="G13">
        <v>76</v>
      </c>
      <c r="H13" t="s">
        <v>1494</v>
      </c>
      <c r="I13">
        <v>1</v>
      </c>
      <c r="J13" s="48">
        <v>1</v>
      </c>
      <c r="K13" s="48">
        <v>1</v>
      </c>
      <c r="L13" s="54">
        <v>46167</v>
      </c>
      <c r="M13" s="54">
        <v>46167</v>
      </c>
      <c r="N13" s="54">
        <v>46167</v>
      </c>
      <c r="O13" s="54">
        <v>46167</v>
      </c>
    </row>
    <row r="14" spans="2:15" x14ac:dyDescent="0.25">
      <c r="B14">
        <v>11</v>
      </c>
      <c r="E14" t="s">
        <v>1859</v>
      </c>
      <c r="F14" t="s">
        <v>1499</v>
      </c>
      <c r="G14">
        <v>76</v>
      </c>
      <c r="H14" t="s">
        <v>1494</v>
      </c>
      <c r="I14">
        <v>1</v>
      </c>
      <c r="J14" s="48">
        <v>1</v>
      </c>
      <c r="K14" s="48">
        <v>1</v>
      </c>
      <c r="L14" s="54">
        <v>46167</v>
      </c>
      <c r="M14" s="54">
        <v>46167</v>
      </c>
      <c r="N14" s="54">
        <v>46167</v>
      </c>
      <c r="O14" s="54">
        <v>46167</v>
      </c>
    </row>
    <row r="15" spans="2:15" x14ac:dyDescent="0.25">
      <c r="B15">
        <v>12</v>
      </c>
      <c r="E15" t="s">
        <v>1859</v>
      </c>
      <c r="F15" t="s">
        <v>1500</v>
      </c>
      <c r="G15">
        <v>76</v>
      </c>
      <c r="H15" t="s">
        <v>1494</v>
      </c>
      <c r="I15">
        <v>1</v>
      </c>
      <c r="J15" s="48">
        <v>1</v>
      </c>
      <c r="K15" s="48">
        <v>1</v>
      </c>
      <c r="L15" s="54">
        <v>46167</v>
      </c>
      <c r="M15" s="54">
        <v>46167</v>
      </c>
      <c r="N15" s="54">
        <v>46167</v>
      </c>
      <c r="O15" s="54">
        <v>46167</v>
      </c>
    </row>
    <row r="16" spans="2:15" x14ac:dyDescent="0.25">
      <c r="B16">
        <v>13</v>
      </c>
      <c r="E16" t="s">
        <v>1860</v>
      </c>
      <c r="F16" t="s">
        <v>1501</v>
      </c>
      <c r="G16" t="s">
        <v>1861</v>
      </c>
      <c r="H16" t="s">
        <v>1494</v>
      </c>
      <c r="I16">
        <v>1</v>
      </c>
      <c r="J16" s="48">
        <v>1</v>
      </c>
      <c r="K16" s="48">
        <v>1</v>
      </c>
      <c r="L16" s="54">
        <v>46174</v>
      </c>
      <c r="M16" s="54">
        <v>46174</v>
      </c>
      <c r="N16" s="54">
        <v>46174</v>
      </c>
      <c r="O16" s="54">
        <v>46174</v>
      </c>
    </row>
    <row r="17" spans="2:15" x14ac:dyDescent="0.25">
      <c r="B17">
        <v>14</v>
      </c>
      <c r="E17" t="s">
        <v>1862</v>
      </c>
      <c r="F17" t="s">
        <v>1502</v>
      </c>
      <c r="G17">
        <v>76</v>
      </c>
      <c r="H17" t="s">
        <v>1494</v>
      </c>
      <c r="I17">
        <v>1</v>
      </c>
      <c r="J17" s="48">
        <v>1</v>
      </c>
      <c r="K17" s="48">
        <v>1</v>
      </c>
      <c r="L17" s="54">
        <v>46176</v>
      </c>
      <c r="M17" s="54">
        <v>46176</v>
      </c>
      <c r="N17" s="54">
        <v>46176</v>
      </c>
      <c r="O17" s="54">
        <v>46176</v>
      </c>
    </row>
    <row r="18" spans="2:15" x14ac:dyDescent="0.25">
      <c r="B18">
        <v>15</v>
      </c>
      <c r="E18" t="s">
        <v>1863</v>
      </c>
      <c r="F18" t="s">
        <v>1503</v>
      </c>
      <c r="G18" t="s">
        <v>1864</v>
      </c>
      <c r="H18" t="s">
        <v>1494</v>
      </c>
      <c r="I18">
        <v>1</v>
      </c>
      <c r="J18" s="48">
        <v>0</v>
      </c>
      <c r="K18" s="48">
        <v>0</v>
      </c>
      <c r="L18" s="54">
        <v>46220</v>
      </c>
      <c r="M18" s="54">
        <v>46220</v>
      </c>
      <c r="N18" s="54">
        <v>46220</v>
      </c>
      <c r="O18" s="54">
        <v>46220</v>
      </c>
    </row>
    <row r="19" spans="2:15" x14ac:dyDescent="0.25">
      <c r="B19">
        <v>16</v>
      </c>
      <c r="E19" t="s">
        <v>1865</v>
      </c>
      <c r="F19" t="s">
        <v>1504</v>
      </c>
      <c r="G19">
        <v>199</v>
      </c>
      <c r="H19" t="s">
        <v>1494</v>
      </c>
      <c r="I19">
        <v>1</v>
      </c>
      <c r="J19" s="48">
        <v>1</v>
      </c>
      <c r="K19" s="48">
        <v>1</v>
      </c>
      <c r="L19" s="54">
        <v>46185</v>
      </c>
      <c r="M19" s="54">
        <v>46185</v>
      </c>
      <c r="N19" s="54">
        <v>46185</v>
      </c>
      <c r="O19" s="54">
        <v>46185</v>
      </c>
    </row>
    <row r="20" spans="2:15" x14ac:dyDescent="0.25">
      <c r="B20">
        <v>17</v>
      </c>
      <c r="E20" t="s">
        <v>1866</v>
      </c>
      <c r="F20" t="s">
        <v>1505</v>
      </c>
      <c r="G20">
        <v>83</v>
      </c>
      <c r="H20" t="s">
        <v>1494</v>
      </c>
      <c r="I20">
        <v>1</v>
      </c>
      <c r="J20" s="48">
        <v>0</v>
      </c>
      <c r="K20" s="48">
        <v>0</v>
      </c>
      <c r="L20" t="s">
        <v>1506</v>
      </c>
      <c r="M20" t="s">
        <v>1506</v>
      </c>
      <c r="N20" s="54">
        <v>46213</v>
      </c>
      <c r="O20" s="54">
        <v>46213</v>
      </c>
    </row>
    <row r="21" spans="2:15" x14ac:dyDescent="0.25">
      <c r="B21">
        <v>18</v>
      </c>
      <c r="E21" t="s">
        <v>1867</v>
      </c>
      <c r="F21" t="s">
        <v>1507</v>
      </c>
      <c r="G21">
        <v>1104</v>
      </c>
      <c r="H21" t="s">
        <v>1494</v>
      </c>
      <c r="I21">
        <v>1</v>
      </c>
      <c r="J21" s="48">
        <v>0</v>
      </c>
      <c r="K21" s="48">
        <v>0</v>
      </c>
      <c r="L21" t="s">
        <v>1506</v>
      </c>
      <c r="M21" t="s">
        <v>1506</v>
      </c>
      <c r="N21" s="54">
        <v>46248</v>
      </c>
      <c r="O21" s="54">
        <v>46248</v>
      </c>
    </row>
    <row r="22" spans="2:15" x14ac:dyDescent="0.25">
      <c r="B22">
        <v>19</v>
      </c>
      <c r="F22" t="s">
        <v>1508</v>
      </c>
      <c r="H22" t="s">
        <v>1509</v>
      </c>
      <c r="I22">
        <v>19</v>
      </c>
      <c r="J22" s="48">
        <v>1</v>
      </c>
      <c r="K22" s="48">
        <v>1</v>
      </c>
      <c r="L22" s="54">
        <v>46164</v>
      </c>
      <c r="M22" s="54">
        <v>46182</v>
      </c>
      <c r="N22" s="54">
        <v>46164</v>
      </c>
      <c r="O22" s="54">
        <v>46182</v>
      </c>
    </row>
    <row r="23" spans="2:15" x14ac:dyDescent="0.25">
      <c r="B23">
        <v>20</v>
      </c>
      <c r="E23">
        <v>8</v>
      </c>
      <c r="F23" t="s">
        <v>1510</v>
      </c>
      <c r="G23" t="s">
        <v>1868</v>
      </c>
      <c r="H23" t="s">
        <v>1509</v>
      </c>
      <c r="I23">
        <v>19</v>
      </c>
      <c r="J23" s="48">
        <v>1</v>
      </c>
      <c r="K23" s="48">
        <v>1</v>
      </c>
      <c r="L23" s="54">
        <v>46164</v>
      </c>
      <c r="M23" s="54">
        <v>46182</v>
      </c>
      <c r="N23" s="54">
        <v>46164</v>
      </c>
      <c r="O23" s="54">
        <v>46182</v>
      </c>
    </row>
    <row r="24" spans="2:15" x14ac:dyDescent="0.25">
      <c r="B24">
        <v>21</v>
      </c>
      <c r="E24" t="s">
        <v>1869</v>
      </c>
      <c r="F24" t="s">
        <v>1511</v>
      </c>
      <c r="G24">
        <v>1300</v>
      </c>
      <c r="H24" t="s">
        <v>1509</v>
      </c>
      <c r="I24">
        <v>19</v>
      </c>
      <c r="J24" s="48">
        <v>1</v>
      </c>
      <c r="K24" s="48">
        <v>1</v>
      </c>
      <c r="L24" s="54">
        <v>46164</v>
      </c>
      <c r="M24" s="54">
        <v>46182</v>
      </c>
      <c r="N24" s="54">
        <v>46164</v>
      </c>
      <c r="O24" s="54">
        <v>46182</v>
      </c>
    </row>
    <row r="25" spans="2:15" x14ac:dyDescent="0.25">
      <c r="B25">
        <v>22</v>
      </c>
      <c r="F25" t="s">
        <v>1512</v>
      </c>
      <c r="H25" t="s">
        <v>1473</v>
      </c>
      <c r="I25">
        <v>107</v>
      </c>
      <c r="J25" s="48">
        <v>0.7</v>
      </c>
      <c r="K25" s="48">
        <v>0.65200000000000002</v>
      </c>
      <c r="L25" s="54">
        <v>46182</v>
      </c>
      <c r="M25" s="54">
        <v>46288</v>
      </c>
      <c r="N25" s="54">
        <v>46182</v>
      </c>
      <c r="O25" s="54">
        <v>46288</v>
      </c>
    </row>
    <row r="26" spans="2:15" x14ac:dyDescent="0.25">
      <c r="B26">
        <v>23</v>
      </c>
      <c r="C26" t="s">
        <v>129</v>
      </c>
      <c r="D26" t="s">
        <v>823</v>
      </c>
      <c r="F26" t="s">
        <v>1513</v>
      </c>
      <c r="H26" t="s">
        <v>1514</v>
      </c>
      <c r="I26">
        <v>28</v>
      </c>
      <c r="J26" s="48">
        <v>1</v>
      </c>
      <c r="K26" s="48">
        <v>1</v>
      </c>
      <c r="L26" s="54">
        <v>46182</v>
      </c>
      <c r="M26" s="54">
        <v>46205</v>
      </c>
      <c r="N26" s="54">
        <v>46182</v>
      </c>
      <c r="O26" s="54">
        <v>46209</v>
      </c>
    </row>
    <row r="27" spans="2:15" x14ac:dyDescent="0.25">
      <c r="B27">
        <v>24</v>
      </c>
      <c r="C27" t="s">
        <v>129</v>
      </c>
      <c r="D27" t="s">
        <v>823</v>
      </c>
      <c r="E27" t="s">
        <v>1870</v>
      </c>
      <c r="F27" t="s">
        <v>1515</v>
      </c>
      <c r="G27">
        <v>25</v>
      </c>
      <c r="H27" t="s">
        <v>1516</v>
      </c>
      <c r="I27">
        <v>11</v>
      </c>
      <c r="J27" s="48">
        <v>1</v>
      </c>
      <c r="K27" s="48">
        <v>1</v>
      </c>
      <c r="L27" s="54">
        <v>46182</v>
      </c>
      <c r="M27" s="54">
        <v>46192</v>
      </c>
      <c r="N27" s="54">
        <v>46182</v>
      </c>
      <c r="O27" s="54">
        <v>46192</v>
      </c>
    </row>
    <row r="28" spans="2:15" x14ac:dyDescent="0.25">
      <c r="B28">
        <v>25</v>
      </c>
      <c r="C28" t="s">
        <v>129</v>
      </c>
      <c r="D28" t="s">
        <v>823</v>
      </c>
      <c r="E28">
        <v>24</v>
      </c>
      <c r="F28" t="s">
        <v>1517</v>
      </c>
      <c r="G28">
        <v>26</v>
      </c>
      <c r="H28" t="s">
        <v>1516</v>
      </c>
      <c r="I28">
        <v>13</v>
      </c>
      <c r="J28" s="48">
        <v>1</v>
      </c>
      <c r="K28" s="48">
        <v>1</v>
      </c>
      <c r="L28" s="54">
        <v>46192</v>
      </c>
      <c r="M28" s="54">
        <v>46197</v>
      </c>
      <c r="N28" s="54">
        <v>46192</v>
      </c>
      <c r="O28" s="54">
        <v>46204</v>
      </c>
    </row>
    <row r="29" spans="2:15" x14ac:dyDescent="0.25">
      <c r="B29">
        <v>26</v>
      </c>
      <c r="C29" t="s">
        <v>129</v>
      </c>
      <c r="D29" t="s">
        <v>823</v>
      </c>
      <c r="E29">
        <v>25</v>
      </c>
      <c r="F29" t="s">
        <v>1518</v>
      </c>
      <c r="G29" t="s">
        <v>1871</v>
      </c>
      <c r="H29" t="s">
        <v>1519</v>
      </c>
      <c r="I29">
        <v>6</v>
      </c>
      <c r="J29" s="48">
        <v>1</v>
      </c>
      <c r="K29" s="48">
        <v>1</v>
      </c>
      <c r="L29" s="54">
        <v>46197</v>
      </c>
      <c r="M29" s="54">
        <v>46202</v>
      </c>
      <c r="N29" s="54">
        <v>46204</v>
      </c>
      <c r="O29" s="54">
        <v>46209</v>
      </c>
    </row>
    <row r="30" spans="2:15" x14ac:dyDescent="0.25">
      <c r="B30">
        <v>27</v>
      </c>
      <c r="C30" t="s">
        <v>129</v>
      </c>
      <c r="D30" t="s">
        <v>823</v>
      </c>
      <c r="E30" t="s">
        <v>1872</v>
      </c>
      <c r="F30" t="s">
        <v>1520</v>
      </c>
      <c r="G30">
        <v>76</v>
      </c>
      <c r="H30" t="s">
        <v>1519</v>
      </c>
      <c r="I30">
        <v>6</v>
      </c>
      <c r="J30" s="48">
        <v>1</v>
      </c>
      <c r="K30" s="48">
        <v>1</v>
      </c>
      <c r="L30" s="54">
        <v>46202</v>
      </c>
      <c r="M30" s="54">
        <v>46205</v>
      </c>
      <c r="N30" s="54">
        <v>46204</v>
      </c>
      <c r="O30" s="54">
        <v>46209</v>
      </c>
    </row>
    <row r="31" spans="2:15" x14ac:dyDescent="0.25">
      <c r="B31">
        <v>28</v>
      </c>
      <c r="C31" t="s">
        <v>257</v>
      </c>
      <c r="D31" t="s">
        <v>1294</v>
      </c>
      <c r="F31" t="s">
        <v>1521</v>
      </c>
      <c r="H31" t="s">
        <v>1770</v>
      </c>
      <c r="I31">
        <v>37</v>
      </c>
      <c r="J31" s="48">
        <v>1</v>
      </c>
      <c r="K31" s="48">
        <v>0.8</v>
      </c>
      <c r="L31" s="54">
        <v>46182</v>
      </c>
      <c r="M31" s="54">
        <v>46205</v>
      </c>
      <c r="N31" s="54">
        <v>46182</v>
      </c>
      <c r="O31" s="54">
        <v>46218</v>
      </c>
    </row>
    <row r="32" spans="2:15" x14ac:dyDescent="0.25">
      <c r="B32">
        <v>29</v>
      </c>
      <c r="C32" t="s">
        <v>257</v>
      </c>
      <c r="D32" t="s">
        <v>1294</v>
      </c>
      <c r="E32" t="s">
        <v>1870</v>
      </c>
      <c r="F32" t="s">
        <v>1515</v>
      </c>
      <c r="G32">
        <v>30</v>
      </c>
      <c r="H32" t="s">
        <v>1516</v>
      </c>
      <c r="I32">
        <v>11</v>
      </c>
      <c r="J32" s="48">
        <v>1</v>
      </c>
      <c r="K32" s="48">
        <v>1</v>
      </c>
      <c r="L32" s="54">
        <v>46182</v>
      </c>
      <c r="M32" s="54">
        <v>46192</v>
      </c>
      <c r="N32" s="54">
        <v>46182</v>
      </c>
      <c r="O32" s="54">
        <v>46192</v>
      </c>
    </row>
    <row r="33" spans="2:15" x14ac:dyDescent="0.25">
      <c r="B33">
        <v>30</v>
      </c>
      <c r="C33" t="s">
        <v>257</v>
      </c>
      <c r="D33" t="s">
        <v>1294</v>
      </c>
      <c r="E33">
        <v>29</v>
      </c>
      <c r="F33" t="s">
        <v>1517</v>
      </c>
      <c r="G33">
        <v>31</v>
      </c>
      <c r="H33" t="s">
        <v>1516</v>
      </c>
      <c r="I33">
        <v>13</v>
      </c>
      <c r="J33" s="48">
        <v>1</v>
      </c>
      <c r="K33" s="48">
        <v>1</v>
      </c>
      <c r="L33" s="54">
        <v>46192</v>
      </c>
      <c r="M33" s="54">
        <v>46197</v>
      </c>
      <c r="N33" s="54">
        <v>46192</v>
      </c>
      <c r="O33" s="54">
        <v>46204</v>
      </c>
    </row>
    <row r="34" spans="2:15" x14ac:dyDescent="0.25">
      <c r="B34">
        <v>31</v>
      </c>
      <c r="C34" t="s">
        <v>257</v>
      </c>
      <c r="D34" t="s">
        <v>1294</v>
      </c>
      <c r="E34">
        <v>30</v>
      </c>
      <c r="F34" t="s">
        <v>1518</v>
      </c>
      <c r="G34">
        <v>32</v>
      </c>
      <c r="H34" t="s">
        <v>1523</v>
      </c>
      <c r="I34">
        <v>10</v>
      </c>
      <c r="J34" s="48">
        <v>1</v>
      </c>
      <c r="K34" s="48">
        <v>0</v>
      </c>
      <c r="L34" s="54">
        <v>46197</v>
      </c>
      <c r="M34" s="54">
        <v>46202</v>
      </c>
      <c r="N34" s="54">
        <v>46204</v>
      </c>
      <c r="O34" s="54">
        <v>46213</v>
      </c>
    </row>
    <row r="35" spans="2:15" x14ac:dyDescent="0.25">
      <c r="B35">
        <v>32</v>
      </c>
      <c r="C35" t="s">
        <v>257</v>
      </c>
      <c r="D35" t="s">
        <v>1294</v>
      </c>
      <c r="E35">
        <v>31</v>
      </c>
      <c r="F35" t="s">
        <v>1520</v>
      </c>
      <c r="G35">
        <v>76</v>
      </c>
      <c r="H35" t="s">
        <v>1519</v>
      </c>
      <c r="I35">
        <v>6</v>
      </c>
      <c r="J35" s="48">
        <v>1</v>
      </c>
      <c r="K35" s="48">
        <v>0</v>
      </c>
      <c r="L35" s="54">
        <v>46202</v>
      </c>
      <c r="M35" s="54">
        <v>46205</v>
      </c>
      <c r="N35" s="54">
        <v>46213</v>
      </c>
      <c r="O35" s="54">
        <v>46218</v>
      </c>
    </row>
    <row r="36" spans="2:15" x14ac:dyDescent="0.25">
      <c r="B36">
        <v>33</v>
      </c>
      <c r="C36" t="s">
        <v>223</v>
      </c>
      <c r="D36" t="s">
        <v>1162</v>
      </c>
      <c r="E36">
        <v>20</v>
      </c>
      <c r="F36" t="s">
        <v>1524</v>
      </c>
      <c r="H36" t="s">
        <v>1522</v>
      </c>
      <c r="I36">
        <v>32</v>
      </c>
      <c r="J36" s="48">
        <v>1</v>
      </c>
      <c r="K36" s="48">
        <v>0.97330000000000005</v>
      </c>
      <c r="L36" s="54">
        <v>46182</v>
      </c>
      <c r="M36" s="54">
        <v>46205</v>
      </c>
      <c r="N36" s="54">
        <v>46182</v>
      </c>
      <c r="O36" s="54">
        <v>46213</v>
      </c>
    </row>
    <row r="37" spans="2:15" x14ac:dyDescent="0.25">
      <c r="B37">
        <v>34</v>
      </c>
      <c r="C37" t="s">
        <v>223</v>
      </c>
      <c r="D37" t="s">
        <v>1162</v>
      </c>
      <c r="E37">
        <v>20</v>
      </c>
      <c r="F37" t="s">
        <v>1515</v>
      </c>
      <c r="G37">
        <v>35</v>
      </c>
      <c r="H37" t="s">
        <v>1516</v>
      </c>
      <c r="I37">
        <v>11</v>
      </c>
      <c r="J37" s="48">
        <v>1</v>
      </c>
      <c r="K37" s="48">
        <v>1</v>
      </c>
      <c r="L37" s="54">
        <v>46182</v>
      </c>
      <c r="M37" s="54">
        <v>46192</v>
      </c>
      <c r="N37" s="54">
        <v>46182</v>
      </c>
      <c r="O37" s="54">
        <v>46192</v>
      </c>
    </row>
    <row r="38" spans="2:15" x14ac:dyDescent="0.25">
      <c r="B38">
        <v>35</v>
      </c>
      <c r="C38" t="s">
        <v>223</v>
      </c>
      <c r="D38" t="s">
        <v>1162</v>
      </c>
      <c r="E38">
        <v>34</v>
      </c>
      <c r="F38" t="s">
        <v>1517</v>
      </c>
      <c r="G38">
        <v>36</v>
      </c>
      <c r="H38" t="s">
        <v>1516</v>
      </c>
      <c r="I38">
        <v>13</v>
      </c>
      <c r="J38" s="48">
        <v>1</v>
      </c>
      <c r="K38" s="48">
        <v>1</v>
      </c>
      <c r="L38" s="54">
        <v>46192</v>
      </c>
      <c r="M38" s="54">
        <v>46197</v>
      </c>
      <c r="N38" s="54">
        <v>46192</v>
      </c>
      <c r="O38" s="54">
        <v>46204</v>
      </c>
    </row>
    <row r="39" spans="2:15" x14ac:dyDescent="0.25">
      <c r="B39">
        <v>36</v>
      </c>
      <c r="C39" t="s">
        <v>223</v>
      </c>
      <c r="D39" t="s">
        <v>1162</v>
      </c>
      <c r="E39">
        <v>35</v>
      </c>
      <c r="F39" t="s">
        <v>1518</v>
      </c>
      <c r="G39">
        <v>37</v>
      </c>
      <c r="H39" t="s">
        <v>1525</v>
      </c>
      <c r="I39">
        <v>7</v>
      </c>
      <c r="J39" s="48">
        <v>1</v>
      </c>
      <c r="K39" s="48">
        <v>1</v>
      </c>
      <c r="L39" s="54">
        <v>46197</v>
      </c>
      <c r="M39" s="54">
        <v>46202</v>
      </c>
      <c r="N39" s="54">
        <v>46204</v>
      </c>
      <c r="O39" s="54">
        <v>46210</v>
      </c>
    </row>
    <row r="40" spans="2:15" x14ac:dyDescent="0.25">
      <c r="B40">
        <v>37</v>
      </c>
      <c r="C40" t="s">
        <v>223</v>
      </c>
      <c r="D40" t="s">
        <v>1162</v>
      </c>
      <c r="E40">
        <v>36</v>
      </c>
      <c r="F40" t="s">
        <v>1520</v>
      </c>
      <c r="G40">
        <v>76</v>
      </c>
      <c r="H40" t="s">
        <v>1519</v>
      </c>
      <c r="I40">
        <v>4</v>
      </c>
      <c r="J40" s="48">
        <v>1</v>
      </c>
      <c r="K40" s="48">
        <v>0</v>
      </c>
      <c r="L40" s="54">
        <v>46202</v>
      </c>
      <c r="M40" s="54">
        <v>46205</v>
      </c>
      <c r="N40" s="54">
        <v>46210</v>
      </c>
      <c r="O40" s="54">
        <v>46213</v>
      </c>
    </row>
    <row r="41" spans="2:15" x14ac:dyDescent="0.25">
      <c r="B41">
        <v>38</v>
      </c>
      <c r="C41" t="s">
        <v>224</v>
      </c>
      <c r="D41" t="s">
        <v>1167</v>
      </c>
      <c r="F41" t="s">
        <v>1526</v>
      </c>
      <c r="H41" t="s">
        <v>1527</v>
      </c>
      <c r="I41">
        <v>22</v>
      </c>
      <c r="J41" s="48">
        <v>0</v>
      </c>
      <c r="K41" s="48">
        <v>0</v>
      </c>
      <c r="L41" s="54">
        <v>46267</v>
      </c>
      <c r="M41" s="54">
        <v>46288</v>
      </c>
      <c r="N41" s="54">
        <v>46267</v>
      </c>
      <c r="O41" s="54">
        <v>46288</v>
      </c>
    </row>
    <row r="42" spans="2:15" x14ac:dyDescent="0.25">
      <c r="B42">
        <v>39</v>
      </c>
      <c r="C42" t="s">
        <v>224</v>
      </c>
      <c r="D42" t="s">
        <v>1167</v>
      </c>
      <c r="E42" t="s">
        <v>1873</v>
      </c>
      <c r="F42" t="s">
        <v>1515</v>
      </c>
      <c r="G42">
        <v>40</v>
      </c>
      <c r="H42" t="s">
        <v>1528</v>
      </c>
      <c r="I42">
        <v>9</v>
      </c>
      <c r="J42" s="48">
        <v>0</v>
      </c>
      <c r="K42" s="48">
        <v>0</v>
      </c>
      <c r="L42" s="54">
        <v>46267</v>
      </c>
      <c r="M42" s="54">
        <v>46275</v>
      </c>
      <c r="N42" s="54">
        <v>46267</v>
      </c>
      <c r="O42" s="54">
        <v>46275</v>
      </c>
    </row>
    <row r="43" spans="2:15" x14ac:dyDescent="0.25">
      <c r="B43">
        <v>40</v>
      </c>
      <c r="C43" t="s">
        <v>224</v>
      </c>
      <c r="D43" t="s">
        <v>1167</v>
      </c>
      <c r="E43">
        <v>39</v>
      </c>
      <c r="F43" t="s">
        <v>1517</v>
      </c>
      <c r="G43">
        <v>41</v>
      </c>
      <c r="H43" t="s">
        <v>1519</v>
      </c>
      <c r="I43">
        <v>6</v>
      </c>
      <c r="J43" s="48">
        <v>0</v>
      </c>
      <c r="K43" s="48">
        <v>0</v>
      </c>
      <c r="L43" s="54">
        <v>46275</v>
      </c>
      <c r="M43" s="54">
        <v>46280</v>
      </c>
      <c r="N43" s="54">
        <v>46275</v>
      </c>
      <c r="O43" s="54">
        <v>46280</v>
      </c>
    </row>
    <row r="44" spans="2:15" x14ac:dyDescent="0.25">
      <c r="B44">
        <v>41</v>
      </c>
      <c r="C44" t="s">
        <v>224</v>
      </c>
      <c r="D44" t="s">
        <v>1167</v>
      </c>
      <c r="E44">
        <v>40</v>
      </c>
      <c r="F44" t="s">
        <v>1518</v>
      </c>
      <c r="G44">
        <v>42</v>
      </c>
      <c r="H44" t="s">
        <v>1519</v>
      </c>
      <c r="I44">
        <v>4</v>
      </c>
      <c r="J44" s="48">
        <v>0</v>
      </c>
      <c r="K44" s="48">
        <v>0</v>
      </c>
      <c r="L44" s="54">
        <v>46280</v>
      </c>
      <c r="M44" s="54">
        <v>46283</v>
      </c>
      <c r="N44" s="54">
        <v>46280</v>
      </c>
      <c r="O44" s="54">
        <v>46283</v>
      </c>
    </row>
    <row r="45" spans="2:15" x14ac:dyDescent="0.25">
      <c r="B45">
        <v>42</v>
      </c>
      <c r="C45" t="s">
        <v>224</v>
      </c>
      <c r="D45" t="s">
        <v>1167</v>
      </c>
      <c r="E45">
        <v>41</v>
      </c>
      <c r="F45" t="s">
        <v>1520</v>
      </c>
      <c r="G45">
        <v>76</v>
      </c>
      <c r="H45" t="s">
        <v>1519</v>
      </c>
      <c r="I45">
        <v>6</v>
      </c>
      <c r="J45" s="48">
        <v>0</v>
      </c>
      <c r="K45" s="48">
        <v>0</v>
      </c>
      <c r="L45" s="54">
        <v>46283</v>
      </c>
      <c r="M45" s="54">
        <v>46288</v>
      </c>
      <c r="N45" s="54">
        <v>46283</v>
      </c>
      <c r="O45" s="54">
        <v>46288</v>
      </c>
    </row>
    <row r="46" spans="2:15" x14ac:dyDescent="0.25">
      <c r="B46">
        <v>43</v>
      </c>
      <c r="F46" t="s">
        <v>1529</v>
      </c>
      <c r="H46" t="s">
        <v>1459</v>
      </c>
      <c r="I46">
        <v>125</v>
      </c>
      <c r="J46" s="48">
        <v>0.79869999999999997</v>
      </c>
      <c r="K46" s="48">
        <v>0.7601</v>
      </c>
      <c r="L46" s="54">
        <v>46164</v>
      </c>
      <c r="M46" s="54">
        <v>46288</v>
      </c>
      <c r="N46" s="54">
        <v>46164</v>
      </c>
      <c r="O46" s="54">
        <v>46288</v>
      </c>
    </row>
    <row r="47" spans="2:15" x14ac:dyDescent="0.25">
      <c r="B47">
        <v>44</v>
      </c>
      <c r="F47" t="s">
        <v>1530</v>
      </c>
      <c r="H47" t="s">
        <v>1509</v>
      </c>
      <c r="I47">
        <v>19</v>
      </c>
      <c r="J47" s="48">
        <v>1</v>
      </c>
      <c r="K47" s="48">
        <v>1</v>
      </c>
      <c r="L47" s="54">
        <v>46164</v>
      </c>
      <c r="M47" s="54">
        <v>46182</v>
      </c>
      <c r="N47" s="54">
        <v>46164</v>
      </c>
      <c r="O47" s="54">
        <v>46182</v>
      </c>
    </row>
    <row r="48" spans="2:15" x14ac:dyDescent="0.25">
      <c r="B48">
        <v>45</v>
      </c>
      <c r="E48">
        <v>8</v>
      </c>
      <c r="F48" t="s">
        <v>1531</v>
      </c>
      <c r="G48" t="s">
        <v>1874</v>
      </c>
      <c r="H48" t="s">
        <v>1528</v>
      </c>
      <c r="I48">
        <v>8</v>
      </c>
      <c r="J48" s="48">
        <v>1</v>
      </c>
      <c r="K48" s="48">
        <v>1</v>
      </c>
      <c r="L48" s="54">
        <v>46164</v>
      </c>
      <c r="M48" s="54">
        <v>46171</v>
      </c>
      <c r="N48" s="54">
        <v>46164</v>
      </c>
      <c r="O48" s="54">
        <v>46171</v>
      </c>
    </row>
    <row r="49" spans="2:15" x14ac:dyDescent="0.25">
      <c r="B49">
        <v>46</v>
      </c>
      <c r="E49">
        <v>8</v>
      </c>
      <c r="F49" t="s">
        <v>1532</v>
      </c>
      <c r="G49">
        <v>76</v>
      </c>
      <c r="H49" t="s">
        <v>1509</v>
      </c>
      <c r="I49">
        <v>19</v>
      </c>
      <c r="J49" s="48">
        <v>1</v>
      </c>
      <c r="K49" s="48">
        <v>1</v>
      </c>
      <c r="L49" s="54">
        <v>46164</v>
      </c>
      <c r="M49" s="54">
        <v>46182</v>
      </c>
      <c r="N49" s="54">
        <v>46164</v>
      </c>
      <c r="O49" s="54">
        <v>46182</v>
      </c>
    </row>
    <row r="50" spans="2:15" x14ac:dyDescent="0.25">
      <c r="B50">
        <v>47</v>
      </c>
      <c r="E50">
        <v>8</v>
      </c>
      <c r="F50" t="s">
        <v>1533</v>
      </c>
      <c r="G50" t="s">
        <v>1875</v>
      </c>
      <c r="H50" t="s">
        <v>1528</v>
      </c>
      <c r="I50">
        <v>8</v>
      </c>
      <c r="J50" s="48">
        <v>1</v>
      </c>
      <c r="K50" s="48">
        <v>1</v>
      </c>
      <c r="L50" s="54">
        <v>46164</v>
      </c>
      <c r="M50" s="54">
        <v>46171</v>
      </c>
      <c r="N50" s="54">
        <v>46164</v>
      </c>
      <c r="O50" s="54">
        <v>46171</v>
      </c>
    </row>
    <row r="51" spans="2:15" x14ac:dyDescent="0.25">
      <c r="B51">
        <v>48</v>
      </c>
      <c r="C51" t="s">
        <v>131</v>
      </c>
      <c r="D51" t="s">
        <v>834</v>
      </c>
      <c r="E51">
        <v>45</v>
      </c>
      <c r="F51" t="s">
        <v>1534</v>
      </c>
      <c r="H51" t="s">
        <v>1645</v>
      </c>
      <c r="I51">
        <v>47</v>
      </c>
      <c r="J51" s="48">
        <v>1</v>
      </c>
      <c r="K51" s="48">
        <v>0.90400000000000003</v>
      </c>
      <c r="L51" s="54">
        <v>46171</v>
      </c>
      <c r="M51" s="54">
        <v>46205</v>
      </c>
      <c r="N51" s="54">
        <v>46171</v>
      </c>
      <c r="O51" s="54">
        <v>46217</v>
      </c>
    </row>
    <row r="52" spans="2:15" x14ac:dyDescent="0.25">
      <c r="B52">
        <v>49</v>
      </c>
      <c r="C52" t="s">
        <v>131</v>
      </c>
      <c r="D52" t="s">
        <v>834</v>
      </c>
      <c r="E52">
        <v>47</v>
      </c>
      <c r="F52" t="s">
        <v>1515</v>
      </c>
      <c r="G52" t="s">
        <v>1876</v>
      </c>
      <c r="H52" t="s">
        <v>1535</v>
      </c>
      <c r="I52">
        <v>22</v>
      </c>
      <c r="J52" s="48">
        <v>1</v>
      </c>
      <c r="K52" s="48">
        <v>1</v>
      </c>
      <c r="L52" s="54">
        <v>46171</v>
      </c>
      <c r="M52" s="54">
        <v>46192</v>
      </c>
      <c r="N52" s="54">
        <v>46171</v>
      </c>
      <c r="O52" s="54">
        <v>46192</v>
      </c>
    </row>
    <row r="53" spans="2:15" x14ac:dyDescent="0.25">
      <c r="B53">
        <v>50</v>
      </c>
      <c r="C53" t="s">
        <v>131</v>
      </c>
      <c r="D53" t="s">
        <v>834</v>
      </c>
      <c r="E53">
        <v>49</v>
      </c>
      <c r="F53" t="s">
        <v>1517</v>
      </c>
      <c r="G53">
        <v>51</v>
      </c>
      <c r="H53" t="s">
        <v>1516</v>
      </c>
      <c r="I53">
        <v>13</v>
      </c>
      <c r="J53" s="48">
        <v>1</v>
      </c>
      <c r="K53" s="48">
        <v>1</v>
      </c>
      <c r="L53" s="54">
        <v>46192</v>
      </c>
      <c r="M53" s="54">
        <v>46197</v>
      </c>
      <c r="N53" s="54">
        <v>46192</v>
      </c>
      <c r="O53" s="54">
        <v>46204</v>
      </c>
    </row>
    <row r="54" spans="2:15" x14ac:dyDescent="0.25">
      <c r="B54">
        <v>51</v>
      </c>
      <c r="C54" t="s">
        <v>131</v>
      </c>
      <c r="D54" t="s">
        <v>834</v>
      </c>
      <c r="E54">
        <v>50</v>
      </c>
      <c r="F54" t="s">
        <v>1518</v>
      </c>
      <c r="G54">
        <v>52</v>
      </c>
      <c r="H54" t="s">
        <v>1605</v>
      </c>
      <c r="I54">
        <v>9</v>
      </c>
      <c r="J54" s="48">
        <v>1</v>
      </c>
      <c r="K54" s="48">
        <v>0.6</v>
      </c>
      <c r="L54" s="54">
        <v>46197</v>
      </c>
      <c r="M54" s="54">
        <v>46202</v>
      </c>
      <c r="N54" s="54">
        <v>46204</v>
      </c>
      <c r="O54" s="54">
        <v>46212</v>
      </c>
    </row>
    <row r="55" spans="2:15" x14ac:dyDescent="0.25">
      <c r="B55">
        <v>52</v>
      </c>
      <c r="C55" t="s">
        <v>131</v>
      </c>
      <c r="D55" t="s">
        <v>834</v>
      </c>
      <c r="E55">
        <v>51</v>
      </c>
      <c r="F55" t="s">
        <v>1520</v>
      </c>
      <c r="G55">
        <v>76</v>
      </c>
      <c r="H55" t="s">
        <v>1519</v>
      </c>
      <c r="I55">
        <v>6</v>
      </c>
      <c r="J55" s="48">
        <v>1</v>
      </c>
      <c r="K55" s="48">
        <v>0</v>
      </c>
      <c r="L55" s="54">
        <v>46202</v>
      </c>
      <c r="M55" s="54">
        <v>46205</v>
      </c>
      <c r="N55" s="54">
        <v>46212</v>
      </c>
      <c r="O55" s="54">
        <v>46217</v>
      </c>
    </row>
    <row r="56" spans="2:15" x14ac:dyDescent="0.25">
      <c r="B56">
        <v>53</v>
      </c>
      <c r="C56" t="s">
        <v>132</v>
      </c>
      <c r="D56" t="s">
        <v>841</v>
      </c>
      <c r="F56" t="s">
        <v>1536</v>
      </c>
      <c r="H56" t="s">
        <v>1527</v>
      </c>
      <c r="I56">
        <v>22</v>
      </c>
      <c r="J56" s="48">
        <v>0</v>
      </c>
      <c r="K56" s="48">
        <v>0</v>
      </c>
      <c r="L56" s="54">
        <v>46267</v>
      </c>
      <c r="M56" s="54">
        <v>46288</v>
      </c>
      <c r="N56" s="54">
        <v>46267</v>
      </c>
      <c r="O56" s="54">
        <v>46288</v>
      </c>
    </row>
    <row r="57" spans="2:15" x14ac:dyDescent="0.25">
      <c r="B57">
        <v>54</v>
      </c>
      <c r="C57" t="s">
        <v>132</v>
      </c>
      <c r="D57" t="s">
        <v>841</v>
      </c>
      <c r="E57" t="s">
        <v>1873</v>
      </c>
      <c r="F57" t="s">
        <v>1515</v>
      </c>
      <c r="G57">
        <v>55</v>
      </c>
      <c r="H57" t="s">
        <v>1528</v>
      </c>
      <c r="I57">
        <v>9</v>
      </c>
      <c r="J57" s="48">
        <v>0</v>
      </c>
      <c r="K57" s="48">
        <v>0</v>
      </c>
      <c r="L57" s="54">
        <v>46267</v>
      </c>
      <c r="M57" s="54">
        <v>46275</v>
      </c>
      <c r="N57" s="54">
        <v>46267</v>
      </c>
      <c r="O57" s="54">
        <v>46275</v>
      </c>
    </row>
    <row r="58" spans="2:15" x14ac:dyDescent="0.25">
      <c r="B58">
        <v>55</v>
      </c>
      <c r="C58" t="s">
        <v>132</v>
      </c>
      <c r="D58" t="s">
        <v>841</v>
      </c>
      <c r="E58">
        <v>54</v>
      </c>
      <c r="F58" t="s">
        <v>1517</v>
      </c>
      <c r="G58">
        <v>56</v>
      </c>
      <c r="H58" t="s">
        <v>1519</v>
      </c>
      <c r="I58">
        <v>6</v>
      </c>
      <c r="J58" s="48">
        <v>0</v>
      </c>
      <c r="K58" s="48">
        <v>0</v>
      </c>
      <c r="L58" s="54">
        <v>46275</v>
      </c>
      <c r="M58" s="54">
        <v>46280</v>
      </c>
      <c r="N58" s="54">
        <v>46275</v>
      </c>
      <c r="O58" s="54">
        <v>46280</v>
      </c>
    </row>
    <row r="59" spans="2:15" x14ac:dyDescent="0.25">
      <c r="B59">
        <v>56</v>
      </c>
      <c r="C59" t="s">
        <v>132</v>
      </c>
      <c r="D59" t="s">
        <v>841</v>
      </c>
      <c r="E59">
        <v>55</v>
      </c>
      <c r="F59" t="s">
        <v>1518</v>
      </c>
      <c r="G59">
        <v>57</v>
      </c>
      <c r="H59" t="s">
        <v>1519</v>
      </c>
      <c r="I59">
        <v>4</v>
      </c>
      <c r="J59" s="48">
        <v>0</v>
      </c>
      <c r="K59" s="48">
        <v>0</v>
      </c>
      <c r="L59" s="54">
        <v>46280</v>
      </c>
      <c r="M59" s="54">
        <v>46283</v>
      </c>
      <c r="N59" s="54">
        <v>46280</v>
      </c>
      <c r="O59" s="54">
        <v>46283</v>
      </c>
    </row>
    <row r="60" spans="2:15" x14ac:dyDescent="0.25">
      <c r="B60">
        <v>57</v>
      </c>
      <c r="C60" t="s">
        <v>132</v>
      </c>
      <c r="D60" t="s">
        <v>841</v>
      </c>
      <c r="E60">
        <v>56</v>
      </c>
      <c r="F60" t="s">
        <v>1520</v>
      </c>
      <c r="G60">
        <v>76</v>
      </c>
      <c r="H60" t="s">
        <v>1519</v>
      </c>
      <c r="I60">
        <v>6</v>
      </c>
      <c r="J60" s="48">
        <v>0</v>
      </c>
      <c r="K60" s="48">
        <v>0</v>
      </c>
      <c r="L60" s="54">
        <v>46283</v>
      </c>
      <c r="M60" s="54">
        <v>46288</v>
      </c>
      <c r="N60" s="54">
        <v>46283</v>
      </c>
      <c r="O60" s="54">
        <v>46288</v>
      </c>
    </row>
    <row r="61" spans="2:15" x14ac:dyDescent="0.25">
      <c r="B61">
        <v>58</v>
      </c>
      <c r="C61" t="s">
        <v>133</v>
      </c>
      <c r="D61" t="s">
        <v>846</v>
      </c>
      <c r="F61" t="s">
        <v>1537</v>
      </c>
      <c r="H61" t="s">
        <v>1538</v>
      </c>
      <c r="I61">
        <v>27</v>
      </c>
      <c r="J61" s="48">
        <v>1</v>
      </c>
      <c r="K61" s="48">
        <v>1</v>
      </c>
      <c r="L61" t="s">
        <v>1506</v>
      </c>
      <c r="M61" t="s">
        <v>1506</v>
      </c>
      <c r="N61" s="54">
        <v>46185</v>
      </c>
      <c r="O61" s="54">
        <v>46211</v>
      </c>
    </row>
    <row r="62" spans="2:15" x14ac:dyDescent="0.25">
      <c r="B62">
        <v>59</v>
      </c>
      <c r="C62" t="s">
        <v>133</v>
      </c>
      <c r="D62" t="s">
        <v>846</v>
      </c>
      <c r="E62" t="s">
        <v>1877</v>
      </c>
      <c r="F62" t="s">
        <v>1515</v>
      </c>
      <c r="G62" t="s">
        <v>1878</v>
      </c>
      <c r="H62" t="s">
        <v>1528</v>
      </c>
      <c r="I62">
        <v>8</v>
      </c>
      <c r="J62" s="48">
        <v>1</v>
      </c>
      <c r="K62" s="48">
        <v>1</v>
      </c>
      <c r="L62" t="s">
        <v>1506</v>
      </c>
      <c r="M62" t="s">
        <v>1506</v>
      </c>
      <c r="N62" s="54">
        <v>46185</v>
      </c>
      <c r="O62" s="54">
        <v>46192</v>
      </c>
    </row>
    <row r="63" spans="2:15" x14ac:dyDescent="0.25">
      <c r="B63">
        <v>60</v>
      </c>
      <c r="C63" t="s">
        <v>133</v>
      </c>
      <c r="D63" t="s">
        <v>846</v>
      </c>
      <c r="E63">
        <v>59</v>
      </c>
      <c r="F63" t="s">
        <v>1517</v>
      </c>
      <c r="G63">
        <v>61</v>
      </c>
      <c r="H63" t="s">
        <v>1516</v>
      </c>
      <c r="I63">
        <v>13</v>
      </c>
      <c r="J63" s="48">
        <v>1</v>
      </c>
      <c r="K63" s="48">
        <v>1</v>
      </c>
      <c r="L63" t="s">
        <v>1506</v>
      </c>
      <c r="M63" t="s">
        <v>1506</v>
      </c>
      <c r="N63" s="54">
        <v>46192</v>
      </c>
      <c r="O63" s="54">
        <v>46204</v>
      </c>
    </row>
    <row r="64" spans="2:15" x14ac:dyDescent="0.25">
      <c r="B64">
        <v>61</v>
      </c>
      <c r="C64" t="s">
        <v>133</v>
      </c>
      <c r="D64" t="s">
        <v>846</v>
      </c>
      <c r="E64">
        <v>60</v>
      </c>
      <c r="F64" t="s">
        <v>1518</v>
      </c>
      <c r="G64" t="s">
        <v>1879</v>
      </c>
      <c r="H64" t="s">
        <v>1528</v>
      </c>
      <c r="I64">
        <v>8</v>
      </c>
      <c r="J64" s="48">
        <v>1</v>
      </c>
      <c r="K64" s="48">
        <v>1</v>
      </c>
      <c r="L64" t="s">
        <v>1506</v>
      </c>
      <c r="M64" t="s">
        <v>1506</v>
      </c>
      <c r="N64" s="54">
        <v>46204</v>
      </c>
      <c r="O64" s="54">
        <v>46211</v>
      </c>
    </row>
    <row r="65" spans="2:15" x14ac:dyDescent="0.25">
      <c r="B65">
        <v>62</v>
      </c>
      <c r="C65" t="s">
        <v>133</v>
      </c>
      <c r="D65" t="s">
        <v>846</v>
      </c>
      <c r="E65" t="s">
        <v>1880</v>
      </c>
      <c r="F65" t="s">
        <v>1520</v>
      </c>
      <c r="G65">
        <v>76</v>
      </c>
      <c r="H65" t="s">
        <v>1519</v>
      </c>
      <c r="I65">
        <v>6</v>
      </c>
      <c r="J65" s="48">
        <v>1</v>
      </c>
      <c r="K65" s="48">
        <v>1</v>
      </c>
      <c r="L65" t="s">
        <v>1506</v>
      </c>
      <c r="M65" t="s">
        <v>1506</v>
      </c>
      <c r="N65" s="54">
        <v>46206</v>
      </c>
      <c r="O65" s="54">
        <v>46211</v>
      </c>
    </row>
    <row r="66" spans="2:15" x14ac:dyDescent="0.25">
      <c r="B66">
        <v>63</v>
      </c>
      <c r="C66" t="s">
        <v>130</v>
      </c>
      <c r="D66" t="s">
        <v>831</v>
      </c>
      <c r="F66" t="s">
        <v>1539</v>
      </c>
      <c r="H66" t="s">
        <v>1494</v>
      </c>
      <c r="I66">
        <v>1</v>
      </c>
      <c r="J66" s="48">
        <v>0</v>
      </c>
      <c r="K66" s="48">
        <v>0</v>
      </c>
      <c r="L66" t="s">
        <v>1506</v>
      </c>
      <c r="M66" t="s">
        <v>1506</v>
      </c>
      <c r="N66" s="54">
        <v>46230</v>
      </c>
      <c r="O66" s="54">
        <v>46230</v>
      </c>
    </row>
    <row r="67" spans="2:15" x14ac:dyDescent="0.25">
      <c r="B67">
        <v>64</v>
      </c>
      <c r="C67" t="s">
        <v>130</v>
      </c>
      <c r="D67" t="s">
        <v>831</v>
      </c>
      <c r="E67" t="s">
        <v>1881</v>
      </c>
      <c r="F67" t="s">
        <v>1515</v>
      </c>
      <c r="G67">
        <v>65</v>
      </c>
      <c r="H67" t="s">
        <v>1494</v>
      </c>
      <c r="I67">
        <v>1</v>
      </c>
      <c r="J67" s="48">
        <v>0</v>
      </c>
      <c r="K67" s="48">
        <v>0</v>
      </c>
      <c r="L67" t="s">
        <v>1506</v>
      </c>
      <c r="M67" t="s">
        <v>1506</v>
      </c>
      <c r="N67" s="54">
        <v>46230</v>
      </c>
      <c r="O67" s="54">
        <v>46230</v>
      </c>
    </row>
    <row r="68" spans="2:15" x14ac:dyDescent="0.25">
      <c r="B68">
        <v>65</v>
      </c>
      <c r="C68" t="s">
        <v>130</v>
      </c>
      <c r="D68" t="s">
        <v>831</v>
      </c>
      <c r="E68">
        <v>64</v>
      </c>
      <c r="F68" t="s">
        <v>1520</v>
      </c>
      <c r="G68">
        <v>76</v>
      </c>
      <c r="H68" t="s">
        <v>1494</v>
      </c>
      <c r="I68">
        <v>1</v>
      </c>
      <c r="J68" s="48">
        <v>0</v>
      </c>
      <c r="K68" s="48">
        <v>0</v>
      </c>
      <c r="L68" t="s">
        <v>1506</v>
      </c>
      <c r="M68" t="s">
        <v>1506</v>
      </c>
      <c r="N68" s="54">
        <v>46230</v>
      </c>
      <c r="O68" s="54">
        <v>46230</v>
      </c>
    </row>
    <row r="69" spans="2:15" x14ac:dyDescent="0.25">
      <c r="B69">
        <v>66</v>
      </c>
      <c r="F69" t="s">
        <v>1541</v>
      </c>
      <c r="H69" t="s">
        <v>1459</v>
      </c>
      <c r="I69">
        <v>125</v>
      </c>
      <c r="J69" s="48">
        <v>0</v>
      </c>
      <c r="K69" s="48">
        <v>0</v>
      </c>
      <c r="L69" s="54">
        <v>46164</v>
      </c>
      <c r="M69" s="54">
        <v>46288</v>
      </c>
      <c r="N69" s="54">
        <v>46164</v>
      </c>
      <c r="O69" s="54">
        <v>46288</v>
      </c>
    </row>
    <row r="70" spans="2:15" x14ac:dyDescent="0.25">
      <c r="B70">
        <v>67</v>
      </c>
      <c r="F70" t="s">
        <v>1542</v>
      </c>
      <c r="H70" t="s">
        <v>1543</v>
      </c>
      <c r="I70">
        <v>41</v>
      </c>
      <c r="J70" s="48">
        <v>0</v>
      </c>
      <c r="K70" s="48">
        <v>0</v>
      </c>
      <c r="L70" s="54">
        <v>46192</v>
      </c>
      <c r="M70" s="54">
        <v>46232</v>
      </c>
      <c r="N70" s="54">
        <v>46192</v>
      </c>
      <c r="O70" s="54">
        <v>46232</v>
      </c>
    </row>
    <row r="71" spans="2:15" x14ac:dyDescent="0.25">
      <c r="B71">
        <v>68</v>
      </c>
      <c r="E71">
        <v>949</v>
      </c>
      <c r="F71" t="s">
        <v>1544</v>
      </c>
      <c r="G71">
        <v>76</v>
      </c>
      <c r="H71" t="s">
        <v>1494</v>
      </c>
      <c r="I71">
        <v>1</v>
      </c>
      <c r="J71" s="48">
        <v>1</v>
      </c>
      <c r="K71" s="48">
        <v>1</v>
      </c>
      <c r="L71" s="54">
        <v>46192</v>
      </c>
      <c r="M71" s="54">
        <v>46192</v>
      </c>
      <c r="N71" s="54">
        <v>46192</v>
      </c>
      <c r="O71" s="54">
        <v>46192</v>
      </c>
    </row>
    <row r="72" spans="2:15" x14ac:dyDescent="0.25">
      <c r="B72">
        <v>69</v>
      </c>
      <c r="E72">
        <v>84</v>
      </c>
      <c r="F72" t="s">
        <v>1545</v>
      </c>
      <c r="G72">
        <v>76</v>
      </c>
      <c r="H72" t="s">
        <v>1494</v>
      </c>
      <c r="I72">
        <v>1</v>
      </c>
      <c r="J72" s="48">
        <v>1</v>
      </c>
      <c r="K72" s="48">
        <v>1</v>
      </c>
      <c r="L72" s="54">
        <v>46198</v>
      </c>
      <c r="M72" s="54">
        <v>46198</v>
      </c>
      <c r="N72" s="54">
        <v>46198</v>
      </c>
      <c r="O72" s="54">
        <v>46198</v>
      </c>
    </row>
    <row r="73" spans="2:15" x14ac:dyDescent="0.25">
      <c r="B73">
        <v>70</v>
      </c>
      <c r="E73">
        <v>157</v>
      </c>
      <c r="F73" t="s">
        <v>1546</v>
      </c>
      <c r="G73">
        <v>76</v>
      </c>
      <c r="H73" t="s">
        <v>1494</v>
      </c>
      <c r="I73">
        <v>1</v>
      </c>
      <c r="J73" s="48">
        <v>1</v>
      </c>
      <c r="K73" s="48">
        <v>1</v>
      </c>
      <c r="L73" s="54">
        <v>46198</v>
      </c>
      <c r="M73" s="54">
        <v>46198</v>
      </c>
      <c r="N73" s="54">
        <v>46198</v>
      </c>
      <c r="O73" s="54">
        <v>46198</v>
      </c>
    </row>
    <row r="74" spans="2:15" x14ac:dyDescent="0.25">
      <c r="B74">
        <v>71</v>
      </c>
      <c r="E74">
        <v>1364</v>
      </c>
      <c r="F74" t="s">
        <v>1547</v>
      </c>
      <c r="G74">
        <v>76</v>
      </c>
      <c r="H74" t="s">
        <v>1494</v>
      </c>
      <c r="I74">
        <v>1</v>
      </c>
      <c r="J74" s="48">
        <v>1</v>
      </c>
      <c r="K74" s="48">
        <v>1</v>
      </c>
      <c r="L74" s="54">
        <v>46199</v>
      </c>
      <c r="M74" s="54">
        <v>46199</v>
      </c>
      <c r="N74" s="54">
        <v>46199</v>
      </c>
      <c r="O74" s="54">
        <v>46199</v>
      </c>
    </row>
    <row r="75" spans="2:15" x14ac:dyDescent="0.25">
      <c r="B75">
        <v>72</v>
      </c>
      <c r="E75">
        <v>157</v>
      </c>
      <c r="F75" t="s">
        <v>1548</v>
      </c>
      <c r="G75">
        <v>76</v>
      </c>
      <c r="H75" t="s">
        <v>1494</v>
      </c>
      <c r="I75">
        <v>1</v>
      </c>
      <c r="J75" s="48">
        <v>1</v>
      </c>
      <c r="K75" s="48">
        <v>1</v>
      </c>
      <c r="L75" s="54">
        <v>46198</v>
      </c>
      <c r="M75" s="54">
        <v>46198</v>
      </c>
      <c r="N75" s="54">
        <v>46198</v>
      </c>
      <c r="O75" s="54">
        <v>46198</v>
      </c>
    </row>
    <row r="76" spans="2:15" x14ac:dyDescent="0.25">
      <c r="B76">
        <v>73</v>
      </c>
      <c r="E76">
        <v>220</v>
      </c>
      <c r="F76" t="s">
        <v>1549</v>
      </c>
      <c r="G76">
        <v>76</v>
      </c>
      <c r="H76" t="s">
        <v>1494</v>
      </c>
      <c r="I76">
        <v>1</v>
      </c>
      <c r="J76" s="48">
        <v>0</v>
      </c>
      <c r="K76" s="48">
        <v>0</v>
      </c>
      <c r="L76" s="54">
        <v>46232</v>
      </c>
      <c r="M76" s="54">
        <v>46232</v>
      </c>
      <c r="N76" s="54">
        <v>46232</v>
      </c>
      <c r="O76" s="54">
        <v>46232</v>
      </c>
    </row>
    <row r="77" spans="2:15" x14ac:dyDescent="0.25">
      <c r="B77">
        <v>74</v>
      </c>
      <c r="F77" t="s">
        <v>1530</v>
      </c>
      <c r="H77" t="s">
        <v>1459</v>
      </c>
      <c r="I77">
        <v>125</v>
      </c>
      <c r="J77" s="48">
        <v>0</v>
      </c>
      <c r="K77" s="48">
        <v>0</v>
      </c>
      <c r="L77" s="54">
        <v>46164</v>
      </c>
      <c r="M77" s="54">
        <v>46288</v>
      </c>
      <c r="N77" s="54">
        <v>46164</v>
      </c>
      <c r="O77" s="54">
        <v>46288</v>
      </c>
    </row>
    <row r="78" spans="2:15" x14ac:dyDescent="0.25">
      <c r="B78">
        <v>75</v>
      </c>
      <c r="F78" t="s">
        <v>1550</v>
      </c>
      <c r="G78" t="s">
        <v>1882</v>
      </c>
      <c r="H78" t="s">
        <v>1494</v>
      </c>
      <c r="I78">
        <v>1</v>
      </c>
      <c r="J78" s="48">
        <v>1</v>
      </c>
      <c r="K78" s="48">
        <v>1</v>
      </c>
      <c r="L78" s="54">
        <v>46164</v>
      </c>
      <c r="M78" s="54">
        <v>46164</v>
      </c>
      <c r="N78" s="54">
        <v>46164</v>
      </c>
      <c r="O78" s="54">
        <v>46164</v>
      </c>
    </row>
    <row r="79" spans="2:15" x14ac:dyDescent="0.25">
      <c r="B79">
        <v>76</v>
      </c>
      <c r="E79" t="s">
        <v>1883</v>
      </c>
      <c r="F79" t="s">
        <v>1551</v>
      </c>
      <c r="H79" t="s">
        <v>1494</v>
      </c>
      <c r="I79">
        <v>1</v>
      </c>
      <c r="J79" s="48">
        <v>0</v>
      </c>
      <c r="K79" s="48">
        <v>0</v>
      </c>
      <c r="L79" s="54">
        <v>46288</v>
      </c>
      <c r="M79" s="54">
        <v>46288</v>
      </c>
      <c r="N79" s="54">
        <v>46288</v>
      </c>
      <c r="O79" s="54">
        <v>46288</v>
      </c>
    </row>
    <row r="80" spans="2:15" x14ac:dyDescent="0.25">
      <c r="B80">
        <v>77</v>
      </c>
      <c r="F80" t="s">
        <v>1461</v>
      </c>
      <c r="H80" t="s">
        <v>1459</v>
      </c>
      <c r="I80">
        <v>125</v>
      </c>
      <c r="J80" s="48">
        <v>0.17519999999999999</v>
      </c>
      <c r="K80" s="48">
        <v>0.17799999999999999</v>
      </c>
      <c r="L80" s="54">
        <v>46171</v>
      </c>
      <c r="M80" s="54">
        <v>46288</v>
      </c>
      <c r="N80" s="54">
        <v>46164</v>
      </c>
      <c r="O80" s="54">
        <v>46288</v>
      </c>
    </row>
    <row r="81" spans="2:15" x14ac:dyDescent="0.25">
      <c r="B81">
        <v>78</v>
      </c>
      <c r="F81" t="s">
        <v>1462</v>
      </c>
      <c r="H81" t="s">
        <v>1585</v>
      </c>
      <c r="I81">
        <v>83</v>
      </c>
      <c r="J81" s="48">
        <v>0.42309999999999998</v>
      </c>
      <c r="K81" s="48">
        <v>0.32629999999999998</v>
      </c>
      <c r="L81" s="54">
        <v>46171</v>
      </c>
      <c r="M81" s="54">
        <v>46266</v>
      </c>
      <c r="N81" s="54">
        <v>46171</v>
      </c>
      <c r="O81" s="54">
        <v>46253</v>
      </c>
    </row>
    <row r="82" spans="2:15" x14ac:dyDescent="0.25">
      <c r="B82">
        <v>79</v>
      </c>
      <c r="F82" t="s">
        <v>1552</v>
      </c>
      <c r="H82" t="s">
        <v>1845</v>
      </c>
      <c r="I82">
        <v>78</v>
      </c>
      <c r="J82" s="48">
        <v>0.42470000000000002</v>
      </c>
      <c r="K82" s="48">
        <v>0.35880000000000001</v>
      </c>
      <c r="L82" s="54">
        <v>46171</v>
      </c>
      <c r="M82" s="54">
        <v>46266</v>
      </c>
      <c r="N82" s="54">
        <v>46171</v>
      </c>
      <c r="O82" s="54">
        <v>46248</v>
      </c>
    </row>
    <row r="83" spans="2:15" x14ac:dyDescent="0.25">
      <c r="B83">
        <v>80</v>
      </c>
      <c r="F83" t="s">
        <v>1553</v>
      </c>
      <c r="H83" t="s">
        <v>1884</v>
      </c>
      <c r="I83">
        <v>67</v>
      </c>
      <c r="J83" s="48">
        <v>0.38750000000000001</v>
      </c>
      <c r="K83" s="48">
        <v>0.31730000000000003</v>
      </c>
      <c r="L83" s="54">
        <v>46182</v>
      </c>
      <c r="M83" s="54">
        <v>46266</v>
      </c>
      <c r="N83" s="54">
        <v>46182</v>
      </c>
      <c r="O83" s="54">
        <v>46248</v>
      </c>
    </row>
    <row r="84" spans="2:15" x14ac:dyDescent="0.25">
      <c r="B84">
        <v>81</v>
      </c>
      <c r="F84" t="s">
        <v>1554</v>
      </c>
      <c r="H84" t="s">
        <v>1884</v>
      </c>
      <c r="I84">
        <v>67</v>
      </c>
      <c r="J84" s="48">
        <v>0.50149999999999995</v>
      </c>
      <c r="K84" s="48">
        <v>0.50680000000000003</v>
      </c>
      <c r="L84" s="54">
        <v>46182</v>
      </c>
      <c r="M84" s="54">
        <v>46247</v>
      </c>
      <c r="N84" s="54">
        <v>46182</v>
      </c>
      <c r="O84" s="54">
        <v>46248</v>
      </c>
    </row>
    <row r="85" spans="2:15" x14ac:dyDescent="0.25">
      <c r="B85">
        <v>82</v>
      </c>
      <c r="F85" t="s">
        <v>1555</v>
      </c>
      <c r="G85" t="s">
        <v>1885</v>
      </c>
      <c r="H85" t="s">
        <v>1479</v>
      </c>
      <c r="I85">
        <v>44</v>
      </c>
      <c r="J85" s="48">
        <v>0.72070000000000001</v>
      </c>
      <c r="K85" s="48">
        <v>0.72070000000000001</v>
      </c>
      <c r="L85" s="54">
        <v>46182</v>
      </c>
      <c r="M85" s="54">
        <v>46224</v>
      </c>
      <c r="N85" s="54">
        <v>46182</v>
      </c>
      <c r="O85" s="54">
        <v>46225</v>
      </c>
    </row>
    <row r="86" spans="2:15" x14ac:dyDescent="0.25">
      <c r="B86">
        <v>83</v>
      </c>
      <c r="E86" t="s">
        <v>1886</v>
      </c>
      <c r="F86" t="s">
        <v>1557</v>
      </c>
      <c r="G86">
        <v>104</v>
      </c>
      <c r="H86" t="s">
        <v>1516</v>
      </c>
      <c r="I86">
        <v>13</v>
      </c>
      <c r="J86" s="48">
        <v>0</v>
      </c>
      <c r="K86" s="48">
        <v>0</v>
      </c>
      <c r="L86" s="54">
        <v>46212</v>
      </c>
      <c r="M86" s="54">
        <v>46224</v>
      </c>
      <c r="N86" s="54">
        <v>46213</v>
      </c>
      <c r="O86" s="54">
        <v>46225</v>
      </c>
    </row>
    <row r="87" spans="2:15" x14ac:dyDescent="0.25">
      <c r="B87">
        <v>84</v>
      </c>
      <c r="E87">
        <v>150</v>
      </c>
      <c r="F87" t="s">
        <v>1558</v>
      </c>
      <c r="G87" t="s">
        <v>1887</v>
      </c>
      <c r="H87" t="s">
        <v>1559</v>
      </c>
      <c r="I87">
        <v>17</v>
      </c>
      <c r="J87" s="48">
        <v>1</v>
      </c>
      <c r="K87" s="48">
        <v>1</v>
      </c>
      <c r="L87" s="54">
        <v>46182</v>
      </c>
      <c r="M87" s="54">
        <v>46198</v>
      </c>
      <c r="N87" s="54">
        <v>46182</v>
      </c>
      <c r="O87" s="54">
        <v>46198</v>
      </c>
    </row>
    <row r="88" spans="2:15" x14ac:dyDescent="0.25">
      <c r="B88">
        <v>85</v>
      </c>
      <c r="F88" t="s">
        <v>1560</v>
      </c>
      <c r="H88" t="s">
        <v>1699</v>
      </c>
      <c r="I88">
        <v>52</v>
      </c>
      <c r="J88" s="48">
        <v>0.28520000000000001</v>
      </c>
      <c r="K88" s="48">
        <v>0.29580000000000001</v>
      </c>
      <c r="L88" s="54">
        <v>46198</v>
      </c>
      <c r="M88" s="54">
        <v>46247</v>
      </c>
      <c r="N88" s="54">
        <v>46197</v>
      </c>
      <c r="O88" s="54">
        <v>46248</v>
      </c>
    </row>
    <row r="89" spans="2:15" x14ac:dyDescent="0.25">
      <c r="B89">
        <v>86</v>
      </c>
      <c r="F89" t="s">
        <v>1558</v>
      </c>
      <c r="H89" t="s">
        <v>1522</v>
      </c>
      <c r="I89">
        <v>34</v>
      </c>
      <c r="J89" s="48">
        <v>0.35639999999999999</v>
      </c>
      <c r="K89" s="48">
        <v>0.36980000000000002</v>
      </c>
      <c r="L89" s="54">
        <v>46198</v>
      </c>
      <c r="M89" s="54">
        <v>46227</v>
      </c>
      <c r="N89" s="54">
        <v>46197</v>
      </c>
      <c r="O89" s="54">
        <v>46230</v>
      </c>
    </row>
    <row r="90" spans="2:15" x14ac:dyDescent="0.25">
      <c r="B90">
        <v>87</v>
      </c>
      <c r="C90" t="s">
        <v>245</v>
      </c>
      <c r="D90" t="s">
        <v>1251</v>
      </c>
      <c r="F90" t="s">
        <v>1563</v>
      </c>
      <c r="H90" t="s">
        <v>1598</v>
      </c>
      <c r="I90">
        <v>24</v>
      </c>
      <c r="J90" s="48">
        <v>0.74350000000000005</v>
      </c>
      <c r="K90" s="48">
        <v>0.69330000000000003</v>
      </c>
      <c r="L90" s="54">
        <v>46198</v>
      </c>
      <c r="M90" s="54">
        <v>46219</v>
      </c>
      <c r="N90" s="54">
        <v>46197</v>
      </c>
      <c r="O90" s="54">
        <v>46220</v>
      </c>
    </row>
    <row r="91" spans="2:15" x14ac:dyDescent="0.25">
      <c r="B91">
        <v>88</v>
      </c>
      <c r="C91" t="s">
        <v>245</v>
      </c>
      <c r="D91" t="s">
        <v>1251</v>
      </c>
      <c r="E91" t="s">
        <v>1888</v>
      </c>
      <c r="F91" t="s">
        <v>1515</v>
      </c>
      <c r="G91" t="s">
        <v>1889</v>
      </c>
      <c r="H91" t="s">
        <v>1516</v>
      </c>
      <c r="I91">
        <v>13</v>
      </c>
      <c r="J91" s="48">
        <v>1</v>
      </c>
      <c r="K91" s="48">
        <v>1</v>
      </c>
      <c r="L91" s="54">
        <v>46198</v>
      </c>
      <c r="M91" s="54">
        <v>46206</v>
      </c>
      <c r="N91" s="54">
        <v>46197</v>
      </c>
      <c r="O91" s="54">
        <v>46209</v>
      </c>
    </row>
    <row r="92" spans="2:15" x14ac:dyDescent="0.25">
      <c r="B92">
        <v>89</v>
      </c>
      <c r="C92" t="s">
        <v>245</v>
      </c>
      <c r="D92" t="s">
        <v>1251</v>
      </c>
      <c r="E92">
        <v>88</v>
      </c>
      <c r="F92" t="s">
        <v>1517</v>
      </c>
      <c r="G92">
        <v>90</v>
      </c>
      <c r="H92" t="s">
        <v>1519</v>
      </c>
      <c r="I92">
        <v>4</v>
      </c>
      <c r="J92" s="48">
        <v>0.47</v>
      </c>
      <c r="K92" s="48">
        <v>0</v>
      </c>
      <c r="L92" s="54">
        <v>46206</v>
      </c>
      <c r="M92" s="54">
        <v>46211</v>
      </c>
      <c r="N92" s="54">
        <v>46209</v>
      </c>
      <c r="O92" s="54">
        <v>46212</v>
      </c>
    </row>
    <row r="93" spans="2:15" x14ac:dyDescent="0.25">
      <c r="B93">
        <v>90</v>
      </c>
      <c r="C93" t="s">
        <v>245</v>
      </c>
      <c r="D93" t="s">
        <v>1251</v>
      </c>
      <c r="E93">
        <v>89</v>
      </c>
      <c r="F93" t="s">
        <v>1518</v>
      </c>
      <c r="G93">
        <v>91</v>
      </c>
      <c r="H93" t="s">
        <v>1519</v>
      </c>
      <c r="I93">
        <v>6</v>
      </c>
      <c r="J93" s="48">
        <v>0</v>
      </c>
      <c r="K93" s="48">
        <v>0</v>
      </c>
      <c r="L93" s="54">
        <v>46211</v>
      </c>
      <c r="M93" s="54">
        <v>46216</v>
      </c>
      <c r="N93" s="54">
        <v>46212</v>
      </c>
      <c r="O93" s="54">
        <v>46217</v>
      </c>
    </row>
    <row r="94" spans="2:15" x14ac:dyDescent="0.25">
      <c r="B94">
        <v>91</v>
      </c>
      <c r="C94" t="s">
        <v>245</v>
      </c>
      <c r="D94" t="s">
        <v>1251</v>
      </c>
      <c r="E94">
        <v>90</v>
      </c>
      <c r="F94" t="s">
        <v>1520</v>
      </c>
      <c r="G94">
        <v>76</v>
      </c>
      <c r="H94" t="s">
        <v>1519</v>
      </c>
      <c r="I94">
        <v>4</v>
      </c>
      <c r="J94" s="48">
        <v>0</v>
      </c>
      <c r="K94" s="48">
        <v>0</v>
      </c>
      <c r="L94" s="54">
        <v>46216</v>
      </c>
      <c r="M94" s="54">
        <v>46219</v>
      </c>
      <c r="N94" s="54">
        <v>46217</v>
      </c>
      <c r="O94" s="54">
        <v>46220</v>
      </c>
    </row>
    <row r="95" spans="2:15" x14ac:dyDescent="0.25">
      <c r="B95">
        <v>92</v>
      </c>
      <c r="C95" t="s">
        <v>230</v>
      </c>
      <c r="D95" t="s">
        <v>1200</v>
      </c>
      <c r="F95" t="s">
        <v>1565</v>
      </c>
      <c r="H95" t="s">
        <v>1559</v>
      </c>
      <c r="I95">
        <v>17</v>
      </c>
      <c r="J95" s="48">
        <v>0.32590000000000002</v>
      </c>
      <c r="K95" s="48">
        <v>0.41599999999999998</v>
      </c>
      <c r="L95" s="54">
        <v>46206</v>
      </c>
      <c r="M95" s="54">
        <v>46224</v>
      </c>
      <c r="N95" s="54">
        <v>46209</v>
      </c>
      <c r="O95" s="54">
        <v>46225</v>
      </c>
    </row>
    <row r="96" spans="2:15" x14ac:dyDescent="0.25">
      <c r="B96">
        <v>93</v>
      </c>
      <c r="C96" t="s">
        <v>230</v>
      </c>
      <c r="D96" t="s">
        <v>1200</v>
      </c>
      <c r="E96">
        <v>88</v>
      </c>
      <c r="F96" t="s">
        <v>1515</v>
      </c>
      <c r="G96" t="s">
        <v>1890</v>
      </c>
      <c r="H96" t="s">
        <v>1519</v>
      </c>
      <c r="I96">
        <v>4</v>
      </c>
      <c r="J96" s="48">
        <v>0.47</v>
      </c>
      <c r="K96" s="48">
        <v>0.6</v>
      </c>
      <c r="L96" s="54">
        <v>46206</v>
      </c>
      <c r="M96" s="54">
        <v>46211</v>
      </c>
      <c r="N96" s="54">
        <v>46209</v>
      </c>
      <c r="O96" s="54">
        <v>46212</v>
      </c>
    </row>
    <row r="97" spans="2:15" x14ac:dyDescent="0.25">
      <c r="B97">
        <v>94</v>
      </c>
      <c r="C97" t="s">
        <v>230</v>
      </c>
      <c r="D97" t="s">
        <v>1200</v>
      </c>
      <c r="E97">
        <v>93</v>
      </c>
      <c r="F97" t="s">
        <v>1517</v>
      </c>
      <c r="G97">
        <v>95</v>
      </c>
      <c r="H97" t="s">
        <v>1519</v>
      </c>
      <c r="I97">
        <v>6</v>
      </c>
      <c r="J97" s="48">
        <v>0</v>
      </c>
      <c r="K97" s="48">
        <v>0</v>
      </c>
      <c r="L97" s="54">
        <v>46211</v>
      </c>
      <c r="M97" s="54">
        <v>46216</v>
      </c>
      <c r="N97" s="54">
        <v>46212</v>
      </c>
      <c r="O97" s="54">
        <v>46217</v>
      </c>
    </row>
    <row r="98" spans="2:15" x14ac:dyDescent="0.25">
      <c r="B98">
        <v>95</v>
      </c>
      <c r="C98" t="s">
        <v>230</v>
      </c>
      <c r="D98" t="s">
        <v>1200</v>
      </c>
      <c r="E98">
        <v>94</v>
      </c>
      <c r="F98" t="s">
        <v>1518</v>
      </c>
      <c r="G98">
        <v>96</v>
      </c>
      <c r="H98" t="s">
        <v>1519</v>
      </c>
      <c r="I98">
        <v>4</v>
      </c>
      <c r="J98" s="48">
        <v>0</v>
      </c>
      <c r="K98" s="48">
        <v>0</v>
      </c>
      <c r="L98" s="54">
        <v>46216</v>
      </c>
      <c r="M98" s="54">
        <v>46219</v>
      </c>
      <c r="N98" s="54">
        <v>46217</v>
      </c>
      <c r="O98" s="54">
        <v>46220</v>
      </c>
    </row>
    <row r="99" spans="2:15" x14ac:dyDescent="0.25">
      <c r="B99">
        <v>96</v>
      </c>
      <c r="C99" t="s">
        <v>230</v>
      </c>
      <c r="D99" t="s">
        <v>1200</v>
      </c>
      <c r="E99">
        <v>95</v>
      </c>
      <c r="F99" t="s">
        <v>1520</v>
      </c>
      <c r="G99">
        <v>76</v>
      </c>
      <c r="H99" t="s">
        <v>1519</v>
      </c>
      <c r="I99">
        <v>6</v>
      </c>
      <c r="J99" s="48">
        <v>0</v>
      </c>
      <c r="K99" s="48">
        <v>0</v>
      </c>
      <c r="L99" s="54">
        <v>46219</v>
      </c>
      <c r="M99" s="54">
        <v>46224</v>
      </c>
      <c r="N99" s="54">
        <v>46220</v>
      </c>
      <c r="O99" s="54">
        <v>46225</v>
      </c>
    </row>
    <row r="100" spans="2:15" x14ac:dyDescent="0.25">
      <c r="B100">
        <v>97</v>
      </c>
      <c r="C100" t="s">
        <v>233</v>
      </c>
      <c r="D100" t="s">
        <v>1209</v>
      </c>
      <c r="F100" t="s">
        <v>1567</v>
      </c>
      <c r="H100" t="s">
        <v>1559</v>
      </c>
      <c r="I100">
        <v>19</v>
      </c>
      <c r="J100" s="48">
        <v>0</v>
      </c>
      <c r="K100" s="48">
        <v>0</v>
      </c>
      <c r="L100" s="54">
        <v>46211</v>
      </c>
      <c r="M100" s="54">
        <v>46227</v>
      </c>
      <c r="N100" s="54">
        <v>46212</v>
      </c>
      <c r="O100" s="54">
        <v>46230</v>
      </c>
    </row>
    <row r="101" spans="2:15" x14ac:dyDescent="0.25">
      <c r="B101">
        <v>98</v>
      </c>
      <c r="C101" t="s">
        <v>233</v>
      </c>
      <c r="D101" t="s">
        <v>1209</v>
      </c>
      <c r="E101">
        <v>93</v>
      </c>
      <c r="F101" t="s">
        <v>1515</v>
      </c>
      <c r="G101">
        <v>99</v>
      </c>
      <c r="H101" t="s">
        <v>1519</v>
      </c>
      <c r="I101">
        <v>6</v>
      </c>
      <c r="J101" s="48">
        <v>0</v>
      </c>
      <c r="K101" s="48">
        <v>0</v>
      </c>
      <c r="L101" s="54">
        <v>46211</v>
      </c>
      <c r="M101" s="54">
        <v>46216</v>
      </c>
      <c r="N101" s="54">
        <v>46212</v>
      </c>
      <c r="O101" s="54">
        <v>46217</v>
      </c>
    </row>
    <row r="102" spans="2:15" x14ac:dyDescent="0.25">
      <c r="B102">
        <v>99</v>
      </c>
      <c r="C102" t="s">
        <v>233</v>
      </c>
      <c r="D102" t="s">
        <v>1209</v>
      </c>
      <c r="E102">
        <v>98</v>
      </c>
      <c r="F102" t="s">
        <v>1517</v>
      </c>
      <c r="G102">
        <v>100</v>
      </c>
      <c r="H102" t="s">
        <v>1519</v>
      </c>
      <c r="I102">
        <v>4</v>
      </c>
      <c r="J102" s="48">
        <v>0</v>
      </c>
      <c r="K102" s="48">
        <v>0</v>
      </c>
      <c r="L102" s="54">
        <v>46216</v>
      </c>
      <c r="M102" s="54">
        <v>46219</v>
      </c>
      <c r="N102" s="54">
        <v>46217</v>
      </c>
      <c r="O102" s="54">
        <v>46220</v>
      </c>
    </row>
    <row r="103" spans="2:15" x14ac:dyDescent="0.25">
      <c r="B103">
        <v>100</v>
      </c>
      <c r="C103" t="s">
        <v>233</v>
      </c>
      <c r="D103" t="s">
        <v>1209</v>
      </c>
      <c r="E103">
        <v>99</v>
      </c>
      <c r="F103" t="s">
        <v>1518</v>
      </c>
      <c r="G103">
        <v>101</v>
      </c>
      <c r="H103" t="s">
        <v>1519</v>
      </c>
      <c r="I103">
        <v>6</v>
      </c>
      <c r="J103" s="48">
        <v>0</v>
      </c>
      <c r="K103" s="48">
        <v>0</v>
      </c>
      <c r="L103" s="54">
        <v>46219</v>
      </c>
      <c r="M103" s="54">
        <v>46224</v>
      </c>
      <c r="N103" s="54">
        <v>46220</v>
      </c>
      <c r="O103" s="54">
        <v>46225</v>
      </c>
    </row>
    <row r="104" spans="2:15" x14ac:dyDescent="0.25">
      <c r="B104">
        <v>101</v>
      </c>
      <c r="C104" t="s">
        <v>233</v>
      </c>
      <c r="D104" t="s">
        <v>1209</v>
      </c>
      <c r="E104">
        <v>100</v>
      </c>
      <c r="F104" t="s">
        <v>1520</v>
      </c>
      <c r="G104">
        <v>76</v>
      </c>
      <c r="H104" t="s">
        <v>1519</v>
      </c>
      <c r="I104">
        <v>6</v>
      </c>
      <c r="J104" s="48">
        <v>0</v>
      </c>
      <c r="K104" s="48">
        <v>0</v>
      </c>
      <c r="L104" s="54">
        <v>46224</v>
      </c>
      <c r="M104" s="54">
        <v>46227</v>
      </c>
      <c r="N104" s="54">
        <v>46225</v>
      </c>
      <c r="O104" s="54">
        <v>46230</v>
      </c>
    </row>
    <row r="105" spans="2:15" x14ac:dyDescent="0.25">
      <c r="B105">
        <v>102</v>
      </c>
      <c r="F105" t="s">
        <v>1557</v>
      </c>
      <c r="H105" t="s">
        <v>1535</v>
      </c>
      <c r="I105">
        <v>18</v>
      </c>
      <c r="J105" s="48">
        <v>0</v>
      </c>
      <c r="K105" s="48">
        <v>0</v>
      </c>
      <c r="L105" s="54">
        <v>46230</v>
      </c>
      <c r="M105" s="54">
        <v>46247</v>
      </c>
      <c r="N105" s="54">
        <v>46231</v>
      </c>
      <c r="O105" s="54">
        <v>46248</v>
      </c>
    </row>
    <row r="106" spans="2:15" x14ac:dyDescent="0.25">
      <c r="B106">
        <v>103</v>
      </c>
      <c r="C106" t="s">
        <v>197</v>
      </c>
      <c r="D106" t="s">
        <v>1100</v>
      </c>
      <c r="F106" t="s">
        <v>1568</v>
      </c>
      <c r="H106" t="s">
        <v>1535</v>
      </c>
      <c r="I106">
        <v>18</v>
      </c>
      <c r="J106" s="48">
        <v>0</v>
      </c>
      <c r="K106" s="48">
        <v>0</v>
      </c>
      <c r="L106" s="54">
        <v>46230</v>
      </c>
      <c r="M106" s="54">
        <v>46247</v>
      </c>
      <c r="N106" s="54">
        <v>46231</v>
      </c>
      <c r="O106" s="54">
        <v>46248</v>
      </c>
    </row>
    <row r="107" spans="2:15" x14ac:dyDescent="0.25">
      <c r="B107">
        <v>104</v>
      </c>
      <c r="C107" t="s">
        <v>197</v>
      </c>
      <c r="D107" t="s">
        <v>1100</v>
      </c>
      <c r="E107" t="s">
        <v>1891</v>
      </c>
      <c r="F107" t="s">
        <v>1515</v>
      </c>
      <c r="G107">
        <v>105</v>
      </c>
      <c r="H107" t="s">
        <v>1525</v>
      </c>
      <c r="I107">
        <v>7</v>
      </c>
      <c r="J107" s="48">
        <v>0</v>
      </c>
      <c r="K107" s="48">
        <v>0</v>
      </c>
      <c r="L107" s="54">
        <v>46230</v>
      </c>
      <c r="M107" s="54">
        <v>46234</v>
      </c>
      <c r="N107" s="54">
        <v>46231</v>
      </c>
      <c r="O107" s="54">
        <v>46237</v>
      </c>
    </row>
    <row r="108" spans="2:15" x14ac:dyDescent="0.25">
      <c r="B108">
        <v>105</v>
      </c>
      <c r="C108" t="s">
        <v>197</v>
      </c>
      <c r="D108" t="s">
        <v>1100</v>
      </c>
      <c r="E108">
        <v>104</v>
      </c>
      <c r="F108" t="s">
        <v>1517</v>
      </c>
      <c r="G108">
        <v>106</v>
      </c>
      <c r="H108" t="s">
        <v>1519</v>
      </c>
      <c r="I108">
        <v>4</v>
      </c>
      <c r="J108" s="48">
        <v>0</v>
      </c>
      <c r="K108" s="48">
        <v>0</v>
      </c>
      <c r="L108" s="54">
        <v>46234</v>
      </c>
      <c r="M108" s="54">
        <v>46239</v>
      </c>
      <c r="N108" s="54">
        <v>46237</v>
      </c>
      <c r="O108" s="54">
        <v>46240</v>
      </c>
    </row>
    <row r="109" spans="2:15" x14ac:dyDescent="0.25">
      <c r="B109">
        <v>106</v>
      </c>
      <c r="C109" t="s">
        <v>197</v>
      </c>
      <c r="D109" t="s">
        <v>1100</v>
      </c>
      <c r="E109">
        <v>105</v>
      </c>
      <c r="F109" t="s">
        <v>1518</v>
      </c>
      <c r="G109">
        <v>107</v>
      </c>
      <c r="H109" t="s">
        <v>1519</v>
      </c>
      <c r="I109">
        <v>6</v>
      </c>
      <c r="J109" s="48">
        <v>0</v>
      </c>
      <c r="K109" s="48">
        <v>0</v>
      </c>
      <c r="L109" s="54">
        <v>46239</v>
      </c>
      <c r="M109" s="54">
        <v>46244</v>
      </c>
      <c r="N109" s="54">
        <v>46240</v>
      </c>
      <c r="O109" s="54">
        <v>46245</v>
      </c>
    </row>
    <row r="110" spans="2:15" x14ac:dyDescent="0.25">
      <c r="B110">
        <v>107</v>
      </c>
      <c r="C110" t="s">
        <v>197</v>
      </c>
      <c r="D110" t="s">
        <v>1100</v>
      </c>
      <c r="E110">
        <v>106</v>
      </c>
      <c r="F110" t="s">
        <v>1520</v>
      </c>
      <c r="G110">
        <v>76</v>
      </c>
      <c r="H110" t="s">
        <v>1519</v>
      </c>
      <c r="I110">
        <v>4</v>
      </c>
      <c r="J110" s="48">
        <v>0</v>
      </c>
      <c r="K110" s="48">
        <v>0</v>
      </c>
      <c r="L110" s="54">
        <v>46244</v>
      </c>
      <c r="M110" s="54">
        <v>46247</v>
      </c>
      <c r="N110" s="54">
        <v>46245</v>
      </c>
      <c r="O110" s="54">
        <v>46248</v>
      </c>
    </row>
    <row r="111" spans="2:15" x14ac:dyDescent="0.25">
      <c r="B111">
        <v>108</v>
      </c>
      <c r="F111" t="s">
        <v>1569</v>
      </c>
      <c r="H111" t="s">
        <v>1467</v>
      </c>
      <c r="I111">
        <v>42</v>
      </c>
      <c r="J111" s="48">
        <v>0.3478</v>
      </c>
      <c r="K111" s="48">
        <v>0.25130000000000002</v>
      </c>
      <c r="L111" s="54">
        <v>46198</v>
      </c>
      <c r="M111" s="54">
        <v>46266</v>
      </c>
      <c r="N111" s="54">
        <v>46198</v>
      </c>
      <c r="O111" s="54">
        <v>46239</v>
      </c>
    </row>
    <row r="112" spans="2:15" x14ac:dyDescent="0.25">
      <c r="B112">
        <v>109</v>
      </c>
      <c r="F112" t="s">
        <v>1555</v>
      </c>
      <c r="G112" t="s">
        <v>1885</v>
      </c>
      <c r="H112" t="s">
        <v>1543</v>
      </c>
      <c r="I112">
        <v>41</v>
      </c>
      <c r="J112" s="48">
        <v>0.56969999999999998</v>
      </c>
      <c r="K112" s="48">
        <v>0.60609999999999997</v>
      </c>
      <c r="L112" s="54">
        <v>46198</v>
      </c>
      <c r="M112" s="54">
        <v>46234</v>
      </c>
      <c r="N112" s="54">
        <v>46198</v>
      </c>
      <c r="O112" s="54">
        <v>46238</v>
      </c>
    </row>
    <row r="113" spans="2:15" x14ac:dyDescent="0.25">
      <c r="B113">
        <v>110</v>
      </c>
      <c r="E113" t="s">
        <v>1892</v>
      </c>
      <c r="F113" t="s">
        <v>1572</v>
      </c>
      <c r="G113">
        <v>76</v>
      </c>
      <c r="H113" t="s">
        <v>1516</v>
      </c>
      <c r="I113">
        <v>13</v>
      </c>
      <c r="J113" s="48">
        <v>0</v>
      </c>
      <c r="K113" s="48">
        <v>0</v>
      </c>
      <c r="L113" s="54">
        <v>46224</v>
      </c>
      <c r="M113" s="54">
        <v>46234</v>
      </c>
      <c r="N113" s="54">
        <v>46226</v>
      </c>
      <c r="O113" s="54">
        <v>46238</v>
      </c>
    </row>
    <row r="114" spans="2:15" x14ac:dyDescent="0.25">
      <c r="B114">
        <v>111</v>
      </c>
      <c r="E114">
        <v>132</v>
      </c>
      <c r="F114" t="s">
        <v>1557</v>
      </c>
      <c r="G114">
        <v>104</v>
      </c>
      <c r="H114" t="s">
        <v>1559</v>
      </c>
      <c r="I114">
        <v>19</v>
      </c>
      <c r="J114" s="48">
        <v>0</v>
      </c>
      <c r="K114" s="48">
        <v>0</v>
      </c>
      <c r="L114" s="54">
        <v>46212</v>
      </c>
      <c r="M114" s="54">
        <v>46230</v>
      </c>
      <c r="N114" s="54">
        <v>46213</v>
      </c>
      <c r="O114" s="54">
        <v>46231</v>
      </c>
    </row>
    <row r="115" spans="2:15" x14ac:dyDescent="0.25">
      <c r="B115">
        <v>112</v>
      </c>
      <c r="E115">
        <v>157</v>
      </c>
      <c r="F115" t="s">
        <v>1558</v>
      </c>
      <c r="G115">
        <v>76</v>
      </c>
      <c r="H115" t="s">
        <v>1523</v>
      </c>
      <c r="I115">
        <v>12</v>
      </c>
      <c r="J115" s="48">
        <v>0.94</v>
      </c>
      <c r="K115" s="48">
        <v>1</v>
      </c>
      <c r="L115" s="54">
        <v>46198</v>
      </c>
      <c r="M115" s="54">
        <v>46209</v>
      </c>
      <c r="N115" s="54">
        <v>46198</v>
      </c>
      <c r="O115" s="54">
        <v>46209</v>
      </c>
    </row>
    <row r="116" spans="2:15" x14ac:dyDescent="0.25">
      <c r="B116">
        <v>113</v>
      </c>
      <c r="F116" t="s">
        <v>1560</v>
      </c>
      <c r="H116" t="s">
        <v>1467</v>
      </c>
      <c r="I116">
        <v>42</v>
      </c>
      <c r="J116" s="48">
        <v>0.29039999999999999</v>
      </c>
      <c r="K116" s="48">
        <v>0.1595</v>
      </c>
      <c r="L116" s="54">
        <v>46198</v>
      </c>
      <c r="M116" s="54">
        <v>46266</v>
      </c>
      <c r="N116" s="54">
        <v>46198</v>
      </c>
      <c r="O116" s="54">
        <v>46239</v>
      </c>
    </row>
    <row r="117" spans="2:15" x14ac:dyDescent="0.25">
      <c r="B117">
        <v>114</v>
      </c>
      <c r="F117" t="s">
        <v>1558</v>
      </c>
      <c r="H117" t="s">
        <v>1522</v>
      </c>
      <c r="I117">
        <v>34</v>
      </c>
      <c r="J117" s="48">
        <v>0.77110000000000001</v>
      </c>
      <c r="K117" s="48">
        <v>0.32590000000000002</v>
      </c>
      <c r="L117" s="54">
        <v>46198</v>
      </c>
      <c r="M117" s="54">
        <v>46219</v>
      </c>
      <c r="N117" s="54">
        <v>46198</v>
      </c>
      <c r="O117" s="54">
        <v>46231</v>
      </c>
    </row>
    <row r="118" spans="2:15" x14ac:dyDescent="0.25">
      <c r="B118">
        <v>115</v>
      </c>
      <c r="C118" t="s">
        <v>235</v>
      </c>
      <c r="D118" t="s">
        <v>1212</v>
      </c>
      <c r="F118" t="s">
        <v>1574</v>
      </c>
      <c r="H118" t="s">
        <v>1559</v>
      </c>
      <c r="I118">
        <v>17</v>
      </c>
      <c r="J118" s="48">
        <v>0.88149999999999995</v>
      </c>
      <c r="K118" s="48">
        <v>0</v>
      </c>
      <c r="L118" s="54">
        <v>46198</v>
      </c>
      <c r="M118" s="54">
        <v>46216</v>
      </c>
      <c r="N118" s="54">
        <v>46209</v>
      </c>
      <c r="O118" s="54">
        <v>46225</v>
      </c>
    </row>
    <row r="119" spans="2:15" x14ac:dyDescent="0.25">
      <c r="B119">
        <v>116</v>
      </c>
      <c r="C119" t="s">
        <v>235</v>
      </c>
      <c r="D119" t="s">
        <v>1212</v>
      </c>
      <c r="E119" t="s">
        <v>1893</v>
      </c>
      <c r="F119" t="s">
        <v>1515</v>
      </c>
      <c r="G119" t="s">
        <v>1894</v>
      </c>
      <c r="H119" t="s">
        <v>1519</v>
      </c>
      <c r="I119">
        <v>4</v>
      </c>
      <c r="J119" s="48">
        <v>1</v>
      </c>
      <c r="K119" s="48">
        <v>0</v>
      </c>
      <c r="L119" s="54">
        <v>46198</v>
      </c>
      <c r="M119" s="54">
        <v>46203</v>
      </c>
      <c r="N119" s="54">
        <v>46209</v>
      </c>
      <c r="O119" s="54">
        <v>46212</v>
      </c>
    </row>
    <row r="120" spans="2:15" x14ac:dyDescent="0.25">
      <c r="B120">
        <v>117</v>
      </c>
      <c r="C120" t="s">
        <v>235</v>
      </c>
      <c r="D120" t="s">
        <v>1212</v>
      </c>
      <c r="E120">
        <v>116</v>
      </c>
      <c r="F120" t="s">
        <v>1517</v>
      </c>
      <c r="G120">
        <v>118</v>
      </c>
      <c r="H120" t="s">
        <v>1519</v>
      </c>
      <c r="I120">
        <v>6</v>
      </c>
      <c r="J120" s="48">
        <v>1</v>
      </c>
      <c r="K120" s="48">
        <v>0</v>
      </c>
      <c r="L120" s="54">
        <v>46203</v>
      </c>
      <c r="M120" s="54">
        <v>46206</v>
      </c>
      <c r="N120" s="54">
        <v>46212</v>
      </c>
      <c r="O120" s="54">
        <v>46217</v>
      </c>
    </row>
    <row r="121" spans="2:15" x14ac:dyDescent="0.25">
      <c r="B121">
        <v>118</v>
      </c>
      <c r="C121" t="s">
        <v>235</v>
      </c>
      <c r="D121" t="s">
        <v>1212</v>
      </c>
      <c r="E121">
        <v>117</v>
      </c>
      <c r="F121" t="s">
        <v>1518</v>
      </c>
      <c r="G121">
        <v>119</v>
      </c>
      <c r="H121" t="s">
        <v>1519</v>
      </c>
      <c r="I121">
        <v>4</v>
      </c>
      <c r="J121" s="48">
        <v>0.47</v>
      </c>
      <c r="K121" s="48">
        <v>0</v>
      </c>
      <c r="L121" s="54">
        <v>46206</v>
      </c>
      <c r="M121" s="54">
        <v>46211</v>
      </c>
      <c r="N121" s="54">
        <v>46217</v>
      </c>
      <c r="O121" s="54">
        <v>46220</v>
      </c>
    </row>
    <row r="122" spans="2:15" x14ac:dyDescent="0.25">
      <c r="B122">
        <v>119</v>
      </c>
      <c r="C122" t="s">
        <v>235</v>
      </c>
      <c r="D122" t="s">
        <v>1212</v>
      </c>
      <c r="E122">
        <v>118</v>
      </c>
      <c r="F122" t="s">
        <v>1520</v>
      </c>
      <c r="G122">
        <v>76</v>
      </c>
      <c r="H122" t="s">
        <v>1519</v>
      </c>
      <c r="I122">
        <v>6</v>
      </c>
      <c r="J122" s="48">
        <v>0</v>
      </c>
      <c r="K122" s="48">
        <v>0</v>
      </c>
      <c r="L122" s="54">
        <v>46211</v>
      </c>
      <c r="M122" s="54">
        <v>46216</v>
      </c>
      <c r="N122" s="54">
        <v>46220</v>
      </c>
      <c r="O122" s="54">
        <v>46225</v>
      </c>
    </row>
    <row r="123" spans="2:15" x14ac:dyDescent="0.25">
      <c r="B123">
        <v>120</v>
      </c>
      <c r="C123" t="s">
        <v>243</v>
      </c>
      <c r="D123" t="s">
        <v>1240</v>
      </c>
      <c r="F123" t="s">
        <v>1575</v>
      </c>
      <c r="H123" t="s">
        <v>1514</v>
      </c>
      <c r="I123">
        <v>28</v>
      </c>
      <c r="J123" s="48">
        <v>0.74350000000000005</v>
      </c>
      <c r="K123" s="48">
        <v>0.312</v>
      </c>
      <c r="L123" s="54">
        <v>46203</v>
      </c>
      <c r="M123" s="54">
        <v>46219</v>
      </c>
      <c r="N123" s="54">
        <v>46204</v>
      </c>
      <c r="O123" s="54">
        <v>46231</v>
      </c>
    </row>
    <row r="124" spans="2:15" x14ac:dyDescent="0.25">
      <c r="B124">
        <v>121</v>
      </c>
      <c r="C124" t="s">
        <v>243</v>
      </c>
      <c r="D124" t="s">
        <v>1240</v>
      </c>
      <c r="E124" t="s">
        <v>1895</v>
      </c>
      <c r="F124" t="s">
        <v>1515</v>
      </c>
      <c r="G124">
        <v>122</v>
      </c>
      <c r="H124" t="s">
        <v>1509</v>
      </c>
      <c r="I124">
        <v>15</v>
      </c>
      <c r="J124" s="48">
        <v>1</v>
      </c>
      <c r="K124" s="48">
        <v>0.45</v>
      </c>
      <c r="L124" s="54">
        <v>46203</v>
      </c>
      <c r="M124" s="54">
        <v>46206</v>
      </c>
      <c r="N124" s="54">
        <v>46204</v>
      </c>
      <c r="O124" s="54">
        <v>46218</v>
      </c>
    </row>
    <row r="125" spans="2:15" x14ac:dyDescent="0.25">
      <c r="B125">
        <v>122</v>
      </c>
      <c r="C125" t="s">
        <v>243</v>
      </c>
      <c r="D125" t="s">
        <v>1240</v>
      </c>
      <c r="E125">
        <v>121</v>
      </c>
      <c r="F125" t="s">
        <v>1517</v>
      </c>
      <c r="G125">
        <v>123</v>
      </c>
      <c r="H125" t="s">
        <v>1519</v>
      </c>
      <c r="I125">
        <v>6</v>
      </c>
      <c r="J125" s="48">
        <v>0.47</v>
      </c>
      <c r="K125" s="48">
        <v>0</v>
      </c>
      <c r="L125" s="54">
        <v>46206</v>
      </c>
      <c r="M125" s="54">
        <v>46211</v>
      </c>
      <c r="N125" s="54">
        <v>46218</v>
      </c>
      <c r="O125" s="54">
        <v>46223</v>
      </c>
    </row>
    <row r="126" spans="2:15" x14ac:dyDescent="0.25">
      <c r="B126">
        <v>123</v>
      </c>
      <c r="C126" t="s">
        <v>243</v>
      </c>
      <c r="D126" t="s">
        <v>1240</v>
      </c>
      <c r="E126">
        <v>122</v>
      </c>
      <c r="F126" t="s">
        <v>1518</v>
      </c>
      <c r="G126">
        <v>124</v>
      </c>
      <c r="H126" t="s">
        <v>1519</v>
      </c>
      <c r="I126">
        <v>4</v>
      </c>
      <c r="J126" s="48">
        <v>0</v>
      </c>
      <c r="K126" s="48">
        <v>0</v>
      </c>
      <c r="L126" s="54">
        <v>46211</v>
      </c>
      <c r="M126" s="54">
        <v>46216</v>
      </c>
      <c r="N126" s="54">
        <v>46223</v>
      </c>
      <c r="O126" s="54">
        <v>46226</v>
      </c>
    </row>
    <row r="127" spans="2:15" x14ac:dyDescent="0.25">
      <c r="B127">
        <v>124</v>
      </c>
      <c r="C127" t="s">
        <v>243</v>
      </c>
      <c r="D127" t="s">
        <v>1240</v>
      </c>
      <c r="E127">
        <v>123</v>
      </c>
      <c r="F127" t="s">
        <v>1520</v>
      </c>
      <c r="G127">
        <v>76</v>
      </c>
      <c r="H127" t="s">
        <v>1519</v>
      </c>
      <c r="I127">
        <v>6</v>
      </c>
      <c r="J127" s="48">
        <v>0</v>
      </c>
      <c r="K127" s="48">
        <v>0</v>
      </c>
      <c r="L127" s="54">
        <v>46216</v>
      </c>
      <c r="M127" s="54">
        <v>46219</v>
      </c>
      <c r="N127" s="54">
        <v>46226</v>
      </c>
      <c r="O127" s="54">
        <v>46231</v>
      </c>
    </row>
    <row r="128" spans="2:15" x14ac:dyDescent="0.25">
      <c r="B128">
        <v>125</v>
      </c>
      <c r="C128" t="s">
        <v>244</v>
      </c>
      <c r="D128" t="s">
        <v>1245</v>
      </c>
      <c r="F128" t="s">
        <v>1577</v>
      </c>
      <c r="H128" t="s">
        <v>1578</v>
      </c>
      <c r="I128">
        <v>23</v>
      </c>
      <c r="J128" s="48">
        <v>0.74350000000000005</v>
      </c>
      <c r="K128" s="48">
        <v>0.69330000000000003</v>
      </c>
      <c r="L128" s="54">
        <v>46198</v>
      </c>
      <c r="M128" s="54">
        <v>46219</v>
      </c>
      <c r="N128" s="54">
        <v>46198</v>
      </c>
      <c r="O128" s="54">
        <v>46220</v>
      </c>
    </row>
    <row r="129" spans="2:15" x14ac:dyDescent="0.25">
      <c r="B129">
        <v>126</v>
      </c>
      <c r="C129" t="s">
        <v>244</v>
      </c>
      <c r="D129" t="s">
        <v>1245</v>
      </c>
      <c r="E129">
        <v>84</v>
      </c>
      <c r="F129" t="s">
        <v>1515</v>
      </c>
      <c r="G129" t="s">
        <v>1896</v>
      </c>
      <c r="H129" t="s">
        <v>1523</v>
      </c>
      <c r="I129">
        <v>12</v>
      </c>
      <c r="J129" s="48">
        <v>1</v>
      </c>
      <c r="K129" s="48">
        <v>1</v>
      </c>
      <c r="L129" s="54">
        <v>46198</v>
      </c>
      <c r="M129" s="54">
        <v>46206</v>
      </c>
      <c r="N129" s="54">
        <v>46198</v>
      </c>
      <c r="O129" s="54">
        <v>46209</v>
      </c>
    </row>
    <row r="130" spans="2:15" x14ac:dyDescent="0.25">
      <c r="B130">
        <v>127</v>
      </c>
      <c r="C130" t="s">
        <v>244</v>
      </c>
      <c r="D130" t="s">
        <v>1245</v>
      </c>
      <c r="E130">
        <v>126</v>
      </c>
      <c r="F130" t="s">
        <v>1517</v>
      </c>
      <c r="G130">
        <v>128</v>
      </c>
      <c r="H130" t="s">
        <v>1519</v>
      </c>
      <c r="I130">
        <v>4</v>
      </c>
      <c r="J130" s="48">
        <v>0.47</v>
      </c>
      <c r="K130" s="48">
        <v>0</v>
      </c>
      <c r="L130" s="54">
        <v>46206</v>
      </c>
      <c r="M130" s="54">
        <v>46211</v>
      </c>
      <c r="N130" s="54">
        <v>46209</v>
      </c>
      <c r="O130" s="54">
        <v>46212</v>
      </c>
    </row>
    <row r="131" spans="2:15" x14ac:dyDescent="0.25">
      <c r="B131">
        <v>128</v>
      </c>
      <c r="C131" t="s">
        <v>244</v>
      </c>
      <c r="D131" t="s">
        <v>1245</v>
      </c>
      <c r="E131">
        <v>127</v>
      </c>
      <c r="F131" t="s">
        <v>1518</v>
      </c>
      <c r="G131">
        <v>129</v>
      </c>
      <c r="H131" t="s">
        <v>1519</v>
      </c>
      <c r="I131">
        <v>6</v>
      </c>
      <c r="J131" s="48">
        <v>0</v>
      </c>
      <c r="K131" s="48">
        <v>0</v>
      </c>
      <c r="L131" s="54">
        <v>46211</v>
      </c>
      <c r="M131" s="54">
        <v>46216</v>
      </c>
      <c r="N131" s="54">
        <v>46212</v>
      </c>
      <c r="O131" s="54">
        <v>46217</v>
      </c>
    </row>
    <row r="132" spans="2:15" x14ac:dyDescent="0.25">
      <c r="B132">
        <v>129</v>
      </c>
      <c r="C132" t="s">
        <v>244</v>
      </c>
      <c r="D132" t="s">
        <v>1245</v>
      </c>
      <c r="E132">
        <v>128</v>
      </c>
      <c r="F132" t="s">
        <v>1520</v>
      </c>
      <c r="G132">
        <v>76</v>
      </c>
      <c r="H132" t="s">
        <v>1519</v>
      </c>
      <c r="I132">
        <v>4</v>
      </c>
      <c r="J132" s="48">
        <v>0</v>
      </c>
      <c r="K132" s="48">
        <v>0</v>
      </c>
      <c r="L132" s="54">
        <v>46216</v>
      </c>
      <c r="M132" s="54">
        <v>46219</v>
      </c>
      <c r="N132" s="54">
        <v>46217</v>
      </c>
      <c r="O132" s="54">
        <v>46220</v>
      </c>
    </row>
    <row r="133" spans="2:15" x14ac:dyDescent="0.25">
      <c r="B133">
        <v>130</v>
      </c>
      <c r="F133" t="s">
        <v>1557</v>
      </c>
      <c r="H133" t="s">
        <v>1535</v>
      </c>
      <c r="I133">
        <v>18</v>
      </c>
      <c r="J133" s="48">
        <v>0.27039999999999997</v>
      </c>
      <c r="K133" s="48">
        <v>0.27039999999999997</v>
      </c>
      <c r="L133" s="54">
        <v>46206</v>
      </c>
      <c r="M133" s="54">
        <v>46225</v>
      </c>
      <c r="N133" s="54">
        <v>46209</v>
      </c>
      <c r="O133" s="54">
        <v>46226</v>
      </c>
    </row>
    <row r="134" spans="2:15" x14ac:dyDescent="0.25">
      <c r="B134">
        <v>131</v>
      </c>
      <c r="C134" t="s">
        <v>190</v>
      </c>
      <c r="D134" t="s">
        <v>1069</v>
      </c>
      <c r="F134" t="s">
        <v>1580</v>
      </c>
      <c r="H134" t="s">
        <v>1535</v>
      </c>
      <c r="I134">
        <v>18</v>
      </c>
      <c r="J134" s="48">
        <v>0.27039999999999997</v>
      </c>
      <c r="K134" s="48">
        <v>0.27039999999999997</v>
      </c>
      <c r="L134" s="54">
        <v>46206</v>
      </c>
      <c r="M134" s="54">
        <v>46225</v>
      </c>
      <c r="N134" s="54">
        <v>46209</v>
      </c>
      <c r="O134" s="54">
        <v>46226</v>
      </c>
    </row>
    <row r="135" spans="2:15" x14ac:dyDescent="0.25">
      <c r="B135">
        <v>132</v>
      </c>
      <c r="C135" t="s">
        <v>190</v>
      </c>
      <c r="D135" t="s">
        <v>1069</v>
      </c>
      <c r="E135">
        <v>126</v>
      </c>
      <c r="F135" t="s">
        <v>1515</v>
      </c>
      <c r="G135" t="s">
        <v>1897</v>
      </c>
      <c r="H135" t="s">
        <v>1525</v>
      </c>
      <c r="I135">
        <v>5</v>
      </c>
      <c r="J135" s="48">
        <v>0.39</v>
      </c>
      <c r="K135" s="48">
        <v>0.39</v>
      </c>
      <c r="L135" s="54">
        <v>46206</v>
      </c>
      <c r="M135" s="54">
        <v>46212</v>
      </c>
      <c r="N135" s="54">
        <v>46209</v>
      </c>
      <c r="O135" s="54">
        <v>46213</v>
      </c>
    </row>
    <row r="136" spans="2:15" x14ac:dyDescent="0.25">
      <c r="B136">
        <v>133</v>
      </c>
      <c r="C136" t="s">
        <v>190</v>
      </c>
      <c r="D136" t="s">
        <v>1069</v>
      </c>
      <c r="E136">
        <v>132</v>
      </c>
      <c r="F136" t="s">
        <v>1517</v>
      </c>
      <c r="G136">
        <v>134</v>
      </c>
      <c r="H136" t="s">
        <v>1519</v>
      </c>
      <c r="I136">
        <v>6</v>
      </c>
      <c r="J136" s="48">
        <v>0</v>
      </c>
      <c r="K136" s="48">
        <v>0</v>
      </c>
      <c r="L136" s="54">
        <v>46212</v>
      </c>
      <c r="M136" s="54">
        <v>46217</v>
      </c>
      <c r="N136" s="54">
        <v>46213</v>
      </c>
      <c r="O136" s="54">
        <v>46218</v>
      </c>
    </row>
    <row r="137" spans="2:15" x14ac:dyDescent="0.25">
      <c r="B137">
        <v>134</v>
      </c>
      <c r="C137" t="s">
        <v>190</v>
      </c>
      <c r="D137" t="s">
        <v>1069</v>
      </c>
      <c r="E137">
        <v>133</v>
      </c>
      <c r="F137" t="s">
        <v>1518</v>
      </c>
      <c r="G137">
        <v>135</v>
      </c>
      <c r="H137" t="s">
        <v>1519</v>
      </c>
      <c r="I137">
        <v>6</v>
      </c>
      <c r="J137" s="48">
        <v>0</v>
      </c>
      <c r="K137" s="48">
        <v>0</v>
      </c>
      <c r="L137" s="54">
        <v>46217</v>
      </c>
      <c r="M137" s="54">
        <v>46220</v>
      </c>
      <c r="N137" s="54">
        <v>46218</v>
      </c>
      <c r="O137" s="54">
        <v>46223</v>
      </c>
    </row>
    <row r="138" spans="2:15" x14ac:dyDescent="0.25">
      <c r="B138">
        <v>135</v>
      </c>
      <c r="C138" t="s">
        <v>190</v>
      </c>
      <c r="D138" t="s">
        <v>1069</v>
      </c>
      <c r="E138">
        <v>134</v>
      </c>
      <c r="F138" t="s">
        <v>1520</v>
      </c>
      <c r="G138">
        <v>76</v>
      </c>
      <c r="H138" t="s">
        <v>1519</v>
      </c>
      <c r="I138">
        <v>4</v>
      </c>
      <c r="J138" s="48">
        <v>0</v>
      </c>
      <c r="K138" s="48">
        <v>0</v>
      </c>
      <c r="L138" s="54">
        <v>46220</v>
      </c>
      <c r="M138" s="54">
        <v>46225</v>
      </c>
      <c r="N138" s="54">
        <v>46223</v>
      </c>
      <c r="O138" s="54">
        <v>46226</v>
      </c>
    </row>
    <row r="139" spans="2:15" x14ac:dyDescent="0.25">
      <c r="B139">
        <v>136</v>
      </c>
      <c r="F139" t="s">
        <v>1572</v>
      </c>
      <c r="H139" t="s">
        <v>1538</v>
      </c>
      <c r="I139">
        <v>27</v>
      </c>
      <c r="J139" s="48">
        <v>0</v>
      </c>
      <c r="K139" s="48">
        <v>0</v>
      </c>
      <c r="L139" s="54">
        <v>46217</v>
      </c>
      <c r="M139" s="54">
        <v>46266</v>
      </c>
      <c r="N139" s="54">
        <v>46213</v>
      </c>
      <c r="O139" s="54">
        <v>46239</v>
      </c>
    </row>
    <row r="140" spans="2:15" x14ac:dyDescent="0.25">
      <c r="B140">
        <v>137</v>
      </c>
      <c r="C140" t="s">
        <v>108</v>
      </c>
      <c r="D140" t="s">
        <v>728</v>
      </c>
      <c r="F140" t="s">
        <v>1581</v>
      </c>
      <c r="H140" t="s">
        <v>1527</v>
      </c>
      <c r="I140">
        <v>21</v>
      </c>
      <c r="J140" s="48">
        <v>0</v>
      </c>
      <c r="K140" s="48">
        <v>0</v>
      </c>
      <c r="L140" s="54">
        <v>46217</v>
      </c>
      <c r="M140" s="54">
        <v>46237</v>
      </c>
      <c r="N140" s="54">
        <v>46213</v>
      </c>
      <c r="O140" s="54">
        <v>46233</v>
      </c>
    </row>
    <row r="141" spans="2:15" x14ac:dyDescent="0.25">
      <c r="B141">
        <v>138</v>
      </c>
      <c r="C141" t="s">
        <v>108</v>
      </c>
      <c r="D141" t="s">
        <v>728</v>
      </c>
      <c r="E141" t="s">
        <v>1898</v>
      </c>
      <c r="F141" t="s">
        <v>1515</v>
      </c>
      <c r="G141" t="s">
        <v>1899</v>
      </c>
      <c r="H141" t="s">
        <v>1528</v>
      </c>
      <c r="I141">
        <v>8</v>
      </c>
      <c r="J141" s="48">
        <v>0</v>
      </c>
      <c r="K141" s="48">
        <v>0</v>
      </c>
      <c r="L141" s="54">
        <v>46217</v>
      </c>
      <c r="M141" s="54">
        <v>46224</v>
      </c>
      <c r="N141" s="54">
        <v>46213</v>
      </c>
      <c r="O141" s="54">
        <v>46220</v>
      </c>
    </row>
    <row r="142" spans="2:15" x14ac:dyDescent="0.25">
      <c r="B142">
        <v>139</v>
      </c>
      <c r="C142" t="s">
        <v>108</v>
      </c>
      <c r="D142" t="s">
        <v>728</v>
      </c>
      <c r="E142">
        <v>138</v>
      </c>
      <c r="F142" t="s">
        <v>1517</v>
      </c>
      <c r="G142">
        <v>140</v>
      </c>
      <c r="H142" t="s">
        <v>1519</v>
      </c>
      <c r="I142">
        <v>6</v>
      </c>
      <c r="J142" s="48">
        <v>0</v>
      </c>
      <c r="K142" s="48">
        <v>0</v>
      </c>
      <c r="L142" s="54">
        <v>46224</v>
      </c>
      <c r="M142" s="54">
        <v>46227</v>
      </c>
      <c r="N142" s="54">
        <v>46220</v>
      </c>
      <c r="O142" s="54">
        <v>46225</v>
      </c>
    </row>
    <row r="143" spans="2:15" x14ac:dyDescent="0.25">
      <c r="B143">
        <v>140</v>
      </c>
      <c r="C143" t="s">
        <v>108</v>
      </c>
      <c r="D143" t="s">
        <v>728</v>
      </c>
      <c r="E143">
        <v>139</v>
      </c>
      <c r="F143" t="s">
        <v>1518</v>
      </c>
      <c r="G143">
        <v>141</v>
      </c>
      <c r="H143" t="s">
        <v>1519</v>
      </c>
      <c r="I143">
        <v>6</v>
      </c>
      <c r="J143" s="48">
        <v>0</v>
      </c>
      <c r="K143" s="48">
        <v>0</v>
      </c>
      <c r="L143" s="54">
        <v>46227</v>
      </c>
      <c r="M143" s="54">
        <v>46232</v>
      </c>
      <c r="N143" s="54">
        <v>46225</v>
      </c>
      <c r="O143" s="54">
        <v>46230</v>
      </c>
    </row>
    <row r="144" spans="2:15" x14ac:dyDescent="0.25">
      <c r="B144">
        <v>141</v>
      </c>
      <c r="C144" t="s">
        <v>108</v>
      </c>
      <c r="D144" t="s">
        <v>728</v>
      </c>
      <c r="E144">
        <v>140</v>
      </c>
      <c r="F144" t="s">
        <v>1520</v>
      </c>
      <c r="G144">
        <v>76</v>
      </c>
      <c r="H144" t="s">
        <v>1519</v>
      </c>
      <c r="I144">
        <v>4</v>
      </c>
      <c r="J144" s="48">
        <v>0</v>
      </c>
      <c r="K144" s="48">
        <v>0</v>
      </c>
      <c r="L144" s="54">
        <v>46232</v>
      </c>
      <c r="M144" s="54">
        <v>46237</v>
      </c>
      <c r="N144" s="54">
        <v>46230</v>
      </c>
      <c r="O144" s="54">
        <v>46233</v>
      </c>
    </row>
    <row r="145" spans="2:15" x14ac:dyDescent="0.25">
      <c r="B145">
        <v>142</v>
      </c>
      <c r="C145" t="s">
        <v>98</v>
      </c>
      <c r="D145" t="s">
        <v>683</v>
      </c>
      <c r="F145" t="s">
        <v>1582</v>
      </c>
      <c r="H145" t="s">
        <v>1535</v>
      </c>
      <c r="I145">
        <v>20</v>
      </c>
      <c r="J145" s="48">
        <v>0</v>
      </c>
      <c r="K145" s="48">
        <v>0</v>
      </c>
      <c r="L145" s="54">
        <v>46247</v>
      </c>
      <c r="M145" s="54">
        <v>46266</v>
      </c>
      <c r="N145" s="54">
        <v>46220</v>
      </c>
      <c r="O145" s="54">
        <v>46239</v>
      </c>
    </row>
    <row r="146" spans="2:15" x14ac:dyDescent="0.25">
      <c r="B146">
        <v>143</v>
      </c>
      <c r="C146" t="s">
        <v>98</v>
      </c>
      <c r="D146" t="s">
        <v>683</v>
      </c>
      <c r="E146">
        <v>138</v>
      </c>
      <c r="F146" t="s">
        <v>1515</v>
      </c>
      <c r="G146" t="s">
        <v>1900</v>
      </c>
      <c r="H146" t="s">
        <v>1525</v>
      </c>
      <c r="I146">
        <v>7</v>
      </c>
      <c r="J146" s="48">
        <v>0</v>
      </c>
      <c r="K146" s="48">
        <v>0</v>
      </c>
      <c r="L146" s="54">
        <v>46247</v>
      </c>
      <c r="M146" s="54">
        <v>46253</v>
      </c>
      <c r="N146" s="54">
        <v>46220</v>
      </c>
      <c r="O146" s="54">
        <v>46226</v>
      </c>
    </row>
    <row r="147" spans="2:15" x14ac:dyDescent="0.25">
      <c r="B147">
        <v>144</v>
      </c>
      <c r="C147" t="s">
        <v>98</v>
      </c>
      <c r="D147" t="s">
        <v>683</v>
      </c>
      <c r="E147">
        <v>143</v>
      </c>
      <c r="F147" t="s">
        <v>1517</v>
      </c>
      <c r="G147">
        <v>145</v>
      </c>
      <c r="H147" t="s">
        <v>1519</v>
      </c>
      <c r="I147">
        <v>6</v>
      </c>
      <c r="J147" s="48">
        <v>0</v>
      </c>
      <c r="K147" s="48">
        <v>0</v>
      </c>
      <c r="L147" s="54">
        <v>46253</v>
      </c>
      <c r="M147" s="54">
        <v>46258</v>
      </c>
      <c r="N147" s="54">
        <v>46226</v>
      </c>
      <c r="O147" s="54">
        <v>46231</v>
      </c>
    </row>
    <row r="148" spans="2:15" x14ac:dyDescent="0.25">
      <c r="B148">
        <v>145</v>
      </c>
      <c r="C148" t="s">
        <v>98</v>
      </c>
      <c r="D148" t="s">
        <v>683</v>
      </c>
      <c r="E148">
        <v>144</v>
      </c>
      <c r="F148" t="s">
        <v>1518</v>
      </c>
      <c r="G148">
        <v>146</v>
      </c>
      <c r="H148" t="s">
        <v>1519</v>
      </c>
      <c r="I148">
        <v>4</v>
      </c>
      <c r="J148" s="48">
        <v>0</v>
      </c>
      <c r="K148" s="48">
        <v>0</v>
      </c>
      <c r="L148" s="54">
        <v>46258</v>
      </c>
      <c r="M148" s="54">
        <v>46261</v>
      </c>
      <c r="N148" s="54">
        <v>46231</v>
      </c>
      <c r="O148" s="54">
        <v>46234</v>
      </c>
    </row>
    <row r="149" spans="2:15" x14ac:dyDescent="0.25">
      <c r="B149">
        <v>146</v>
      </c>
      <c r="C149" t="s">
        <v>98</v>
      </c>
      <c r="D149" t="s">
        <v>683</v>
      </c>
      <c r="E149">
        <v>145</v>
      </c>
      <c r="F149" t="s">
        <v>1520</v>
      </c>
      <c r="G149">
        <v>76</v>
      </c>
      <c r="H149" t="s">
        <v>1519</v>
      </c>
      <c r="I149">
        <v>6</v>
      </c>
      <c r="J149" s="48">
        <v>0</v>
      </c>
      <c r="K149" s="48">
        <v>0</v>
      </c>
      <c r="L149" s="54">
        <v>46261</v>
      </c>
      <c r="M149" s="54">
        <v>46266</v>
      </c>
      <c r="N149" s="54">
        <v>46234</v>
      </c>
      <c r="O149" s="54">
        <v>46239</v>
      </c>
    </row>
    <row r="150" spans="2:15" x14ac:dyDescent="0.25">
      <c r="B150">
        <v>147</v>
      </c>
      <c r="F150" t="s">
        <v>1583</v>
      </c>
      <c r="H150" t="s">
        <v>1528</v>
      </c>
      <c r="I150">
        <v>12</v>
      </c>
      <c r="J150" s="48">
        <v>1</v>
      </c>
      <c r="K150" s="48">
        <v>1</v>
      </c>
      <c r="L150" s="54">
        <v>46171</v>
      </c>
      <c r="M150" s="54">
        <v>46182</v>
      </c>
      <c r="N150" s="54">
        <v>46171</v>
      </c>
      <c r="O150" s="54">
        <v>46182</v>
      </c>
    </row>
    <row r="151" spans="2:15" x14ac:dyDescent="0.25">
      <c r="B151">
        <v>148</v>
      </c>
      <c r="F151" t="s">
        <v>1554</v>
      </c>
      <c r="H151" t="s">
        <v>1528</v>
      </c>
      <c r="I151">
        <v>12</v>
      </c>
      <c r="J151" s="48">
        <v>1</v>
      </c>
      <c r="K151" s="48">
        <v>1</v>
      </c>
      <c r="L151" s="54">
        <v>46171</v>
      </c>
      <c r="M151" s="54">
        <v>46182</v>
      </c>
      <c r="N151" s="54">
        <v>46171</v>
      </c>
      <c r="O151" s="54">
        <v>46182</v>
      </c>
    </row>
    <row r="152" spans="2:15" x14ac:dyDescent="0.25">
      <c r="B152">
        <v>149</v>
      </c>
      <c r="F152" t="s">
        <v>1555</v>
      </c>
      <c r="G152" t="s">
        <v>1885</v>
      </c>
      <c r="H152" t="s">
        <v>1528</v>
      </c>
      <c r="I152">
        <v>12</v>
      </c>
      <c r="J152" s="48">
        <v>1</v>
      </c>
      <c r="K152" s="48">
        <v>1</v>
      </c>
      <c r="L152" s="54">
        <v>46171</v>
      </c>
      <c r="M152" s="54">
        <v>46182</v>
      </c>
      <c r="N152" s="54">
        <v>46171</v>
      </c>
      <c r="O152" s="54">
        <v>46182</v>
      </c>
    </row>
    <row r="153" spans="2:15" x14ac:dyDescent="0.25">
      <c r="B153">
        <v>150</v>
      </c>
      <c r="E153">
        <v>45</v>
      </c>
      <c r="F153" t="s">
        <v>1558</v>
      </c>
      <c r="G153">
        <v>84</v>
      </c>
      <c r="H153" t="s">
        <v>1528</v>
      </c>
      <c r="I153">
        <v>12</v>
      </c>
      <c r="J153" s="48">
        <v>1</v>
      </c>
      <c r="K153" s="48">
        <v>1</v>
      </c>
      <c r="L153" s="54">
        <v>46171</v>
      </c>
      <c r="M153" s="54">
        <v>46182</v>
      </c>
      <c r="N153" s="54">
        <v>46171</v>
      </c>
      <c r="O153" s="54">
        <v>46182</v>
      </c>
    </row>
    <row r="154" spans="2:15" x14ac:dyDescent="0.25">
      <c r="B154">
        <v>151</v>
      </c>
      <c r="F154" t="s">
        <v>1584</v>
      </c>
      <c r="H154" t="s">
        <v>1585</v>
      </c>
      <c r="I154">
        <v>83</v>
      </c>
      <c r="J154" s="48">
        <v>0.42099999999999999</v>
      </c>
      <c r="K154" s="48">
        <v>0.28620000000000001</v>
      </c>
      <c r="L154" s="54">
        <v>46171</v>
      </c>
      <c r="M154" s="54">
        <v>46253</v>
      </c>
      <c r="N154" s="54">
        <v>46171</v>
      </c>
      <c r="O154" s="54">
        <v>46253</v>
      </c>
    </row>
    <row r="155" spans="2:15" x14ac:dyDescent="0.25">
      <c r="B155">
        <v>152</v>
      </c>
      <c r="F155" t="s">
        <v>1586</v>
      </c>
      <c r="H155" t="s">
        <v>1585</v>
      </c>
      <c r="I155">
        <v>83</v>
      </c>
      <c r="J155" s="48">
        <v>0.42099999999999999</v>
      </c>
      <c r="K155" s="48">
        <v>0.28620000000000001</v>
      </c>
      <c r="L155" s="54">
        <v>46171</v>
      </c>
      <c r="M155" s="54">
        <v>46253</v>
      </c>
      <c r="N155" s="54">
        <v>46171</v>
      </c>
      <c r="O155" s="54">
        <v>46253</v>
      </c>
    </row>
    <row r="156" spans="2:15" x14ac:dyDescent="0.25">
      <c r="B156">
        <v>153</v>
      </c>
      <c r="F156" t="s">
        <v>1587</v>
      </c>
      <c r="H156" t="s">
        <v>1585</v>
      </c>
      <c r="I156">
        <v>83</v>
      </c>
      <c r="J156" s="48">
        <v>0.42099999999999999</v>
      </c>
      <c r="K156" s="48">
        <v>0.28620000000000001</v>
      </c>
      <c r="L156" s="54">
        <v>46171</v>
      </c>
      <c r="M156" s="54">
        <v>46253</v>
      </c>
      <c r="N156" s="54">
        <v>46171</v>
      </c>
      <c r="O156" s="54">
        <v>46253</v>
      </c>
    </row>
    <row r="157" spans="2:15" x14ac:dyDescent="0.25">
      <c r="B157">
        <v>154</v>
      </c>
      <c r="F157" t="s">
        <v>1555</v>
      </c>
      <c r="H157" t="s">
        <v>1469</v>
      </c>
      <c r="I157">
        <v>68</v>
      </c>
      <c r="J157" s="48">
        <v>0.53439999999999999</v>
      </c>
      <c r="K157" s="48">
        <v>0.70520000000000005</v>
      </c>
      <c r="L157" s="54">
        <v>46171</v>
      </c>
      <c r="M157" s="54">
        <v>46230</v>
      </c>
      <c r="N157" s="54">
        <v>46171</v>
      </c>
      <c r="O157" s="54">
        <v>46238</v>
      </c>
    </row>
    <row r="158" spans="2:15" x14ac:dyDescent="0.25">
      <c r="B158">
        <v>155</v>
      </c>
      <c r="E158" t="s">
        <v>1901</v>
      </c>
      <c r="F158" t="s">
        <v>1572</v>
      </c>
      <c r="G158">
        <v>76</v>
      </c>
      <c r="H158" t="s">
        <v>1588</v>
      </c>
      <c r="I158">
        <v>22</v>
      </c>
      <c r="J158" s="48">
        <v>0</v>
      </c>
      <c r="K158" s="48">
        <v>0</v>
      </c>
      <c r="L158" s="54">
        <v>46209</v>
      </c>
      <c r="M158" s="54">
        <v>46230</v>
      </c>
      <c r="N158" s="54">
        <v>46217</v>
      </c>
      <c r="O158" s="54">
        <v>46238</v>
      </c>
    </row>
    <row r="159" spans="2:15" x14ac:dyDescent="0.25">
      <c r="B159">
        <v>156</v>
      </c>
      <c r="E159">
        <v>199</v>
      </c>
      <c r="F159" t="s">
        <v>1557</v>
      </c>
      <c r="G159" t="s">
        <v>1902</v>
      </c>
      <c r="H159" t="s">
        <v>1588</v>
      </c>
      <c r="I159">
        <v>22</v>
      </c>
      <c r="J159" s="48">
        <v>0.16</v>
      </c>
      <c r="K159" s="48">
        <v>0.56000000000000005</v>
      </c>
      <c r="L159" s="54">
        <v>46205</v>
      </c>
      <c r="M159" s="54">
        <v>46226</v>
      </c>
      <c r="N159" s="54">
        <v>46213</v>
      </c>
      <c r="O159" s="54">
        <v>46234</v>
      </c>
    </row>
    <row r="160" spans="2:15" x14ac:dyDescent="0.25">
      <c r="B160">
        <v>157</v>
      </c>
      <c r="E160" t="s">
        <v>1903</v>
      </c>
      <c r="F160" t="s">
        <v>1558</v>
      </c>
      <c r="G160" t="s">
        <v>1904</v>
      </c>
      <c r="H160" t="s">
        <v>1527</v>
      </c>
      <c r="I160">
        <v>23</v>
      </c>
      <c r="J160" s="48">
        <v>1</v>
      </c>
      <c r="K160" s="48">
        <v>1</v>
      </c>
      <c r="L160" s="54">
        <v>46176</v>
      </c>
      <c r="M160" s="54">
        <v>46198</v>
      </c>
      <c r="N160" s="54">
        <v>46176</v>
      </c>
      <c r="O160" s="54">
        <v>46198</v>
      </c>
    </row>
    <row r="161" spans="2:15" x14ac:dyDescent="0.25">
      <c r="B161">
        <v>158</v>
      </c>
      <c r="E161">
        <v>45</v>
      </c>
      <c r="F161" t="s">
        <v>1589</v>
      </c>
      <c r="G161" t="s">
        <v>1905</v>
      </c>
      <c r="H161" t="s">
        <v>1509</v>
      </c>
      <c r="I161">
        <v>19</v>
      </c>
      <c r="J161" s="48">
        <v>1</v>
      </c>
      <c r="K161" s="48">
        <v>1</v>
      </c>
      <c r="L161" s="54">
        <v>46171</v>
      </c>
      <c r="M161" s="54">
        <v>46189</v>
      </c>
      <c r="N161" s="54">
        <v>46171</v>
      </c>
      <c r="O161" s="54">
        <v>46189</v>
      </c>
    </row>
    <row r="162" spans="2:15" x14ac:dyDescent="0.25">
      <c r="B162">
        <v>159</v>
      </c>
      <c r="F162" t="s">
        <v>1560</v>
      </c>
      <c r="H162" t="s">
        <v>1590</v>
      </c>
      <c r="I162">
        <v>56</v>
      </c>
      <c r="J162" s="48">
        <v>0.37780000000000002</v>
      </c>
      <c r="K162" s="48">
        <v>0.1263</v>
      </c>
      <c r="L162" s="54">
        <v>46198</v>
      </c>
      <c r="M162" s="54">
        <v>46253</v>
      </c>
      <c r="N162" s="54">
        <v>46198</v>
      </c>
      <c r="O162" s="54">
        <v>46253</v>
      </c>
    </row>
    <row r="163" spans="2:15" x14ac:dyDescent="0.25">
      <c r="B163">
        <v>160</v>
      </c>
      <c r="F163" t="s">
        <v>1558</v>
      </c>
      <c r="H163" t="s">
        <v>1514</v>
      </c>
      <c r="I163">
        <v>28</v>
      </c>
      <c r="J163" s="48">
        <v>0.42809999999999998</v>
      </c>
      <c r="K163" s="48">
        <v>0.41139999999999999</v>
      </c>
      <c r="L163" s="54">
        <v>46198</v>
      </c>
      <c r="M163" s="54">
        <v>46231</v>
      </c>
      <c r="N163" s="54">
        <v>46198</v>
      </c>
      <c r="O163" s="54">
        <v>46225</v>
      </c>
    </row>
    <row r="164" spans="2:15" x14ac:dyDescent="0.25">
      <c r="B164">
        <v>161</v>
      </c>
      <c r="C164" t="s">
        <v>253</v>
      </c>
      <c r="D164" t="s">
        <v>1274</v>
      </c>
      <c r="F164" t="s">
        <v>1592</v>
      </c>
      <c r="H164" t="s">
        <v>1578</v>
      </c>
      <c r="I164">
        <v>23</v>
      </c>
      <c r="J164" s="48">
        <v>0.74350000000000005</v>
      </c>
      <c r="K164" s="48">
        <v>0.69330000000000003</v>
      </c>
      <c r="L164" s="54">
        <v>46198</v>
      </c>
      <c r="M164" s="54">
        <v>46219</v>
      </c>
      <c r="N164" s="54">
        <v>46198</v>
      </c>
      <c r="O164" s="54">
        <v>46220</v>
      </c>
    </row>
    <row r="165" spans="2:15" x14ac:dyDescent="0.25">
      <c r="B165">
        <v>162</v>
      </c>
      <c r="C165" t="s">
        <v>253</v>
      </c>
      <c r="D165" t="s">
        <v>1274</v>
      </c>
      <c r="E165">
        <v>157</v>
      </c>
      <c r="F165" t="s">
        <v>1515</v>
      </c>
      <c r="G165" t="s">
        <v>1906</v>
      </c>
      <c r="H165" t="s">
        <v>1523</v>
      </c>
      <c r="I165">
        <v>12</v>
      </c>
      <c r="J165" s="48">
        <v>1</v>
      </c>
      <c r="K165" s="48">
        <v>1</v>
      </c>
      <c r="L165" s="54">
        <v>46198</v>
      </c>
      <c r="M165" s="54">
        <v>46206</v>
      </c>
      <c r="N165" s="54">
        <v>46198</v>
      </c>
      <c r="O165" s="54">
        <v>46209</v>
      </c>
    </row>
    <row r="166" spans="2:15" x14ac:dyDescent="0.25">
      <c r="B166">
        <v>163</v>
      </c>
      <c r="C166" t="s">
        <v>253</v>
      </c>
      <c r="D166" t="s">
        <v>1274</v>
      </c>
      <c r="E166">
        <v>162</v>
      </c>
      <c r="F166" t="s">
        <v>1517</v>
      </c>
      <c r="G166">
        <v>164</v>
      </c>
      <c r="H166" t="s">
        <v>1519</v>
      </c>
      <c r="I166">
        <v>4</v>
      </c>
      <c r="J166" s="48">
        <v>0.47</v>
      </c>
      <c r="K166" s="48">
        <v>0</v>
      </c>
      <c r="L166" s="54">
        <v>46206</v>
      </c>
      <c r="M166" s="54">
        <v>46211</v>
      </c>
      <c r="N166" s="54">
        <v>46209</v>
      </c>
      <c r="O166" s="54">
        <v>46212</v>
      </c>
    </row>
    <row r="167" spans="2:15" x14ac:dyDescent="0.25">
      <c r="B167">
        <v>164</v>
      </c>
      <c r="C167" t="s">
        <v>253</v>
      </c>
      <c r="D167" t="s">
        <v>1274</v>
      </c>
      <c r="E167">
        <v>163</v>
      </c>
      <c r="F167" t="s">
        <v>1518</v>
      </c>
      <c r="G167">
        <v>165</v>
      </c>
      <c r="H167" t="s">
        <v>1519</v>
      </c>
      <c r="I167">
        <v>6</v>
      </c>
      <c r="J167" s="48">
        <v>0</v>
      </c>
      <c r="K167" s="48">
        <v>0</v>
      </c>
      <c r="L167" s="54">
        <v>46211</v>
      </c>
      <c r="M167" s="54">
        <v>46216</v>
      </c>
      <c r="N167" s="54">
        <v>46212</v>
      </c>
      <c r="O167" s="54">
        <v>46217</v>
      </c>
    </row>
    <row r="168" spans="2:15" x14ac:dyDescent="0.25">
      <c r="B168">
        <v>165</v>
      </c>
      <c r="C168" t="s">
        <v>253</v>
      </c>
      <c r="D168" t="s">
        <v>1274</v>
      </c>
      <c r="E168">
        <v>164</v>
      </c>
      <c r="F168" t="s">
        <v>1520</v>
      </c>
      <c r="G168">
        <v>76</v>
      </c>
      <c r="H168" t="s">
        <v>1519</v>
      </c>
      <c r="I168">
        <v>4</v>
      </c>
      <c r="J168" s="48">
        <v>0</v>
      </c>
      <c r="K168" s="48">
        <v>0</v>
      </c>
      <c r="L168" s="54">
        <v>46216</v>
      </c>
      <c r="M168" s="54">
        <v>46219</v>
      </c>
      <c r="N168" s="54">
        <v>46217</v>
      </c>
      <c r="O168" s="54">
        <v>46220</v>
      </c>
    </row>
    <row r="169" spans="2:15" x14ac:dyDescent="0.25">
      <c r="B169">
        <v>166</v>
      </c>
      <c r="C169" t="s">
        <v>227</v>
      </c>
      <c r="D169" t="s">
        <v>1186</v>
      </c>
      <c r="F169" t="s">
        <v>1593</v>
      </c>
      <c r="H169" t="s">
        <v>1535</v>
      </c>
      <c r="I169">
        <v>20</v>
      </c>
      <c r="J169" s="48">
        <v>0.27039999999999997</v>
      </c>
      <c r="K169" s="48">
        <v>0.27039999999999997</v>
      </c>
      <c r="L169" s="54">
        <v>46206</v>
      </c>
      <c r="M169" s="54">
        <v>46225</v>
      </c>
      <c r="N169" s="54">
        <v>46206</v>
      </c>
      <c r="O169" s="54">
        <v>46225</v>
      </c>
    </row>
    <row r="170" spans="2:15" x14ac:dyDescent="0.25">
      <c r="B170">
        <v>167</v>
      </c>
      <c r="C170" t="s">
        <v>227</v>
      </c>
      <c r="D170" t="s">
        <v>1186</v>
      </c>
      <c r="E170" t="s">
        <v>1907</v>
      </c>
      <c r="F170" t="s">
        <v>1515</v>
      </c>
      <c r="G170" t="s">
        <v>1908</v>
      </c>
      <c r="H170" t="s">
        <v>1525</v>
      </c>
      <c r="I170">
        <v>7</v>
      </c>
      <c r="J170" s="48">
        <v>0.39</v>
      </c>
      <c r="K170" s="48">
        <v>0.39</v>
      </c>
      <c r="L170" s="54">
        <v>46206</v>
      </c>
      <c r="M170" s="54">
        <v>46212</v>
      </c>
      <c r="N170" s="54">
        <v>46206</v>
      </c>
      <c r="O170" s="54">
        <v>46212</v>
      </c>
    </row>
    <row r="171" spans="2:15" x14ac:dyDescent="0.25">
      <c r="B171">
        <v>168</v>
      </c>
      <c r="C171" t="s">
        <v>227</v>
      </c>
      <c r="D171" t="s">
        <v>1186</v>
      </c>
      <c r="E171">
        <v>167</v>
      </c>
      <c r="F171" t="s">
        <v>1517</v>
      </c>
      <c r="G171">
        <v>169</v>
      </c>
      <c r="H171" t="s">
        <v>1519</v>
      </c>
      <c r="I171">
        <v>6</v>
      </c>
      <c r="J171" s="48">
        <v>0</v>
      </c>
      <c r="K171" s="48">
        <v>0</v>
      </c>
      <c r="L171" s="54">
        <v>46212</v>
      </c>
      <c r="M171" s="54">
        <v>46217</v>
      </c>
      <c r="N171" s="54">
        <v>46212</v>
      </c>
      <c r="O171" s="54">
        <v>46217</v>
      </c>
    </row>
    <row r="172" spans="2:15" x14ac:dyDescent="0.25">
      <c r="B172">
        <v>169</v>
      </c>
      <c r="C172" t="s">
        <v>227</v>
      </c>
      <c r="D172" t="s">
        <v>1186</v>
      </c>
      <c r="E172">
        <v>168</v>
      </c>
      <c r="F172" t="s">
        <v>1518</v>
      </c>
      <c r="G172">
        <v>170</v>
      </c>
      <c r="H172" t="s">
        <v>1519</v>
      </c>
      <c r="I172">
        <v>4</v>
      </c>
      <c r="J172" s="48">
        <v>0</v>
      </c>
      <c r="K172" s="48">
        <v>0</v>
      </c>
      <c r="L172" s="54">
        <v>46217</v>
      </c>
      <c r="M172" s="54">
        <v>46220</v>
      </c>
      <c r="N172" s="54">
        <v>46217</v>
      </c>
      <c r="O172" s="54">
        <v>46220</v>
      </c>
    </row>
    <row r="173" spans="2:15" x14ac:dyDescent="0.25">
      <c r="B173">
        <v>170</v>
      </c>
      <c r="C173" t="s">
        <v>227</v>
      </c>
      <c r="D173" t="s">
        <v>1186</v>
      </c>
      <c r="E173">
        <v>169</v>
      </c>
      <c r="F173" t="s">
        <v>1520</v>
      </c>
      <c r="G173">
        <v>76</v>
      </c>
      <c r="H173" t="s">
        <v>1519</v>
      </c>
      <c r="I173">
        <v>6</v>
      </c>
      <c r="J173" s="48">
        <v>0</v>
      </c>
      <c r="K173" s="48">
        <v>0</v>
      </c>
      <c r="L173" s="54">
        <v>46220</v>
      </c>
      <c r="M173" s="54">
        <v>46225</v>
      </c>
      <c r="N173" s="54">
        <v>46220</v>
      </c>
      <c r="O173" s="54">
        <v>46225</v>
      </c>
    </row>
    <row r="174" spans="2:15" x14ac:dyDescent="0.25">
      <c r="B174">
        <v>171</v>
      </c>
      <c r="C174" t="s">
        <v>236</v>
      </c>
      <c r="D174" t="s">
        <v>1216</v>
      </c>
      <c r="F174" t="s">
        <v>1595</v>
      </c>
      <c r="H174" t="s">
        <v>1535</v>
      </c>
      <c r="I174">
        <v>20</v>
      </c>
      <c r="J174" s="48">
        <v>0.27039999999999997</v>
      </c>
      <c r="K174" s="48">
        <v>0.27039999999999997</v>
      </c>
      <c r="L174" s="54">
        <v>46206</v>
      </c>
      <c r="M174" s="54">
        <v>46225</v>
      </c>
      <c r="N174" s="54">
        <v>46206</v>
      </c>
      <c r="O174" s="54">
        <v>46225</v>
      </c>
    </row>
    <row r="175" spans="2:15" x14ac:dyDescent="0.25">
      <c r="B175">
        <v>172</v>
      </c>
      <c r="C175" t="s">
        <v>236</v>
      </c>
      <c r="D175" t="s">
        <v>1216</v>
      </c>
      <c r="E175" t="s">
        <v>1909</v>
      </c>
      <c r="F175" t="s">
        <v>1515</v>
      </c>
      <c r="G175" t="s">
        <v>1910</v>
      </c>
      <c r="H175" t="s">
        <v>1525</v>
      </c>
      <c r="I175">
        <v>7</v>
      </c>
      <c r="J175" s="48">
        <v>0.39</v>
      </c>
      <c r="K175" s="48">
        <v>0.39</v>
      </c>
      <c r="L175" s="54">
        <v>46206</v>
      </c>
      <c r="M175" s="54">
        <v>46212</v>
      </c>
      <c r="N175" s="54">
        <v>46206</v>
      </c>
      <c r="O175" s="54">
        <v>46212</v>
      </c>
    </row>
    <row r="176" spans="2:15" x14ac:dyDescent="0.25">
      <c r="B176">
        <v>173</v>
      </c>
      <c r="C176" t="s">
        <v>236</v>
      </c>
      <c r="D176" t="s">
        <v>1216</v>
      </c>
      <c r="E176">
        <v>172</v>
      </c>
      <c r="F176" t="s">
        <v>1517</v>
      </c>
      <c r="G176">
        <v>174</v>
      </c>
      <c r="H176" t="s">
        <v>1519</v>
      </c>
      <c r="I176">
        <v>6</v>
      </c>
      <c r="J176" s="48">
        <v>0</v>
      </c>
      <c r="K176" s="48">
        <v>0</v>
      </c>
      <c r="L176" s="54">
        <v>46212</v>
      </c>
      <c r="M176" s="54">
        <v>46217</v>
      </c>
      <c r="N176" s="54">
        <v>46212</v>
      </c>
      <c r="O176" s="54">
        <v>46217</v>
      </c>
    </row>
    <row r="177" spans="2:15" x14ac:dyDescent="0.25">
      <c r="B177">
        <v>174</v>
      </c>
      <c r="C177" t="s">
        <v>236</v>
      </c>
      <c r="D177" t="s">
        <v>1216</v>
      </c>
      <c r="E177">
        <v>173</v>
      </c>
      <c r="F177" t="s">
        <v>1518</v>
      </c>
      <c r="G177">
        <v>175</v>
      </c>
      <c r="H177" t="s">
        <v>1519</v>
      </c>
      <c r="I177">
        <v>4</v>
      </c>
      <c r="J177" s="48">
        <v>0</v>
      </c>
      <c r="K177" s="48">
        <v>0</v>
      </c>
      <c r="L177" s="54">
        <v>46217</v>
      </c>
      <c r="M177" s="54">
        <v>46220</v>
      </c>
      <c r="N177" s="54">
        <v>46217</v>
      </c>
      <c r="O177" s="54">
        <v>46220</v>
      </c>
    </row>
    <row r="178" spans="2:15" x14ac:dyDescent="0.25">
      <c r="B178">
        <v>175</v>
      </c>
      <c r="C178" t="s">
        <v>236</v>
      </c>
      <c r="D178" t="s">
        <v>1216</v>
      </c>
      <c r="E178">
        <v>174</v>
      </c>
      <c r="F178" t="s">
        <v>1520</v>
      </c>
      <c r="G178">
        <v>76</v>
      </c>
      <c r="H178" t="s">
        <v>1519</v>
      </c>
      <c r="I178">
        <v>6</v>
      </c>
      <c r="J178" s="48">
        <v>0</v>
      </c>
      <c r="K178" s="48">
        <v>0</v>
      </c>
      <c r="L178" s="54">
        <v>46220</v>
      </c>
      <c r="M178" s="54">
        <v>46225</v>
      </c>
      <c r="N178" s="54">
        <v>46220</v>
      </c>
      <c r="O178" s="54">
        <v>46225</v>
      </c>
    </row>
    <row r="179" spans="2:15" x14ac:dyDescent="0.25">
      <c r="B179">
        <v>186</v>
      </c>
      <c r="F179" t="s">
        <v>1572</v>
      </c>
      <c r="H179" t="s">
        <v>1598</v>
      </c>
      <c r="I179">
        <v>26</v>
      </c>
      <c r="J179" s="48">
        <v>0.19409999999999999</v>
      </c>
      <c r="K179" s="48">
        <v>0</v>
      </c>
      <c r="L179" s="54">
        <v>46205</v>
      </c>
      <c r="M179" s="54">
        <v>46230</v>
      </c>
      <c r="N179" s="54">
        <v>46213</v>
      </c>
      <c r="O179" s="54">
        <v>46238</v>
      </c>
    </row>
    <row r="180" spans="2:15" x14ac:dyDescent="0.25">
      <c r="B180">
        <v>187</v>
      </c>
      <c r="C180" t="s">
        <v>101</v>
      </c>
      <c r="D180" t="s">
        <v>695</v>
      </c>
      <c r="F180" t="s">
        <v>1597</v>
      </c>
      <c r="H180" t="s">
        <v>1535</v>
      </c>
      <c r="I180">
        <v>20</v>
      </c>
      <c r="J180" s="48">
        <v>0.38829999999999998</v>
      </c>
      <c r="K180" s="48">
        <v>0</v>
      </c>
      <c r="L180" s="54">
        <v>46205</v>
      </c>
      <c r="M180" s="54">
        <v>46224</v>
      </c>
      <c r="N180" s="54">
        <v>46213</v>
      </c>
      <c r="O180" s="54">
        <v>46232</v>
      </c>
    </row>
    <row r="181" spans="2:15" x14ac:dyDescent="0.25">
      <c r="B181">
        <v>188</v>
      </c>
      <c r="C181" t="s">
        <v>101</v>
      </c>
      <c r="D181" t="s">
        <v>695</v>
      </c>
      <c r="E181">
        <v>199</v>
      </c>
      <c r="F181" t="s">
        <v>1515</v>
      </c>
      <c r="G181" t="s">
        <v>1911</v>
      </c>
      <c r="H181" t="s">
        <v>1525</v>
      </c>
      <c r="I181">
        <v>7</v>
      </c>
      <c r="J181" s="48">
        <v>0.56000000000000005</v>
      </c>
      <c r="K181" s="48">
        <v>0</v>
      </c>
      <c r="L181" s="54">
        <v>46205</v>
      </c>
      <c r="M181" s="54">
        <v>46211</v>
      </c>
      <c r="N181" s="54">
        <v>46213</v>
      </c>
      <c r="O181" s="54">
        <v>46219</v>
      </c>
    </row>
    <row r="182" spans="2:15" x14ac:dyDescent="0.25">
      <c r="B182">
        <v>189</v>
      </c>
      <c r="C182" t="s">
        <v>101</v>
      </c>
      <c r="D182" t="s">
        <v>695</v>
      </c>
      <c r="E182">
        <v>188</v>
      </c>
      <c r="F182" t="s">
        <v>1517</v>
      </c>
      <c r="G182">
        <v>190</v>
      </c>
      <c r="H182" t="s">
        <v>1519</v>
      </c>
      <c r="I182">
        <v>6</v>
      </c>
      <c r="J182" s="48">
        <v>0</v>
      </c>
      <c r="K182" s="48">
        <v>0</v>
      </c>
      <c r="L182" s="54">
        <v>46211</v>
      </c>
      <c r="M182" s="54">
        <v>46216</v>
      </c>
      <c r="N182" s="54">
        <v>46219</v>
      </c>
      <c r="O182" s="54">
        <v>46224</v>
      </c>
    </row>
    <row r="183" spans="2:15" x14ac:dyDescent="0.25">
      <c r="B183">
        <v>190</v>
      </c>
      <c r="C183" t="s">
        <v>101</v>
      </c>
      <c r="D183" t="s">
        <v>695</v>
      </c>
      <c r="E183">
        <v>189</v>
      </c>
      <c r="F183" t="s">
        <v>1518</v>
      </c>
      <c r="G183">
        <v>191</v>
      </c>
      <c r="H183" t="s">
        <v>1519</v>
      </c>
      <c r="I183">
        <v>4</v>
      </c>
      <c r="J183" s="48">
        <v>0</v>
      </c>
      <c r="K183" s="48">
        <v>0</v>
      </c>
      <c r="L183" s="54">
        <v>46216</v>
      </c>
      <c r="M183" s="54">
        <v>46219</v>
      </c>
      <c r="N183" s="54">
        <v>46224</v>
      </c>
      <c r="O183" s="54">
        <v>46227</v>
      </c>
    </row>
    <row r="184" spans="2:15" x14ac:dyDescent="0.25">
      <c r="B184">
        <v>191</v>
      </c>
      <c r="C184" t="s">
        <v>101</v>
      </c>
      <c r="D184" t="s">
        <v>695</v>
      </c>
      <c r="E184">
        <v>190</v>
      </c>
      <c r="F184" t="s">
        <v>1520</v>
      </c>
      <c r="G184">
        <v>76</v>
      </c>
      <c r="H184" t="s">
        <v>1519</v>
      </c>
      <c r="I184">
        <v>6</v>
      </c>
      <c r="J184" s="48">
        <v>0</v>
      </c>
      <c r="K184" s="48">
        <v>0</v>
      </c>
      <c r="L184" s="54">
        <v>46219</v>
      </c>
      <c r="M184" s="54">
        <v>46224</v>
      </c>
      <c r="N184" s="54">
        <v>46227</v>
      </c>
      <c r="O184" s="54">
        <v>46232</v>
      </c>
    </row>
    <row r="185" spans="2:15" x14ac:dyDescent="0.25">
      <c r="B185">
        <v>192</v>
      </c>
      <c r="C185" t="s">
        <v>102</v>
      </c>
      <c r="D185" t="s">
        <v>700</v>
      </c>
      <c r="F185" t="s">
        <v>1599</v>
      </c>
      <c r="H185" t="s">
        <v>1535</v>
      </c>
      <c r="I185">
        <v>20</v>
      </c>
      <c r="J185" s="48">
        <v>0</v>
      </c>
      <c r="K185" s="48">
        <v>0</v>
      </c>
      <c r="L185" s="54">
        <v>46211</v>
      </c>
      <c r="M185" s="54">
        <v>46230</v>
      </c>
      <c r="N185" s="54">
        <v>46219</v>
      </c>
      <c r="O185" s="54">
        <v>46238</v>
      </c>
    </row>
    <row r="186" spans="2:15" x14ac:dyDescent="0.25">
      <c r="B186">
        <v>193</v>
      </c>
      <c r="C186" t="s">
        <v>102</v>
      </c>
      <c r="D186" t="s">
        <v>700</v>
      </c>
      <c r="E186">
        <v>188</v>
      </c>
      <c r="F186" t="s">
        <v>1515</v>
      </c>
      <c r="G186">
        <v>194</v>
      </c>
      <c r="H186" t="s">
        <v>1525</v>
      </c>
      <c r="I186">
        <v>7</v>
      </c>
      <c r="J186" s="48">
        <v>0</v>
      </c>
      <c r="K186" s="48">
        <v>0</v>
      </c>
      <c r="L186" s="54">
        <v>46211</v>
      </c>
      <c r="M186" s="54">
        <v>46217</v>
      </c>
      <c r="N186" s="54">
        <v>46219</v>
      </c>
      <c r="O186" s="54">
        <v>46225</v>
      </c>
    </row>
    <row r="187" spans="2:15" x14ac:dyDescent="0.25">
      <c r="B187">
        <v>194</v>
      </c>
      <c r="C187" t="s">
        <v>102</v>
      </c>
      <c r="D187" t="s">
        <v>700</v>
      </c>
      <c r="E187">
        <v>193</v>
      </c>
      <c r="F187" t="s">
        <v>1517</v>
      </c>
      <c r="G187">
        <v>195</v>
      </c>
      <c r="H187" t="s">
        <v>1519</v>
      </c>
      <c r="I187">
        <v>6</v>
      </c>
      <c r="J187" s="48">
        <v>0</v>
      </c>
      <c r="K187" s="48">
        <v>0</v>
      </c>
      <c r="L187" s="54">
        <v>46217</v>
      </c>
      <c r="M187" s="54">
        <v>46220</v>
      </c>
      <c r="N187" s="54">
        <v>46225</v>
      </c>
      <c r="O187" s="54">
        <v>46230</v>
      </c>
    </row>
    <row r="188" spans="2:15" x14ac:dyDescent="0.25">
      <c r="B188">
        <v>195</v>
      </c>
      <c r="C188" t="s">
        <v>102</v>
      </c>
      <c r="D188" t="s">
        <v>700</v>
      </c>
      <c r="E188">
        <v>194</v>
      </c>
      <c r="F188" t="s">
        <v>1518</v>
      </c>
      <c r="G188">
        <v>196</v>
      </c>
      <c r="H188" t="s">
        <v>1519</v>
      </c>
      <c r="I188">
        <v>4</v>
      </c>
      <c r="J188" s="48">
        <v>0</v>
      </c>
      <c r="K188" s="48">
        <v>0</v>
      </c>
      <c r="L188" s="54">
        <v>46220</v>
      </c>
      <c r="M188" s="54">
        <v>46225</v>
      </c>
      <c r="N188" s="54">
        <v>46230</v>
      </c>
      <c r="O188" s="54">
        <v>46233</v>
      </c>
    </row>
    <row r="189" spans="2:15" x14ac:dyDescent="0.25">
      <c r="B189">
        <v>196</v>
      </c>
      <c r="C189" t="s">
        <v>102</v>
      </c>
      <c r="D189" t="s">
        <v>700</v>
      </c>
      <c r="E189">
        <v>195</v>
      </c>
      <c r="F189" t="s">
        <v>1520</v>
      </c>
      <c r="G189">
        <v>76</v>
      </c>
      <c r="H189" t="s">
        <v>1519</v>
      </c>
      <c r="I189">
        <v>6</v>
      </c>
      <c r="J189" s="48">
        <v>0</v>
      </c>
      <c r="K189" s="48">
        <v>0</v>
      </c>
      <c r="L189" s="54">
        <v>46225</v>
      </c>
      <c r="M189" s="54">
        <v>46230</v>
      </c>
      <c r="N189" s="54">
        <v>46233</v>
      </c>
      <c r="O189" s="54">
        <v>46238</v>
      </c>
    </row>
    <row r="190" spans="2:15" x14ac:dyDescent="0.25">
      <c r="B190">
        <v>197</v>
      </c>
      <c r="F190" t="s">
        <v>1557</v>
      </c>
      <c r="H190" t="s">
        <v>1598</v>
      </c>
      <c r="I190">
        <v>26</v>
      </c>
      <c r="J190" s="48">
        <v>0.72519999999999996</v>
      </c>
      <c r="K190" s="48">
        <v>0.17330000000000001</v>
      </c>
      <c r="L190" s="54">
        <v>46198</v>
      </c>
      <c r="M190" s="54">
        <v>46223</v>
      </c>
      <c r="N190" s="54">
        <v>46206</v>
      </c>
      <c r="O190" s="54">
        <v>46231</v>
      </c>
    </row>
    <row r="191" spans="2:15" x14ac:dyDescent="0.25">
      <c r="B191">
        <v>198</v>
      </c>
      <c r="C191" t="s">
        <v>184</v>
      </c>
      <c r="D191" t="s">
        <v>1050</v>
      </c>
      <c r="F191" t="s">
        <v>1601</v>
      </c>
      <c r="H191" t="s">
        <v>1527</v>
      </c>
      <c r="I191">
        <v>21</v>
      </c>
      <c r="J191" s="48">
        <v>0.9859</v>
      </c>
      <c r="K191" s="48">
        <v>0.17330000000000001</v>
      </c>
      <c r="L191" s="54">
        <v>46198</v>
      </c>
      <c r="M191" s="54">
        <v>46211</v>
      </c>
      <c r="N191" s="54">
        <v>46206</v>
      </c>
      <c r="O191" s="54">
        <v>46226</v>
      </c>
    </row>
    <row r="192" spans="2:15" x14ac:dyDescent="0.25">
      <c r="B192">
        <v>199</v>
      </c>
      <c r="C192" t="s">
        <v>184</v>
      </c>
      <c r="D192" t="s">
        <v>1050</v>
      </c>
      <c r="E192" t="s">
        <v>1912</v>
      </c>
      <c r="F192" t="s">
        <v>1515</v>
      </c>
      <c r="G192" t="s">
        <v>1913</v>
      </c>
      <c r="H192" t="s">
        <v>1528</v>
      </c>
      <c r="I192">
        <v>8</v>
      </c>
      <c r="J192" s="48">
        <v>1</v>
      </c>
      <c r="K192" s="48">
        <v>0.25</v>
      </c>
      <c r="L192" s="54">
        <v>46198</v>
      </c>
      <c r="M192" s="54">
        <v>46205</v>
      </c>
      <c r="N192" s="54">
        <v>46206</v>
      </c>
      <c r="O192" s="54">
        <v>46213</v>
      </c>
    </row>
    <row r="193" spans="2:15" x14ac:dyDescent="0.25">
      <c r="B193">
        <v>200</v>
      </c>
      <c r="C193" t="s">
        <v>184</v>
      </c>
      <c r="D193" t="s">
        <v>1050</v>
      </c>
      <c r="E193">
        <v>199</v>
      </c>
      <c r="F193" t="s">
        <v>1517</v>
      </c>
      <c r="G193">
        <v>201</v>
      </c>
      <c r="H193" t="s">
        <v>1519</v>
      </c>
      <c r="I193">
        <v>6</v>
      </c>
      <c r="J193" s="48">
        <v>1</v>
      </c>
      <c r="K193" s="48">
        <v>0</v>
      </c>
      <c r="L193" s="54">
        <v>46198</v>
      </c>
      <c r="M193" s="54">
        <v>46203</v>
      </c>
      <c r="N193" s="54">
        <v>46213</v>
      </c>
      <c r="O193" s="54">
        <v>46218</v>
      </c>
    </row>
    <row r="194" spans="2:15" x14ac:dyDescent="0.25">
      <c r="B194">
        <v>201</v>
      </c>
      <c r="C194" t="s">
        <v>184</v>
      </c>
      <c r="D194" t="s">
        <v>1050</v>
      </c>
      <c r="E194">
        <v>200</v>
      </c>
      <c r="F194" t="s">
        <v>1518</v>
      </c>
      <c r="G194">
        <v>202</v>
      </c>
      <c r="H194" t="s">
        <v>1519</v>
      </c>
      <c r="I194">
        <v>6</v>
      </c>
      <c r="J194" s="48">
        <v>1</v>
      </c>
      <c r="K194" s="48">
        <v>0</v>
      </c>
      <c r="L194" s="54">
        <v>46203</v>
      </c>
      <c r="M194" s="54">
        <v>46206</v>
      </c>
      <c r="N194" s="54">
        <v>46218</v>
      </c>
      <c r="O194" s="54">
        <v>46223</v>
      </c>
    </row>
    <row r="195" spans="2:15" x14ac:dyDescent="0.25">
      <c r="B195">
        <v>202</v>
      </c>
      <c r="C195" t="s">
        <v>184</v>
      </c>
      <c r="D195" t="s">
        <v>1050</v>
      </c>
      <c r="E195">
        <v>201</v>
      </c>
      <c r="F195" t="s">
        <v>1520</v>
      </c>
      <c r="G195">
        <v>76</v>
      </c>
      <c r="H195" t="s">
        <v>1519</v>
      </c>
      <c r="I195">
        <v>4</v>
      </c>
      <c r="J195" s="48">
        <v>0.47</v>
      </c>
      <c r="K195" s="48">
        <v>0</v>
      </c>
      <c r="L195" s="54">
        <v>46206</v>
      </c>
      <c r="M195" s="54">
        <v>46211</v>
      </c>
      <c r="N195" s="54">
        <v>46223</v>
      </c>
      <c r="O195" s="54">
        <v>46226</v>
      </c>
    </row>
    <row r="196" spans="2:15" x14ac:dyDescent="0.25">
      <c r="B196">
        <v>203</v>
      </c>
      <c r="C196" t="s">
        <v>185</v>
      </c>
      <c r="D196" t="s">
        <v>1054</v>
      </c>
      <c r="F196" t="s">
        <v>1602</v>
      </c>
      <c r="H196" t="s">
        <v>1559</v>
      </c>
      <c r="I196">
        <v>19</v>
      </c>
      <c r="J196" s="48">
        <v>0.46450000000000002</v>
      </c>
      <c r="K196" s="48">
        <v>0.17330000000000001</v>
      </c>
      <c r="L196" s="54">
        <v>46205</v>
      </c>
      <c r="M196" s="54">
        <v>46223</v>
      </c>
      <c r="N196" s="54">
        <v>46213</v>
      </c>
      <c r="O196" s="54">
        <v>46231</v>
      </c>
    </row>
    <row r="197" spans="2:15" x14ac:dyDescent="0.25">
      <c r="B197">
        <v>204</v>
      </c>
      <c r="C197" t="s">
        <v>185</v>
      </c>
      <c r="D197" t="s">
        <v>1054</v>
      </c>
      <c r="E197">
        <v>199</v>
      </c>
      <c r="F197" t="s">
        <v>1515</v>
      </c>
      <c r="G197">
        <v>205</v>
      </c>
      <c r="H197" t="s">
        <v>1519</v>
      </c>
      <c r="I197">
        <v>6</v>
      </c>
      <c r="J197" s="48">
        <v>0.67</v>
      </c>
      <c r="K197" s="48">
        <v>0.25</v>
      </c>
      <c r="L197" s="54">
        <v>46205</v>
      </c>
      <c r="M197" s="54">
        <v>46210</v>
      </c>
      <c r="N197" s="54">
        <v>46213</v>
      </c>
      <c r="O197" s="54">
        <v>46218</v>
      </c>
    </row>
    <row r="198" spans="2:15" x14ac:dyDescent="0.25">
      <c r="B198">
        <v>205</v>
      </c>
      <c r="C198" t="s">
        <v>185</v>
      </c>
      <c r="D198" t="s">
        <v>1054</v>
      </c>
      <c r="E198">
        <v>204</v>
      </c>
      <c r="F198" t="s">
        <v>1517</v>
      </c>
      <c r="G198">
        <v>206</v>
      </c>
      <c r="H198" t="s">
        <v>1519</v>
      </c>
      <c r="I198">
        <v>6</v>
      </c>
      <c r="J198" s="48">
        <v>0</v>
      </c>
      <c r="K198" s="48">
        <v>0</v>
      </c>
      <c r="L198" s="54">
        <v>46210</v>
      </c>
      <c r="M198" s="54">
        <v>46213</v>
      </c>
      <c r="N198" s="54">
        <v>46218</v>
      </c>
      <c r="O198" s="54">
        <v>46223</v>
      </c>
    </row>
    <row r="199" spans="2:15" x14ac:dyDescent="0.25">
      <c r="B199">
        <v>206</v>
      </c>
      <c r="C199" t="s">
        <v>185</v>
      </c>
      <c r="D199" t="s">
        <v>1054</v>
      </c>
      <c r="E199">
        <v>205</v>
      </c>
      <c r="F199" t="s">
        <v>1518</v>
      </c>
      <c r="G199">
        <v>207</v>
      </c>
      <c r="H199" t="s">
        <v>1519</v>
      </c>
      <c r="I199">
        <v>4</v>
      </c>
      <c r="J199" s="48">
        <v>0</v>
      </c>
      <c r="K199" s="48">
        <v>0</v>
      </c>
      <c r="L199" s="54">
        <v>46213</v>
      </c>
      <c r="M199" s="54">
        <v>46218</v>
      </c>
      <c r="N199" s="54">
        <v>46223</v>
      </c>
      <c r="O199" s="54">
        <v>46226</v>
      </c>
    </row>
    <row r="200" spans="2:15" x14ac:dyDescent="0.25">
      <c r="B200">
        <v>207</v>
      </c>
      <c r="C200" t="s">
        <v>185</v>
      </c>
      <c r="D200" t="s">
        <v>1054</v>
      </c>
      <c r="E200">
        <v>206</v>
      </c>
      <c r="F200" t="s">
        <v>1520</v>
      </c>
      <c r="G200">
        <v>76</v>
      </c>
      <c r="H200" t="s">
        <v>1519</v>
      </c>
      <c r="I200">
        <v>6</v>
      </c>
      <c r="J200" s="48">
        <v>0</v>
      </c>
      <c r="K200" s="48">
        <v>0</v>
      </c>
      <c r="L200" s="54">
        <v>46218</v>
      </c>
      <c r="M200" s="54">
        <v>46223</v>
      </c>
      <c r="N200" s="54">
        <v>46226</v>
      </c>
      <c r="O200" s="54">
        <v>46231</v>
      </c>
    </row>
    <row r="201" spans="2:15" x14ac:dyDescent="0.25">
      <c r="B201">
        <v>208</v>
      </c>
      <c r="F201" t="s">
        <v>1589</v>
      </c>
      <c r="H201" t="s">
        <v>1588</v>
      </c>
      <c r="I201">
        <v>22</v>
      </c>
      <c r="J201" s="48">
        <v>0</v>
      </c>
      <c r="K201" s="48">
        <v>0</v>
      </c>
      <c r="L201" s="54">
        <v>46232</v>
      </c>
      <c r="M201" s="54">
        <v>46253</v>
      </c>
      <c r="N201" s="54">
        <v>46232</v>
      </c>
      <c r="O201" s="54">
        <v>46253</v>
      </c>
    </row>
    <row r="202" spans="2:15" x14ac:dyDescent="0.25">
      <c r="B202">
        <v>209</v>
      </c>
      <c r="C202" t="s">
        <v>124</v>
      </c>
      <c r="D202" t="s">
        <v>806</v>
      </c>
      <c r="F202" t="s">
        <v>1604</v>
      </c>
      <c r="H202" t="s">
        <v>1588</v>
      </c>
      <c r="I202">
        <v>22</v>
      </c>
      <c r="J202" s="48">
        <v>0</v>
      </c>
      <c r="K202" s="48">
        <v>0</v>
      </c>
      <c r="L202" s="54">
        <v>46232</v>
      </c>
      <c r="M202" s="54">
        <v>46253</v>
      </c>
      <c r="N202" s="54">
        <v>46232</v>
      </c>
      <c r="O202" s="54">
        <v>46253</v>
      </c>
    </row>
    <row r="203" spans="2:15" x14ac:dyDescent="0.25">
      <c r="B203">
        <v>210</v>
      </c>
      <c r="C203" t="s">
        <v>124</v>
      </c>
      <c r="D203" t="s">
        <v>806</v>
      </c>
      <c r="E203">
        <v>220</v>
      </c>
      <c r="F203" t="s">
        <v>1515</v>
      </c>
      <c r="G203">
        <v>211</v>
      </c>
      <c r="H203" t="s">
        <v>1605</v>
      </c>
      <c r="I203">
        <v>9</v>
      </c>
      <c r="J203" s="48">
        <v>0</v>
      </c>
      <c r="K203" s="48">
        <v>0</v>
      </c>
      <c r="L203" s="54">
        <v>46232</v>
      </c>
      <c r="M203" s="54">
        <v>46240</v>
      </c>
      <c r="N203" s="54">
        <v>46232</v>
      </c>
      <c r="O203" s="54">
        <v>46240</v>
      </c>
    </row>
    <row r="204" spans="2:15" x14ac:dyDescent="0.25">
      <c r="B204">
        <v>211</v>
      </c>
      <c r="C204" t="s">
        <v>124</v>
      </c>
      <c r="D204" t="s">
        <v>806</v>
      </c>
      <c r="E204">
        <v>210</v>
      </c>
      <c r="F204" t="s">
        <v>1517</v>
      </c>
      <c r="G204">
        <v>212</v>
      </c>
      <c r="H204" t="s">
        <v>1519</v>
      </c>
      <c r="I204">
        <v>6</v>
      </c>
      <c r="J204" s="48">
        <v>0</v>
      </c>
      <c r="K204" s="48">
        <v>0</v>
      </c>
      <c r="L204" s="54">
        <v>46240</v>
      </c>
      <c r="M204" s="54">
        <v>46245</v>
      </c>
      <c r="N204" s="54">
        <v>46240</v>
      </c>
      <c r="O204" s="54">
        <v>46245</v>
      </c>
    </row>
    <row r="205" spans="2:15" x14ac:dyDescent="0.25">
      <c r="B205">
        <v>212</v>
      </c>
      <c r="C205" t="s">
        <v>124</v>
      </c>
      <c r="D205" t="s">
        <v>806</v>
      </c>
      <c r="E205">
        <v>211</v>
      </c>
      <c r="F205" t="s">
        <v>1518</v>
      </c>
      <c r="G205">
        <v>213</v>
      </c>
      <c r="H205" t="s">
        <v>1519</v>
      </c>
      <c r="I205">
        <v>4</v>
      </c>
      <c r="J205" s="48">
        <v>0</v>
      </c>
      <c r="K205" s="48">
        <v>0</v>
      </c>
      <c r="L205" s="54">
        <v>46245</v>
      </c>
      <c r="M205" s="54">
        <v>46248</v>
      </c>
      <c r="N205" s="54">
        <v>46245</v>
      </c>
      <c r="O205" s="54">
        <v>46248</v>
      </c>
    </row>
    <row r="206" spans="2:15" x14ac:dyDescent="0.25">
      <c r="B206">
        <v>213</v>
      </c>
      <c r="C206" t="s">
        <v>124</v>
      </c>
      <c r="D206" t="s">
        <v>806</v>
      </c>
      <c r="E206">
        <v>212</v>
      </c>
      <c r="F206" t="s">
        <v>1520</v>
      </c>
      <c r="G206">
        <v>76</v>
      </c>
      <c r="H206" t="s">
        <v>1519</v>
      </c>
      <c r="I206">
        <v>6</v>
      </c>
      <c r="J206" s="48">
        <v>0</v>
      </c>
      <c r="K206" s="48">
        <v>0</v>
      </c>
      <c r="L206" s="54">
        <v>46248</v>
      </c>
      <c r="M206" s="54">
        <v>46253</v>
      </c>
      <c r="N206" s="54">
        <v>46248</v>
      </c>
      <c r="O206" s="54">
        <v>46253</v>
      </c>
    </row>
    <row r="207" spans="2:15" x14ac:dyDescent="0.25">
      <c r="B207">
        <v>214</v>
      </c>
      <c r="F207" t="s">
        <v>1464</v>
      </c>
      <c r="H207" t="s">
        <v>1591</v>
      </c>
      <c r="I207">
        <v>35</v>
      </c>
      <c r="J207" s="48">
        <v>0</v>
      </c>
      <c r="K207" s="48">
        <v>0</v>
      </c>
      <c r="L207" s="54">
        <v>46220</v>
      </c>
      <c r="M207" s="54">
        <v>46254</v>
      </c>
      <c r="N207" s="54">
        <v>46220</v>
      </c>
      <c r="O207" s="54">
        <v>46254</v>
      </c>
    </row>
    <row r="208" spans="2:15" x14ac:dyDescent="0.25">
      <c r="B208">
        <v>215</v>
      </c>
      <c r="F208" t="s">
        <v>1606</v>
      </c>
      <c r="H208" t="s">
        <v>1591</v>
      </c>
      <c r="I208">
        <v>35</v>
      </c>
      <c r="J208" s="48">
        <v>0</v>
      </c>
      <c r="K208" s="48">
        <v>0</v>
      </c>
      <c r="L208" s="54">
        <v>46220</v>
      </c>
      <c r="M208" s="54">
        <v>46254</v>
      </c>
      <c r="N208" s="54">
        <v>46220</v>
      </c>
      <c r="O208" s="54">
        <v>46254</v>
      </c>
    </row>
    <row r="209" spans="2:15" x14ac:dyDescent="0.25">
      <c r="B209">
        <v>216</v>
      </c>
      <c r="F209" t="s">
        <v>1607</v>
      </c>
      <c r="H209" t="s">
        <v>1591</v>
      </c>
      <c r="I209">
        <v>35</v>
      </c>
      <c r="J209" s="48">
        <v>0</v>
      </c>
      <c r="K209" s="48">
        <v>0</v>
      </c>
      <c r="L209" s="54">
        <v>46220</v>
      </c>
      <c r="M209" s="54">
        <v>46254</v>
      </c>
      <c r="N209" s="54">
        <v>46220</v>
      </c>
      <c r="O209" s="54">
        <v>46254</v>
      </c>
    </row>
    <row r="210" spans="2:15" x14ac:dyDescent="0.25">
      <c r="B210">
        <v>217</v>
      </c>
      <c r="F210" t="s">
        <v>1608</v>
      </c>
      <c r="H210" t="s">
        <v>1591</v>
      </c>
      <c r="I210">
        <v>35</v>
      </c>
      <c r="J210" s="48">
        <v>0</v>
      </c>
      <c r="K210" s="48">
        <v>0</v>
      </c>
      <c r="L210" s="54">
        <v>46220</v>
      </c>
      <c r="M210" s="54">
        <v>46254</v>
      </c>
      <c r="N210" s="54">
        <v>46220</v>
      </c>
      <c r="O210" s="54">
        <v>46254</v>
      </c>
    </row>
    <row r="211" spans="2:15" x14ac:dyDescent="0.25">
      <c r="B211">
        <v>218</v>
      </c>
      <c r="F211" t="s">
        <v>1555</v>
      </c>
      <c r="H211" t="s">
        <v>1559</v>
      </c>
      <c r="I211">
        <v>19</v>
      </c>
      <c r="J211" s="48">
        <v>0</v>
      </c>
      <c r="K211" s="48">
        <v>0</v>
      </c>
      <c r="L211" s="54">
        <v>46220</v>
      </c>
      <c r="M211" s="54">
        <v>46238</v>
      </c>
      <c r="N211" s="54">
        <v>46220</v>
      </c>
      <c r="O211" s="54">
        <v>46238</v>
      </c>
    </row>
    <row r="212" spans="2:15" x14ac:dyDescent="0.25">
      <c r="B212">
        <v>219</v>
      </c>
      <c r="E212" t="s">
        <v>1914</v>
      </c>
      <c r="F212" t="s">
        <v>1572</v>
      </c>
      <c r="G212">
        <v>235</v>
      </c>
      <c r="H212" t="s">
        <v>1605</v>
      </c>
      <c r="I212">
        <v>9</v>
      </c>
      <c r="J212" s="48">
        <v>0</v>
      </c>
      <c r="K212" s="48">
        <v>0</v>
      </c>
      <c r="L212" s="54">
        <v>46230</v>
      </c>
      <c r="M212" s="54">
        <v>46238</v>
      </c>
      <c r="N212" s="54">
        <v>46230</v>
      </c>
      <c r="O212" s="54">
        <v>46238</v>
      </c>
    </row>
    <row r="213" spans="2:15" x14ac:dyDescent="0.25">
      <c r="B213">
        <v>220</v>
      </c>
      <c r="E213">
        <v>15</v>
      </c>
      <c r="F213" t="s">
        <v>1589</v>
      </c>
      <c r="G213" t="s">
        <v>1915</v>
      </c>
      <c r="H213" t="s">
        <v>1516</v>
      </c>
      <c r="I213">
        <v>13</v>
      </c>
      <c r="J213" s="48">
        <v>0</v>
      </c>
      <c r="K213" s="48">
        <v>0</v>
      </c>
      <c r="L213" s="54">
        <v>46220</v>
      </c>
      <c r="M213" s="54">
        <v>46232</v>
      </c>
      <c r="N213" s="54">
        <v>46220</v>
      </c>
      <c r="O213" s="54">
        <v>46232</v>
      </c>
    </row>
    <row r="214" spans="2:15" x14ac:dyDescent="0.25">
      <c r="B214">
        <v>221</v>
      </c>
      <c r="E214" t="s">
        <v>1916</v>
      </c>
      <c r="F214" t="s">
        <v>1558</v>
      </c>
      <c r="G214" t="s">
        <v>1917</v>
      </c>
      <c r="H214" t="s">
        <v>1528</v>
      </c>
      <c r="I214">
        <v>8</v>
      </c>
      <c r="J214" s="48">
        <v>0</v>
      </c>
      <c r="K214" s="48">
        <v>0</v>
      </c>
      <c r="L214" s="54">
        <v>46225</v>
      </c>
      <c r="M214" s="54">
        <v>46232</v>
      </c>
      <c r="N214" s="54">
        <v>46225</v>
      </c>
      <c r="O214" s="54">
        <v>46232</v>
      </c>
    </row>
    <row r="215" spans="2:15" x14ac:dyDescent="0.25">
      <c r="B215">
        <v>222</v>
      </c>
      <c r="F215" t="s">
        <v>1560</v>
      </c>
      <c r="H215" t="s">
        <v>1591</v>
      </c>
      <c r="I215">
        <v>35</v>
      </c>
      <c r="J215" s="48">
        <v>0</v>
      </c>
      <c r="K215" s="48">
        <v>0</v>
      </c>
      <c r="L215" s="54">
        <v>46220</v>
      </c>
      <c r="M215" s="54">
        <v>46254</v>
      </c>
      <c r="N215" s="54">
        <v>46220</v>
      </c>
      <c r="O215" s="54">
        <v>46254</v>
      </c>
    </row>
    <row r="216" spans="2:15" x14ac:dyDescent="0.25">
      <c r="B216">
        <v>223</v>
      </c>
      <c r="F216" t="s">
        <v>1572</v>
      </c>
      <c r="H216" t="s">
        <v>1596</v>
      </c>
      <c r="I216">
        <v>30</v>
      </c>
      <c r="J216" s="48">
        <v>0</v>
      </c>
      <c r="K216" s="48">
        <v>0</v>
      </c>
      <c r="L216" s="54">
        <v>46225</v>
      </c>
      <c r="M216" s="54">
        <v>46254</v>
      </c>
      <c r="N216" s="54">
        <v>46225</v>
      </c>
      <c r="O216" s="54">
        <v>46254</v>
      </c>
    </row>
    <row r="217" spans="2:15" x14ac:dyDescent="0.25">
      <c r="B217">
        <v>224</v>
      </c>
      <c r="C217" t="s">
        <v>99</v>
      </c>
      <c r="D217" t="s">
        <v>688</v>
      </c>
      <c r="F217" t="s">
        <v>1609</v>
      </c>
      <c r="H217" t="s">
        <v>1559</v>
      </c>
      <c r="I217">
        <v>17</v>
      </c>
      <c r="J217" s="48">
        <v>0</v>
      </c>
      <c r="K217" s="48">
        <v>0</v>
      </c>
      <c r="L217" s="54">
        <v>46225</v>
      </c>
      <c r="M217" s="54">
        <v>46241</v>
      </c>
      <c r="N217" s="54">
        <v>46225</v>
      </c>
      <c r="O217" s="54">
        <v>46241</v>
      </c>
    </row>
    <row r="218" spans="2:15" x14ac:dyDescent="0.25">
      <c r="B218">
        <v>225</v>
      </c>
      <c r="C218" t="s">
        <v>99</v>
      </c>
      <c r="D218" t="s">
        <v>688</v>
      </c>
      <c r="E218">
        <v>246</v>
      </c>
      <c r="F218" t="s">
        <v>1515</v>
      </c>
      <c r="G218" t="s">
        <v>1918</v>
      </c>
      <c r="H218" t="s">
        <v>1519</v>
      </c>
      <c r="I218">
        <v>6</v>
      </c>
      <c r="J218" s="48">
        <v>0</v>
      </c>
      <c r="K218" s="48">
        <v>0</v>
      </c>
      <c r="L218" s="54">
        <v>46225</v>
      </c>
      <c r="M218" s="54">
        <v>46230</v>
      </c>
      <c r="N218" s="54">
        <v>46225</v>
      </c>
      <c r="O218" s="54">
        <v>46230</v>
      </c>
    </row>
    <row r="219" spans="2:15" x14ac:dyDescent="0.25">
      <c r="B219">
        <v>226</v>
      </c>
      <c r="C219" t="s">
        <v>99</v>
      </c>
      <c r="D219" t="s">
        <v>688</v>
      </c>
      <c r="E219">
        <v>225</v>
      </c>
      <c r="F219" t="s">
        <v>1517</v>
      </c>
      <c r="G219">
        <v>227</v>
      </c>
      <c r="H219" t="s">
        <v>1519</v>
      </c>
      <c r="I219">
        <v>4</v>
      </c>
      <c r="J219" s="48">
        <v>0</v>
      </c>
      <c r="K219" s="48">
        <v>0</v>
      </c>
      <c r="L219" s="54">
        <v>46230</v>
      </c>
      <c r="M219" s="54">
        <v>46233</v>
      </c>
      <c r="N219" s="54">
        <v>46230</v>
      </c>
      <c r="O219" s="54">
        <v>46233</v>
      </c>
    </row>
    <row r="220" spans="2:15" x14ac:dyDescent="0.25">
      <c r="B220">
        <v>227</v>
      </c>
      <c r="C220" t="s">
        <v>99</v>
      </c>
      <c r="D220" t="s">
        <v>688</v>
      </c>
      <c r="E220">
        <v>226</v>
      </c>
      <c r="F220" t="s">
        <v>1518</v>
      </c>
      <c r="G220">
        <v>228</v>
      </c>
      <c r="H220" t="s">
        <v>1519</v>
      </c>
      <c r="I220">
        <v>6</v>
      </c>
      <c r="J220" s="48">
        <v>0</v>
      </c>
      <c r="K220" s="48">
        <v>0</v>
      </c>
      <c r="L220" s="54">
        <v>46233</v>
      </c>
      <c r="M220" s="54">
        <v>46238</v>
      </c>
      <c r="N220" s="54">
        <v>46233</v>
      </c>
      <c r="O220" s="54">
        <v>46238</v>
      </c>
    </row>
    <row r="221" spans="2:15" x14ac:dyDescent="0.25">
      <c r="B221">
        <v>228</v>
      </c>
      <c r="C221" t="s">
        <v>99</v>
      </c>
      <c r="D221" t="s">
        <v>688</v>
      </c>
      <c r="E221">
        <v>227</v>
      </c>
      <c r="F221" t="s">
        <v>1520</v>
      </c>
      <c r="G221">
        <v>76</v>
      </c>
      <c r="H221" t="s">
        <v>1519</v>
      </c>
      <c r="I221">
        <v>4</v>
      </c>
      <c r="J221" s="48">
        <v>0</v>
      </c>
      <c r="K221" s="48">
        <v>0</v>
      </c>
      <c r="L221" s="54">
        <v>46238</v>
      </c>
      <c r="M221" s="54">
        <v>46241</v>
      </c>
      <c r="N221" s="54">
        <v>46238</v>
      </c>
      <c r="O221" s="54">
        <v>46241</v>
      </c>
    </row>
    <row r="222" spans="2:15" x14ac:dyDescent="0.25">
      <c r="B222">
        <v>229</v>
      </c>
      <c r="C222" t="s">
        <v>107</v>
      </c>
      <c r="D222" t="s">
        <v>723</v>
      </c>
      <c r="F222" t="s">
        <v>1610</v>
      </c>
      <c r="H222" t="s">
        <v>1559</v>
      </c>
      <c r="I222">
        <v>17</v>
      </c>
      <c r="J222" s="48">
        <v>0</v>
      </c>
      <c r="K222" s="48">
        <v>0</v>
      </c>
      <c r="L222" s="54">
        <v>46230</v>
      </c>
      <c r="M222" s="54">
        <v>46246</v>
      </c>
      <c r="N222" s="54">
        <v>46230</v>
      </c>
      <c r="O222" s="54">
        <v>46246</v>
      </c>
    </row>
    <row r="223" spans="2:15" x14ac:dyDescent="0.25">
      <c r="B223">
        <v>230</v>
      </c>
      <c r="C223" t="s">
        <v>107</v>
      </c>
      <c r="D223" t="s">
        <v>723</v>
      </c>
      <c r="E223">
        <v>225</v>
      </c>
      <c r="F223" t="s">
        <v>1515</v>
      </c>
      <c r="G223" t="s">
        <v>1919</v>
      </c>
      <c r="H223" t="s">
        <v>1519</v>
      </c>
      <c r="I223">
        <v>4</v>
      </c>
      <c r="J223" s="48">
        <v>0</v>
      </c>
      <c r="K223" s="48">
        <v>0</v>
      </c>
      <c r="L223" s="54">
        <v>46230</v>
      </c>
      <c r="M223" s="54">
        <v>46233</v>
      </c>
      <c r="N223" s="54">
        <v>46230</v>
      </c>
      <c r="O223" s="54">
        <v>46233</v>
      </c>
    </row>
    <row r="224" spans="2:15" x14ac:dyDescent="0.25">
      <c r="B224">
        <v>231</v>
      </c>
      <c r="C224" t="s">
        <v>107</v>
      </c>
      <c r="D224" t="s">
        <v>723</v>
      </c>
      <c r="E224">
        <v>230</v>
      </c>
      <c r="F224" t="s">
        <v>1517</v>
      </c>
      <c r="G224">
        <v>232</v>
      </c>
      <c r="H224" t="s">
        <v>1519</v>
      </c>
      <c r="I224">
        <v>6</v>
      </c>
      <c r="J224" s="48">
        <v>0</v>
      </c>
      <c r="K224" s="48">
        <v>0</v>
      </c>
      <c r="L224" s="54">
        <v>46233</v>
      </c>
      <c r="M224" s="54">
        <v>46238</v>
      </c>
      <c r="N224" s="54">
        <v>46233</v>
      </c>
      <c r="O224" s="54">
        <v>46238</v>
      </c>
    </row>
    <row r="225" spans="2:15" x14ac:dyDescent="0.25">
      <c r="B225">
        <v>232</v>
      </c>
      <c r="C225" t="s">
        <v>107</v>
      </c>
      <c r="D225" t="s">
        <v>723</v>
      </c>
      <c r="E225">
        <v>231</v>
      </c>
      <c r="F225" t="s">
        <v>1518</v>
      </c>
      <c r="G225">
        <v>233</v>
      </c>
      <c r="H225" t="s">
        <v>1519</v>
      </c>
      <c r="I225">
        <v>4</v>
      </c>
      <c r="J225" s="48">
        <v>0</v>
      </c>
      <c r="K225" s="48">
        <v>0</v>
      </c>
      <c r="L225" s="54">
        <v>46238</v>
      </c>
      <c r="M225" s="54">
        <v>46241</v>
      </c>
      <c r="N225" s="54">
        <v>46238</v>
      </c>
      <c r="O225" s="54">
        <v>46241</v>
      </c>
    </row>
    <row r="226" spans="2:15" x14ac:dyDescent="0.25">
      <c r="B226">
        <v>233</v>
      </c>
      <c r="C226" t="s">
        <v>107</v>
      </c>
      <c r="D226" t="s">
        <v>723</v>
      </c>
      <c r="E226">
        <v>232</v>
      </c>
      <c r="F226" t="s">
        <v>1520</v>
      </c>
      <c r="G226">
        <v>76</v>
      </c>
      <c r="H226" t="s">
        <v>1519</v>
      </c>
      <c r="I226">
        <v>6</v>
      </c>
      <c r="J226" s="48">
        <v>0</v>
      </c>
      <c r="K226" s="48">
        <v>0</v>
      </c>
      <c r="L226" s="54">
        <v>46241</v>
      </c>
      <c r="M226" s="54">
        <v>46246</v>
      </c>
      <c r="N226" s="54">
        <v>46241</v>
      </c>
      <c r="O226" s="54">
        <v>46246</v>
      </c>
    </row>
    <row r="227" spans="2:15" x14ac:dyDescent="0.25">
      <c r="B227">
        <v>234</v>
      </c>
      <c r="C227" t="s">
        <v>90</v>
      </c>
      <c r="D227" t="s">
        <v>661</v>
      </c>
      <c r="F227" t="s">
        <v>1611</v>
      </c>
      <c r="H227" t="s">
        <v>1559</v>
      </c>
      <c r="I227">
        <v>17</v>
      </c>
      <c r="J227" s="48">
        <v>0</v>
      </c>
      <c r="K227" s="48">
        <v>0</v>
      </c>
      <c r="L227" s="54">
        <v>46238</v>
      </c>
      <c r="M227" s="54">
        <v>46254</v>
      </c>
      <c r="N227" s="54">
        <v>46238</v>
      </c>
      <c r="O227" s="54">
        <v>46254</v>
      </c>
    </row>
    <row r="228" spans="2:15" x14ac:dyDescent="0.25">
      <c r="B228">
        <v>235</v>
      </c>
      <c r="C228" t="s">
        <v>90</v>
      </c>
      <c r="D228" t="s">
        <v>661</v>
      </c>
      <c r="E228">
        <v>219</v>
      </c>
      <c r="F228" t="s">
        <v>1515</v>
      </c>
      <c r="G228">
        <v>236</v>
      </c>
      <c r="H228" t="s">
        <v>1519</v>
      </c>
      <c r="I228">
        <v>4</v>
      </c>
      <c r="J228" s="48">
        <v>0</v>
      </c>
      <c r="K228" s="48">
        <v>0</v>
      </c>
      <c r="L228" s="54">
        <v>46238</v>
      </c>
      <c r="M228" s="54">
        <v>46241</v>
      </c>
      <c r="N228" s="54">
        <v>46238</v>
      </c>
      <c r="O228" s="54">
        <v>46241</v>
      </c>
    </row>
    <row r="229" spans="2:15" x14ac:dyDescent="0.25">
      <c r="B229">
        <v>236</v>
      </c>
      <c r="C229" t="s">
        <v>90</v>
      </c>
      <c r="D229" t="s">
        <v>661</v>
      </c>
      <c r="E229">
        <v>235</v>
      </c>
      <c r="F229" t="s">
        <v>1517</v>
      </c>
      <c r="G229">
        <v>237</v>
      </c>
      <c r="H229" t="s">
        <v>1519</v>
      </c>
      <c r="I229">
        <v>6</v>
      </c>
      <c r="J229" s="48">
        <v>0</v>
      </c>
      <c r="K229" s="48">
        <v>0</v>
      </c>
      <c r="L229" s="54">
        <v>46241</v>
      </c>
      <c r="M229" s="54">
        <v>46246</v>
      </c>
      <c r="N229" s="54">
        <v>46241</v>
      </c>
      <c r="O229" s="54">
        <v>46246</v>
      </c>
    </row>
    <row r="230" spans="2:15" x14ac:dyDescent="0.25">
      <c r="B230">
        <v>237</v>
      </c>
      <c r="C230" t="s">
        <v>90</v>
      </c>
      <c r="D230" t="s">
        <v>661</v>
      </c>
      <c r="E230">
        <v>236</v>
      </c>
      <c r="F230" t="s">
        <v>1518</v>
      </c>
      <c r="G230">
        <v>238</v>
      </c>
      <c r="H230" t="s">
        <v>1519</v>
      </c>
      <c r="I230">
        <v>6</v>
      </c>
      <c r="J230" s="48">
        <v>0</v>
      </c>
      <c r="K230" s="48">
        <v>0</v>
      </c>
      <c r="L230" s="54">
        <v>46246</v>
      </c>
      <c r="M230" s="54">
        <v>46251</v>
      </c>
      <c r="N230" s="54">
        <v>46246</v>
      </c>
      <c r="O230" s="54">
        <v>46251</v>
      </c>
    </row>
    <row r="231" spans="2:15" x14ac:dyDescent="0.25">
      <c r="B231">
        <v>238</v>
      </c>
      <c r="C231" t="s">
        <v>90</v>
      </c>
      <c r="D231" t="s">
        <v>661</v>
      </c>
      <c r="E231">
        <v>237</v>
      </c>
      <c r="F231" t="s">
        <v>1520</v>
      </c>
      <c r="G231">
        <v>76</v>
      </c>
      <c r="H231" t="s">
        <v>1519</v>
      </c>
      <c r="I231">
        <v>4</v>
      </c>
      <c r="J231" s="48">
        <v>0</v>
      </c>
      <c r="K231" s="48">
        <v>0</v>
      </c>
      <c r="L231" s="54">
        <v>46251</v>
      </c>
      <c r="M231" s="54">
        <v>46254</v>
      </c>
      <c r="N231" s="54">
        <v>46251</v>
      </c>
      <c r="O231" s="54">
        <v>46254</v>
      </c>
    </row>
    <row r="232" spans="2:15" x14ac:dyDescent="0.25">
      <c r="B232">
        <v>239</v>
      </c>
      <c r="F232" t="s">
        <v>1558</v>
      </c>
      <c r="H232" t="s">
        <v>1559</v>
      </c>
      <c r="I232">
        <v>19</v>
      </c>
      <c r="J232" s="48">
        <v>0</v>
      </c>
      <c r="K232" s="48">
        <v>0</v>
      </c>
      <c r="L232" s="54">
        <v>46220</v>
      </c>
      <c r="M232" s="54">
        <v>46238</v>
      </c>
      <c r="N232" s="54">
        <v>46220</v>
      </c>
      <c r="O232" s="54">
        <v>46238</v>
      </c>
    </row>
    <row r="233" spans="2:15" x14ac:dyDescent="0.25">
      <c r="B233">
        <v>240</v>
      </c>
      <c r="F233" t="s">
        <v>1612</v>
      </c>
      <c r="H233" t="s">
        <v>1559</v>
      </c>
      <c r="I233">
        <v>19</v>
      </c>
      <c r="J233" s="48">
        <v>0</v>
      </c>
      <c r="K233" s="48">
        <v>0</v>
      </c>
      <c r="L233" s="54">
        <v>46220</v>
      </c>
      <c r="M233" s="54">
        <v>46238</v>
      </c>
      <c r="N233" s="54">
        <v>46220</v>
      </c>
      <c r="O233" s="54">
        <v>46238</v>
      </c>
    </row>
    <row r="234" spans="2:15" x14ac:dyDescent="0.25">
      <c r="B234">
        <v>241</v>
      </c>
      <c r="E234">
        <v>15</v>
      </c>
      <c r="F234" t="s">
        <v>1515</v>
      </c>
      <c r="G234" t="s">
        <v>1920</v>
      </c>
      <c r="H234" t="s">
        <v>1519</v>
      </c>
      <c r="I234">
        <v>6</v>
      </c>
      <c r="J234" s="48">
        <v>0</v>
      </c>
      <c r="K234" s="48">
        <v>0</v>
      </c>
      <c r="L234" s="54">
        <v>46220</v>
      </c>
      <c r="M234" s="54">
        <v>46225</v>
      </c>
      <c r="N234" s="54">
        <v>46220</v>
      </c>
      <c r="O234" s="54">
        <v>46225</v>
      </c>
    </row>
    <row r="235" spans="2:15" x14ac:dyDescent="0.25">
      <c r="B235">
        <v>242</v>
      </c>
      <c r="E235">
        <v>241</v>
      </c>
      <c r="F235" t="s">
        <v>1517</v>
      </c>
      <c r="G235">
        <v>243</v>
      </c>
      <c r="H235" t="s">
        <v>1519</v>
      </c>
      <c r="I235">
        <v>6</v>
      </c>
      <c r="J235" s="48">
        <v>0</v>
      </c>
      <c r="K235" s="48">
        <v>0</v>
      </c>
      <c r="L235" s="54">
        <v>46225</v>
      </c>
      <c r="M235" s="54">
        <v>46230</v>
      </c>
      <c r="N235" s="54">
        <v>46225</v>
      </c>
      <c r="O235" s="54">
        <v>46230</v>
      </c>
    </row>
    <row r="236" spans="2:15" x14ac:dyDescent="0.25">
      <c r="B236">
        <v>243</v>
      </c>
      <c r="E236">
        <v>242</v>
      </c>
      <c r="F236" t="s">
        <v>1518</v>
      </c>
      <c r="G236">
        <v>244</v>
      </c>
      <c r="H236" t="s">
        <v>1519</v>
      </c>
      <c r="I236">
        <v>4</v>
      </c>
      <c r="J236" s="48">
        <v>0</v>
      </c>
      <c r="K236" s="48">
        <v>0</v>
      </c>
      <c r="L236" s="54">
        <v>46230</v>
      </c>
      <c r="M236" s="54">
        <v>46233</v>
      </c>
      <c r="N236" s="54">
        <v>46230</v>
      </c>
      <c r="O236" s="54">
        <v>46233</v>
      </c>
    </row>
    <row r="237" spans="2:15" x14ac:dyDescent="0.25">
      <c r="B237">
        <v>244</v>
      </c>
      <c r="E237">
        <v>243</v>
      </c>
      <c r="F237" t="s">
        <v>1520</v>
      </c>
      <c r="G237">
        <v>76</v>
      </c>
      <c r="H237" t="s">
        <v>1519</v>
      </c>
      <c r="I237">
        <v>6</v>
      </c>
      <c r="J237" s="48">
        <v>0</v>
      </c>
      <c r="K237" s="48">
        <v>0</v>
      </c>
      <c r="L237" s="54">
        <v>46233</v>
      </c>
      <c r="M237" s="54">
        <v>46238</v>
      </c>
      <c r="N237" s="54">
        <v>46233</v>
      </c>
      <c r="O237" s="54">
        <v>46238</v>
      </c>
    </row>
    <row r="238" spans="2:15" x14ac:dyDescent="0.25">
      <c r="B238">
        <v>245</v>
      </c>
      <c r="F238" t="s">
        <v>1613</v>
      </c>
      <c r="H238" t="s">
        <v>1559</v>
      </c>
      <c r="I238">
        <v>19</v>
      </c>
      <c r="J238" s="48">
        <v>0</v>
      </c>
      <c r="K238" s="48">
        <v>0</v>
      </c>
      <c r="L238" s="54">
        <v>46220</v>
      </c>
      <c r="M238" s="54">
        <v>46238</v>
      </c>
      <c r="N238" s="54">
        <v>46220</v>
      </c>
      <c r="O238" s="54">
        <v>46238</v>
      </c>
    </row>
    <row r="239" spans="2:15" x14ac:dyDescent="0.25">
      <c r="B239">
        <v>246</v>
      </c>
      <c r="E239" t="s">
        <v>1921</v>
      </c>
      <c r="F239" t="s">
        <v>1515</v>
      </c>
      <c r="G239" t="s">
        <v>1922</v>
      </c>
      <c r="H239" t="s">
        <v>1519</v>
      </c>
      <c r="I239">
        <v>6</v>
      </c>
      <c r="J239" s="48">
        <v>0</v>
      </c>
      <c r="K239" s="48">
        <v>0</v>
      </c>
      <c r="L239" s="54">
        <v>46220</v>
      </c>
      <c r="M239" s="54">
        <v>46225</v>
      </c>
      <c r="N239" s="54">
        <v>46220</v>
      </c>
      <c r="O239" s="54">
        <v>46225</v>
      </c>
    </row>
    <row r="240" spans="2:15" x14ac:dyDescent="0.25">
      <c r="B240">
        <v>247</v>
      </c>
      <c r="E240">
        <v>246</v>
      </c>
      <c r="F240" t="s">
        <v>1517</v>
      </c>
      <c r="G240">
        <v>248</v>
      </c>
      <c r="H240" t="s">
        <v>1519</v>
      </c>
      <c r="I240">
        <v>6</v>
      </c>
      <c r="J240" s="48">
        <v>0</v>
      </c>
      <c r="K240" s="48">
        <v>0</v>
      </c>
      <c r="L240" s="54">
        <v>46225</v>
      </c>
      <c r="M240" s="54">
        <v>46230</v>
      </c>
      <c r="N240" s="54">
        <v>46225</v>
      </c>
      <c r="O240" s="54">
        <v>46230</v>
      </c>
    </row>
    <row r="241" spans="2:15" x14ac:dyDescent="0.25">
      <c r="B241">
        <v>248</v>
      </c>
      <c r="E241">
        <v>247</v>
      </c>
      <c r="F241" t="s">
        <v>1518</v>
      </c>
      <c r="G241">
        <v>249</v>
      </c>
      <c r="H241" t="s">
        <v>1519</v>
      </c>
      <c r="I241">
        <v>4</v>
      </c>
      <c r="J241" s="48">
        <v>0</v>
      </c>
      <c r="K241" s="48">
        <v>0</v>
      </c>
      <c r="L241" s="54">
        <v>46230</v>
      </c>
      <c r="M241" s="54">
        <v>46233</v>
      </c>
      <c r="N241" s="54">
        <v>46230</v>
      </c>
      <c r="O241" s="54">
        <v>46233</v>
      </c>
    </row>
    <row r="242" spans="2:15" x14ac:dyDescent="0.25">
      <c r="B242">
        <v>249</v>
      </c>
      <c r="E242">
        <v>248</v>
      </c>
      <c r="F242" t="s">
        <v>1520</v>
      </c>
      <c r="G242">
        <v>76</v>
      </c>
      <c r="H242" t="s">
        <v>1519</v>
      </c>
      <c r="I242">
        <v>6</v>
      </c>
      <c r="J242" s="48">
        <v>0</v>
      </c>
      <c r="K242" s="48">
        <v>0</v>
      </c>
      <c r="L242" s="54">
        <v>46233</v>
      </c>
      <c r="M242" s="54">
        <v>46238</v>
      </c>
      <c r="N242" s="54">
        <v>46233</v>
      </c>
      <c r="O242" s="54">
        <v>46238</v>
      </c>
    </row>
    <row r="243" spans="2:15" x14ac:dyDescent="0.25">
      <c r="B243">
        <v>250</v>
      </c>
      <c r="F243" t="s">
        <v>1466</v>
      </c>
      <c r="H243" t="s">
        <v>1709</v>
      </c>
      <c r="I243">
        <v>40</v>
      </c>
      <c r="J243" s="48">
        <v>0</v>
      </c>
      <c r="K243" s="48">
        <v>0</v>
      </c>
      <c r="L243" s="54">
        <v>46218</v>
      </c>
      <c r="M243" s="54">
        <v>46251</v>
      </c>
      <c r="N243" s="54">
        <v>46212</v>
      </c>
      <c r="O243" s="54">
        <v>46251</v>
      </c>
    </row>
    <row r="244" spans="2:15" x14ac:dyDescent="0.25">
      <c r="B244">
        <v>251</v>
      </c>
      <c r="F244" t="s">
        <v>1614</v>
      </c>
      <c r="H244" t="s">
        <v>1709</v>
      </c>
      <c r="I244">
        <v>40</v>
      </c>
      <c r="J244" s="48">
        <v>0</v>
      </c>
      <c r="K244" s="48">
        <v>0</v>
      </c>
      <c r="L244" s="54">
        <v>46218</v>
      </c>
      <c r="M244" s="54">
        <v>46251</v>
      </c>
      <c r="N244" s="54">
        <v>46212</v>
      </c>
      <c r="O244" s="54">
        <v>46251</v>
      </c>
    </row>
    <row r="245" spans="2:15" x14ac:dyDescent="0.25">
      <c r="B245">
        <v>252</v>
      </c>
      <c r="F245" t="s">
        <v>1615</v>
      </c>
      <c r="H245" t="s">
        <v>1709</v>
      </c>
      <c r="I245">
        <v>40</v>
      </c>
      <c r="J245" s="48">
        <v>0</v>
      </c>
      <c r="K245" s="48">
        <v>0</v>
      </c>
      <c r="L245" s="54">
        <v>46218</v>
      </c>
      <c r="M245" s="54">
        <v>46251</v>
      </c>
      <c r="N245" s="54">
        <v>46212</v>
      </c>
      <c r="O245" s="54">
        <v>46251</v>
      </c>
    </row>
    <row r="246" spans="2:15" x14ac:dyDescent="0.25">
      <c r="B246">
        <v>253</v>
      </c>
      <c r="F246" t="s">
        <v>1616</v>
      </c>
      <c r="H246" t="s">
        <v>1709</v>
      </c>
      <c r="I246">
        <v>40</v>
      </c>
      <c r="J246" s="48">
        <v>0</v>
      </c>
      <c r="K246" s="48">
        <v>0</v>
      </c>
      <c r="L246" s="54">
        <v>46218</v>
      </c>
      <c r="M246" s="54">
        <v>46251</v>
      </c>
      <c r="N246" s="54">
        <v>46212</v>
      </c>
      <c r="O246" s="54">
        <v>46251</v>
      </c>
    </row>
    <row r="247" spans="2:15" x14ac:dyDescent="0.25">
      <c r="B247">
        <v>254</v>
      </c>
      <c r="F247" t="s">
        <v>1555</v>
      </c>
      <c r="H247" t="s">
        <v>1514</v>
      </c>
      <c r="I247">
        <v>28</v>
      </c>
      <c r="J247" s="48">
        <v>0</v>
      </c>
      <c r="K247" s="48">
        <v>0</v>
      </c>
      <c r="L247" s="54">
        <v>46223</v>
      </c>
      <c r="M247" s="54">
        <v>46244</v>
      </c>
      <c r="N247" s="54">
        <v>46217</v>
      </c>
      <c r="O247" s="54">
        <v>46244</v>
      </c>
    </row>
    <row r="248" spans="2:15" x14ac:dyDescent="0.25">
      <c r="B248">
        <v>255</v>
      </c>
      <c r="E248">
        <v>271</v>
      </c>
      <c r="F248" t="s">
        <v>1572</v>
      </c>
      <c r="G248">
        <v>76</v>
      </c>
      <c r="H248" t="s">
        <v>1525</v>
      </c>
      <c r="I248">
        <v>7</v>
      </c>
      <c r="J248" s="48">
        <v>0</v>
      </c>
      <c r="K248" s="48">
        <v>0</v>
      </c>
      <c r="L248" s="54">
        <v>46238</v>
      </c>
      <c r="M248" s="54">
        <v>46244</v>
      </c>
      <c r="N248" s="54">
        <v>46238</v>
      </c>
      <c r="O248" s="54">
        <v>46244</v>
      </c>
    </row>
    <row r="249" spans="2:15" x14ac:dyDescent="0.25">
      <c r="B249">
        <v>256</v>
      </c>
      <c r="E249">
        <v>265</v>
      </c>
      <c r="F249" t="s">
        <v>1558</v>
      </c>
      <c r="G249">
        <v>76</v>
      </c>
      <c r="H249" t="s">
        <v>1525</v>
      </c>
      <c r="I249">
        <v>7</v>
      </c>
      <c r="J249" s="48">
        <v>0</v>
      </c>
      <c r="K249" s="48">
        <v>0</v>
      </c>
      <c r="L249" s="54">
        <v>46223</v>
      </c>
      <c r="M249" s="54">
        <v>46227</v>
      </c>
      <c r="N249" s="54">
        <v>46217</v>
      </c>
      <c r="O249" s="54">
        <v>46223</v>
      </c>
    </row>
    <row r="250" spans="2:15" x14ac:dyDescent="0.25">
      <c r="B250">
        <v>257</v>
      </c>
      <c r="F250" t="s">
        <v>1617</v>
      </c>
      <c r="H250" t="s">
        <v>1709</v>
      </c>
      <c r="I250">
        <v>40</v>
      </c>
      <c r="J250" s="48">
        <v>0</v>
      </c>
      <c r="K250" s="48">
        <v>0</v>
      </c>
      <c r="L250" s="54">
        <v>46218</v>
      </c>
      <c r="M250" s="54">
        <v>46251</v>
      </c>
      <c r="N250" s="54">
        <v>46212</v>
      </c>
      <c r="O250" s="54">
        <v>46251</v>
      </c>
    </row>
    <row r="251" spans="2:15" x14ac:dyDescent="0.25">
      <c r="B251">
        <v>258</v>
      </c>
      <c r="F251" t="s">
        <v>1558</v>
      </c>
      <c r="H251" t="s">
        <v>1559</v>
      </c>
      <c r="I251">
        <v>19</v>
      </c>
      <c r="J251" s="48">
        <v>0</v>
      </c>
      <c r="K251" s="48">
        <v>0</v>
      </c>
      <c r="L251" s="54">
        <v>46218</v>
      </c>
      <c r="M251" s="54">
        <v>46234</v>
      </c>
      <c r="N251" s="54">
        <v>46212</v>
      </c>
      <c r="O251" s="54">
        <v>46230</v>
      </c>
    </row>
    <row r="252" spans="2:15" x14ac:dyDescent="0.25">
      <c r="B252">
        <v>259</v>
      </c>
      <c r="C252" t="s">
        <v>228</v>
      </c>
      <c r="D252" t="s">
        <v>1190</v>
      </c>
      <c r="F252" t="s">
        <v>1618</v>
      </c>
      <c r="H252" t="s">
        <v>1559</v>
      </c>
      <c r="I252">
        <v>19</v>
      </c>
      <c r="J252" s="48">
        <v>0</v>
      </c>
      <c r="K252" s="48">
        <v>0</v>
      </c>
      <c r="L252" s="54">
        <v>46218</v>
      </c>
      <c r="M252" s="54">
        <v>46234</v>
      </c>
      <c r="N252" s="54">
        <v>46212</v>
      </c>
      <c r="O252" s="54">
        <v>46230</v>
      </c>
    </row>
    <row r="253" spans="2:15" x14ac:dyDescent="0.25">
      <c r="B253">
        <v>260</v>
      </c>
      <c r="C253" t="s">
        <v>228</v>
      </c>
      <c r="D253" t="s">
        <v>1190</v>
      </c>
      <c r="E253">
        <v>182</v>
      </c>
      <c r="F253" t="s">
        <v>1515</v>
      </c>
      <c r="G253" t="s">
        <v>1923</v>
      </c>
      <c r="H253" t="s">
        <v>1519</v>
      </c>
      <c r="I253">
        <v>6</v>
      </c>
      <c r="J253" s="48">
        <v>0</v>
      </c>
      <c r="K253" s="48">
        <v>0</v>
      </c>
      <c r="L253" s="54">
        <v>46218</v>
      </c>
      <c r="M253" s="54">
        <v>46223</v>
      </c>
      <c r="N253" s="54">
        <v>46212</v>
      </c>
      <c r="O253" s="54">
        <v>46217</v>
      </c>
    </row>
    <row r="254" spans="2:15" x14ac:dyDescent="0.25">
      <c r="B254">
        <v>261</v>
      </c>
      <c r="C254" t="s">
        <v>228</v>
      </c>
      <c r="D254" t="s">
        <v>1190</v>
      </c>
      <c r="E254">
        <v>260</v>
      </c>
      <c r="F254" t="s">
        <v>1517</v>
      </c>
      <c r="G254">
        <v>262</v>
      </c>
      <c r="H254" t="s">
        <v>1519</v>
      </c>
      <c r="I254">
        <v>4</v>
      </c>
      <c r="J254" s="48">
        <v>0</v>
      </c>
      <c r="K254" s="48">
        <v>0</v>
      </c>
      <c r="L254" s="54">
        <v>46223</v>
      </c>
      <c r="M254" s="54">
        <v>46226</v>
      </c>
      <c r="N254" s="54">
        <v>46217</v>
      </c>
      <c r="O254" s="54">
        <v>46220</v>
      </c>
    </row>
    <row r="255" spans="2:15" x14ac:dyDescent="0.25">
      <c r="B255">
        <v>262</v>
      </c>
      <c r="C255" t="s">
        <v>228</v>
      </c>
      <c r="D255" t="s">
        <v>1190</v>
      </c>
      <c r="E255">
        <v>261</v>
      </c>
      <c r="F255" t="s">
        <v>1518</v>
      </c>
      <c r="G255">
        <v>263</v>
      </c>
      <c r="H255" t="s">
        <v>1519</v>
      </c>
      <c r="I255">
        <v>6</v>
      </c>
      <c r="J255" s="48">
        <v>0</v>
      </c>
      <c r="K255" s="48">
        <v>0</v>
      </c>
      <c r="L255" s="54">
        <v>46226</v>
      </c>
      <c r="M255" s="54">
        <v>46231</v>
      </c>
      <c r="N255" s="54">
        <v>46220</v>
      </c>
      <c r="O255" s="54">
        <v>46225</v>
      </c>
    </row>
    <row r="256" spans="2:15" x14ac:dyDescent="0.25">
      <c r="B256">
        <v>263</v>
      </c>
      <c r="C256" t="s">
        <v>228</v>
      </c>
      <c r="D256" t="s">
        <v>1190</v>
      </c>
      <c r="E256">
        <v>262</v>
      </c>
      <c r="F256" t="s">
        <v>1520</v>
      </c>
      <c r="G256">
        <v>76</v>
      </c>
      <c r="H256" t="s">
        <v>1519</v>
      </c>
      <c r="I256">
        <v>6</v>
      </c>
      <c r="J256" s="48">
        <v>0</v>
      </c>
      <c r="K256" s="48">
        <v>0</v>
      </c>
      <c r="L256" s="54">
        <v>46231</v>
      </c>
      <c r="M256" s="54">
        <v>46234</v>
      </c>
      <c r="N256" s="54">
        <v>46225</v>
      </c>
      <c r="O256" s="54">
        <v>46230</v>
      </c>
    </row>
    <row r="257" spans="2:15" x14ac:dyDescent="0.25">
      <c r="B257">
        <v>264</v>
      </c>
      <c r="C257" t="s">
        <v>237</v>
      </c>
      <c r="D257" t="s">
        <v>1219</v>
      </c>
      <c r="F257" t="s">
        <v>1619</v>
      </c>
      <c r="H257" t="s">
        <v>1559</v>
      </c>
      <c r="I257">
        <v>19</v>
      </c>
      <c r="J257" s="48">
        <v>0</v>
      </c>
      <c r="K257" s="48">
        <v>0</v>
      </c>
      <c r="L257" s="54">
        <v>46218</v>
      </c>
      <c r="M257" s="54">
        <v>46234</v>
      </c>
      <c r="N257" s="54">
        <v>46212</v>
      </c>
      <c r="O257" s="54">
        <v>46230</v>
      </c>
    </row>
    <row r="258" spans="2:15" x14ac:dyDescent="0.25">
      <c r="B258">
        <v>265</v>
      </c>
      <c r="C258" t="s">
        <v>237</v>
      </c>
      <c r="D258" t="s">
        <v>1219</v>
      </c>
      <c r="E258" t="s">
        <v>1924</v>
      </c>
      <c r="F258" t="s">
        <v>1515</v>
      </c>
      <c r="G258" t="s">
        <v>1925</v>
      </c>
      <c r="H258" t="s">
        <v>1519</v>
      </c>
      <c r="I258">
        <v>6</v>
      </c>
      <c r="J258" s="48">
        <v>0</v>
      </c>
      <c r="K258" s="48">
        <v>0</v>
      </c>
      <c r="L258" s="54">
        <v>46218</v>
      </c>
      <c r="M258" s="54">
        <v>46223</v>
      </c>
      <c r="N258" s="54">
        <v>46212</v>
      </c>
      <c r="O258" s="54">
        <v>46217</v>
      </c>
    </row>
    <row r="259" spans="2:15" x14ac:dyDescent="0.25">
      <c r="B259">
        <v>266</v>
      </c>
      <c r="C259" t="s">
        <v>237</v>
      </c>
      <c r="D259" t="s">
        <v>1219</v>
      </c>
      <c r="E259">
        <v>265</v>
      </c>
      <c r="F259" t="s">
        <v>1517</v>
      </c>
      <c r="G259">
        <v>267</v>
      </c>
      <c r="H259" t="s">
        <v>1519</v>
      </c>
      <c r="I259">
        <v>4</v>
      </c>
      <c r="J259" s="48">
        <v>0</v>
      </c>
      <c r="K259" s="48">
        <v>0</v>
      </c>
      <c r="L259" s="54">
        <v>46223</v>
      </c>
      <c r="M259" s="54">
        <v>46226</v>
      </c>
      <c r="N259" s="54">
        <v>46217</v>
      </c>
      <c r="O259" s="54">
        <v>46220</v>
      </c>
    </row>
    <row r="260" spans="2:15" x14ac:dyDescent="0.25">
      <c r="B260">
        <v>267</v>
      </c>
      <c r="C260" t="s">
        <v>237</v>
      </c>
      <c r="D260" t="s">
        <v>1219</v>
      </c>
      <c r="E260">
        <v>266</v>
      </c>
      <c r="F260" t="s">
        <v>1518</v>
      </c>
      <c r="G260">
        <v>268</v>
      </c>
      <c r="H260" t="s">
        <v>1519</v>
      </c>
      <c r="I260">
        <v>6</v>
      </c>
      <c r="J260" s="48">
        <v>0</v>
      </c>
      <c r="K260" s="48">
        <v>0</v>
      </c>
      <c r="L260" s="54">
        <v>46226</v>
      </c>
      <c r="M260" s="54">
        <v>46231</v>
      </c>
      <c r="N260" s="54">
        <v>46220</v>
      </c>
      <c r="O260" s="54">
        <v>46225</v>
      </c>
    </row>
    <row r="261" spans="2:15" x14ac:dyDescent="0.25">
      <c r="B261">
        <v>268</v>
      </c>
      <c r="C261" t="s">
        <v>237</v>
      </c>
      <c r="D261" t="s">
        <v>1219</v>
      </c>
      <c r="E261">
        <v>267</v>
      </c>
      <c r="F261" t="s">
        <v>1520</v>
      </c>
      <c r="G261">
        <v>76</v>
      </c>
      <c r="H261" t="s">
        <v>1519</v>
      </c>
      <c r="I261">
        <v>6</v>
      </c>
      <c r="J261" s="48">
        <v>0</v>
      </c>
      <c r="K261" s="48">
        <v>0</v>
      </c>
      <c r="L261" s="54">
        <v>46231</v>
      </c>
      <c r="M261" s="54">
        <v>46234</v>
      </c>
      <c r="N261" s="54">
        <v>46225</v>
      </c>
      <c r="O261" s="54">
        <v>46230</v>
      </c>
    </row>
    <row r="262" spans="2:15" x14ac:dyDescent="0.25">
      <c r="B262">
        <v>269</v>
      </c>
      <c r="F262" t="s">
        <v>1572</v>
      </c>
      <c r="H262" t="s">
        <v>1535</v>
      </c>
      <c r="I262">
        <v>20</v>
      </c>
      <c r="J262" s="48">
        <v>0</v>
      </c>
      <c r="K262" s="48">
        <v>0</v>
      </c>
      <c r="L262" s="54">
        <v>46232</v>
      </c>
      <c r="M262" s="54">
        <v>46251</v>
      </c>
      <c r="N262" s="54">
        <v>46232</v>
      </c>
      <c r="O262" s="54">
        <v>46251</v>
      </c>
    </row>
    <row r="263" spans="2:15" x14ac:dyDescent="0.25">
      <c r="B263">
        <v>270</v>
      </c>
      <c r="C263" t="s">
        <v>94</v>
      </c>
      <c r="D263" t="s">
        <v>678</v>
      </c>
      <c r="F263" t="s">
        <v>1620</v>
      </c>
      <c r="H263" t="s">
        <v>1535</v>
      </c>
      <c r="I263">
        <v>20</v>
      </c>
      <c r="J263" s="48">
        <v>0</v>
      </c>
      <c r="K263" s="48">
        <v>0</v>
      </c>
      <c r="L263" s="54">
        <v>46232</v>
      </c>
      <c r="M263" s="54">
        <v>46251</v>
      </c>
      <c r="N263" s="54">
        <v>46232</v>
      </c>
      <c r="O263" s="54">
        <v>46251</v>
      </c>
    </row>
    <row r="264" spans="2:15" x14ac:dyDescent="0.25">
      <c r="B264">
        <v>271</v>
      </c>
      <c r="C264" t="s">
        <v>94</v>
      </c>
      <c r="D264" t="s">
        <v>678</v>
      </c>
      <c r="E264">
        <v>220</v>
      </c>
      <c r="F264" t="s">
        <v>1515</v>
      </c>
      <c r="G264" t="s">
        <v>1926</v>
      </c>
      <c r="H264" t="s">
        <v>1525</v>
      </c>
      <c r="I264">
        <v>7</v>
      </c>
      <c r="J264" s="48">
        <v>0</v>
      </c>
      <c r="K264" s="48">
        <v>0</v>
      </c>
      <c r="L264" s="54">
        <v>46232</v>
      </c>
      <c r="M264" s="54">
        <v>46238</v>
      </c>
      <c r="N264" s="54">
        <v>46232</v>
      </c>
      <c r="O264" s="54">
        <v>46238</v>
      </c>
    </row>
    <row r="265" spans="2:15" x14ac:dyDescent="0.25">
      <c r="B265">
        <v>272</v>
      </c>
      <c r="C265" t="s">
        <v>94</v>
      </c>
      <c r="D265" t="s">
        <v>678</v>
      </c>
      <c r="E265">
        <v>271</v>
      </c>
      <c r="F265" t="s">
        <v>1517</v>
      </c>
      <c r="G265">
        <v>273</v>
      </c>
      <c r="H265" t="s">
        <v>1519</v>
      </c>
      <c r="I265">
        <v>4</v>
      </c>
      <c r="J265" s="48">
        <v>0</v>
      </c>
      <c r="K265" s="48">
        <v>0</v>
      </c>
      <c r="L265" s="54">
        <v>46238</v>
      </c>
      <c r="M265" s="54">
        <v>46241</v>
      </c>
      <c r="N265" s="54">
        <v>46238</v>
      </c>
      <c r="O265" s="54">
        <v>46241</v>
      </c>
    </row>
    <row r="266" spans="2:15" x14ac:dyDescent="0.25">
      <c r="B266">
        <v>273</v>
      </c>
      <c r="C266" t="s">
        <v>94</v>
      </c>
      <c r="D266" t="s">
        <v>678</v>
      </c>
      <c r="E266">
        <v>272</v>
      </c>
      <c r="F266" t="s">
        <v>1518</v>
      </c>
      <c r="G266">
        <v>274</v>
      </c>
      <c r="H266" t="s">
        <v>1519</v>
      </c>
      <c r="I266">
        <v>6</v>
      </c>
      <c r="J266" s="48">
        <v>0</v>
      </c>
      <c r="K266" s="48">
        <v>0</v>
      </c>
      <c r="L266" s="54">
        <v>46241</v>
      </c>
      <c r="M266" s="54">
        <v>46246</v>
      </c>
      <c r="N266" s="54">
        <v>46241</v>
      </c>
      <c r="O266" s="54">
        <v>46246</v>
      </c>
    </row>
    <row r="267" spans="2:15" x14ac:dyDescent="0.25">
      <c r="B267">
        <v>274</v>
      </c>
      <c r="C267" t="s">
        <v>94</v>
      </c>
      <c r="D267" t="s">
        <v>678</v>
      </c>
      <c r="E267">
        <v>273</v>
      </c>
      <c r="F267" t="s">
        <v>1520</v>
      </c>
      <c r="G267">
        <v>76</v>
      </c>
      <c r="H267" t="s">
        <v>1519</v>
      </c>
      <c r="I267">
        <v>6</v>
      </c>
      <c r="J267" s="48">
        <v>0</v>
      </c>
      <c r="K267" s="48">
        <v>0</v>
      </c>
      <c r="L267" s="54">
        <v>46246</v>
      </c>
      <c r="M267" s="54">
        <v>46251</v>
      </c>
      <c r="N267" s="54">
        <v>46246</v>
      </c>
      <c r="O267" s="54">
        <v>46251</v>
      </c>
    </row>
    <row r="268" spans="2:15" x14ac:dyDescent="0.25">
      <c r="B268">
        <v>275</v>
      </c>
      <c r="F268" t="s">
        <v>1468</v>
      </c>
      <c r="H268" t="s">
        <v>1590</v>
      </c>
      <c r="I268">
        <v>56</v>
      </c>
      <c r="J268" s="48">
        <v>0</v>
      </c>
      <c r="K268" s="48">
        <v>2.7699999999999999E-2</v>
      </c>
      <c r="L268" s="54">
        <v>46213</v>
      </c>
      <c r="M268" s="54">
        <v>46267</v>
      </c>
      <c r="N268" s="54">
        <v>46206</v>
      </c>
      <c r="O268" s="54">
        <v>46261</v>
      </c>
    </row>
    <row r="269" spans="2:15" x14ac:dyDescent="0.25">
      <c r="B269">
        <v>276</v>
      </c>
      <c r="F269" t="s">
        <v>1621</v>
      </c>
      <c r="H269" t="s">
        <v>1590</v>
      </c>
      <c r="I269">
        <v>56</v>
      </c>
      <c r="J269" s="48">
        <v>0</v>
      </c>
      <c r="K269" s="48">
        <v>2.7699999999999999E-2</v>
      </c>
      <c r="L269" s="54">
        <v>46213</v>
      </c>
      <c r="M269" s="54">
        <v>46267</v>
      </c>
      <c r="N269" s="54">
        <v>46206</v>
      </c>
      <c r="O269" s="54">
        <v>46261</v>
      </c>
    </row>
    <row r="270" spans="2:15" x14ac:dyDescent="0.25">
      <c r="B270">
        <v>277</v>
      </c>
      <c r="F270" t="s">
        <v>1622</v>
      </c>
      <c r="H270" t="s">
        <v>1590</v>
      </c>
      <c r="I270">
        <v>56</v>
      </c>
      <c r="J270" s="48">
        <v>0</v>
      </c>
      <c r="K270" s="48">
        <v>2.7699999999999999E-2</v>
      </c>
      <c r="L270" s="54">
        <v>46213</v>
      </c>
      <c r="M270" s="54">
        <v>46267</v>
      </c>
      <c r="N270" s="54">
        <v>46206</v>
      </c>
      <c r="O270" s="54">
        <v>46261</v>
      </c>
    </row>
    <row r="271" spans="2:15" x14ac:dyDescent="0.25">
      <c r="B271">
        <v>278</v>
      </c>
      <c r="F271" t="s">
        <v>1623</v>
      </c>
      <c r="H271" t="s">
        <v>1578</v>
      </c>
      <c r="I271">
        <v>23</v>
      </c>
      <c r="J271" s="48">
        <v>0</v>
      </c>
      <c r="K271" s="48">
        <v>0</v>
      </c>
      <c r="L271" s="54">
        <v>46245</v>
      </c>
      <c r="M271" s="54">
        <v>46267</v>
      </c>
      <c r="N271" s="54">
        <v>46239</v>
      </c>
      <c r="O271" s="54">
        <v>46261</v>
      </c>
    </row>
    <row r="272" spans="2:15" x14ac:dyDescent="0.25">
      <c r="B272">
        <v>279</v>
      </c>
      <c r="F272" t="s">
        <v>1560</v>
      </c>
      <c r="H272" t="s">
        <v>1578</v>
      </c>
      <c r="I272">
        <v>23</v>
      </c>
      <c r="J272" s="48">
        <v>0</v>
      </c>
      <c r="K272" s="48">
        <v>0</v>
      </c>
      <c r="L272" s="54">
        <v>46245</v>
      </c>
      <c r="M272" s="54">
        <v>46267</v>
      </c>
      <c r="N272" s="54">
        <v>46239</v>
      </c>
      <c r="O272" s="54">
        <v>46261</v>
      </c>
    </row>
    <row r="273" spans="2:15" x14ac:dyDescent="0.25">
      <c r="B273">
        <v>280</v>
      </c>
      <c r="F273" t="s">
        <v>1624</v>
      </c>
      <c r="H273" t="s">
        <v>1578</v>
      </c>
      <c r="I273">
        <v>23</v>
      </c>
      <c r="J273" s="48">
        <v>0</v>
      </c>
      <c r="K273" s="48">
        <v>0</v>
      </c>
      <c r="L273" s="54">
        <v>46245</v>
      </c>
      <c r="M273" s="54">
        <v>46267</v>
      </c>
      <c r="N273" s="54">
        <v>46239</v>
      </c>
      <c r="O273" s="54">
        <v>46261</v>
      </c>
    </row>
    <row r="274" spans="2:15" x14ac:dyDescent="0.25">
      <c r="B274">
        <v>281</v>
      </c>
      <c r="C274" t="s">
        <v>279</v>
      </c>
      <c r="D274" t="s">
        <v>1386</v>
      </c>
      <c r="F274" t="s">
        <v>1625</v>
      </c>
      <c r="H274" t="s">
        <v>1578</v>
      </c>
      <c r="I274">
        <v>23</v>
      </c>
      <c r="J274" s="48">
        <v>0</v>
      </c>
      <c r="K274" s="48">
        <v>0</v>
      </c>
      <c r="L274" s="54">
        <v>46245</v>
      </c>
      <c r="M274" s="54">
        <v>46267</v>
      </c>
      <c r="N274" s="54">
        <v>46239</v>
      </c>
      <c r="O274" s="54">
        <v>46261</v>
      </c>
    </row>
    <row r="275" spans="2:15" x14ac:dyDescent="0.25">
      <c r="B275">
        <v>282</v>
      </c>
      <c r="C275" t="s">
        <v>279</v>
      </c>
      <c r="D275" t="s">
        <v>1386</v>
      </c>
      <c r="E275">
        <v>295</v>
      </c>
      <c r="F275" t="s">
        <v>1515</v>
      </c>
      <c r="G275">
        <v>283</v>
      </c>
      <c r="H275" t="s">
        <v>1523</v>
      </c>
      <c r="I275">
        <v>10</v>
      </c>
      <c r="J275" s="48">
        <v>0</v>
      </c>
      <c r="K275" s="48">
        <v>0</v>
      </c>
      <c r="L275" s="54">
        <v>46245</v>
      </c>
      <c r="M275" s="54">
        <v>46254</v>
      </c>
      <c r="N275" s="54">
        <v>46239</v>
      </c>
      <c r="O275" s="54">
        <v>46248</v>
      </c>
    </row>
    <row r="276" spans="2:15" x14ac:dyDescent="0.25">
      <c r="B276">
        <v>283</v>
      </c>
      <c r="C276" t="s">
        <v>279</v>
      </c>
      <c r="D276" t="s">
        <v>1386</v>
      </c>
      <c r="E276">
        <v>282</v>
      </c>
      <c r="F276" t="s">
        <v>1517</v>
      </c>
      <c r="G276">
        <v>284</v>
      </c>
      <c r="H276" t="s">
        <v>1519</v>
      </c>
      <c r="I276">
        <v>6</v>
      </c>
      <c r="J276" s="48">
        <v>0</v>
      </c>
      <c r="K276" s="48">
        <v>0</v>
      </c>
      <c r="L276" s="54">
        <v>46254</v>
      </c>
      <c r="M276" s="54">
        <v>46259</v>
      </c>
      <c r="N276" s="54">
        <v>46248</v>
      </c>
      <c r="O276" s="54">
        <v>46253</v>
      </c>
    </row>
    <row r="277" spans="2:15" x14ac:dyDescent="0.25">
      <c r="B277">
        <v>284</v>
      </c>
      <c r="C277" t="s">
        <v>279</v>
      </c>
      <c r="D277" t="s">
        <v>1386</v>
      </c>
      <c r="E277">
        <v>283</v>
      </c>
      <c r="F277" t="s">
        <v>1518</v>
      </c>
      <c r="G277">
        <v>285</v>
      </c>
      <c r="H277" t="s">
        <v>1519</v>
      </c>
      <c r="I277">
        <v>6</v>
      </c>
      <c r="J277" s="48">
        <v>0</v>
      </c>
      <c r="K277" s="48">
        <v>0</v>
      </c>
      <c r="L277" s="54">
        <v>46259</v>
      </c>
      <c r="M277" s="54">
        <v>46262</v>
      </c>
      <c r="N277" s="54">
        <v>46253</v>
      </c>
      <c r="O277" s="54">
        <v>46258</v>
      </c>
    </row>
    <row r="278" spans="2:15" x14ac:dyDescent="0.25">
      <c r="B278">
        <v>285</v>
      </c>
      <c r="C278" t="s">
        <v>279</v>
      </c>
      <c r="D278" t="s">
        <v>1386</v>
      </c>
      <c r="E278">
        <v>284</v>
      </c>
      <c r="F278" t="s">
        <v>1520</v>
      </c>
      <c r="G278">
        <v>76</v>
      </c>
      <c r="H278" t="s">
        <v>1519</v>
      </c>
      <c r="I278">
        <v>4</v>
      </c>
      <c r="J278" s="48">
        <v>0</v>
      </c>
      <c r="K278" s="48">
        <v>0</v>
      </c>
      <c r="L278" s="54">
        <v>46262</v>
      </c>
      <c r="M278" s="54">
        <v>46267</v>
      </c>
      <c r="N278" s="54">
        <v>46258</v>
      </c>
      <c r="O278" s="54">
        <v>46261</v>
      </c>
    </row>
    <row r="279" spans="2:15" x14ac:dyDescent="0.25">
      <c r="B279">
        <v>286</v>
      </c>
      <c r="F279" t="s">
        <v>1626</v>
      </c>
      <c r="H279" t="s">
        <v>1564</v>
      </c>
      <c r="I279">
        <v>31</v>
      </c>
      <c r="J279" s="48">
        <v>0</v>
      </c>
      <c r="K279" s="48">
        <v>0</v>
      </c>
      <c r="L279" s="54">
        <v>46237</v>
      </c>
      <c r="M279" s="54">
        <v>46267</v>
      </c>
      <c r="N279" s="54">
        <v>46231</v>
      </c>
      <c r="O279" s="54">
        <v>46261</v>
      </c>
    </row>
    <row r="280" spans="2:15" x14ac:dyDescent="0.25">
      <c r="B280">
        <v>287</v>
      </c>
      <c r="F280" t="s">
        <v>1560</v>
      </c>
      <c r="H280" t="s">
        <v>1564</v>
      </c>
      <c r="I280">
        <v>31</v>
      </c>
      <c r="J280" s="48">
        <v>0</v>
      </c>
      <c r="K280" s="48">
        <v>0</v>
      </c>
      <c r="L280" s="54">
        <v>46237</v>
      </c>
      <c r="M280" s="54">
        <v>46267</v>
      </c>
      <c r="N280" s="54">
        <v>46231</v>
      </c>
      <c r="O280" s="54">
        <v>46261</v>
      </c>
    </row>
    <row r="281" spans="2:15" x14ac:dyDescent="0.25">
      <c r="B281">
        <v>288</v>
      </c>
      <c r="F281" t="s">
        <v>1624</v>
      </c>
      <c r="H281" t="s">
        <v>1564</v>
      </c>
      <c r="I281">
        <v>31</v>
      </c>
      <c r="J281" s="48">
        <v>0</v>
      </c>
      <c r="K281" s="48">
        <v>0</v>
      </c>
      <c r="L281" s="54">
        <v>46237</v>
      </c>
      <c r="M281" s="54">
        <v>46267</v>
      </c>
      <c r="N281" s="54">
        <v>46231</v>
      </c>
      <c r="O281" s="54">
        <v>46261</v>
      </c>
    </row>
    <row r="282" spans="2:15" x14ac:dyDescent="0.25">
      <c r="B282">
        <v>289</v>
      </c>
      <c r="C282" t="s">
        <v>284</v>
      </c>
      <c r="D282" t="s">
        <v>1406</v>
      </c>
      <c r="F282" t="s">
        <v>1627</v>
      </c>
      <c r="H282" t="s">
        <v>1559</v>
      </c>
      <c r="I282">
        <v>17</v>
      </c>
      <c r="J282" s="48">
        <v>0</v>
      </c>
      <c r="K282" s="48">
        <v>0</v>
      </c>
      <c r="L282" s="54">
        <v>46237</v>
      </c>
      <c r="M282" s="54">
        <v>46253</v>
      </c>
      <c r="N282" s="54">
        <v>46231</v>
      </c>
      <c r="O282" s="54">
        <v>46247</v>
      </c>
    </row>
    <row r="283" spans="2:15" x14ac:dyDescent="0.25">
      <c r="B283">
        <v>290</v>
      </c>
      <c r="C283" t="s">
        <v>284</v>
      </c>
      <c r="D283" t="s">
        <v>1406</v>
      </c>
      <c r="E283">
        <v>328</v>
      </c>
      <c r="F283" t="s">
        <v>1515</v>
      </c>
      <c r="G283" t="s">
        <v>1927</v>
      </c>
      <c r="H283" t="s">
        <v>1519</v>
      </c>
      <c r="I283">
        <v>4</v>
      </c>
      <c r="J283" s="48">
        <v>0</v>
      </c>
      <c r="K283" s="48">
        <v>0</v>
      </c>
      <c r="L283" s="54">
        <v>46237</v>
      </c>
      <c r="M283" s="54">
        <v>46240</v>
      </c>
      <c r="N283" s="54">
        <v>46231</v>
      </c>
      <c r="O283" s="54">
        <v>46234</v>
      </c>
    </row>
    <row r="284" spans="2:15" x14ac:dyDescent="0.25">
      <c r="B284">
        <v>291</v>
      </c>
      <c r="C284" t="s">
        <v>284</v>
      </c>
      <c r="D284" t="s">
        <v>1406</v>
      </c>
      <c r="E284">
        <v>290</v>
      </c>
      <c r="F284" t="s">
        <v>1517</v>
      </c>
      <c r="G284">
        <v>292</v>
      </c>
      <c r="H284" t="s">
        <v>1519</v>
      </c>
      <c r="I284">
        <v>6</v>
      </c>
      <c r="J284" s="48">
        <v>0</v>
      </c>
      <c r="K284" s="48">
        <v>0</v>
      </c>
      <c r="L284" s="54">
        <v>46240</v>
      </c>
      <c r="M284" s="54">
        <v>46245</v>
      </c>
      <c r="N284" s="54">
        <v>46234</v>
      </c>
      <c r="O284" s="54">
        <v>46239</v>
      </c>
    </row>
    <row r="285" spans="2:15" x14ac:dyDescent="0.25">
      <c r="B285">
        <v>292</v>
      </c>
      <c r="C285" t="s">
        <v>284</v>
      </c>
      <c r="D285" t="s">
        <v>1406</v>
      </c>
      <c r="E285">
        <v>291</v>
      </c>
      <c r="F285" t="s">
        <v>1518</v>
      </c>
      <c r="G285">
        <v>293</v>
      </c>
      <c r="H285" t="s">
        <v>1519</v>
      </c>
      <c r="I285">
        <v>6</v>
      </c>
      <c r="J285" s="48">
        <v>0</v>
      </c>
      <c r="K285" s="48">
        <v>0</v>
      </c>
      <c r="L285" s="54">
        <v>46245</v>
      </c>
      <c r="M285" s="54">
        <v>46248</v>
      </c>
      <c r="N285" s="54">
        <v>46239</v>
      </c>
      <c r="O285" s="54">
        <v>46244</v>
      </c>
    </row>
    <row r="286" spans="2:15" x14ac:dyDescent="0.25">
      <c r="B286">
        <v>293</v>
      </c>
      <c r="C286" t="s">
        <v>284</v>
      </c>
      <c r="D286" t="s">
        <v>1406</v>
      </c>
      <c r="E286">
        <v>292</v>
      </c>
      <c r="F286" t="s">
        <v>1520</v>
      </c>
      <c r="G286">
        <v>76</v>
      </c>
      <c r="H286" t="s">
        <v>1519</v>
      </c>
      <c r="I286">
        <v>4</v>
      </c>
      <c r="J286" s="48">
        <v>0</v>
      </c>
      <c r="K286" s="48">
        <v>0</v>
      </c>
      <c r="L286" s="54">
        <v>46248</v>
      </c>
      <c r="M286" s="54">
        <v>46253</v>
      </c>
      <c r="N286" s="54">
        <v>46244</v>
      </c>
      <c r="O286" s="54">
        <v>46247</v>
      </c>
    </row>
    <row r="287" spans="2:15" x14ac:dyDescent="0.25">
      <c r="B287">
        <v>294</v>
      </c>
      <c r="C287" t="s">
        <v>274</v>
      </c>
      <c r="D287" t="s">
        <v>1368</v>
      </c>
      <c r="F287" t="s">
        <v>1628</v>
      </c>
      <c r="H287" t="s">
        <v>1559</v>
      </c>
      <c r="I287">
        <v>19</v>
      </c>
      <c r="J287" s="48">
        <v>0</v>
      </c>
      <c r="K287" s="48">
        <v>0</v>
      </c>
      <c r="L287" s="54">
        <v>46240</v>
      </c>
      <c r="M287" s="54">
        <v>46258</v>
      </c>
      <c r="N287" s="54">
        <v>46234</v>
      </c>
      <c r="O287" s="54">
        <v>46252</v>
      </c>
    </row>
    <row r="288" spans="2:15" x14ac:dyDescent="0.25">
      <c r="B288">
        <v>295</v>
      </c>
      <c r="C288" t="s">
        <v>274</v>
      </c>
      <c r="D288" t="s">
        <v>1368</v>
      </c>
      <c r="E288">
        <v>290</v>
      </c>
      <c r="F288" t="s">
        <v>1515</v>
      </c>
      <c r="G288" t="s">
        <v>1928</v>
      </c>
      <c r="H288" t="s">
        <v>1519</v>
      </c>
      <c r="I288">
        <v>6</v>
      </c>
      <c r="J288" s="48">
        <v>0</v>
      </c>
      <c r="K288" s="48">
        <v>0</v>
      </c>
      <c r="L288" s="54">
        <v>46240</v>
      </c>
      <c r="M288" s="54">
        <v>46245</v>
      </c>
      <c r="N288" s="54">
        <v>46234</v>
      </c>
      <c r="O288" s="54">
        <v>46239</v>
      </c>
    </row>
    <row r="289" spans="2:15" x14ac:dyDescent="0.25">
      <c r="B289">
        <v>296</v>
      </c>
      <c r="C289" t="s">
        <v>274</v>
      </c>
      <c r="D289" t="s">
        <v>1368</v>
      </c>
      <c r="E289">
        <v>295</v>
      </c>
      <c r="F289" t="s">
        <v>1517</v>
      </c>
      <c r="G289">
        <v>297</v>
      </c>
      <c r="H289" t="s">
        <v>1519</v>
      </c>
      <c r="I289">
        <v>6</v>
      </c>
      <c r="J289" s="48">
        <v>0</v>
      </c>
      <c r="K289" s="48">
        <v>0</v>
      </c>
      <c r="L289" s="54">
        <v>46245</v>
      </c>
      <c r="M289" s="54">
        <v>46248</v>
      </c>
      <c r="N289" s="54">
        <v>46239</v>
      </c>
      <c r="O289" s="54">
        <v>46244</v>
      </c>
    </row>
    <row r="290" spans="2:15" x14ac:dyDescent="0.25">
      <c r="B290">
        <v>297</v>
      </c>
      <c r="C290" t="s">
        <v>274</v>
      </c>
      <c r="D290" t="s">
        <v>1368</v>
      </c>
      <c r="E290">
        <v>296</v>
      </c>
      <c r="F290" t="s">
        <v>1518</v>
      </c>
      <c r="G290">
        <v>298</v>
      </c>
      <c r="H290" t="s">
        <v>1519</v>
      </c>
      <c r="I290">
        <v>4</v>
      </c>
      <c r="J290" s="48">
        <v>0</v>
      </c>
      <c r="K290" s="48">
        <v>0</v>
      </c>
      <c r="L290" s="54">
        <v>46248</v>
      </c>
      <c r="M290" s="54">
        <v>46253</v>
      </c>
      <c r="N290" s="54">
        <v>46244</v>
      </c>
      <c r="O290" s="54">
        <v>46247</v>
      </c>
    </row>
    <row r="291" spans="2:15" x14ac:dyDescent="0.25">
      <c r="B291">
        <v>298</v>
      </c>
      <c r="C291" t="s">
        <v>274</v>
      </c>
      <c r="D291" t="s">
        <v>1368</v>
      </c>
      <c r="E291">
        <v>297</v>
      </c>
      <c r="F291" t="s">
        <v>1520</v>
      </c>
      <c r="G291">
        <v>76</v>
      </c>
      <c r="H291" t="s">
        <v>1519</v>
      </c>
      <c r="I291">
        <v>6</v>
      </c>
      <c r="J291" s="48">
        <v>0</v>
      </c>
      <c r="K291" s="48">
        <v>0</v>
      </c>
      <c r="L291" s="54">
        <v>46253</v>
      </c>
      <c r="M291" s="54">
        <v>46258</v>
      </c>
      <c r="N291" s="54">
        <v>46247</v>
      </c>
      <c r="O291" s="54">
        <v>46252</v>
      </c>
    </row>
    <row r="292" spans="2:15" x14ac:dyDescent="0.25">
      <c r="B292">
        <v>299</v>
      </c>
      <c r="C292" t="s">
        <v>276</v>
      </c>
      <c r="D292" t="s">
        <v>1378</v>
      </c>
      <c r="F292" t="s">
        <v>1629</v>
      </c>
      <c r="H292" t="s">
        <v>1535</v>
      </c>
      <c r="I292">
        <v>20</v>
      </c>
      <c r="J292" s="48">
        <v>0</v>
      </c>
      <c r="K292" s="48">
        <v>0</v>
      </c>
      <c r="L292" s="54">
        <v>46245</v>
      </c>
      <c r="M292" s="54">
        <v>46262</v>
      </c>
      <c r="N292" s="54">
        <v>46239</v>
      </c>
      <c r="O292" s="54">
        <v>46258</v>
      </c>
    </row>
    <row r="293" spans="2:15" x14ac:dyDescent="0.25">
      <c r="B293">
        <v>300</v>
      </c>
      <c r="C293" t="s">
        <v>276</v>
      </c>
      <c r="D293" t="s">
        <v>1378</v>
      </c>
      <c r="E293">
        <v>295</v>
      </c>
      <c r="F293" t="s">
        <v>1515</v>
      </c>
      <c r="G293" t="s">
        <v>1929</v>
      </c>
      <c r="H293" t="s">
        <v>1525</v>
      </c>
      <c r="I293">
        <v>7</v>
      </c>
      <c r="J293" s="48">
        <v>0</v>
      </c>
      <c r="K293" s="48">
        <v>0</v>
      </c>
      <c r="L293" s="54">
        <v>46245</v>
      </c>
      <c r="M293" s="54">
        <v>46251</v>
      </c>
      <c r="N293" s="54">
        <v>46239</v>
      </c>
      <c r="O293" s="54">
        <v>46245</v>
      </c>
    </row>
    <row r="294" spans="2:15" x14ac:dyDescent="0.25">
      <c r="B294">
        <v>301</v>
      </c>
      <c r="C294" t="s">
        <v>276</v>
      </c>
      <c r="D294" t="s">
        <v>1378</v>
      </c>
      <c r="E294">
        <v>300</v>
      </c>
      <c r="F294" t="s">
        <v>1517</v>
      </c>
      <c r="G294">
        <v>302</v>
      </c>
      <c r="H294" t="s">
        <v>1519</v>
      </c>
      <c r="I294">
        <v>4</v>
      </c>
      <c r="J294" s="48">
        <v>0</v>
      </c>
      <c r="K294" s="48">
        <v>0</v>
      </c>
      <c r="L294" s="54">
        <v>46251</v>
      </c>
      <c r="M294" s="54">
        <v>46254</v>
      </c>
      <c r="N294" s="54">
        <v>46245</v>
      </c>
      <c r="O294" s="54">
        <v>46248</v>
      </c>
    </row>
    <row r="295" spans="2:15" x14ac:dyDescent="0.25">
      <c r="B295">
        <v>302</v>
      </c>
      <c r="C295" t="s">
        <v>276</v>
      </c>
      <c r="D295" t="s">
        <v>1378</v>
      </c>
      <c r="E295">
        <v>301</v>
      </c>
      <c r="F295" t="s">
        <v>1518</v>
      </c>
      <c r="G295">
        <v>303</v>
      </c>
      <c r="H295" t="s">
        <v>1519</v>
      </c>
      <c r="I295">
        <v>6</v>
      </c>
      <c r="J295" s="48">
        <v>0</v>
      </c>
      <c r="K295" s="48">
        <v>0</v>
      </c>
      <c r="L295" s="54">
        <v>46254</v>
      </c>
      <c r="M295" s="54">
        <v>46259</v>
      </c>
      <c r="N295" s="54">
        <v>46248</v>
      </c>
      <c r="O295" s="54">
        <v>46253</v>
      </c>
    </row>
    <row r="296" spans="2:15" x14ac:dyDescent="0.25">
      <c r="B296">
        <v>303</v>
      </c>
      <c r="C296" t="s">
        <v>276</v>
      </c>
      <c r="D296" t="s">
        <v>1378</v>
      </c>
      <c r="E296">
        <v>302</v>
      </c>
      <c r="F296" t="s">
        <v>1520</v>
      </c>
      <c r="G296">
        <v>76</v>
      </c>
      <c r="H296" t="s">
        <v>1519</v>
      </c>
      <c r="I296">
        <v>6</v>
      </c>
      <c r="J296" s="48">
        <v>0</v>
      </c>
      <c r="K296" s="48">
        <v>0</v>
      </c>
      <c r="L296" s="54">
        <v>46259</v>
      </c>
      <c r="M296" s="54">
        <v>46262</v>
      </c>
      <c r="N296" s="54">
        <v>46253</v>
      </c>
      <c r="O296" s="54">
        <v>46258</v>
      </c>
    </row>
    <row r="297" spans="2:15" x14ac:dyDescent="0.25">
      <c r="B297">
        <v>304</v>
      </c>
      <c r="C297" t="s">
        <v>277</v>
      </c>
      <c r="D297" t="s">
        <v>1382</v>
      </c>
      <c r="F297" t="s">
        <v>1630</v>
      </c>
      <c r="H297" t="s">
        <v>1559</v>
      </c>
      <c r="I297">
        <v>17</v>
      </c>
      <c r="J297" s="48">
        <v>0</v>
      </c>
      <c r="K297" s="48">
        <v>0</v>
      </c>
      <c r="L297" s="54">
        <v>46251</v>
      </c>
      <c r="M297" s="54">
        <v>46267</v>
      </c>
      <c r="N297" s="54">
        <v>46245</v>
      </c>
      <c r="O297" s="54">
        <v>46261</v>
      </c>
    </row>
    <row r="298" spans="2:15" x14ac:dyDescent="0.25">
      <c r="B298">
        <v>305</v>
      </c>
      <c r="C298" t="s">
        <v>277</v>
      </c>
      <c r="D298" t="s">
        <v>1382</v>
      </c>
      <c r="E298">
        <v>300</v>
      </c>
      <c r="F298" t="s">
        <v>1515</v>
      </c>
      <c r="G298">
        <v>306</v>
      </c>
      <c r="H298" t="s">
        <v>1519</v>
      </c>
      <c r="I298">
        <v>4</v>
      </c>
      <c r="J298" s="48">
        <v>0</v>
      </c>
      <c r="K298" s="48">
        <v>0</v>
      </c>
      <c r="L298" s="54">
        <v>46251</v>
      </c>
      <c r="M298" s="54">
        <v>46254</v>
      </c>
      <c r="N298" s="54">
        <v>46245</v>
      </c>
      <c r="O298" s="54">
        <v>46248</v>
      </c>
    </row>
    <row r="299" spans="2:15" x14ac:dyDescent="0.25">
      <c r="B299">
        <v>306</v>
      </c>
      <c r="C299" t="s">
        <v>277</v>
      </c>
      <c r="D299" t="s">
        <v>1382</v>
      </c>
      <c r="E299">
        <v>305</v>
      </c>
      <c r="F299" t="s">
        <v>1517</v>
      </c>
      <c r="G299">
        <v>307</v>
      </c>
      <c r="H299" t="s">
        <v>1519</v>
      </c>
      <c r="I299">
        <v>6</v>
      </c>
      <c r="J299" s="48">
        <v>0</v>
      </c>
      <c r="K299" s="48">
        <v>0</v>
      </c>
      <c r="L299" s="54">
        <v>46254</v>
      </c>
      <c r="M299" s="54">
        <v>46259</v>
      </c>
      <c r="N299" s="54">
        <v>46248</v>
      </c>
      <c r="O299" s="54">
        <v>46253</v>
      </c>
    </row>
    <row r="300" spans="2:15" x14ac:dyDescent="0.25">
      <c r="B300">
        <v>307</v>
      </c>
      <c r="C300" t="s">
        <v>277</v>
      </c>
      <c r="D300" t="s">
        <v>1382</v>
      </c>
      <c r="E300">
        <v>306</v>
      </c>
      <c r="F300" t="s">
        <v>1518</v>
      </c>
      <c r="G300">
        <v>308</v>
      </c>
      <c r="H300" t="s">
        <v>1519</v>
      </c>
      <c r="I300">
        <v>6</v>
      </c>
      <c r="J300" s="48">
        <v>0</v>
      </c>
      <c r="K300" s="48">
        <v>0</v>
      </c>
      <c r="L300" s="54">
        <v>46259</v>
      </c>
      <c r="M300" s="54">
        <v>46262</v>
      </c>
      <c r="N300" s="54">
        <v>46253</v>
      </c>
      <c r="O300" s="54">
        <v>46258</v>
      </c>
    </row>
    <row r="301" spans="2:15" x14ac:dyDescent="0.25">
      <c r="B301">
        <v>308</v>
      </c>
      <c r="C301" t="s">
        <v>277</v>
      </c>
      <c r="D301" t="s">
        <v>1382</v>
      </c>
      <c r="E301">
        <v>307</v>
      </c>
      <c r="F301" t="s">
        <v>1520</v>
      </c>
      <c r="G301">
        <v>76</v>
      </c>
      <c r="H301" t="s">
        <v>1519</v>
      </c>
      <c r="I301">
        <v>4</v>
      </c>
      <c r="J301" s="48">
        <v>0</v>
      </c>
      <c r="K301" s="48">
        <v>0</v>
      </c>
      <c r="L301" s="54">
        <v>46262</v>
      </c>
      <c r="M301" s="54">
        <v>46267</v>
      </c>
      <c r="N301" s="54">
        <v>46258</v>
      </c>
      <c r="O301" s="54">
        <v>46261</v>
      </c>
    </row>
    <row r="302" spans="2:15" x14ac:dyDescent="0.25">
      <c r="B302">
        <v>309</v>
      </c>
      <c r="F302" t="s">
        <v>1631</v>
      </c>
      <c r="H302" t="s">
        <v>1479</v>
      </c>
      <c r="I302">
        <v>44</v>
      </c>
      <c r="J302" s="48">
        <v>0</v>
      </c>
      <c r="K302" s="48">
        <v>5.7799999999999997E-2</v>
      </c>
      <c r="L302" s="54">
        <v>46213</v>
      </c>
      <c r="M302" s="54">
        <v>46258</v>
      </c>
      <c r="N302" s="54">
        <v>46209</v>
      </c>
      <c r="O302" s="54">
        <v>46252</v>
      </c>
    </row>
    <row r="303" spans="2:15" x14ac:dyDescent="0.25">
      <c r="B303">
        <v>310</v>
      </c>
      <c r="F303" t="s">
        <v>1560</v>
      </c>
      <c r="H303" t="s">
        <v>1479</v>
      </c>
      <c r="I303">
        <v>44</v>
      </c>
      <c r="J303" s="48">
        <v>0</v>
      </c>
      <c r="K303" s="48">
        <v>5.7799999999999997E-2</v>
      </c>
      <c r="L303" s="54">
        <v>46213</v>
      </c>
      <c r="M303" s="54">
        <v>46258</v>
      </c>
      <c r="N303" s="54">
        <v>46209</v>
      </c>
      <c r="O303" s="54">
        <v>46252</v>
      </c>
    </row>
    <row r="304" spans="2:15" x14ac:dyDescent="0.25">
      <c r="B304">
        <v>311</v>
      </c>
      <c r="F304" t="s">
        <v>1624</v>
      </c>
      <c r="H304" t="s">
        <v>1479</v>
      </c>
      <c r="I304">
        <v>44</v>
      </c>
      <c r="J304" s="48">
        <v>0</v>
      </c>
      <c r="K304" s="48">
        <v>5.7799999999999997E-2</v>
      </c>
      <c r="L304" s="54">
        <v>46213</v>
      </c>
      <c r="M304" s="54">
        <v>46258</v>
      </c>
      <c r="N304" s="54">
        <v>46209</v>
      </c>
      <c r="O304" s="54">
        <v>46252</v>
      </c>
    </row>
    <row r="305" spans="2:15" x14ac:dyDescent="0.25">
      <c r="B305">
        <v>312</v>
      </c>
      <c r="C305" t="s">
        <v>281</v>
      </c>
      <c r="D305" t="s">
        <v>1395</v>
      </c>
      <c r="F305" t="s">
        <v>1633</v>
      </c>
      <c r="H305" t="s">
        <v>1535</v>
      </c>
      <c r="I305">
        <v>18</v>
      </c>
      <c r="J305" s="48">
        <v>0</v>
      </c>
      <c r="K305" s="48">
        <v>0.34670000000000001</v>
      </c>
      <c r="L305" s="54">
        <v>46213</v>
      </c>
      <c r="M305" s="54">
        <v>46232</v>
      </c>
      <c r="N305" s="54">
        <v>46209</v>
      </c>
      <c r="O305" s="54">
        <v>46226</v>
      </c>
    </row>
    <row r="306" spans="2:15" x14ac:dyDescent="0.25">
      <c r="B306">
        <v>313</v>
      </c>
      <c r="C306" t="s">
        <v>281</v>
      </c>
      <c r="D306" t="s">
        <v>1395</v>
      </c>
      <c r="E306">
        <v>1022</v>
      </c>
      <c r="F306" t="s">
        <v>1515</v>
      </c>
      <c r="G306" t="s">
        <v>1930</v>
      </c>
      <c r="H306" t="s">
        <v>1525</v>
      </c>
      <c r="I306">
        <v>5</v>
      </c>
      <c r="J306" s="48">
        <v>0</v>
      </c>
      <c r="K306" s="48">
        <v>0.5</v>
      </c>
      <c r="L306" s="54">
        <v>46213</v>
      </c>
      <c r="M306" s="54">
        <v>46219</v>
      </c>
      <c r="N306" s="54">
        <v>46209</v>
      </c>
      <c r="O306" s="54">
        <v>46213</v>
      </c>
    </row>
    <row r="307" spans="2:15" x14ac:dyDescent="0.25">
      <c r="B307">
        <v>314</v>
      </c>
      <c r="C307" t="s">
        <v>281</v>
      </c>
      <c r="D307" t="s">
        <v>1395</v>
      </c>
      <c r="E307">
        <v>313</v>
      </c>
      <c r="F307" t="s">
        <v>1517</v>
      </c>
      <c r="G307">
        <v>315</v>
      </c>
      <c r="H307" t="s">
        <v>1519</v>
      </c>
      <c r="I307">
        <v>6</v>
      </c>
      <c r="J307" s="48">
        <v>0</v>
      </c>
      <c r="K307" s="48">
        <v>0</v>
      </c>
      <c r="L307" s="54">
        <v>46219</v>
      </c>
      <c r="M307" s="54">
        <v>46224</v>
      </c>
      <c r="N307" s="54">
        <v>46213</v>
      </c>
      <c r="O307" s="54">
        <v>46218</v>
      </c>
    </row>
    <row r="308" spans="2:15" x14ac:dyDescent="0.25">
      <c r="B308">
        <v>315</v>
      </c>
      <c r="C308" t="s">
        <v>281</v>
      </c>
      <c r="D308" t="s">
        <v>1395</v>
      </c>
      <c r="E308">
        <v>314</v>
      </c>
      <c r="F308" t="s">
        <v>1518</v>
      </c>
      <c r="G308">
        <v>316</v>
      </c>
      <c r="H308" t="s">
        <v>1519</v>
      </c>
      <c r="I308">
        <v>6</v>
      </c>
      <c r="J308" s="48">
        <v>0</v>
      </c>
      <c r="K308" s="48">
        <v>0</v>
      </c>
      <c r="L308" s="54">
        <v>46224</v>
      </c>
      <c r="M308" s="54">
        <v>46227</v>
      </c>
      <c r="N308" s="54">
        <v>46218</v>
      </c>
      <c r="O308" s="54">
        <v>46223</v>
      </c>
    </row>
    <row r="309" spans="2:15" x14ac:dyDescent="0.25">
      <c r="B309">
        <v>316</v>
      </c>
      <c r="C309" t="s">
        <v>281</v>
      </c>
      <c r="D309" t="s">
        <v>1395</v>
      </c>
      <c r="E309">
        <v>315</v>
      </c>
      <c r="F309" t="s">
        <v>1520</v>
      </c>
      <c r="G309">
        <v>76</v>
      </c>
      <c r="H309" t="s">
        <v>1519</v>
      </c>
      <c r="I309">
        <v>4</v>
      </c>
      <c r="J309" s="48">
        <v>0</v>
      </c>
      <c r="K309" s="48">
        <v>0</v>
      </c>
      <c r="L309" s="54">
        <v>46227</v>
      </c>
      <c r="M309" s="54">
        <v>46232</v>
      </c>
      <c r="N309" s="54">
        <v>46223</v>
      </c>
      <c r="O309" s="54">
        <v>46226</v>
      </c>
    </row>
    <row r="310" spans="2:15" x14ac:dyDescent="0.25">
      <c r="B310">
        <v>317</v>
      </c>
      <c r="C310" t="s">
        <v>283</v>
      </c>
      <c r="D310" t="s">
        <v>1401</v>
      </c>
      <c r="F310" t="s">
        <v>1634</v>
      </c>
      <c r="H310" t="s">
        <v>1535</v>
      </c>
      <c r="I310">
        <v>20</v>
      </c>
      <c r="J310" s="48">
        <v>0</v>
      </c>
      <c r="K310" s="48">
        <v>0</v>
      </c>
      <c r="L310" s="54">
        <v>46219</v>
      </c>
      <c r="M310" s="54">
        <v>46238</v>
      </c>
      <c r="N310" s="54">
        <v>46213</v>
      </c>
      <c r="O310" s="54">
        <v>46232</v>
      </c>
    </row>
    <row r="311" spans="2:15" x14ac:dyDescent="0.25">
      <c r="B311">
        <v>318</v>
      </c>
      <c r="C311" t="s">
        <v>283</v>
      </c>
      <c r="D311" t="s">
        <v>1401</v>
      </c>
      <c r="E311">
        <v>313</v>
      </c>
      <c r="F311" t="s">
        <v>1515</v>
      </c>
      <c r="G311" t="s">
        <v>1931</v>
      </c>
      <c r="H311" t="s">
        <v>1525</v>
      </c>
      <c r="I311">
        <v>7</v>
      </c>
      <c r="J311" s="48">
        <v>0</v>
      </c>
      <c r="K311" s="48">
        <v>0</v>
      </c>
      <c r="L311" s="54">
        <v>46219</v>
      </c>
      <c r="M311" s="54">
        <v>46225</v>
      </c>
      <c r="N311" s="54">
        <v>46213</v>
      </c>
      <c r="O311" s="54">
        <v>46219</v>
      </c>
    </row>
    <row r="312" spans="2:15" x14ac:dyDescent="0.25">
      <c r="B312">
        <v>319</v>
      </c>
      <c r="C312" t="s">
        <v>283</v>
      </c>
      <c r="D312" t="s">
        <v>1401</v>
      </c>
      <c r="E312">
        <v>318</v>
      </c>
      <c r="F312" t="s">
        <v>1517</v>
      </c>
      <c r="G312">
        <v>320</v>
      </c>
      <c r="H312" t="s">
        <v>1519</v>
      </c>
      <c r="I312">
        <v>6</v>
      </c>
      <c r="J312" s="48">
        <v>0</v>
      </c>
      <c r="K312" s="48">
        <v>0</v>
      </c>
      <c r="L312" s="54">
        <v>46225</v>
      </c>
      <c r="M312" s="54">
        <v>46230</v>
      </c>
      <c r="N312" s="54">
        <v>46219</v>
      </c>
      <c r="O312" s="54">
        <v>46224</v>
      </c>
    </row>
    <row r="313" spans="2:15" x14ac:dyDescent="0.25">
      <c r="B313">
        <v>320</v>
      </c>
      <c r="C313" t="s">
        <v>283</v>
      </c>
      <c r="D313" t="s">
        <v>1401</v>
      </c>
      <c r="E313">
        <v>319</v>
      </c>
      <c r="F313" t="s">
        <v>1518</v>
      </c>
      <c r="G313">
        <v>321</v>
      </c>
      <c r="H313" t="s">
        <v>1519</v>
      </c>
      <c r="I313">
        <v>4</v>
      </c>
      <c r="J313" s="48">
        <v>0</v>
      </c>
      <c r="K313" s="48">
        <v>0</v>
      </c>
      <c r="L313" s="54">
        <v>46230</v>
      </c>
      <c r="M313" s="54">
        <v>46233</v>
      </c>
      <c r="N313" s="54">
        <v>46224</v>
      </c>
      <c r="O313" s="54">
        <v>46227</v>
      </c>
    </row>
    <row r="314" spans="2:15" x14ac:dyDescent="0.25">
      <c r="B314">
        <v>321</v>
      </c>
      <c r="C314" t="s">
        <v>283</v>
      </c>
      <c r="D314" t="s">
        <v>1401</v>
      </c>
      <c r="E314">
        <v>320</v>
      </c>
      <c r="F314" t="s">
        <v>1520</v>
      </c>
      <c r="G314">
        <v>76</v>
      </c>
      <c r="H314" t="s">
        <v>1519</v>
      </c>
      <c r="I314">
        <v>6</v>
      </c>
      <c r="J314" s="48">
        <v>0</v>
      </c>
      <c r="K314" s="48">
        <v>0</v>
      </c>
      <c r="L314" s="54">
        <v>46233</v>
      </c>
      <c r="M314" s="54">
        <v>46238</v>
      </c>
      <c r="N314" s="54">
        <v>46227</v>
      </c>
      <c r="O314" s="54">
        <v>46232</v>
      </c>
    </row>
    <row r="315" spans="2:15" x14ac:dyDescent="0.25">
      <c r="B315">
        <v>322</v>
      </c>
      <c r="C315" t="s">
        <v>273</v>
      </c>
      <c r="D315" t="s">
        <v>1363</v>
      </c>
      <c r="F315" t="s">
        <v>1635</v>
      </c>
      <c r="H315" t="s">
        <v>1535</v>
      </c>
      <c r="I315">
        <v>20</v>
      </c>
      <c r="J315" s="48">
        <v>0</v>
      </c>
      <c r="K315" s="48">
        <v>0</v>
      </c>
      <c r="L315" s="54">
        <v>46225</v>
      </c>
      <c r="M315" s="54">
        <v>46244</v>
      </c>
      <c r="N315" s="54">
        <v>46219</v>
      </c>
      <c r="O315" s="54">
        <v>46238</v>
      </c>
    </row>
    <row r="316" spans="2:15" x14ac:dyDescent="0.25">
      <c r="B316">
        <v>323</v>
      </c>
      <c r="C316" t="s">
        <v>273</v>
      </c>
      <c r="D316" t="s">
        <v>1363</v>
      </c>
      <c r="E316">
        <v>318</v>
      </c>
      <c r="F316" t="s">
        <v>1515</v>
      </c>
      <c r="G316" t="s">
        <v>1932</v>
      </c>
      <c r="H316" t="s">
        <v>1525</v>
      </c>
      <c r="I316">
        <v>7</v>
      </c>
      <c r="J316" s="48">
        <v>0</v>
      </c>
      <c r="K316" s="48">
        <v>0</v>
      </c>
      <c r="L316" s="54">
        <v>46225</v>
      </c>
      <c r="M316" s="54">
        <v>46231</v>
      </c>
      <c r="N316" s="54">
        <v>46219</v>
      </c>
      <c r="O316" s="54">
        <v>46225</v>
      </c>
    </row>
    <row r="317" spans="2:15" x14ac:dyDescent="0.25">
      <c r="B317">
        <v>324</v>
      </c>
      <c r="C317" t="s">
        <v>273</v>
      </c>
      <c r="D317" t="s">
        <v>1363</v>
      </c>
      <c r="E317">
        <v>323</v>
      </c>
      <c r="F317" t="s">
        <v>1517</v>
      </c>
      <c r="G317">
        <v>325</v>
      </c>
      <c r="H317" t="s">
        <v>1519</v>
      </c>
      <c r="I317">
        <v>6</v>
      </c>
      <c r="J317" s="48">
        <v>0</v>
      </c>
      <c r="K317" s="48">
        <v>0</v>
      </c>
      <c r="L317" s="54">
        <v>46231</v>
      </c>
      <c r="M317" s="54">
        <v>46234</v>
      </c>
      <c r="N317" s="54">
        <v>46225</v>
      </c>
      <c r="O317" s="54">
        <v>46230</v>
      </c>
    </row>
    <row r="318" spans="2:15" x14ac:dyDescent="0.25">
      <c r="B318">
        <v>325</v>
      </c>
      <c r="C318" t="s">
        <v>273</v>
      </c>
      <c r="D318" t="s">
        <v>1363</v>
      </c>
      <c r="E318">
        <v>324</v>
      </c>
      <c r="F318" t="s">
        <v>1518</v>
      </c>
      <c r="G318">
        <v>326</v>
      </c>
      <c r="H318" t="s">
        <v>1519</v>
      </c>
      <c r="I318">
        <v>4</v>
      </c>
      <c r="J318" s="48">
        <v>0</v>
      </c>
      <c r="K318" s="48">
        <v>0</v>
      </c>
      <c r="L318" s="54">
        <v>46234</v>
      </c>
      <c r="M318" s="54">
        <v>46239</v>
      </c>
      <c r="N318" s="54">
        <v>46230</v>
      </c>
      <c r="O318" s="54">
        <v>46233</v>
      </c>
    </row>
    <row r="319" spans="2:15" x14ac:dyDescent="0.25">
      <c r="B319">
        <v>326</v>
      </c>
      <c r="C319" t="s">
        <v>273</v>
      </c>
      <c r="D319" t="s">
        <v>1363</v>
      </c>
      <c r="E319">
        <v>325</v>
      </c>
      <c r="F319" t="s">
        <v>1520</v>
      </c>
      <c r="G319">
        <v>76</v>
      </c>
      <c r="H319" t="s">
        <v>1519</v>
      </c>
      <c r="I319">
        <v>6</v>
      </c>
      <c r="J319" s="48">
        <v>0</v>
      </c>
      <c r="K319" s="48">
        <v>0</v>
      </c>
      <c r="L319" s="54">
        <v>46239</v>
      </c>
      <c r="M319" s="54">
        <v>46244</v>
      </c>
      <c r="N319" s="54">
        <v>46233</v>
      </c>
      <c r="O319" s="54">
        <v>46238</v>
      </c>
    </row>
    <row r="320" spans="2:15" x14ac:dyDescent="0.25">
      <c r="B320">
        <v>327</v>
      </c>
      <c r="C320" t="s">
        <v>275</v>
      </c>
      <c r="D320" t="s">
        <v>1373</v>
      </c>
      <c r="F320" t="s">
        <v>1636</v>
      </c>
      <c r="H320" t="s">
        <v>1535</v>
      </c>
      <c r="I320">
        <v>20</v>
      </c>
      <c r="J320" s="48">
        <v>0</v>
      </c>
      <c r="K320" s="48">
        <v>0</v>
      </c>
      <c r="L320" s="54">
        <v>46231</v>
      </c>
      <c r="M320" s="54">
        <v>46248</v>
      </c>
      <c r="N320" s="54">
        <v>46225</v>
      </c>
      <c r="O320" s="54">
        <v>46244</v>
      </c>
    </row>
    <row r="321" spans="2:15" x14ac:dyDescent="0.25">
      <c r="B321">
        <v>328</v>
      </c>
      <c r="C321" t="s">
        <v>275</v>
      </c>
      <c r="D321" t="s">
        <v>1373</v>
      </c>
      <c r="E321">
        <v>323</v>
      </c>
      <c r="F321" t="s">
        <v>1515</v>
      </c>
      <c r="G321" t="s">
        <v>1933</v>
      </c>
      <c r="H321" t="s">
        <v>1525</v>
      </c>
      <c r="I321">
        <v>7</v>
      </c>
      <c r="J321" s="48">
        <v>0</v>
      </c>
      <c r="K321" s="48">
        <v>0</v>
      </c>
      <c r="L321" s="54">
        <v>46231</v>
      </c>
      <c r="M321" s="54">
        <v>46237</v>
      </c>
      <c r="N321" s="54">
        <v>46225</v>
      </c>
      <c r="O321" s="54">
        <v>46231</v>
      </c>
    </row>
    <row r="322" spans="2:15" x14ac:dyDescent="0.25">
      <c r="B322">
        <v>329</v>
      </c>
      <c r="C322" t="s">
        <v>275</v>
      </c>
      <c r="D322" t="s">
        <v>1373</v>
      </c>
      <c r="E322">
        <v>328</v>
      </c>
      <c r="F322" t="s">
        <v>1517</v>
      </c>
      <c r="G322">
        <v>330</v>
      </c>
      <c r="H322" t="s">
        <v>1519</v>
      </c>
      <c r="I322">
        <v>4</v>
      </c>
      <c r="J322" s="48">
        <v>0</v>
      </c>
      <c r="K322" s="48">
        <v>0</v>
      </c>
      <c r="L322" s="54">
        <v>46237</v>
      </c>
      <c r="M322" s="54">
        <v>46240</v>
      </c>
      <c r="N322" s="54">
        <v>46231</v>
      </c>
      <c r="O322" s="54">
        <v>46234</v>
      </c>
    </row>
    <row r="323" spans="2:15" x14ac:dyDescent="0.25">
      <c r="B323">
        <v>330</v>
      </c>
      <c r="C323" t="s">
        <v>275</v>
      </c>
      <c r="D323" t="s">
        <v>1373</v>
      </c>
      <c r="E323">
        <v>329</v>
      </c>
      <c r="F323" t="s">
        <v>1518</v>
      </c>
      <c r="G323">
        <v>331</v>
      </c>
      <c r="H323" t="s">
        <v>1519</v>
      </c>
      <c r="I323">
        <v>6</v>
      </c>
      <c r="J323" s="48">
        <v>0</v>
      </c>
      <c r="K323" s="48">
        <v>0</v>
      </c>
      <c r="L323" s="54">
        <v>46240</v>
      </c>
      <c r="M323" s="54">
        <v>46245</v>
      </c>
      <c r="N323" s="54">
        <v>46234</v>
      </c>
      <c r="O323" s="54">
        <v>46239</v>
      </c>
    </row>
    <row r="324" spans="2:15" x14ac:dyDescent="0.25">
      <c r="B324">
        <v>331</v>
      </c>
      <c r="C324" t="s">
        <v>275</v>
      </c>
      <c r="D324" t="s">
        <v>1373</v>
      </c>
      <c r="E324">
        <v>330</v>
      </c>
      <c r="F324" t="s">
        <v>1520</v>
      </c>
      <c r="G324">
        <v>76</v>
      </c>
      <c r="H324" t="s">
        <v>1519</v>
      </c>
      <c r="I324">
        <v>6</v>
      </c>
      <c r="J324" s="48">
        <v>0</v>
      </c>
      <c r="K324" s="48">
        <v>0</v>
      </c>
      <c r="L324" s="54">
        <v>46245</v>
      </c>
      <c r="M324" s="54">
        <v>46248</v>
      </c>
      <c r="N324" s="54">
        <v>46239</v>
      </c>
      <c r="O324" s="54">
        <v>46244</v>
      </c>
    </row>
    <row r="325" spans="2:15" x14ac:dyDescent="0.25">
      <c r="B325">
        <v>332</v>
      </c>
      <c r="C325" t="s">
        <v>266</v>
      </c>
      <c r="D325" t="s">
        <v>1335</v>
      </c>
      <c r="F325" t="s">
        <v>1637</v>
      </c>
      <c r="H325" t="s">
        <v>1535</v>
      </c>
      <c r="I325">
        <v>18</v>
      </c>
      <c r="J325" s="48">
        <v>0</v>
      </c>
      <c r="K325" s="48">
        <v>0</v>
      </c>
      <c r="L325" s="54">
        <v>46237</v>
      </c>
      <c r="M325" s="54">
        <v>46254</v>
      </c>
      <c r="N325" s="54">
        <v>46231</v>
      </c>
      <c r="O325" s="54">
        <v>46248</v>
      </c>
    </row>
    <row r="326" spans="2:15" x14ac:dyDescent="0.25">
      <c r="B326">
        <v>333</v>
      </c>
      <c r="C326" t="s">
        <v>266</v>
      </c>
      <c r="D326" t="s">
        <v>1335</v>
      </c>
      <c r="E326">
        <v>328</v>
      </c>
      <c r="F326" t="s">
        <v>1515</v>
      </c>
      <c r="G326" t="s">
        <v>1934</v>
      </c>
      <c r="H326" t="s">
        <v>1525</v>
      </c>
      <c r="I326">
        <v>7</v>
      </c>
      <c r="J326" s="48">
        <v>0</v>
      </c>
      <c r="K326" s="48">
        <v>0</v>
      </c>
      <c r="L326" s="54">
        <v>46237</v>
      </c>
      <c r="M326" s="54">
        <v>46241</v>
      </c>
      <c r="N326" s="54">
        <v>46231</v>
      </c>
      <c r="O326" s="54">
        <v>46237</v>
      </c>
    </row>
    <row r="327" spans="2:15" x14ac:dyDescent="0.25">
      <c r="B327">
        <v>334</v>
      </c>
      <c r="C327" t="s">
        <v>266</v>
      </c>
      <c r="D327" t="s">
        <v>1335</v>
      </c>
      <c r="E327">
        <v>333</v>
      </c>
      <c r="F327" t="s">
        <v>1517</v>
      </c>
      <c r="G327">
        <v>335</v>
      </c>
      <c r="H327" t="s">
        <v>1519</v>
      </c>
      <c r="I327">
        <v>4</v>
      </c>
      <c r="J327" s="48">
        <v>0</v>
      </c>
      <c r="K327" s="48">
        <v>0</v>
      </c>
      <c r="L327" s="54">
        <v>46241</v>
      </c>
      <c r="M327" s="54">
        <v>46246</v>
      </c>
      <c r="N327" s="54">
        <v>46237</v>
      </c>
      <c r="O327" s="54">
        <v>46240</v>
      </c>
    </row>
    <row r="328" spans="2:15" x14ac:dyDescent="0.25">
      <c r="B328">
        <v>335</v>
      </c>
      <c r="C328" t="s">
        <v>266</v>
      </c>
      <c r="D328" t="s">
        <v>1335</v>
      </c>
      <c r="E328">
        <v>334</v>
      </c>
      <c r="F328" t="s">
        <v>1518</v>
      </c>
      <c r="G328">
        <v>336</v>
      </c>
      <c r="H328" t="s">
        <v>1519</v>
      </c>
      <c r="I328">
        <v>6</v>
      </c>
      <c r="J328" s="48">
        <v>0</v>
      </c>
      <c r="K328" s="48">
        <v>0</v>
      </c>
      <c r="L328" s="54">
        <v>46246</v>
      </c>
      <c r="M328" s="54">
        <v>46251</v>
      </c>
      <c r="N328" s="54">
        <v>46240</v>
      </c>
      <c r="O328" s="54">
        <v>46245</v>
      </c>
    </row>
    <row r="329" spans="2:15" x14ac:dyDescent="0.25">
      <c r="B329">
        <v>336</v>
      </c>
      <c r="C329" t="s">
        <v>266</v>
      </c>
      <c r="D329" t="s">
        <v>1335</v>
      </c>
      <c r="E329">
        <v>335</v>
      </c>
      <c r="F329" t="s">
        <v>1520</v>
      </c>
      <c r="G329">
        <v>76</v>
      </c>
      <c r="H329" t="s">
        <v>1519</v>
      </c>
      <c r="I329">
        <v>4</v>
      </c>
      <c r="J329" s="48">
        <v>0</v>
      </c>
      <c r="K329" s="48">
        <v>0</v>
      </c>
      <c r="L329" s="54">
        <v>46251</v>
      </c>
      <c r="M329" s="54">
        <v>46254</v>
      </c>
      <c r="N329" s="54">
        <v>46245</v>
      </c>
      <c r="O329" s="54">
        <v>46248</v>
      </c>
    </row>
    <row r="330" spans="2:15" x14ac:dyDescent="0.25">
      <c r="B330">
        <v>337</v>
      </c>
      <c r="C330" t="s">
        <v>270</v>
      </c>
      <c r="D330" t="s">
        <v>1351</v>
      </c>
      <c r="F330" t="s">
        <v>1638</v>
      </c>
      <c r="H330" t="s">
        <v>1535</v>
      </c>
      <c r="I330">
        <v>18</v>
      </c>
      <c r="J330" s="48">
        <v>0</v>
      </c>
      <c r="K330" s="48">
        <v>0</v>
      </c>
      <c r="L330" s="54">
        <v>46237</v>
      </c>
      <c r="M330" s="54">
        <v>46254</v>
      </c>
      <c r="N330" s="54">
        <v>46231</v>
      </c>
      <c r="O330" s="54">
        <v>46248</v>
      </c>
    </row>
    <row r="331" spans="2:15" x14ac:dyDescent="0.25">
      <c r="B331">
        <v>338</v>
      </c>
      <c r="C331" t="s">
        <v>270</v>
      </c>
      <c r="D331" t="s">
        <v>1351</v>
      </c>
      <c r="E331" t="s">
        <v>1935</v>
      </c>
      <c r="F331" t="s">
        <v>1515</v>
      </c>
      <c r="G331" t="s">
        <v>1936</v>
      </c>
      <c r="H331" t="s">
        <v>1525</v>
      </c>
      <c r="I331">
        <v>7</v>
      </c>
      <c r="J331" s="48">
        <v>0</v>
      </c>
      <c r="K331" s="48">
        <v>0</v>
      </c>
      <c r="L331" s="54">
        <v>46237</v>
      </c>
      <c r="M331" s="54">
        <v>46241</v>
      </c>
      <c r="N331" s="54">
        <v>46231</v>
      </c>
      <c r="O331" s="54">
        <v>46237</v>
      </c>
    </row>
    <row r="332" spans="2:15" x14ac:dyDescent="0.25">
      <c r="B332">
        <v>339</v>
      </c>
      <c r="C332" t="s">
        <v>270</v>
      </c>
      <c r="D332" t="s">
        <v>1351</v>
      </c>
      <c r="E332">
        <v>338</v>
      </c>
      <c r="F332" t="s">
        <v>1517</v>
      </c>
      <c r="G332">
        <v>340</v>
      </c>
      <c r="H332" t="s">
        <v>1519</v>
      </c>
      <c r="I332">
        <v>4</v>
      </c>
      <c r="J332" s="48">
        <v>0</v>
      </c>
      <c r="K332" s="48">
        <v>0</v>
      </c>
      <c r="L332" s="54">
        <v>46241</v>
      </c>
      <c r="M332" s="54">
        <v>46246</v>
      </c>
      <c r="N332" s="54">
        <v>46237</v>
      </c>
      <c r="O332" s="54">
        <v>46240</v>
      </c>
    </row>
    <row r="333" spans="2:15" x14ac:dyDescent="0.25">
      <c r="B333">
        <v>340</v>
      </c>
      <c r="C333" t="s">
        <v>270</v>
      </c>
      <c r="D333" t="s">
        <v>1351</v>
      </c>
      <c r="E333">
        <v>339</v>
      </c>
      <c r="F333" t="s">
        <v>1518</v>
      </c>
      <c r="G333">
        <v>341</v>
      </c>
      <c r="H333" t="s">
        <v>1519</v>
      </c>
      <c r="I333">
        <v>6</v>
      </c>
      <c r="J333" s="48">
        <v>0</v>
      </c>
      <c r="K333" s="48">
        <v>0</v>
      </c>
      <c r="L333" s="54">
        <v>46246</v>
      </c>
      <c r="M333" s="54">
        <v>46251</v>
      </c>
      <c r="N333" s="54">
        <v>46240</v>
      </c>
      <c r="O333" s="54">
        <v>46245</v>
      </c>
    </row>
    <row r="334" spans="2:15" x14ac:dyDescent="0.25">
      <c r="B334">
        <v>341</v>
      </c>
      <c r="C334" t="s">
        <v>270</v>
      </c>
      <c r="D334" t="s">
        <v>1351</v>
      </c>
      <c r="E334">
        <v>340</v>
      </c>
      <c r="F334" t="s">
        <v>1520</v>
      </c>
      <c r="G334">
        <v>76</v>
      </c>
      <c r="H334" t="s">
        <v>1519</v>
      </c>
      <c r="I334">
        <v>4</v>
      </c>
      <c r="J334" s="48">
        <v>0</v>
      </c>
      <c r="K334" s="48">
        <v>0</v>
      </c>
      <c r="L334" s="54">
        <v>46251</v>
      </c>
      <c r="M334" s="54">
        <v>46254</v>
      </c>
      <c r="N334" s="54">
        <v>46245</v>
      </c>
      <c r="O334" s="54">
        <v>46248</v>
      </c>
    </row>
    <row r="335" spans="2:15" x14ac:dyDescent="0.25">
      <c r="B335">
        <v>342</v>
      </c>
      <c r="C335" t="s">
        <v>271</v>
      </c>
      <c r="D335" t="s">
        <v>1355</v>
      </c>
      <c r="F335" t="s">
        <v>1639</v>
      </c>
      <c r="H335" t="s">
        <v>1535</v>
      </c>
      <c r="I335">
        <v>18</v>
      </c>
      <c r="J335" s="48">
        <v>0</v>
      </c>
      <c r="K335" s="48">
        <v>0</v>
      </c>
      <c r="L335" s="54">
        <v>46237</v>
      </c>
      <c r="M335" s="54">
        <v>46254</v>
      </c>
      <c r="N335" s="54">
        <v>46231</v>
      </c>
      <c r="O335" s="54">
        <v>46248</v>
      </c>
    </row>
    <row r="336" spans="2:15" x14ac:dyDescent="0.25">
      <c r="B336">
        <v>343</v>
      </c>
      <c r="C336" t="s">
        <v>271</v>
      </c>
      <c r="D336" t="s">
        <v>1355</v>
      </c>
      <c r="E336" t="s">
        <v>1937</v>
      </c>
      <c r="F336" t="s">
        <v>1515</v>
      </c>
      <c r="G336" t="s">
        <v>1938</v>
      </c>
      <c r="H336" t="s">
        <v>1525</v>
      </c>
      <c r="I336">
        <v>7</v>
      </c>
      <c r="J336" s="48">
        <v>0</v>
      </c>
      <c r="K336" s="48">
        <v>0</v>
      </c>
      <c r="L336" s="54">
        <v>46237</v>
      </c>
      <c r="M336" s="54">
        <v>46241</v>
      </c>
      <c r="N336" s="54">
        <v>46231</v>
      </c>
      <c r="O336" s="54">
        <v>46237</v>
      </c>
    </row>
    <row r="337" spans="2:15" x14ac:dyDescent="0.25">
      <c r="B337">
        <v>344</v>
      </c>
      <c r="C337" t="s">
        <v>271</v>
      </c>
      <c r="D337" t="s">
        <v>1355</v>
      </c>
      <c r="E337">
        <v>343</v>
      </c>
      <c r="F337" t="s">
        <v>1517</v>
      </c>
      <c r="G337">
        <v>345</v>
      </c>
      <c r="H337" t="s">
        <v>1519</v>
      </c>
      <c r="I337">
        <v>4</v>
      </c>
      <c r="J337" s="48">
        <v>0</v>
      </c>
      <c r="K337" s="48">
        <v>0</v>
      </c>
      <c r="L337" s="54">
        <v>46241</v>
      </c>
      <c r="M337" s="54">
        <v>46246</v>
      </c>
      <c r="N337" s="54">
        <v>46237</v>
      </c>
      <c r="O337" s="54">
        <v>46240</v>
      </c>
    </row>
    <row r="338" spans="2:15" x14ac:dyDescent="0.25">
      <c r="B338">
        <v>345</v>
      </c>
      <c r="C338" t="s">
        <v>271</v>
      </c>
      <c r="D338" t="s">
        <v>1355</v>
      </c>
      <c r="E338">
        <v>344</v>
      </c>
      <c r="F338" t="s">
        <v>1518</v>
      </c>
      <c r="G338">
        <v>346</v>
      </c>
      <c r="H338" t="s">
        <v>1519</v>
      </c>
      <c r="I338">
        <v>6</v>
      </c>
      <c r="J338" s="48">
        <v>0</v>
      </c>
      <c r="K338" s="48">
        <v>0</v>
      </c>
      <c r="L338" s="54">
        <v>46246</v>
      </c>
      <c r="M338" s="54">
        <v>46251</v>
      </c>
      <c r="N338" s="54">
        <v>46240</v>
      </c>
      <c r="O338" s="54">
        <v>46245</v>
      </c>
    </row>
    <row r="339" spans="2:15" x14ac:dyDescent="0.25">
      <c r="B339">
        <v>346</v>
      </c>
      <c r="C339" t="s">
        <v>271</v>
      </c>
      <c r="D339" t="s">
        <v>1355</v>
      </c>
      <c r="E339">
        <v>345</v>
      </c>
      <c r="F339" t="s">
        <v>1520</v>
      </c>
      <c r="G339">
        <v>76</v>
      </c>
      <c r="H339" t="s">
        <v>1519</v>
      </c>
      <c r="I339">
        <v>4</v>
      </c>
      <c r="J339" s="48">
        <v>0</v>
      </c>
      <c r="K339" s="48">
        <v>0</v>
      </c>
      <c r="L339" s="54">
        <v>46251</v>
      </c>
      <c r="M339" s="54">
        <v>46254</v>
      </c>
      <c r="N339" s="54">
        <v>46245</v>
      </c>
      <c r="O339" s="54">
        <v>46248</v>
      </c>
    </row>
    <row r="340" spans="2:15" x14ac:dyDescent="0.25">
      <c r="B340">
        <v>347</v>
      </c>
      <c r="C340" t="s">
        <v>272</v>
      </c>
      <c r="D340" t="s">
        <v>1360</v>
      </c>
      <c r="F340" t="s">
        <v>1639</v>
      </c>
      <c r="H340" t="s">
        <v>1535</v>
      </c>
      <c r="I340">
        <v>18</v>
      </c>
      <c r="J340" s="48">
        <v>0</v>
      </c>
      <c r="K340" s="48">
        <v>0</v>
      </c>
      <c r="L340" s="54">
        <v>46237</v>
      </c>
      <c r="M340" s="54">
        <v>46254</v>
      </c>
      <c r="N340" s="54">
        <v>46231</v>
      </c>
      <c r="O340" s="54">
        <v>46248</v>
      </c>
    </row>
    <row r="341" spans="2:15" x14ac:dyDescent="0.25">
      <c r="B341">
        <v>348</v>
      </c>
      <c r="C341" t="s">
        <v>272</v>
      </c>
      <c r="D341" t="s">
        <v>1360</v>
      </c>
      <c r="E341" t="s">
        <v>1939</v>
      </c>
      <c r="F341" t="s">
        <v>1515</v>
      </c>
      <c r="G341" t="s">
        <v>1940</v>
      </c>
      <c r="H341" t="s">
        <v>1525</v>
      </c>
      <c r="I341">
        <v>7</v>
      </c>
      <c r="J341" s="48">
        <v>0</v>
      </c>
      <c r="K341" s="48">
        <v>0</v>
      </c>
      <c r="L341" s="54">
        <v>46237</v>
      </c>
      <c r="M341" s="54">
        <v>46241</v>
      </c>
      <c r="N341" s="54">
        <v>46231</v>
      </c>
      <c r="O341" s="54">
        <v>46237</v>
      </c>
    </row>
    <row r="342" spans="2:15" x14ac:dyDescent="0.25">
      <c r="B342">
        <v>349</v>
      </c>
      <c r="C342" t="s">
        <v>272</v>
      </c>
      <c r="D342" t="s">
        <v>1360</v>
      </c>
      <c r="E342">
        <v>348</v>
      </c>
      <c r="F342" t="s">
        <v>1517</v>
      </c>
      <c r="G342">
        <v>350</v>
      </c>
      <c r="H342" t="s">
        <v>1519</v>
      </c>
      <c r="I342">
        <v>4</v>
      </c>
      <c r="J342" s="48">
        <v>0</v>
      </c>
      <c r="K342" s="48">
        <v>0</v>
      </c>
      <c r="L342" s="54">
        <v>46241</v>
      </c>
      <c r="M342" s="54">
        <v>46246</v>
      </c>
      <c r="N342" s="54">
        <v>46237</v>
      </c>
      <c r="O342" s="54">
        <v>46240</v>
      </c>
    </row>
    <row r="343" spans="2:15" x14ac:dyDescent="0.25">
      <c r="B343">
        <v>350</v>
      </c>
      <c r="C343" t="s">
        <v>272</v>
      </c>
      <c r="D343" t="s">
        <v>1360</v>
      </c>
      <c r="E343">
        <v>349</v>
      </c>
      <c r="F343" t="s">
        <v>1518</v>
      </c>
      <c r="G343">
        <v>351</v>
      </c>
      <c r="H343" t="s">
        <v>1519</v>
      </c>
      <c r="I343">
        <v>6</v>
      </c>
      <c r="J343" s="48">
        <v>0</v>
      </c>
      <c r="K343" s="48">
        <v>0</v>
      </c>
      <c r="L343" s="54">
        <v>46246</v>
      </c>
      <c r="M343" s="54">
        <v>46251</v>
      </c>
      <c r="N343" s="54">
        <v>46240</v>
      </c>
      <c r="O343" s="54">
        <v>46245</v>
      </c>
    </row>
    <row r="344" spans="2:15" x14ac:dyDescent="0.25">
      <c r="B344">
        <v>351</v>
      </c>
      <c r="C344" t="s">
        <v>272</v>
      </c>
      <c r="D344" t="s">
        <v>1360</v>
      </c>
      <c r="E344">
        <v>350</v>
      </c>
      <c r="F344" t="s">
        <v>1520</v>
      </c>
      <c r="G344">
        <v>76</v>
      </c>
      <c r="H344" t="s">
        <v>1519</v>
      </c>
      <c r="I344">
        <v>4</v>
      </c>
      <c r="J344" s="48">
        <v>0</v>
      </c>
      <c r="K344" s="48">
        <v>0</v>
      </c>
      <c r="L344" s="54">
        <v>46251</v>
      </c>
      <c r="M344" s="54">
        <v>46254</v>
      </c>
      <c r="N344" s="54">
        <v>46245</v>
      </c>
      <c r="O344" s="54">
        <v>46248</v>
      </c>
    </row>
    <row r="345" spans="2:15" x14ac:dyDescent="0.25">
      <c r="B345">
        <v>352</v>
      </c>
      <c r="C345" t="s">
        <v>263</v>
      </c>
      <c r="D345" t="s">
        <v>1320</v>
      </c>
      <c r="F345" t="s">
        <v>1640</v>
      </c>
      <c r="H345" t="s">
        <v>1641</v>
      </c>
      <c r="I345">
        <v>16</v>
      </c>
      <c r="J345" s="48">
        <v>0</v>
      </c>
      <c r="K345" s="48">
        <v>0</v>
      </c>
      <c r="L345" s="54">
        <v>46241</v>
      </c>
      <c r="M345" s="54">
        <v>46258</v>
      </c>
      <c r="N345" s="54">
        <v>46237</v>
      </c>
      <c r="O345" s="54">
        <v>46252</v>
      </c>
    </row>
    <row r="346" spans="2:15" x14ac:dyDescent="0.25">
      <c r="B346">
        <v>353</v>
      </c>
      <c r="C346" t="s">
        <v>263</v>
      </c>
      <c r="D346" t="s">
        <v>1320</v>
      </c>
      <c r="E346">
        <v>348</v>
      </c>
      <c r="F346" t="s">
        <v>1515</v>
      </c>
      <c r="G346">
        <v>354</v>
      </c>
      <c r="H346" t="s">
        <v>1642</v>
      </c>
      <c r="I346">
        <v>3</v>
      </c>
      <c r="J346" s="48">
        <v>0</v>
      </c>
      <c r="K346" s="48">
        <v>0</v>
      </c>
      <c r="L346" s="54">
        <v>46241</v>
      </c>
      <c r="M346" s="54">
        <v>46245</v>
      </c>
      <c r="N346" s="54">
        <v>46237</v>
      </c>
      <c r="O346" s="54">
        <v>46239</v>
      </c>
    </row>
    <row r="347" spans="2:15" x14ac:dyDescent="0.25">
      <c r="B347">
        <v>354</v>
      </c>
      <c r="C347" t="s">
        <v>263</v>
      </c>
      <c r="D347" t="s">
        <v>1320</v>
      </c>
      <c r="E347">
        <v>353</v>
      </c>
      <c r="F347" t="s">
        <v>1517</v>
      </c>
      <c r="G347">
        <v>355</v>
      </c>
      <c r="H347" t="s">
        <v>1519</v>
      </c>
      <c r="I347">
        <v>6</v>
      </c>
      <c r="J347" s="48">
        <v>0</v>
      </c>
      <c r="K347" s="48">
        <v>0</v>
      </c>
      <c r="L347" s="54">
        <v>46245</v>
      </c>
      <c r="M347" s="54">
        <v>46248</v>
      </c>
      <c r="N347" s="54">
        <v>46239</v>
      </c>
      <c r="O347" s="54">
        <v>46244</v>
      </c>
    </row>
    <row r="348" spans="2:15" x14ac:dyDescent="0.25">
      <c r="B348">
        <v>355</v>
      </c>
      <c r="C348" t="s">
        <v>263</v>
      </c>
      <c r="D348" t="s">
        <v>1320</v>
      </c>
      <c r="E348">
        <v>354</v>
      </c>
      <c r="F348" t="s">
        <v>1518</v>
      </c>
      <c r="G348">
        <v>356</v>
      </c>
      <c r="H348" t="s">
        <v>1519</v>
      </c>
      <c r="I348">
        <v>4</v>
      </c>
      <c r="J348" s="48">
        <v>0</v>
      </c>
      <c r="K348" s="48">
        <v>0</v>
      </c>
      <c r="L348" s="54">
        <v>46248</v>
      </c>
      <c r="M348" s="54">
        <v>46253</v>
      </c>
      <c r="N348" s="54">
        <v>46244</v>
      </c>
      <c r="O348" s="54">
        <v>46247</v>
      </c>
    </row>
    <row r="349" spans="2:15" x14ac:dyDescent="0.25">
      <c r="B349">
        <v>356</v>
      </c>
      <c r="C349" t="s">
        <v>263</v>
      </c>
      <c r="D349" t="s">
        <v>1320</v>
      </c>
      <c r="E349">
        <v>355</v>
      </c>
      <c r="F349" t="s">
        <v>1520</v>
      </c>
      <c r="G349">
        <v>76</v>
      </c>
      <c r="H349" t="s">
        <v>1519</v>
      </c>
      <c r="I349">
        <v>6</v>
      </c>
      <c r="J349" s="48">
        <v>0</v>
      </c>
      <c r="K349" s="48">
        <v>0</v>
      </c>
      <c r="L349" s="54">
        <v>46253</v>
      </c>
      <c r="M349" s="54">
        <v>46258</v>
      </c>
      <c r="N349" s="54">
        <v>46247</v>
      </c>
      <c r="O349" s="54">
        <v>46252</v>
      </c>
    </row>
    <row r="350" spans="2:15" x14ac:dyDescent="0.25">
      <c r="B350">
        <v>357</v>
      </c>
      <c r="F350" t="s">
        <v>1643</v>
      </c>
      <c r="H350" t="s">
        <v>1465</v>
      </c>
      <c r="I350">
        <v>47</v>
      </c>
      <c r="J350" s="48">
        <v>0</v>
      </c>
      <c r="K350" s="48">
        <v>1.89E-2</v>
      </c>
      <c r="L350" s="54">
        <v>46219</v>
      </c>
      <c r="M350" s="54">
        <v>46265</v>
      </c>
      <c r="N350" s="54">
        <v>46206</v>
      </c>
      <c r="O350" s="54">
        <v>46252</v>
      </c>
    </row>
    <row r="351" spans="2:15" x14ac:dyDescent="0.25">
      <c r="B351">
        <v>358</v>
      </c>
      <c r="F351" t="s">
        <v>1560</v>
      </c>
      <c r="H351" t="s">
        <v>1465</v>
      </c>
      <c r="I351">
        <v>47</v>
      </c>
      <c r="J351" s="48">
        <v>0</v>
      </c>
      <c r="K351" s="48">
        <v>1.89E-2</v>
      </c>
      <c r="L351" s="54">
        <v>46219</v>
      </c>
      <c r="M351" s="54">
        <v>46265</v>
      </c>
      <c r="N351" s="54">
        <v>46206</v>
      </c>
      <c r="O351" s="54">
        <v>46252</v>
      </c>
    </row>
    <row r="352" spans="2:15" x14ac:dyDescent="0.25">
      <c r="B352">
        <v>359</v>
      </c>
      <c r="F352" t="s">
        <v>1624</v>
      </c>
      <c r="H352" t="s">
        <v>1465</v>
      </c>
      <c r="I352">
        <v>47</v>
      </c>
      <c r="J352" s="48">
        <v>0</v>
      </c>
      <c r="K352" s="48">
        <v>2.9700000000000001E-2</v>
      </c>
      <c r="L352" s="54">
        <v>46219</v>
      </c>
      <c r="M352" s="54">
        <v>46265</v>
      </c>
      <c r="N352" s="54">
        <v>46206</v>
      </c>
      <c r="O352" s="54">
        <v>46252</v>
      </c>
    </row>
    <row r="353" spans="2:15" x14ac:dyDescent="0.25">
      <c r="B353">
        <v>360</v>
      </c>
      <c r="C353" t="s">
        <v>280</v>
      </c>
      <c r="D353" t="s">
        <v>1390</v>
      </c>
      <c r="F353" t="s">
        <v>1646</v>
      </c>
      <c r="H353" t="s">
        <v>1527</v>
      </c>
      <c r="I353">
        <v>21</v>
      </c>
      <c r="J353" s="48">
        <v>0</v>
      </c>
      <c r="K353" s="48">
        <v>0.104</v>
      </c>
      <c r="L353" s="54">
        <v>46219</v>
      </c>
      <c r="M353" s="54">
        <v>46239</v>
      </c>
      <c r="N353" s="54">
        <v>46206</v>
      </c>
      <c r="O353" s="54">
        <v>46226</v>
      </c>
    </row>
    <row r="354" spans="2:15" x14ac:dyDescent="0.25">
      <c r="B354">
        <v>361</v>
      </c>
      <c r="C354" t="s">
        <v>280</v>
      </c>
      <c r="D354" t="s">
        <v>1390</v>
      </c>
      <c r="E354" t="s">
        <v>1941</v>
      </c>
      <c r="F354" t="s">
        <v>1515</v>
      </c>
      <c r="G354" t="s">
        <v>1942</v>
      </c>
      <c r="H354" t="s">
        <v>1528</v>
      </c>
      <c r="I354">
        <v>8</v>
      </c>
      <c r="J354" s="48">
        <v>0</v>
      </c>
      <c r="K354" s="48">
        <v>0.15</v>
      </c>
      <c r="L354" s="54">
        <v>46219</v>
      </c>
      <c r="M354" s="54">
        <v>46226</v>
      </c>
      <c r="N354" s="54">
        <v>46206</v>
      </c>
      <c r="O354" s="54">
        <v>46213</v>
      </c>
    </row>
    <row r="355" spans="2:15" x14ac:dyDescent="0.25">
      <c r="B355">
        <v>362</v>
      </c>
      <c r="C355" t="s">
        <v>280</v>
      </c>
      <c r="D355" t="s">
        <v>1390</v>
      </c>
      <c r="E355">
        <v>361</v>
      </c>
      <c r="F355" t="s">
        <v>1517</v>
      </c>
      <c r="G355">
        <v>363</v>
      </c>
      <c r="H355" t="s">
        <v>1519</v>
      </c>
      <c r="I355">
        <v>6</v>
      </c>
      <c r="J355" s="48">
        <v>0</v>
      </c>
      <c r="K355" s="48">
        <v>0</v>
      </c>
      <c r="L355" s="54">
        <v>46226</v>
      </c>
      <c r="M355" s="54">
        <v>46231</v>
      </c>
      <c r="N355" s="54">
        <v>46213</v>
      </c>
      <c r="O355" s="54">
        <v>46218</v>
      </c>
    </row>
    <row r="356" spans="2:15" x14ac:dyDescent="0.25">
      <c r="B356">
        <v>363</v>
      </c>
      <c r="C356" t="s">
        <v>280</v>
      </c>
      <c r="D356" t="s">
        <v>1390</v>
      </c>
      <c r="E356">
        <v>362</v>
      </c>
      <c r="F356" t="s">
        <v>1518</v>
      </c>
      <c r="G356">
        <v>364</v>
      </c>
      <c r="H356" t="s">
        <v>1519</v>
      </c>
      <c r="I356">
        <v>6</v>
      </c>
      <c r="J356" s="48">
        <v>0</v>
      </c>
      <c r="K356" s="48">
        <v>0</v>
      </c>
      <c r="L356" s="54">
        <v>46231</v>
      </c>
      <c r="M356" s="54">
        <v>46234</v>
      </c>
      <c r="N356" s="54">
        <v>46218</v>
      </c>
      <c r="O356" s="54">
        <v>46223</v>
      </c>
    </row>
    <row r="357" spans="2:15" x14ac:dyDescent="0.25">
      <c r="B357">
        <v>364</v>
      </c>
      <c r="C357" t="s">
        <v>280</v>
      </c>
      <c r="D357" t="s">
        <v>1390</v>
      </c>
      <c r="E357">
        <v>363</v>
      </c>
      <c r="F357" t="s">
        <v>1520</v>
      </c>
      <c r="G357">
        <v>76</v>
      </c>
      <c r="H357" t="s">
        <v>1519</v>
      </c>
      <c r="I357">
        <v>4</v>
      </c>
      <c r="J357" s="48">
        <v>0</v>
      </c>
      <c r="K357" s="48">
        <v>0</v>
      </c>
      <c r="L357" s="54">
        <v>46234</v>
      </c>
      <c r="M357" s="54">
        <v>46239</v>
      </c>
      <c r="N357" s="54">
        <v>46223</v>
      </c>
      <c r="O357" s="54">
        <v>46226</v>
      </c>
    </row>
    <row r="358" spans="2:15" x14ac:dyDescent="0.25">
      <c r="B358">
        <v>365</v>
      </c>
      <c r="C358" t="s">
        <v>267</v>
      </c>
      <c r="D358" t="s">
        <v>1339</v>
      </c>
      <c r="F358" t="s">
        <v>1647</v>
      </c>
      <c r="H358" t="s">
        <v>1527</v>
      </c>
      <c r="I358">
        <v>21</v>
      </c>
      <c r="J358" s="48">
        <v>0</v>
      </c>
      <c r="K358" s="48">
        <v>0</v>
      </c>
      <c r="L358" s="54">
        <v>46226</v>
      </c>
      <c r="M358" s="54">
        <v>46246</v>
      </c>
      <c r="N358" s="54">
        <v>46213</v>
      </c>
      <c r="O358" s="54">
        <v>46233</v>
      </c>
    </row>
    <row r="359" spans="2:15" x14ac:dyDescent="0.25">
      <c r="B359">
        <v>366</v>
      </c>
      <c r="C359" t="s">
        <v>267</v>
      </c>
      <c r="D359" t="s">
        <v>1339</v>
      </c>
      <c r="E359">
        <v>361</v>
      </c>
      <c r="F359" t="s">
        <v>1515</v>
      </c>
      <c r="G359" t="s">
        <v>1943</v>
      </c>
      <c r="H359" t="s">
        <v>1528</v>
      </c>
      <c r="I359">
        <v>8</v>
      </c>
      <c r="J359" s="48">
        <v>0</v>
      </c>
      <c r="K359" s="48">
        <v>0</v>
      </c>
      <c r="L359" s="54">
        <v>46226</v>
      </c>
      <c r="M359" s="54">
        <v>46233</v>
      </c>
      <c r="N359" s="54">
        <v>46213</v>
      </c>
      <c r="O359" s="54">
        <v>46220</v>
      </c>
    </row>
    <row r="360" spans="2:15" x14ac:dyDescent="0.25">
      <c r="B360">
        <v>367</v>
      </c>
      <c r="C360" t="s">
        <v>267</v>
      </c>
      <c r="D360" t="s">
        <v>1339</v>
      </c>
      <c r="E360">
        <v>366</v>
      </c>
      <c r="F360" t="s">
        <v>1517</v>
      </c>
      <c r="G360">
        <v>368</v>
      </c>
      <c r="H360" t="s">
        <v>1519</v>
      </c>
      <c r="I360">
        <v>6</v>
      </c>
      <c r="J360" s="48">
        <v>0</v>
      </c>
      <c r="K360" s="48">
        <v>0</v>
      </c>
      <c r="L360" s="54">
        <v>46233</v>
      </c>
      <c r="M360" s="54">
        <v>46238</v>
      </c>
      <c r="N360" s="54">
        <v>46220</v>
      </c>
      <c r="O360" s="54">
        <v>46225</v>
      </c>
    </row>
    <row r="361" spans="2:15" x14ac:dyDescent="0.25">
      <c r="B361">
        <v>368</v>
      </c>
      <c r="C361" t="s">
        <v>267</v>
      </c>
      <c r="D361" t="s">
        <v>1339</v>
      </c>
      <c r="E361">
        <v>367</v>
      </c>
      <c r="F361" t="s">
        <v>1518</v>
      </c>
      <c r="G361">
        <v>369</v>
      </c>
      <c r="H361" t="s">
        <v>1519</v>
      </c>
      <c r="I361">
        <v>6</v>
      </c>
      <c r="J361" s="48">
        <v>0</v>
      </c>
      <c r="K361" s="48">
        <v>0</v>
      </c>
      <c r="L361" s="54">
        <v>46238</v>
      </c>
      <c r="M361" s="54">
        <v>46241</v>
      </c>
      <c r="N361" s="54">
        <v>46225</v>
      </c>
      <c r="O361" s="54">
        <v>46230</v>
      </c>
    </row>
    <row r="362" spans="2:15" x14ac:dyDescent="0.25">
      <c r="B362">
        <v>369</v>
      </c>
      <c r="C362" t="s">
        <v>267</v>
      </c>
      <c r="D362" t="s">
        <v>1339</v>
      </c>
      <c r="E362">
        <v>368</v>
      </c>
      <c r="F362" t="s">
        <v>1520</v>
      </c>
      <c r="G362">
        <v>76</v>
      </c>
      <c r="H362" t="s">
        <v>1519</v>
      </c>
      <c r="I362">
        <v>4</v>
      </c>
      <c r="J362" s="48">
        <v>0</v>
      </c>
      <c r="K362" s="48">
        <v>0</v>
      </c>
      <c r="L362" s="54">
        <v>46241</v>
      </c>
      <c r="M362" s="54">
        <v>46246</v>
      </c>
      <c r="N362" s="54">
        <v>46230</v>
      </c>
      <c r="O362" s="54">
        <v>46233</v>
      </c>
    </row>
    <row r="363" spans="2:15" x14ac:dyDescent="0.25">
      <c r="B363">
        <v>370</v>
      </c>
      <c r="C363" t="s">
        <v>268</v>
      </c>
      <c r="D363" t="s">
        <v>1343</v>
      </c>
      <c r="F363" t="s">
        <v>1648</v>
      </c>
      <c r="H363" t="s">
        <v>1559</v>
      </c>
      <c r="I363">
        <v>19</v>
      </c>
      <c r="J363" s="48">
        <v>0</v>
      </c>
      <c r="K363" s="48">
        <v>0</v>
      </c>
      <c r="L363" s="54">
        <v>46233</v>
      </c>
      <c r="M363" s="54">
        <v>46251</v>
      </c>
      <c r="N363" s="54">
        <v>46220</v>
      </c>
      <c r="O363" s="54">
        <v>46238</v>
      </c>
    </row>
    <row r="364" spans="2:15" x14ac:dyDescent="0.25">
      <c r="B364">
        <v>371</v>
      </c>
      <c r="C364" t="s">
        <v>268</v>
      </c>
      <c r="D364" t="s">
        <v>1343</v>
      </c>
      <c r="E364">
        <v>366</v>
      </c>
      <c r="F364" t="s">
        <v>1515</v>
      </c>
      <c r="G364" t="s">
        <v>1944</v>
      </c>
      <c r="H364" t="s">
        <v>1519</v>
      </c>
      <c r="I364">
        <v>6</v>
      </c>
      <c r="J364" s="48">
        <v>0</v>
      </c>
      <c r="K364" s="48">
        <v>0</v>
      </c>
      <c r="L364" s="54">
        <v>46233</v>
      </c>
      <c r="M364" s="54">
        <v>46238</v>
      </c>
      <c r="N364" s="54">
        <v>46220</v>
      </c>
      <c r="O364" s="54">
        <v>46225</v>
      </c>
    </row>
    <row r="365" spans="2:15" x14ac:dyDescent="0.25">
      <c r="B365">
        <v>372</v>
      </c>
      <c r="C365" t="s">
        <v>268</v>
      </c>
      <c r="D365" t="s">
        <v>1343</v>
      </c>
      <c r="E365">
        <v>371</v>
      </c>
      <c r="F365" t="s">
        <v>1517</v>
      </c>
      <c r="G365">
        <v>373</v>
      </c>
      <c r="H365" t="s">
        <v>1519</v>
      </c>
      <c r="I365">
        <v>6</v>
      </c>
      <c r="J365" s="48">
        <v>0</v>
      </c>
      <c r="K365" s="48">
        <v>0</v>
      </c>
      <c r="L365" s="54">
        <v>46238</v>
      </c>
      <c r="M365" s="54">
        <v>46241</v>
      </c>
      <c r="N365" s="54">
        <v>46225</v>
      </c>
      <c r="O365" s="54">
        <v>46230</v>
      </c>
    </row>
    <row r="366" spans="2:15" x14ac:dyDescent="0.25">
      <c r="B366">
        <v>373</v>
      </c>
      <c r="C366" t="s">
        <v>268</v>
      </c>
      <c r="D366" t="s">
        <v>1343</v>
      </c>
      <c r="E366">
        <v>372</v>
      </c>
      <c r="F366" t="s">
        <v>1518</v>
      </c>
      <c r="G366">
        <v>374</v>
      </c>
      <c r="H366" t="s">
        <v>1519</v>
      </c>
      <c r="I366">
        <v>4</v>
      </c>
      <c r="J366" s="48">
        <v>0</v>
      </c>
      <c r="K366" s="48">
        <v>0</v>
      </c>
      <c r="L366" s="54">
        <v>46241</v>
      </c>
      <c r="M366" s="54">
        <v>46246</v>
      </c>
      <c r="N366" s="54">
        <v>46230</v>
      </c>
      <c r="O366" s="54">
        <v>46233</v>
      </c>
    </row>
    <row r="367" spans="2:15" x14ac:dyDescent="0.25">
      <c r="B367">
        <v>374</v>
      </c>
      <c r="C367" t="s">
        <v>268</v>
      </c>
      <c r="D367" t="s">
        <v>1343</v>
      </c>
      <c r="E367">
        <v>373</v>
      </c>
      <c r="F367" t="s">
        <v>1520</v>
      </c>
      <c r="G367">
        <v>76</v>
      </c>
      <c r="H367" t="s">
        <v>1519</v>
      </c>
      <c r="I367">
        <v>6</v>
      </c>
      <c r="J367" s="48">
        <v>0</v>
      </c>
      <c r="K367" s="48">
        <v>0</v>
      </c>
      <c r="L367" s="54">
        <v>46246</v>
      </c>
      <c r="M367" s="54">
        <v>46251</v>
      </c>
      <c r="N367" s="54">
        <v>46233</v>
      </c>
      <c r="O367" s="54">
        <v>46238</v>
      </c>
    </row>
    <row r="368" spans="2:15" x14ac:dyDescent="0.25">
      <c r="B368">
        <v>375</v>
      </c>
      <c r="C368" t="s">
        <v>269</v>
      </c>
      <c r="D368" t="s">
        <v>1347</v>
      </c>
      <c r="F368" t="s">
        <v>1649</v>
      </c>
      <c r="H368" t="s">
        <v>1559</v>
      </c>
      <c r="I368">
        <v>17</v>
      </c>
      <c r="J368" s="48">
        <v>0</v>
      </c>
      <c r="K368" s="48">
        <v>0</v>
      </c>
      <c r="L368" s="54">
        <v>46238</v>
      </c>
      <c r="M368" s="54">
        <v>46254</v>
      </c>
      <c r="N368" s="54">
        <v>46225</v>
      </c>
      <c r="O368" s="54">
        <v>46241</v>
      </c>
    </row>
    <row r="369" spans="2:15" x14ac:dyDescent="0.25">
      <c r="B369">
        <v>376</v>
      </c>
      <c r="C369" t="s">
        <v>269</v>
      </c>
      <c r="D369" t="s">
        <v>1347</v>
      </c>
      <c r="E369">
        <v>371</v>
      </c>
      <c r="F369" t="s">
        <v>1515</v>
      </c>
      <c r="G369" t="s">
        <v>1945</v>
      </c>
      <c r="H369" t="s">
        <v>1519</v>
      </c>
      <c r="I369">
        <v>6</v>
      </c>
      <c r="J369" s="48">
        <v>0</v>
      </c>
      <c r="K369" s="48">
        <v>0</v>
      </c>
      <c r="L369" s="54">
        <v>46238</v>
      </c>
      <c r="M369" s="54">
        <v>46241</v>
      </c>
      <c r="N369" s="54">
        <v>46225</v>
      </c>
      <c r="O369" s="54">
        <v>46230</v>
      </c>
    </row>
    <row r="370" spans="2:15" x14ac:dyDescent="0.25">
      <c r="B370">
        <v>377</v>
      </c>
      <c r="C370" t="s">
        <v>269</v>
      </c>
      <c r="D370" t="s">
        <v>1347</v>
      </c>
      <c r="E370">
        <v>376</v>
      </c>
      <c r="F370" t="s">
        <v>1517</v>
      </c>
      <c r="G370">
        <v>378</v>
      </c>
      <c r="H370" t="s">
        <v>1519</v>
      </c>
      <c r="I370">
        <v>4</v>
      </c>
      <c r="J370" s="48">
        <v>0</v>
      </c>
      <c r="K370" s="48">
        <v>0</v>
      </c>
      <c r="L370" s="54">
        <v>46241</v>
      </c>
      <c r="M370" s="54">
        <v>46246</v>
      </c>
      <c r="N370" s="54">
        <v>46230</v>
      </c>
      <c r="O370" s="54">
        <v>46233</v>
      </c>
    </row>
    <row r="371" spans="2:15" x14ac:dyDescent="0.25">
      <c r="B371">
        <v>378</v>
      </c>
      <c r="C371" t="s">
        <v>269</v>
      </c>
      <c r="D371" t="s">
        <v>1347</v>
      </c>
      <c r="E371">
        <v>377</v>
      </c>
      <c r="F371" t="s">
        <v>1518</v>
      </c>
      <c r="G371">
        <v>379</v>
      </c>
      <c r="H371" t="s">
        <v>1519</v>
      </c>
      <c r="I371">
        <v>6</v>
      </c>
      <c r="J371" s="48">
        <v>0</v>
      </c>
      <c r="K371" s="48">
        <v>0</v>
      </c>
      <c r="L371" s="54">
        <v>46246</v>
      </c>
      <c r="M371" s="54">
        <v>46251</v>
      </c>
      <c r="N371" s="54">
        <v>46233</v>
      </c>
      <c r="O371" s="54">
        <v>46238</v>
      </c>
    </row>
    <row r="372" spans="2:15" x14ac:dyDescent="0.25">
      <c r="B372">
        <v>379</v>
      </c>
      <c r="C372" t="s">
        <v>269</v>
      </c>
      <c r="D372" t="s">
        <v>1347</v>
      </c>
      <c r="E372">
        <v>378</v>
      </c>
      <c r="F372" t="s">
        <v>1520</v>
      </c>
      <c r="G372">
        <v>76</v>
      </c>
      <c r="H372" t="s">
        <v>1519</v>
      </c>
      <c r="I372">
        <v>4</v>
      </c>
      <c r="J372" s="48">
        <v>0</v>
      </c>
      <c r="K372" s="48">
        <v>0</v>
      </c>
      <c r="L372" s="54">
        <v>46251</v>
      </c>
      <c r="M372" s="54">
        <v>46254</v>
      </c>
      <c r="N372" s="54">
        <v>46238</v>
      </c>
      <c r="O372" s="54">
        <v>46241</v>
      </c>
    </row>
    <row r="373" spans="2:15" x14ac:dyDescent="0.25">
      <c r="B373">
        <v>380</v>
      </c>
      <c r="C373" t="s">
        <v>262</v>
      </c>
      <c r="D373" t="s">
        <v>1315</v>
      </c>
      <c r="F373" t="s">
        <v>1650</v>
      </c>
      <c r="H373" t="s">
        <v>1535</v>
      </c>
      <c r="I373">
        <v>18</v>
      </c>
      <c r="J373" s="48">
        <v>0</v>
      </c>
      <c r="K373" s="48">
        <v>0</v>
      </c>
      <c r="L373" s="54">
        <v>46241</v>
      </c>
      <c r="M373" s="54">
        <v>46260</v>
      </c>
      <c r="N373" s="54">
        <v>46230</v>
      </c>
      <c r="O373" s="54">
        <v>46247</v>
      </c>
    </row>
    <row r="374" spans="2:15" x14ac:dyDescent="0.25">
      <c r="B374">
        <v>381</v>
      </c>
      <c r="C374" t="s">
        <v>262</v>
      </c>
      <c r="D374" t="s">
        <v>1315</v>
      </c>
      <c r="E374">
        <v>376</v>
      </c>
      <c r="F374" t="s">
        <v>1515</v>
      </c>
      <c r="G374" t="s">
        <v>1946</v>
      </c>
      <c r="H374" t="s">
        <v>1525</v>
      </c>
      <c r="I374">
        <v>5</v>
      </c>
      <c r="J374" s="48">
        <v>0</v>
      </c>
      <c r="K374" s="48">
        <v>0</v>
      </c>
      <c r="L374" s="54">
        <v>46241</v>
      </c>
      <c r="M374" s="54">
        <v>46247</v>
      </c>
      <c r="N374" s="54">
        <v>46230</v>
      </c>
      <c r="O374" s="54">
        <v>46234</v>
      </c>
    </row>
    <row r="375" spans="2:15" x14ac:dyDescent="0.25">
      <c r="B375">
        <v>382</v>
      </c>
      <c r="C375" t="s">
        <v>262</v>
      </c>
      <c r="D375" t="s">
        <v>1315</v>
      </c>
      <c r="E375">
        <v>381</v>
      </c>
      <c r="F375" t="s">
        <v>1517</v>
      </c>
      <c r="G375">
        <v>383</v>
      </c>
      <c r="H375" t="s">
        <v>1519</v>
      </c>
      <c r="I375">
        <v>6</v>
      </c>
      <c r="J375" s="48">
        <v>0</v>
      </c>
      <c r="K375" s="48">
        <v>0</v>
      </c>
      <c r="L375" s="54">
        <v>46247</v>
      </c>
      <c r="M375" s="54">
        <v>46252</v>
      </c>
      <c r="N375" s="54">
        <v>46234</v>
      </c>
      <c r="O375" s="54">
        <v>46239</v>
      </c>
    </row>
    <row r="376" spans="2:15" x14ac:dyDescent="0.25">
      <c r="B376">
        <v>383</v>
      </c>
      <c r="C376" t="s">
        <v>262</v>
      </c>
      <c r="D376" t="s">
        <v>1315</v>
      </c>
      <c r="E376">
        <v>382</v>
      </c>
      <c r="F376" t="s">
        <v>1518</v>
      </c>
      <c r="G376">
        <v>384</v>
      </c>
      <c r="H376" t="s">
        <v>1519</v>
      </c>
      <c r="I376">
        <v>6</v>
      </c>
      <c r="J376" s="48">
        <v>0</v>
      </c>
      <c r="K376" s="48">
        <v>0</v>
      </c>
      <c r="L376" s="54">
        <v>46252</v>
      </c>
      <c r="M376" s="54">
        <v>46255</v>
      </c>
      <c r="N376" s="54">
        <v>46239</v>
      </c>
      <c r="O376" s="54">
        <v>46244</v>
      </c>
    </row>
    <row r="377" spans="2:15" x14ac:dyDescent="0.25">
      <c r="B377">
        <v>384</v>
      </c>
      <c r="C377" t="s">
        <v>262</v>
      </c>
      <c r="D377" t="s">
        <v>1315</v>
      </c>
      <c r="E377">
        <v>383</v>
      </c>
      <c r="F377" t="s">
        <v>1520</v>
      </c>
      <c r="G377">
        <v>76</v>
      </c>
      <c r="H377" t="s">
        <v>1519</v>
      </c>
      <c r="I377">
        <v>4</v>
      </c>
      <c r="J377" s="48">
        <v>0</v>
      </c>
      <c r="K377" s="48">
        <v>0</v>
      </c>
      <c r="L377" s="54">
        <v>46255</v>
      </c>
      <c r="M377" s="54">
        <v>46260</v>
      </c>
      <c r="N377" s="54">
        <v>46244</v>
      </c>
      <c r="O377" s="54">
        <v>46247</v>
      </c>
    </row>
    <row r="378" spans="2:15" x14ac:dyDescent="0.25">
      <c r="B378">
        <v>385</v>
      </c>
      <c r="C378" t="s">
        <v>264</v>
      </c>
      <c r="D378" t="s">
        <v>1325</v>
      </c>
      <c r="F378" t="s">
        <v>1651</v>
      </c>
      <c r="H378" t="s">
        <v>1559</v>
      </c>
      <c r="I378">
        <v>19</v>
      </c>
      <c r="J378" s="48">
        <v>0</v>
      </c>
      <c r="K378" s="48">
        <v>0</v>
      </c>
      <c r="L378" s="54">
        <v>46247</v>
      </c>
      <c r="M378" s="54">
        <v>46265</v>
      </c>
      <c r="N378" s="54">
        <v>46234</v>
      </c>
      <c r="O378" s="54">
        <v>46252</v>
      </c>
    </row>
    <row r="379" spans="2:15" x14ac:dyDescent="0.25">
      <c r="B379">
        <v>386</v>
      </c>
      <c r="C379" t="s">
        <v>264</v>
      </c>
      <c r="D379" t="s">
        <v>1325</v>
      </c>
      <c r="E379">
        <v>381</v>
      </c>
      <c r="F379" t="s">
        <v>1515</v>
      </c>
      <c r="G379">
        <v>387</v>
      </c>
      <c r="H379" t="s">
        <v>1519</v>
      </c>
      <c r="I379">
        <v>6</v>
      </c>
      <c r="J379" s="48">
        <v>0</v>
      </c>
      <c r="K379" s="48">
        <v>0</v>
      </c>
      <c r="L379" s="54">
        <v>46247</v>
      </c>
      <c r="M379" s="54">
        <v>46252</v>
      </c>
      <c r="N379" s="54">
        <v>46234</v>
      </c>
      <c r="O379" s="54">
        <v>46239</v>
      </c>
    </row>
    <row r="380" spans="2:15" x14ac:dyDescent="0.25">
      <c r="B380">
        <v>387</v>
      </c>
      <c r="C380" t="s">
        <v>264</v>
      </c>
      <c r="D380" t="s">
        <v>1325</v>
      </c>
      <c r="E380">
        <v>386</v>
      </c>
      <c r="F380" t="s">
        <v>1517</v>
      </c>
      <c r="G380">
        <v>388</v>
      </c>
      <c r="H380" t="s">
        <v>1519</v>
      </c>
      <c r="I380">
        <v>6</v>
      </c>
      <c r="J380" s="48">
        <v>0</v>
      </c>
      <c r="K380" s="48">
        <v>0</v>
      </c>
      <c r="L380" s="54">
        <v>46252</v>
      </c>
      <c r="M380" s="54">
        <v>46255</v>
      </c>
      <c r="N380" s="54">
        <v>46239</v>
      </c>
      <c r="O380" s="54">
        <v>46244</v>
      </c>
    </row>
    <row r="381" spans="2:15" x14ac:dyDescent="0.25">
      <c r="B381">
        <v>388</v>
      </c>
      <c r="C381" t="s">
        <v>264</v>
      </c>
      <c r="D381" t="s">
        <v>1325</v>
      </c>
      <c r="E381">
        <v>387</v>
      </c>
      <c r="F381" t="s">
        <v>1518</v>
      </c>
      <c r="G381">
        <v>389</v>
      </c>
      <c r="H381" t="s">
        <v>1519</v>
      </c>
      <c r="I381">
        <v>4</v>
      </c>
      <c r="J381" s="48">
        <v>0</v>
      </c>
      <c r="K381" s="48">
        <v>0</v>
      </c>
      <c r="L381" s="54">
        <v>46255</v>
      </c>
      <c r="M381" s="54">
        <v>46260</v>
      </c>
      <c r="N381" s="54">
        <v>46244</v>
      </c>
      <c r="O381" s="54">
        <v>46247</v>
      </c>
    </row>
    <row r="382" spans="2:15" x14ac:dyDescent="0.25">
      <c r="B382">
        <v>389</v>
      </c>
      <c r="C382" t="s">
        <v>264</v>
      </c>
      <c r="D382" t="s">
        <v>1325</v>
      </c>
      <c r="E382">
        <v>388</v>
      </c>
      <c r="F382" t="s">
        <v>1520</v>
      </c>
      <c r="G382">
        <v>76</v>
      </c>
      <c r="H382" t="s">
        <v>1519</v>
      </c>
      <c r="I382">
        <v>6</v>
      </c>
      <c r="J382" s="48">
        <v>0</v>
      </c>
      <c r="K382" s="48">
        <v>0</v>
      </c>
      <c r="L382" s="54">
        <v>46260</v>
      </c>
      <c r="M382" s="54">
        <v>46265</v>
      </c>
      <c r="N382" s="54">
        <v>46247</v>
      </c>
      <c r="O382" s="54">
        <v>46252</v>
      </c>
    </row>
    <row r="383" spans="2:15" x14ac:dyDescent="0.25">
      <c r="B383">
        <v>390</v>
      </c>
      <c r="F383" t="s">
        <v>1558</v>
      </c>
      <c r="H383" t="s">
        <v>1535</v>
      </c>
      <c r="I383">
        <v>20</v>
      </c>
      <c r="J383" s="48">
        <v>0</v>
      </c>
      <c r="K383" s="48">
        <v>0</v>
      </c>
      <c r="L383" s="54">
        <v>46226</v>
      </c>
      <c r="M383" s="54">
        <v>46245</v>
      </c>
      <c r="N383" s="54">
        <v>46213</v>
      </c>
      <c r="O383" s="54">
        <v>46232</v>
      </c>
    </row>
    <row r="384" spans="2:15" x14ac:dyDescent="0.25">
      <c r="B384">
        <v>391</v>
      </c>
      <c r="C384" t="s">
        <v>250</v>
      </c>
      <c r="D384" t="s">
        <v>1260</v>
      </c>
      <c r="F384" t="s">
        <v>1652</v>
      </c>
      <c r="H384" t="s">
        <v>1535</v>
      </c>
      <c r="I384">
        <v>20</v>
      </c>
      <c r="J384" s="48">
        <v>0</v>
      </c>
      <c r="K384" s="48">
        <v>0</v>
      </c>
      <c r="L384" s="54">
        <v>46226</v>
      </c>
      <c r="M384" s="54">
        <v>46245</v>
      </c>
      <c r="N384" s="54">
        <v>46213</v>
      </c>
      <c r="O384" s="54">
        <v>46232</v>
      </c>
    </row>
    <row r="385" spans="2:15" x14ac:dyDescent="0.25">
      <c r="B385">
        <v>392</v>
      </c>
      <c r="C385" t="s">
        <v>250</v>
      </c>
      <c r="D385" t="s">
        <v>1260</v>
      </c>
      <c r="E385">
        <v>361</v>
      </c>
      <c r="F385" t="s">
        <v>1515</v>
      </c>
      <c r="G385" t="s">
        <v>1947</v>
      </c>
      <c r="H385" t="s">
        <v>1525</v>
      </c>
      <c r="I385">
        <v>7</v>
      </c>
      <c r="J385" s="48">
        <v>0</v>
      </c>
      <c r="K385" s="48">
        <v>0</v>
      </c>
      <c r="L385" s="54">
        <v>46226</v>
      </c>
      <c r="M385" s="54">
        <v>46232</v>
      </c>
      <c r="N385" s="54">
        <v>46213</v>
      </c>
      <c r="O385" s="54">
        <v>46219</v>
      </c>
    </row>
    <row r="386" spans="2:15" x14ac:dyDescent="0.25">
      <c r="B386">
        <v>393</v>
      </c>
      <c r="C386" t="s">
        <v>250</v>
      </c>
      <c r="D386" t="s">
        <v>1260</v>
      </c>
      <c r="E386">
        <v>392</v>
      </c>
      <c r="F386" t="s">
        <v>1517</v>
      </c>
      <c r="G386">
        <v>394</v>
      </c>
      <c r="H386" t="s">
        <v>1519</v>
      </c>
      <c r="I386">
        <v>6</v>
      </c>
      <c r="J386" s="48">
        <v>0</v>
      </c>
      <c r="K386" s="48">
        <v>0</v>
      </c>
      <c r="L386" s="54">
        <v>46232</v>
      </c>
      <c r="M386" s="54">
        <v>46237</v>
      </c>
      <c r="N386" s="54">
        <v>46219</v>
      </c>
      <c r="O386" s="54">
        <v>46224</v>
      </c>
    </row>
    <row r="387" spans="2:15" x14ac:dyDescent="0.25">
      <c r="B387">
        <v>394</v>
      </c>
      <c r="C387" t="s">
        <v>250</v>
      </c>
      <c r="D387" t="s">
        <v>1260</v>
      </c>
      <c r="E387">
        <v>393</v>
      </c>
      <c r="F387" t="s">
        <v>1518</v>
      </c>
      <c r="G387">
        <v>395</v>
      </c>
      <c r="H387" t="s">
        <v>1519</v>
      </c>
      <c r="I387">
        <v>4</v>
      </c>
      <c r="J387" s="48">
        <v>0</v>
      </c>
      <c r="K387" s="48">
        <v>0</v>
      </c>
      <c r="L387" s="54">
        <v>46237</v>
      </c>
      <c r="M387" s="54">
        <v>46240</v>
      </c>
      <c r="N387" s="54">
        <v>46224</v>
      </c>
      <c r="O387" s="54">
        <v>46227</v>
      </c>
    </row>
    <row r="388" spans="2:15" x14ac:dyDescent="0.25">
      <c r="B388">
        <v>395</v>
      </c>
      <c r="C388" t="s">
        <v>250</v>
      </c>
      <c r="D388" t="s">
        <v>1260</v>
      </c>
      <c r="E388">
        <v>394</v>
      </c>
      <c r="F388" t="s">
        <v>1520</v>
      </c>
      <c r="G388">
        <v>76</v>
      </c>
      <c r="H388" t="s">
        <v>1519</v>
      </c>
      <c r="I388">
        <v>6</v>
      </c>
      <c r="J388" s="48">
        <v>0</v>
      </c>
      <c r="K388" s="48">
        <v>0</v>
      </c>
      <c r="L388" s="54">
        <v>46240</v>
      </c>
      <c r="M388" s="54">
        <v>46245</v>
      </c>
      <c r="N388" s="54">
        <v>46227</v>
      </c>
      <c r="O388" s="54">
        <v>46232</v>
      </c>
    </row>
    <row r="389" spans="2:15" x14ac:dyDescent="0.25">
      <c r="B389">
        <v>396</v>
      </c>
      <c r="F389" t="s">
        <v>1572</v>
      </c>
      <c r="H389" t="s">
        <v>1535</v>
      </c>
      <c r="I389">
        <v>20</v>
      </c>
      <c r="J389" s="48">
        <v>0</v>
      </c>
      <c r="K389" s="48">
        <v>0</v>
      </c>
      <c r="L389" s="54">
        <v>46238</v>
      </c>
      <c r="M389" s="54">
        <v>46255</v>
      </c>
      <c r="N389" s="54">
        <v>46219</v>
      </c>
      <c r="O389" s="54">
        <v>46238</v>
      </c>
    </row>
    <row r="390" spans="2:15" x14ac:dyDescent="0.25">
      <c r="B390">
        <v>397</v>
      </c>
      <c r="C390" t="s">
        <v>103</v>
      </c>
      <c r="D390" t="s">
        <v>706</v>
      </c>
      <c r="F390" t="s">
        <v>1653</v>
      </c>
      <c r="H390" t="s">
        <v>1535</v>
      </c>
      <c r="I390">
        <v>20</v>
      </c>
      <c r="J390" s="48">
        <v>0</v>
      </c>
      <c r="K390" s="48">
        <v>0</v>
      </c>
      <c r="L390" s="54">
        <v>46238</v>
      </c>
      <c r="M390" s="54">
        <v>46255</v>
      </c>
      <c r="N390" s="54">
        <v>46219</v>
      </c>
      <c r="O390" s="54">
        <v>46238</v>
      </c>
    </row>
    <row r="391" spans="2:15" x14ac:dyDescent="0.25">
      <c r="B391">
        <v>398</v>
      </c>
      <c r="C391" t="s">
        <v>103</v>
      </c>
      <c r="D391" t="s">
        <v>706</v>
      </c>
      <c r="E391">
        <v>404</v>
      </c>
      <c r="F391" t="s">
        <v>1515</v>
      </c>
      <c r="G391" t="s">
        <v>1948</v>
      </c>
      <c r="H391" t="s">
        <v>1525</v>
      </c>
      <c r="I391">
        <v>7</v>
      </c>
      <c r="J391" s="48">
        <v>0</v>
      </c>
      <c r="K391" s="48">
        <v>0</v>
      </c>
      <c r="L391" s="54">
        <v>46238</v>
      </c>
      <c r="M391" s="54">
        <v>46244</v>
      </c>
      <c r="N391" s="54">
        <v>46219</v>
      </c>
      <c r="O391" s="54">
        <v>46225</v>
      </c>
    </row>
    <row r="392" spans="2:15" x14ac:dyDescent="0.25">
      <c r="B392">
        <v>399</v>
      </c>
      <c r="C392" t="s">
        <v>103</v>
      </c>
      <c r="D392" t="s">
        <v>706</v>
      </c>
      <c r="E392">
        <v>398</v>
      </c>
      <c r="F392" t="s">
        <v>1517</v>
      </c>
      <c r="G392">
        <v>400</v>
      </c>
      <c r="H392" t="s">
        <v>1519</v>
      </c>
      <c r="I392">
        <v>6</v>
      </c>
      <c r="J392" s="48">
        <v>0</v>
      </c>
      <c r="K392" s="48">
        <v>0</v>
      </c>
      <c r="L392" s="54">
        <v>46244</v>
      </c>
      <c r="M392" s="54">
        <v>46247</v>
      </c>
      <c r="N392" s="54">
        <v>46225</v>
      </c>
      <c r="O392" s="54">
        <v>46230</v>
      </c>
    </row>
    <row r="393" spans="2:15" x14ac:dyDescent="0.25">
      <c r="B393">
        <v>400</v>
      </c>
      <c r="C393" t="s">
        <v>103</v>
      </c>
      <c r="D393" t="s">
        <v>706</v>
      </c>
      <c r="E393">
        <v>399</v>
      </c>
      <c r="F393" t="s">
        <v>1518</v>
      </c>
      <c r="G393">
        <v>401</v>
      </c>
      <c r="H393" t="s">
        <v>1519</v>
      </c>
      <c r="I393">
        <v>4</v>
      </c>
      <c r="J393" s="48">
        <v>0</v>
      </c>
      <c r="K393" s="48">
        <v>0</v>
      </c>
      <c r="L393" s="54">
        <v>46247</v>
      </c>
      <c r="M393" s="54">
        <v>46252</v>
      </c>
      <c r="N393" s="54">
        <v>46230</v>
      </c>
      <c r="O393" s="54">
        <v>46233</v>
      </c>
    </row>
    <row r="394" spans="2:15" x14ac:dyDescent="0.25">
      <c r="B394">
        <v>401</v>
      </c>
      <c r="C394" t="s">
        <v>103</v>
      </c>
      <c r="D394" t="s">
        <v>706</v>
      </c>
      <c r="E394">
        <v>400</v>
      </c>
      <c r="F394" t="s">
        <v>1520</v>
      </c>
      <c r="G394">
        <v>76</v>
      </c>
      <c r="H394" t="s">
        <v>1519</v>
      </c>
      <c r="I394">
        <v>6</v>
      </c>
      <c r="J394" s="48">
        <v>0</v>
      </c>
      <c r="K394" s="48">
        <v>0</v>
      </c>
      <c r="L394" s="54">
        <v>46252</v>
      </c>
      <c r="M394" s="54">
        <v>46255</v>
      </c>
      <c r="N394" s="54">
        <v>46233</v>
      </c>
      <c r="O394" s="54">
        <v>46238</v>
      </c>
    </row>
    <row r="395" spans="2:15" x14ac:dyDescent="0.25">
      <c r="B395">
        <v>408</v>
      </c>
      <c r="F395" t="s">
        <v>1470</v>
      </c>
      <c r="H395" t="s">
        <v>1949</v>
      </c>
      <c r="I395">
        <v>100</v>
      </c>
      <c r="J395" s="48">
        <v>7.6200000000000004E-2</v>
      </c>
      <c r="K395" s="48">
        <v>9.6100000000000005E-2</v>
      </c>
      <c r="L395" s="54">
        <v>46189</v>
      </c>
      <c r="M395" s="54">
        <v>46288</v>
      </c>
      <c r="N395" s="54">
        <v>46189</v>
      </c>
      <c r="O395" s="54">
        <v>46288</v>
      </c>
    </row>
    <row r="396" spans="2:15" x14ac:dyDescent="0.25">
      <c r="B396">
        <v>409</v>
      </c>
      <c r="F396" t="s">
        <v>1654</v>
      </c>
      <c r="H396" t="s">
        <v>1949</v>
      </c>
      <c r="I396">
        <v>100</v>
      </c>
      <c r="J396" s="48">
        <v>7.6200000000000004E-2</v>
      </c>
      <c r="K396" s="48">
        <v>9.6100000000000005E-2</v>
      </c>
      <c r="L396" s="54">
        <v>46189</v>
      </c>
      <c r="M396" s="54">
        <v>46288</v>
      </c>
      <c r="N396" s="54">
        <v>46189</v>
      </c>
      <c r="O396" s="54">
        <v>46288</v>
      </c>
    </row>
    <row r="397" spans="2:15" x14ac:dyDescent="0.25">
      <c r="B397">
        <v>410</v>
      </c>
      <c r="F397" t="s">
        <v>1655</v>
      </c>
      <c r="H397" t="s">
        <v>1949</v>
      </c>
      <c r="I397">
        <v>100</v>
      </c>
      <c r="J397" s="48">
        <v>7.6200000000000004E-2</v>
      </c>
      <c r="K397" s="48">
        <v>9.6100000000000005E-2</v>
      </c>
      <c r="L397" s="54">
        <v>46189</v>
      </c>
      <c r="M397" s="54">
        <v>46288</v>
      </c>
      <c r="N397" s="54">
        <v>46189</v>
      </c>
      <c r="O397" s="54">
        <v>46288</v>
      </c>
    </row>
    <row r="398" spans="2:15" x14ac:dyDescent="0.25">
      <c r="B398">
        <v>411</v>
      </c>
      <c r="F398" t="s">
        <v>1656</v>
      </c>
      <c r="H398" t="s">
        <v>1949</v>
      </c>
      <c r="I398">
        <v>100</v>
      </c>
      <c r="J398" s="48">
        <v>7.2999999999999995E-2</v>
      </c>
      <c r="K398" s="48">
        <v>5.9400000000000001E-2</v>
      </c>
      <c r="L398" s="54">
        <v>46189</v>
      </c>
      <c r="M398" s="54">
        <v>46288</v>
      </c>
      <c r="N398" s="54">
        <v>46189</v>
      </c>
      <c r="O398" s="54">
        <v>46288</v>
      </c>
    </row>
    <row r="399" spans="2:15" x14ac:dyDescent="0.25">
      <c r="B399">
        <v>412</v>
      </c>
      <c r="F399" t="s">
        <v>1560</v>
      </c>
      <c r="H399" t="s">
        <v>1949</v>
      </c>
      <c r="I399">
        <v>100</v>
      </c>
      <c r="J399" s="48">
        <v>7.2999999999999995E-2</v>
      </c>
      <c r="K399" s="48">
        <v>5.9400000000000001E-2</v>
      </c>
      <c r="L399" s="54">
        <v>46189</v>
      </c>
      <c r="M399" s="54">
        <v>46288</v>
      </c>
      <c r="N399" s="54">
        <v>46189</v>
      </c>
      <c r="O399" s="54">
        <v>46288</v>
      </c>
    </row>
    <row r="400" spans="2:15" x14ac:dyDescent="0.25">
      <c r="B400">
        <v>413</v>
      </c>
      <c r="F400" t="s">
        <v>1657</v>
      </c>
      <c r="H400" t="s">
        <v>1949</v>
      </c>
      <c r="I400">
        <v>100</v>
      </c>
      <c r="J400" s="48">
        <v>7.6799999999999993E-2</v>
      </c>
      <c r="K400" s="48">
        <v>6.25E-2</v>
      </c>
      <c r="L400" s="54">
        <v>46189</v>
      </c>
      <c r="M400" s="54">
        <v>46288</v>
      </c>
      <c r="N400" s="54">
        <v>46189</v>
      </c>
      <c r="O400" s="54">
        <v>46288</v>
      </c>
    </row>
    <row r="401" spans="2:15" x14ac:dyDescent="0.25">
      <c r="B401">
        <v>414</v>
      </c>
      <c r="C401" t="s">
        <v>147</v>
      </c>
      <c r="D401" t="s">
        <v>904</v>
      </c>
      <c r="F401" t="s">
        <v>1658</v>
      </c>
      <c r="H401" t="s">
        <v>1596</v>
      </c>
      <c r="I401">
        <v>30</v>
      </c>
      <c r="J401" s="48">
        <v>1</v>
      </c>
      <c r="K401" s="48">
        <v>0.8</v>
      </c>
      <c r="L401" s="54">
        <v>46189</v>
      </c>
      <c r="M401" s="54">
        <v>46205</v>
      </c>
      <c r="N401" s="54">
        <v>46189</v>
      </c>
      <c r="O401" s="54">
        <v>46218</v>
      </c>
    </row>
    <row r="402" spans="2:15" x14ac:dyDescent="0.25">
      <c r="B402">
        <v>415</v>
      </c>
      <c r="C402" t="s">
        <v>147</v>
      </c>
      <c r="D402" t="s">
        <v>904</v>
      </c>
      <c r="E402" t="s">
        <v>1950</v>
      </c>
      <c r="F402" t="s">
        <v>1515</v>
      </c>
      <c r="G402" t="s">
        <v>1951</v>
      </c>
      <c r="H402" t="s">
        <v>1519</v>
      </c>
      <c r="I402">
        <v>4</v>
      </c>
      <c r="J402" s="48">
        <v>1</v>
      </c>
      <c r="K402" s="48">
        <v>1</v>
      </c>
      <c r="L402" s="54">
        <v>46189</v>
      </c>
      <c r="M402" s="54">
        <v>46192</v>
      </c>
      <c r="N402" s="54">
        <v>46189</v>
      </c>
      <c r="O402" s="54">
        <v>46192</v>
      </c>
    </row>
    <row r="403" spans="2:15" x14ac:dyDescent="0.25">
      <c r="B403">
        <v>416</v>
      </c>
      <c r="C403" t="s">
        <v>147</v>
      </c>
      <c r="D403" t="s">
        <v>904</v>
      </c>
      <c r="E403">
        <v>415</v>
      </c>
      <c r="F403" t="s">
        <v>1517</v>
      </c>
      <c r="G403">
        <v>417</v>
      </c>
      <c r="H403" t="s">
        <v>1516</v>
      </c>
      <c r="I403">
        <v>13</v>
      </c>
      <c r="J403" s="48">
        <v>1</v>
      </c>
      <c r="K403" s="48">
        <v>1</v>
      </c>
      <c r="L403" s="54">
        <v>46192</v>
      </c>
      <c r="M403" s="54">
        <v>46197</v>
      </c>
      <c r="N403" s="54">
        <v>46192</v>
      </c>
      <c r="O403" s="54">
        <v>46204</v>
      </c>
    </row>
    <row r="404" spans="2:15" x14ac:dyDescent="0.25">
      <c r="B404">
        <v>417</v>
      </c>
      <c r="C404" t="s">
        <v>147</v>
      </c>
      <c r="D404" t="s">
        <v>904</v>
      </c>
      <c r="E404">
        <v>416</v>
      </c>
      <c r="F404" t="s">
        <v>1518</v>
      </c>
      <c r="G404">
        <v>418</v>
      </c>
      <c r="H404" t="s">
        <v>1523</v>
      </c>
      <c r="I404">
        <v>10</v>
      </c>
      <c r="J404" s="48">
        <v>1</v>
      </c>
      <c r="K404" s="48">
        <v>0</v>
      </c>
      <c r="L404" s="54">
        <v>46197</v>
      </c>
      <c r="M404" s="54">
        <v>46202</v>
      </c>
      <c r="N404" s="54">
        <v>46204</v>
      </c>
      <c r="O404" s="54">
        <v>46213</v>
      </c>
    </row>
    <row r="405" spans="2:15" x14ac:dyDescent="0.25">
      <c r="B405">
        <v>418</v>
      </c>
      <c r="C405" t="s">
        <v>147</v>
      </c>
      <c r="D405" t="s">
        <v>904</v>
      </c>
      <c r="E405">
        <v>417</v>
      </c>
      <c r="F405" t="s">
        <v>1520</v>
      </c>
      <c r="G405">
        <v>76</v>
      </c>
      <c r="H405" t="s">
        <v>1519</v>
      </c>
      <c r="I405">
        <v>6</v>
      </c>
      <c r="J405" s="48">
        <v>1</v>
      </c>
      <c r="K405" s="48">
        <v>0</v>
      </c>
      <c r="L405" s="54">
        <v>46202</v>
      </c>
      <c r="M405" s="54">
        <v>46205</v>
      </c>
      <c r="N405" s="54">
        <v>46213</v>
      </c>
      <c r="O405" s="54">
        <v>46218</v>
      </c>
    </row>
    <row r="406" spans="2:15" x14ac:dyDescent="0.25">
      <c r="B406">
        <v>419</v>
      </c>
      <c r="C406" t="s">
        <v>134</v>
      </c>
      <c r="D406" t="s">
        <v>852</v>
      </c>
      <c r="F406" t="s">
        <v>1659</v>
      </c>
      <c r="H406" t="s">
        <v>1538</v>
      </c>
      <c r="I406">
        <v>27</v>
      </c>
      <c r="J406" s="48">
        <v>0.95079999999999998</v>
      </c>
      <c r="K406" s="48">
        <v>0.8</v>
      </c>
      <c r="L406" s="54">
        <v>46192</v>
      </c>
      <c r="M406" s="54">
        <v>46212</v>
      </c>
      <c r="N406" s="54">
        <v>46192</v>
      </c>
      <c r="O406" s="54">
        <v>46218</v>
      </c>
    </row>
    <row r="407" spans="2:15" x14ac:dyDescent="0.25">
      <c r="B407">
        <v>420</v>
      </c>
      <c r="C407" t="s">
        <v>134</v>
      </c>
      <c r="D407" t="s">
        <v>852</v>
      </c>
      <c r="E407">
        <v>415</v>
      </c>
      <c r="F407" t="s">
        <v>1515</v>
      </c>
      <c r="G407" t="s">
        <v>1952</v>
      </c>
      <c r="H407" t="s">
        <v>1528</v>
      </c>
      <c r="I407">
        <v>8</v>
      </c>
      <c r="J407" s="48">
        <v>1</v>
      </c>
      <c r="K407" s="48">
        <v>1</v>
      </c>
      <c r="L407" s="54">
        <v>46192</v>
      </c>
      <c r="M407" s="54">
        <v>46199</v>
      </c>
      <c r="N407" s="54">
        <v>46192</v>
      </c>
      <c r="O407" s="54">
        <v>46199</v>
      </c>
    </row>
    <row r="408" spans="2:15" x14ac:dyDescent="0.25">
      <c r="B408">
        <v>421</v>
      </c>
      <c r="C408" t="s">
        <v>134</v>
      </c>
      <c r="D408" t="s">
        <v>852</v>
      </c>
      <c r="E408">
        <v>420</v>
      </c>
      <c r="F408" t="s">
        <v>1517</v>
      </c>
      <c r="G408">
        <v>422</v>
      </c>
      <c r="H408" t="s">
        <v>1519</v>
      </c>
      <c r="I408">
        <v>6</v>
      </c>
      <c r="J408" s="48">
        <v>1</v>
      </c>
      <c r="K408" s="48">
        <v>1</v>
      </c>
      <c r="L408" s="54">
        <v>46199</v>
      </c>
      <c r="M408" s="54">
        <v>46204</v>
      </c>
      <c r="N408" s="54">
        <v>46199</v>
      </c>
      <c r="O408" s="54">
        <v>46204</v>
      </c>
    </row>
    <row r="409" spans="2:15" x14ac:dyDescent="0.25">
      <c r="B409">
        <v>422</v>
      </c>
      <c r="C409" t="s">
        <v>134</v>
      </c>
      <c r="D409" t="s">
        <v>852</v>
      </c>
      <c r="E409">
        <v>421</v>
      </c>
      <c r="F409" t="s">
        <v>1518</v>
      </c>
      <c r="G409">
        <v>423</v>
      </c>
      <c r="H409" t="s">
        <v>1523</v>
      </c>
      <c r="I409">
        <v>10</v>
      </c>
      <c r="J409" s="48">
        <v>0.87</v>
      </c>
      <c r="K409" s="48">
        <v>0</v>
      </c>
      <c r="L409" s="54">
        <v>46204</v>
      </c>
      <c r="M409" s="54">
        <v>46209</v>
      </c>
      <c r="N409" s="54">
        <v>46204</v>
      </c>
      <c r="O409" s="54">
        <v>46213</v>
      </c>
    </row>
    <row r="410" spans="2:15" x14ac:dyDescent="0.25">
      <c r="B410">
        <v>423</v>
      </c>
      <c r="C410" t="s">
        <v>134</v>
      </c>
      <c r="D410" t="s">
        <v>852</v>
      </c>
      <c r="E410">
        <v>422</v>
      </c>
      <c r="F410" t="s">
        <v>1520</v>
      </c>
      <c r="G410">
        <v>76</v>
      </c>
      <c r="H410" t="s">
        <v>1519</v>
      </c>
      <c r="I410">
        <v>6</v>
      </c>
      <c r="J410" s="48">
        <v>0</v>
      </c>
      <c r="K410" s="48">
        <v>0</v>
      </c>
      <c r="L410" s="54">
        <v>46209</v>
      </c>
      <c r="M410" s="54">
        <v>46212</v>
      </c>
      <c r="N410" s="54">
        <v>46213</v>
      </c>
      <c r="O410" s="54">
        <v>46218</v>
      </c>
    </row>
    <row r="411" spans="2:15" x14ac:dyDescent="0.25">
      <c r="B411">
        <v>424</v>
      </c>
      <c r="C411" t="s">
        <v>167</v>
      </c>
      <c r="D411" t="s">
        <v>994</v>
      </c>
      <c r="F411" t="s">
        <v>1660</v>
      </c>
      <c r="H411" t="s">
        <v>1559</v>
      </c>
      <c r="I411">
        <v>19</v>
      </c>
      <c r="J411" s="48">
        <v>0</v>
      </c>
      <c r="K411" s="48">
        <v>0</v>
      </c>
      <c r="L411" s="54">
        <v>46247</v>
      </c>
      <c r="M411" s="54">
        <v>46265</v>
      </c>
      <c r="N411" s="54">
        <v>46247</v>
      </c>
      <c r="O411" s="54">
        <v>46265</v>
      </c>
    </row>
    <row r="412" spans="2:15" x14ac:dyDescent="0.25">
      <c r="B412">
        <v>425</v>
      </c>
      <c r="C412" t="s">
        <v>167</v>
      </c>
      <c r="D412" t="s">
        <v>994</v>
      </c>
      <c r="E412">
        <v>677</v>
      </c>
      <c r="F412" t="s">
        <v>1515</v>
      </c>
      <c r="G412">
        <v>426</v>
      </c>
      <c r="H412" t="s">
        <v>1519</v>
      </c>
      <c r="I412">
        <v>6</v>
      </c>
      <c r="J412" s="48">
        <v>0</v>
      </c>
      <c r="K412" s="48">
        <v>0</v>
      </c>
      <c r="L412" s="54">
        <v>46247</v>
      </c>
      <c r="M412" s="54">
        <v>46252</v>
      </c>
      <c r="N412" s="54">
        <v>46247</v>
      </c>
      <c r="O412" s="54">
        <v>46252</v>
      </c>
    </row>
    <row r="413" spans="2:15" x14ac:dyDescent="0.25">
      <c r="B413">
        <v>426</v>
      </c>
      <c r="C413" t="s">
        <v>167</v>
      </c>
      <c r="D413" t="s">
        <v>994</v>
      </c>
      <c r="E413">
        <v>425</v>
      </c>
      <c r="F413" t="s">
        <v>1517</v>
      </c>
      <c r="G413">
        <v>427</v>
      </c>
      <c r="H413" t="s">
        <v>1519</v>
      </c>
      <c r="I413">
        <v>4</v>
      </c>
      <c r="J413" s="48">
        <v>0</v>
      </c>
      <c r="K413" s="48">
        <v>0</v>
      </c>
      <c r="L413" s="54">
        <v>46252</v>
      </c>
      <c r="M413" s="54">
        <v>46255</v>
      </c>
      <c r="N413" s="54">
        <v>46252</v>
      </c>
      <c r="O413" s="54">
        <v>46255</v>
      </c>
    </row>
    <row r="414" spans="2:15" x14ac:dyDescent="0.25">
      <c r="B414">
        <v>427</v>
      </c>
      <c r="C414" t="s">
        <v>167</v>
      </c>
      <c r="D414" t="s">
        <v>994</v>
      </c>
      <c r="E414">
        <v>426</v>
      </c>
      <c r="F414" t="s">
        <v>1518</v>
      </c>
      <c r="G414">
        <v>428</v>
      </c>
      <c r="H414" t="s">
        <v>1519</v>
      </c>
      <c r="I414">
        <v>6</v>
      </c>
      <c r="J414" s="48">
        <v>0</v>
      </c>
      <c r="K414" s="48">
        <v>0</v>
      </c>
      <c r="L414" s="54">
        <v>46255</v>
      </c>
      <c r="M414" s="54">
        <v>46260</v>
      </c>
      <c r="N414" s="54">
        <v>46255</v>
      </c>
      <c r="O414" s="54">
        <v>46260</v>
      </c>
    </row>
    <row r="415" spans="2:15" x14ac:dyDescent="0.25">
      <c r="B415">
        <v>428</v>
      </c>
      <c r="C415" t="s">
        <v>167</v>
      </c>
      <c r="D415" t="s">
        <v>994</v>
      </c>
      <c r="E415">
        <v>427</v>
      </c>
      <c r="F415" t="s">
        <v>1520</v>
      </c>
      <c r="G415">
        <v>76</v>
      </c>
      <c r="H415" t="s">
        <v>1519</v>
      </c>
      <c r="I415">
        <v>6</v>
      </c>
      <c r="J415" s="48">
        <v>0</v>
      </c>
      <c r="K415" s="48">
        <v>0</v>
      </c>
      <c r="L415" s="54">
        <v>46260</v>
      </c>
      <c r="M415" s="54">
        <v>46265</v>
      </c>
      <c r="N415" s="54">
        <v>46260</v>
      </c>
      <c r="O415" s="54">
        <v>46265</v>
      </c>
    </row>
    <row r="416" spans="2:15" x14ac:dyDescent="0.25">
      <c r="B416">
        <v>429</v>
      </c>
      <c r="C416" t="s">
        <v>151</v>
      </c>
      <c r="D416" t="s">
        <v>924</v>
      </c>
      <c r="F416" t="s">
        <v>1661</v>
      </c>
      <c r="H416" t="s">
        <v>1559</v>
      </c>
      <c r="I416">
        <v>19</v>
      </c>
      <c r="J416" s="48">
        <v>0</v>
      </c>
      <c r="K416" s="48">
        <v>0</v>
      </c>
      <c r="L416" s="54">
        <v>46213</v>
      </c>
      <c r="M416" s="54">
        <v>46231</v>
      </c>
      <c r="N416" s="54">
        <v>46213</v>
      </c>
      <c r="O416" s="54">
        <v>46231</v>
      </c>
    </row>
    <row r="417" spans="2:15" x14ac:dyDescent="0.25">
      <c r="B417">
        <v>430</v>
      </c>
      <c r="C417" t="s">
        <v>151</v>
      </c>
      <c r="D417" t="s">
        <v>924</v>
      </c>
      <c r="E417">
        <v>572</v>
      </c>
      <c r="F417" t="s">
        <v>1515</v>
      </c>
      <c r="G417" t="s">
        <v>1953</v>
      </c>
      <c r="H417" t="s">
        <v>1519</v>
      </c>
      <c r="I417">
        <v>6</v>
      </c>
      <c r="J417" s="48">
        <v>0</v>
      </c>
      <c r="K417" s="48">
        <v>0</v>
      </c>
      <c r="L417" s="54">
        <v>46213</v>
      </c>
      <c r="M417" s="54">
        <v>46218</v>
      </c>
      <c r="N417" s="54">
        <v>46213</v>
      </c>
      <c r="O417" s="54">
        <v>46218</v>
      </c>
    </row>
    <row r="418" spans="2:15" x14ac:dyDescent="0.25">
      <c r="B418">
        <v>431</v>
      </c>
      <c r="C418" t="s">
        <v>151</v>
      </c>
      <c r="D418" t="s">
        <v>924</v>
      </c>
      <c r="E418">
        <v>430</v>
      </c>
      <c r="F418" t="s">
        <v>1517</v>
      </c>
      <c r="G418">
        <v>432</v>
      </c>
      <c r="H418" t="s">
        <v>1519</v>
      </c>
      <c r="I418">
        <v>6</v>
      </c>
      <c r="J418" s="48">
        <v>0</v>
      </c>
      <c r="K418" s="48">
        <v>0</v>
      </c>
      <c r="L418" s="54">
        <v>46218</v>
      </c>
      <c r="M418" s="54">
        <v>46223</v>
      </c>
      <c r="N418" s="54">
        <v>46218</v>
      </c>
      <c r="O418" s="54">
        <v>46223</v>
      </c>
    </row>
    <row r="419" spans="2:15" x14ac:dyDescent="0.25">
      <c r="B419">
        <v>432</v>
      </c>
      <c r="C419" t="s">
        <v>151</v>
      </c>
      <c r="D419" t="s">
        <v>924</v>
      </c>
      <c r="E419">
        <v>431</v>
      </c>
      <c r="F419" t="s">
        <v>1518</v>
      </c>
      <c r="G419">
        <v>433</v>
      </c>
      <c r="H419" t="s">
        <v>1519</v>
      </c>
      <c r="I419">
        <v>4</v>
      </c>
      <c r="J419" s="48">
        <v>0</v>
      </c>
      <c r="K419" s="48">
        <v>0</v>
      </c>
      <c r="L419" s="54">
        <v>46223</v>
      </c>
      <c r="M419" s="54">
        <v>46226</v>
      </c>
      <c r="N419" s="54">
        <v>46223</v>
      </c>
      <c r="O419" s="54">
        <v>46226</v>
      </c>
    </row>
    <row r="420" spans="2:15" x14ac:dyDescent="0.25">
      <c r="B420">
        <v>433</v>
      </c>
      <c r="C420" t="s">
        <v>151</v>
      </c>
      <c r="D420" t="s">
        <v>924</v>
      </c>
      <c r="E420">
        <v>432</v>
      </c>
      <c r="F420" t="s">
        <v>1520</v>
      </c>
      <c r="G420">
        <v>76</v>
      </c>
      <c r="H420" t="s">
        <v>1519</v>
      </c>
      <c r="I420">
        <v>6</v>
      </c>
      <c r="J420" s="48">
        <v>0</v>
      </c>
      <c r="K420" s="48">
        <v>0</v>
      </c>
      <c r="L420" s="54">
        <v>46226</v>
      </c>
      <c r="M420" s="54">
        <v>46231</v>
      </c>
      <c r="N420" s="54">
        <v>46226</v>
      </c>
      <c r="O420" s="54">
        <v>46231</v>
      </c>
    </row>
    <row r="421" spans="2:15" x14ac:dyDescent="0.25">
      <c r="B421">
        <v>439</v>
      </c>
      <c r="C421" t="s">
        <v>153</v>
      </c>
      <c r="D421" t="s">
        <v>934</v>
      </c>
      <c r="F421" t="s">
        <v>1662</v>
      </c>
      <c r="H421" t="s">
        <v>1559</v>
      </c>
      <c r="I421">
        <v>17</v>
      </c>
      <c r="J421" s="48">
        <v>0</v>
      </c>
      <c r="K421" s="48">
        <v>0</v>
      </c>
      <c r="L421" s="54">
        <v>46213</v>
      </c>
      <c r="M421" s="54">
        <v>46231</v>
      </c>
      <c r="N421" s="54">
        <v>46218</v>
      </c>
      <c r="O421" s="54">
        <v>46234</v>
      </c>
    </row>
    <row r="422" spans="2:15" x14ac:dyDescent="0.25">
      <c r="B422">
        <v>440</v>
      </c>
      <c r="C422" t="s">
        <v>153</v>
      </c>
      <c r="D422" t="s">
        <v>934</v>
      </c>
      <c r="E422">
        <v>435</v>
      </c>
      <c r="F422" t="s">
        <v>1515</v>
      </c>
      <c r="G422" t="s">
        <v>1954</v>
      </c>
      <c r="H422" t="s">
        <v>1519</v>
      </c>
      <c r="I422">
        <v>6</v>
      </c>
      <c r="J422" s="48">
        <v>0</v>
      </c>
      <c r="K422" s="48">
        <v>0</v>
      </c>
      <c r="L422" s="54">
        <v>46213</v>
      </c>
      <c r="M422" s="54">
        <v>46218</v>
      </c>
      <c r="N422" s="54">
        <v>46218</v>
      </c>
      <c r="O422" s="54">
        <v>46223</v>
      </c>
    </row>
    <row r="423" spans="2:15" x14ac:dyDescent="0.25">
      <c r="B423">
        <v>441</v>
      </c>
      <c r="C423" t="s">
        <v>153</v>
      </c>
      <c r="D423" t="s">
        <v>934</v>
      </c>
      <c r="E423">
        <v>440</v>
      </c>
      <c r="F423" t="s">
        <v>1517</v>
      </c>
      <c r="G423">
        <v>442</v>
      </c>
      <c r="H423" t="s">
        <v>1519</v>
      </c>
      <c r="I423">
        <v>4</v>
      </c>
      <c r="J423" s="48">
        <v>0</v>
      </c>
      <c r="K423" s="48">
        <v>0</v>
      </c>
      <c r="L423" s="54">
        <v>46218</v>
      </c>
      <c r="M423" s="54">
        <v>46223</v>
      </c>
      <c r="N423" s="54">
        <v>46223</v>
      </c>
      <c r="O423" s="54">
        <v>46226</v>
      </c>
    </row>
    <row r="424" spans="2:15" x14ac:dyDescent="0.25">
      <c r="B424">
        <v>442</v>
      </c>
      <c r="C424" t="s">
        <v>153</v>
      </c>
      <c r="D424" t="s">
        <v>934</v>
      </c>
      <c r="E424">
        <v>441</v>
      </c>
      <c r="F424" t="s">
        <v>1518</v>
      </c>
      <c r="G424">
        <v>443</v>
      </c>
      <c r="H424" t="s">
        <v>1519</v>
      </c>
      <c r="I424">
        <v>6</v>
      </c>
      <c r="J424" s="48">
        <v>0</v>
      </c>
      <c r="K424" s="48">
        <v>0</v>
      </c>
      <c r="L424" s="54">
        <v>46223</v>
      </c>
      <c r="M424" s="54">
        <v>46226</v>
      </c>
      <c r="N424" s="54">
        <v>46226</v>
      </c>
      <c r="O424" s="54">
        <v>46231</v>
      </c>
    </row>
    <row r="425" spans="2:15" x14ac:dyDescent="0.25">
      <c r="B425">
        <v>443</v>
      </c>
      <c r="C425" t="s">
        <v>153</v>
      </c>
      <c r="D425" t="s">
        <v>934</v>
      </c>
      <c r="E425">
        <v>442</v>
      </c>
      <c r="F425" t="s">
        <v>1520</v>
      </c>
      <c r="G425">
        <v>76</v>
      </c>
      <c r="H425" t="s">
        <v>1519</v>
      </c>
      <c r="I425">
        <v>4</v>
      </c>
      <c r="J425" s="48">
        <v>0</v>
      </c>
      <c r="K425" s="48">
        <v>0</v>
      </c>
      <c r="L425" s="54">
        <v>46226</v>
      </c>
      <c r="M425" s="54">
        <v>46231</v>
      </c>
      <c r="N425" s="54">
        <v>46231</v>
      </c>
      <c r="O425" s="54">
        <v>46234</v>
      </c>
    </row>
    <row r="426" spans="2:15" x14ac:dyDescent="0.25">
      <c r="B426">
        <v>444</v>
      </c>
      <c r="C426" t="s">
        <v>154</v>
      </c>
      <c r="D426" t="s">
        <v>938</v>
      </c>
      <c r="F426" t="s">
        <v>1663</v>
      </c>
      <c r="H426" t="s">
        <v>1559</v>
      </c>
      <c r="I426">
        <v>17</v>
      </c>
      <c r="J426" s="48">
        <v>0</v>
      </c>
      <c r="K426" s="48">
        <v>0</v>
      </c>
      <c r="L426" s="54">
        <v>46218</v>
      </c>
      <c r="M426" s="54">
        <v>46234</v>
      </c>
      <c r="N426" s="54">
        <v>46223</v>
      </c>
      <c r="O426" s="54">
        <v>46239</v>
      </c>
    </row>
    <row r="427" spans="2:15" x14ac:dyDescent="0.25">
      <c r="B427">
        <v>445</v>
      </c>
      <c r="C427" t="s">
        <v>154</v>
      </c>
      <c r="D427" t="s">
        <v>938</v>
      </c>
      <c r="E427">
        <v>440</v>
      </c>
      <c r="F427" t="s">
        <v>1515</v>
      </c>
      <c r="G427" t="s">
        <v>1955</v>
      </c>
      <c r="H427" t="s">
        <v>1519</v>
      </c>
      <c r="I427">
        <v>4</v>
      </c>
      <c r="J427" s="48">
        <v>0</v>
      </c>
      <c r="K427" s="48">
        <v>0</v>
      </c>
      <c r="L427" s="54">
        <v>46218</v>
      </c>
      <c r="M427" s="54">
        <v>46223</v>
      </c>
      <c r="N427" s="54">
        <v>46223</v>
      </c>
      <c r="O427" s="54">
        <v>46226</v>
      </c>
    </row>
    <row r="428" spans="2:15" x14ac:dyDescent="0.25">
      <c r="B428">
        <v>446</v>
      </c>
      <c r="C428" t="s">
        <v>154</v>
      </c>
      <c r="D428" t="s">
        <v>938</v>
      </c>
      <c r="E428">
        <v>445</v>
      </c>
      <c r="F428" t="s">
        <v>1517</v>
      </c>
      <c r="G428">
        <v>447</v>
      </c>
      <c r="H428" t="s">
        <v>1519</v>
      </c>
      <c r="I428">
        <v>6</v>
      </c>
      <c r="J428" s="48">
        <v>0</v>
      </c>
      <c r="K428" s="48">
        <v>0</v>
      </c>
      <c r="L428" s="54">
        <v>46223</v>
      </c>
      <c r="M428" s="54">
        <v>46226</v>
      </c>
      <c r="N428" s="54">
        <v>46226</v>
      </c>
      <c r="O428" s="54">
        <v>46231</v>
      </c>
    </row>
    <row r="429" spans="2:15" x14ac:dyDescent="0.25">
      <c r="B429">
        <v>447</v>
      </c>
      <c r="C429" t="s">
        <v>154</v>
      </c>
      <c r="D429" t="s">
        <v>938</v>
      </c>
      <c r="E429">
        <v>446</v>
      </c>
      <c r="F429" t="s">
        <v>1518</v>
      </c>
      <c r="G429">
        <v>448</v>
      </c>
      <c r="H429" t="s">
        <v>1519</v>
      </c>
      <c r="I429">
        <v>4</v>
      </c>
      <c r="J429" s="48">
        <v>0</v>
      </c>
      <c r="K429" s="48">
        <v>0</v>
      </c>
      <c r="L429" s="54">
        <v>46226</v>
      </c>
      <c r="M429" s="54">
        <v>46231</v>
      </c>
      <c r="N429" s="54">
        <v>46231</v>
      </c>
      <c r="O429" s="54">
        <v>46234</v>
      </c>
    </row>
    <row r="430" spans="2:15" x14ac:dyDescent="0.25">
      <c r="B430">
        <v>448</v>
      </c>
      <c r="C430" t="s">
        <v>154</v>
      </c>
      <c r="D430" t="s">
        <v>938</v>
      </c>
      <c r="E430">
        <v>447</v>
      </c>
      <c r="F430" t="s">
        <v>1520</v>
      </c>
      <c r="G430">
        <v>76</v>
      </c>
      <c r="H430" t="s">
        <v>1519</v>
      </c>
      <c r="I430">
        <v>6</v>
      </c>
      <c r="J430" s="48">
        <v>0</v>
      </c>
      <c r="K430" s="48">
        <v>0</v>
      </c>
      <c r="L430" s="54">
        <v>46231</v>
      </c>
      <c r="M430" s="54">
        <v>46234</v>
      </c>
      <c r="N430" s="54">
        <v>46234</v>
      </c>
      <c r="O430" s="54">
        <v>46239</v>
      </c>
    </row>
    <row r="431" spans="2:15" x14ac:dyDescent="0.25">
      <c r="B431">
        <v>449</v>
      </c>
      <c r="C431" t="s">
        <v>155</v>
      </c>
      <c r="D431" t="s">
        <v>942</v>
      </c>
      <c r="F431" t="s">
        <v>1664</v>
      </c>
      <c r="H431" t="s">
        <v>1559</v>
      </c>
      <c r="I431">
        <v>19</v>
      </c>
      <c r="J431" s="48">
        <v>0</v>
      </c>
      <c r="K431" s="48">
        <v>0</v>
      </c>
      <c r="L431" s="54">
        <v>46223</v>
      </c>
      <c r="M431" s="54">
        <v>46239</v>
      </c>
      <c r="N431" s="54">
        <v>46226</v>
      </c>
      <c r="O431" s="54">
        <v>46244</v>
      </c>
    </row>
    <row r="432" spans="2:15" x14ac:dyDescent="0.25">
      <c r="B432">
        <v>450</v>
      </c>
      <c r="C432" t="s">
        <v>155</v>
      </c>
      <c r="D432" t="s">
        <v>942</v>
      </c>
      <c r="E432">
        <v>445</v>
      </c>
      <c r="F432" t="s">
        <v>1515</v>
      </c>
      <c r="G432" t="s">
        <v>1956</v>
      </c>
      <c r="H432" t="s">
        <v>1519</v>
      </c>
      <c r="I432">
        <v>6</v>
      </c>
      <c r="J432" s="48">
        <v>0</v>
      </c>
      <c r="K432" s="48">
        <v>0</v>
      </c>
      <c r="L432" s="54">
        <v>46223</v>
      </c>
      <c r="M432" s="54">
        <v>46226</v>
      </c>
      <c r="N432" s="54">
        <v>46226</v>
      </c>
      <c r="O432" s="54">
        <v>46231</v>
      </c>
    </row>
    <row r="433" spans="2:15" x14ac:dyDescent="0.25">
      <c r="B433">
        <v>451</v>
      </c>
      <c r="C433" t="s">
        <v>155</v>
      </c>
      <c r="D433" t="s">
        <v>942</v>
      </c>
      <c r="E433">
        <v>450</v>
      </c>
      <c r="F433" t="s">
        <v>1517</v>
      </c>
      <c r="G433">
        <v>452</v>
      </c>
      <c r="H433" t="s">
        <v>1519</v>
      </c>
      <c r="I433">
        <v>4</v>
      </c>
      <c r="J433" s="48">
        <v>0</v>
      </c>
      <c r="K433" s="48">
        <v>0</v>
      </c>
      <c r="L433" s="54">
        <v>46226</v>
      </c>
      <c r="M433" s="54">
        <v>46231</v>
      </c>
      <c r="N433" s="54">
        <v>46231</v>
      </c>
      <c r="O433" s="54">
        <v>46234</v>
      </c>
    </row>
    <row r="434" spans="2:15" x14ac:dyDescent="0.25">
      <c r="B434">
        <v>452</v>
      </c>
      <c r="C434" t="s">
        <v>155</v>
      </c>
      <c r="D434" t="s">
        <v>942</v>
      </c>
      <c r="E434">
        <v>451</v>
      </c>
      <c r="F434" t="s">
        <v>1518</v>
      </c>
      <c r="G434">
        <v>453</v>
      </c>
      <c r="H434" t="s">
        <v>1519</v>
      </c>
      <c r="I434">
        <v>6</v>
      </c>
      <c r="J434" s="48">
        <v>0</v>
      </c>
      <c r="K434" s="48">
        <v>0</v>
      </c>
      <c r="L434" s="54">
        <v>46231</v>
      </c>
      <c r="M434" s="54">
        <v>46234</v>
      </c>
      <c r="N434" s="54">
        <v>46234</v>
      </c>
      <c r="O434" s="54">
        <v>46239</v>
      </c>
    </row>
    <row r="435" spans="2:15" x14ac:dyDescent="0.25">
      <c r="B435">
        <v>453</v>
      </c>
      <c r="C435" t="s">
        <v>155</v>
      </c>
      <c r="D435" t="s">
        <v>942</v>
      </c>
      <c r="E435">
        <v>452</v>
      </c>
      <c r="F435" t="s">
        <v>1520</v>
      </c>
      <c r="G435">
        <v>76</v>
      </c>
      <c r="H435" t="s">
        <v>1519</v>
      </c>
      <c r="I435">
        <v>6</v>
      </c>
      <c r="J435" s="48">
        <v>0</v>
      </c>
      <c r="K435" s="48">
        <v>0</v>
      </c>
      <c r="L435" s="54">
        <v>46234</v>
      </c>
      <c r="M435" s="54">
        <v>46239</v>
      </c>
      <c r="N435" s="54">
        <v>46239</v>
      </c>
      <c r="O435" s="54">
        <v>46244</v>
      </c>
    </row>
    <row r="436" spans="2:15" x14ac:dyDescent="0.25">
      <c r="B436">
        <v>454</v>
      </c>
      <c r="C436" t="s">
        <v>156</v>
      </c>
      <c r="D436" t="s">
        <v>947</v>
      </c>
      <c r="F436" t="s">
        <v>1665</v>
      </c>
      <c r="H436" t="s">
        <v>1559</v>
      </c>
      <c r="I436">
        <v>19</v>
      </c>
      <c r="J436" s="48">
        <v>0</v>
      </c>
      <c r="K436" s="48">
        <v>0</v>
      </c>
      <c r="L436" s="54">
        <v>46223</v>
      </c>
      <c r="M436" s="54">
        <v>46239</v>
      </c>
      <c r="N436" s="54">
        <v>46226</v>
      </c>
      <c r="O436" s="54">
        <v>46244</v>
      </c>
    </row>
    <row r="437" spans="2:15" x14ac:dyDescent="0.25">
      <c r="B437">
        <v>455</v>
      </c>
      <c r="C437" t="s">
        <v>156</v>
      </c>
      <c r="D437" t="s">
        <v>947</v>
      </c>
      <c r="E437" t="s">
        <v>1957</v>
      </c>
      <c r="F437" t="s">
        <v>1515</v>
      </c>
      <c r="G437" t="s">
        <v>1958</v>
      </c>
      <c r="H437" t="s">
        <v>1519</v>
      </c>
      <c r="I437">
        <v>6</v>
      </c>
      <c r="J437" s="48">
        <v>0</v>
      </c>
      <c r="K437" s="48">
        <v>0</v>
      </c>
      <c r="L437" s="54">
        <v>46223</v>
      </c>
      <c r="M437" s="54">
        <v>46226</v>
      </c>
      <c r="N437" s="54">
        <v>46226</v>
      </c>
      <c r="O437" s="54">
        <v>46231</v>
      </c>
    </row>
    <row r="438" spans="2:15" x14ac:dyDescent="0.25">
      <c r="B438">
        <v>456</v>
      </c>
      <c r="C438" t="s">
        <v>156</v>
      </c>
      <c r="D438" t="s">
        <v>947</v>
      </c>
      <c r="E438">
        <v>455</v>
      </c>
      <c r="F438" t="s">
        <v>1517</v>
      </c>
      <c r="G438">
        <v>457</v>
      </c>
      <c r="H438" t="s">
        <v>1519</v>
      </c>
      <c r="I438">
        <v>4</v>
      </c>
      <c r="J438" s="48">
        <v>0</v>
      </c>
      <c r="K438" s="48">
        <v>0</v>
      </c>
      <c r="L438" s="54">
        <v>46226</v>
      </c>
      <c r="M438" s="54">
        <v>46231</v>
      </c>
      <c r="N438" s="54">
        <v>46231</v>
      </c>
      <c r="O438" s="54">
        <v>46234</v>
      </c>
    </row>
    <row r="439" spans="2:15" x14ac:dyDescent="0.25">
      <c r="B439">
        <v>457</v>
      </c>
      <c r="C439" t="s">
        <v>156</v>
      </c>
      <c r="D439" t="s">
        <v>947</v>
      </c>
      <c r="E439">
        <v>456</v>
      </c>
      <c r="F439" t="s">
        <v>1518</v>
      </c>
      <c r="G439">
        <v>458</v>
      </c>
      <c r="H439" t="s">
        <v>1519</v>
      </c>
      <c r="I439">
        <v>6</v>
      </c>
      <c r="J439" s="48">
        <v>0</v>
      </c>
      <c r="K439" s="48">
        <v>0</v>
      </c>
      <c r="L439" s="54">
        <v>46231</v>
      </c>
      <c r="M439" s="54">
        <v>46234</v>
      </c>
      <c r="N439" s="54">
        <v>46234</v>
      </c>
      <c r="O439" s="54">
        <v>46239</v>
      </c>
    </row>
    <row r="440" spans="2:15" x14ac:dyDescent="0.25">
      <c r="B440">
        <v>458</v>
      </c>
      <c r="C440" t="s">
        <v>156</v>
      </c>
      <c r="D440" t="s">
        <v>947</v>
      </c>
      <c r="E440">
        <v>457</v>
      </c>
      <c r="F440" t="s">
        <v>1520</v>
      </c>
      <c r="G440">
        <v>76</v>
      </c>
      <c r="H440" t="s">
        <v>1519</v>
      </c>
      <c r="I440">
        <v>6</v>
      </c>
      <c r="J440" s="48">
        <v>0</v>
      </c>
      <c r="K440" s="48">
        <v>0</v>
      </c>
      <c r="L440" s="54">
        <v>46234</v>
      </c>
      <c r="M440" s="54">
        <v>46239</v>
      </c>
      <c r="N440" s="54">
        <v>46239</v>
      </c>
      <c r="O440" s="54">
        <v>46244</v>
      </c>
    </row>
    <row r="441" spans="2:15" x14ac:dyDescent="0.25">
      <c r="B441">
        <v>459</v>
      </c>
      <c r="C441" t="s">
        <v>157</v>
      </c>
      <c r="D441" t="s">
        <v>951</v>
      </c>
      <c r="F441" t="s">
        <v>1666</v>
      </c>
      <c r="H441" t="s">
        <v>1641</v>
      </c>
      <c r="I441">
        <v>16</v>
      </c>
      <c r="J441" s="48">
        <v>0</v>
      </c>
      <c r="K441" s="48">
        <v>0</v>
      </c>
      <c r="L441" s="54">
        <v>46226</v>
      </c>
      <c r="M441" s="54">
        <v>46241</v>
      </c>
      <c r="N441" s="54">
        <v>46231</v>
      </c>
      <c r="O441" s="54">
        <v>46246</v>
      </c>
    </row>
    <row r="442" spans="2:15" x14ac:dyDescent="0.25">
      <c r="B442">
        <v>460</v>
      </c>
      <c r="C442" t="s">
        <v>157</v>
      </c>
      <c r="D442" t="s">
        <v>951</v>
      </c>
      <c r="E442">
        <v>455</v>
      </c>
      <c r="F442" t="s">
        <v>1515</v>
      </c>
      <c r="G442" t="s">
        <v>1959</v>
      </c>
      <c r="H442" t="s">
        <v>1642</v>
      </c>
      <c r="I442">
        <v>3</v>
      </c>
      <c r="J442" s="48">
        <v>0</v>
      </c>
      <c r="K442" s="48">
        <v>0</v>
      </c>
      <c r="L442" s="54">
        <v>46226</v>
      </c>
      <c r="M442" s="54">
        <v>46230</v>
      </c>
      <c r="N442" s="54">
        <v>46231</v>
      </c>
      <c r="O442" s="54">
        <v>46233</v>
      </c>
    </row>
    <row r="443" spans="2:15" x14ac:dyDescent="0.25">
      <c r="B443">
        <v>461</v>
      </c>
      <c r="C443" t="s">
        <v>157</v>
      </c>
      <c r="D443" t="s">
        <v>951</v>
      </c>
      <c r="E443">
        <v>460</v>
      </c>
      <c r="F443" t="s">
        <v>1517</v>
      </c>
      <c r="G443">
        <v>462</v>
      </c>
      <c r="H443" t="s">
        <v>1519</v>
      </c>
      <c r="I443">
        <v>6</v>
      </c>
      <c r="J443" s="48">
        <v>0</v>
      </c>
      <c r="K443" s="48">
        <v>0</v>
      </c>
      <c r="L443" s="54">
        <v>46230</v>
      </c>
      <c r="M443" s="54">
        <v>46233</v>
      </c>
      <c r="N443" s="54">
        <v>46233</v>
      </c>
      <c r="O443" s="54">
        <v>46238</v>
      </c>
    </row>
    <row r="444" spans="2:15" x14ac:dyDescent="0.25">
      <c r="B444">
        <v>462</v>
      </c>
      <c r="C444" t="s">
        <v>157</v>
      </c>
      <c r="D444" t="s">
        <v>951</v>
      </c>
      <c r="E444">
        <v>461</v>
      </c>
      <c r="F444" t="s">
        <v>1518</v>
      </c>
      <c r="G444">
        <v>463</v>
      </c>
      <c r="H444" t="s">
        <v>1519</v>
      </c>
      <c r="I444">
        <v>4</v>
      </c>
      <c r="J444" s="48">
        <v>0</v>
      </c>
      <c r="K444" s="48">
        <v>0</v>
      </c>
      <c r="L444" s="54">
        <v>46233</v>
      </c>
      <c r="M444" s="54">
        <v>46238</v>
      </c>
      <c r="N444" s="54">
        <v>46238</v>
      </c>
      <c r="O444" s="54">
        <v>46241</v>
      </c>
    </row>
    <row r="445" spans="2:15" x14ac:dyDescent="0.25">
      <c r="B445">
        <v>463</v>
      </c>
      <c r="C445" t="s">
        <v>157</v>
      </c>
      <c r="D445" t="s">
        <v>951</v>
      </c>
      <c r="E445">
        <v>462</v>
      </c>
      <c r="F445" t="s">
        <v>1520</v>
      </c>
      <c r="G445">
        <v>76</v>
      </c>
      <c r="H445" t="s">
        <v>1519</v>
      </c>
      <c r="I445">
        <v>6</v>
      </c>
      <c r="J445" s="48">
        <v>0</v>
      </c>
      <c r="K445" s="48">
        <v>0</v>
      </c>
      <c r="L445" s="54">
        <v>46238</v>
      </c>
      <c r="M445" s="54">
        <v>46241</v>
      </c>
      <c r="N445" s="54">
        <v>46241</v>
      </c>
      <c r="O445" s="54">
        <v>46246</v>
      </c>
    </row>
    <row r="446" spans="2:15" x14ac:dyDescent="0.25">
      <c r="B446">
        <v>464</v>
      </c>
      <c r="C446" t="s">
        <v>158</v>
      </c>
      <c r="D446" t="s">
        <v>955</v>
      </c>
      <c r="F446" t="s">
        <v>1667</v>
      </c>
      <c r="H446" t="s">
        <v>1559</v>
      </c>
      <c r="I446">
        <v>17</v>
      </c>
      <c r="J446" s="48">
        <v>0</v>
      </c>
      <c r="K446" s="48">
        <v>0</v>
      </c>
      <c r="L446" s="54">
        <v>46225</v>
      </c>
      <c r="M446" s="54">
        <v>46241</v>
      </c>
      <c r="N446" s="54">
        <v>46230</v>
      </c>
      <c r="O446" s="54">
        <v>46246</v>
      </c>
    </row>
    <row r="447" spans="2:15" x14ac:dyDescent="0.25">
      <c r="B447">
        <v>465</v>
      </c>
      <c r="C447" t="s">
        <v>158</v>
      </c>
      <c r="D447" t="s">
        <v>955</v>
      </c>
      <c r="E447" t="s">
        <v>1960</v>
      </c>
      <c r="F447" t="s">
        <v>1515</v>
      </c>
      <c r="G447" t="s">
        <v>1961</v>
      </c>
      <c r="H447" t="s">
        <v>1519</v>
      </c>
      <c r="I447">
        <v>4</v>
      </c>
      <c r="J447" s="48">
        <v>0</v>
      </c>
      <c r="K447" s="48">
        <v>0</v>
      </c>
      <c r="L447" s="54">
        <v>46225</v>
      </c>
      <c r="M447" s="54">
        <v>46230</v>
      </c>
      <c r="N447" s="54">
        <v>46230</v>
      </c>
      <c r="O447" s="54">
        <v>46233</v>
      </c>
    </row>
    <row r="448" spans="2:15" x14ac:dyDescent="0.25">
      <c r="B448">
        <v>466</v>
      </c>
      <c r="C448" t="s">
        <v>158</v>
      </c>
      <c r="D448" t="s">
        <v>955</v>
      </c>
      <c r="E448">
        <v>465</v>
      </c>
      <c r="F448" t="s">
        <v>1517</v>
      </c>
      <c r="G448">
        <v>467</v>
      </c>
      <c r="H448" t="s">
        <v>1519</v>
      </c>
      <c r="I448">
        <v>6</v>
      </c>
      <c r="J448" s="48">
        <v>0</v>
      </c>
      <c r="K448" s="48">
        <v>0</v>
      </c>
      <c r="L448" s="54">
        <v>46230</v>
      </c>
      <c r="M448" s="54">
        <v>46233</v>
      </c>
      <c r="N448" s="54">
        <v>46233</v>
      </c>
      <c r="O448" s="54">
        <v>46238</v>
      </c>
    </row>
    <row r="449" spans="2:15" x14ac:dyDescent="0.25">
      <c r="B449">
        <v>467</v>
      </c>
      <c r="C449" t="s">
        <v>158</v>
      </c>
      <c r="D449" t="s">
        <v>955</v>
      </c>
      <c r="E449">
        <v>466</v>
      </c>
      <c r="F449" t="s">
        <v>1518</v>
      </c>
      <c r="G449">
        <v>468</v>
      </c>
      <c r="H449" t="s">
        <v>1519</v>
      </c>
      <c r="I449">
        <v>4</v>
      </c>
      <c r="J449" s="48">
        <v>0</v>
      </c>
      <c r="K449" s="48">
        <v>0</v>
      </c>
      <c r="L449" s="54">
        <v>46233</v>
      </c>
      <c r="M449" s="54">
        <v>46238</v>
      </c>
      <c r="N449" s="54">
        <v>46238</v>
      </c>
      <c r="O449" s="54">
        <v>46241</v>
      </c>
    </row>
    <row r="450" spans="2:15" x14ac:dyDescent="0.25">
      <c r="B450">
        <v>468</v>
      </c>
      <c r="C450" t="s">
        <v>158</v>
      </c>
      <c r="D450" t="s">
        <v>955</v>
      </c>
      <c r="E450">
        <v>467</v>
      </c>
      <c r="F450" t="s">
        <v>1520</v>
      </c>
      <c r="G450">
        <v>76</v>
      </c>
      <c r="H450" t="s">
        <v>1519</v>
      </c>
      <c r="I450">
        <v>6</v>
      </c>
      <c r="J450" s="48">
        <v>0</v>
      </c>
      <c r="K450" s="48">
        <v>0</v>
      </c>
      <c r="L450" s="54">
        <v>46238</v>
      </c>
      <c r="M450" s="54">
        <v>46241</v>
      </c>
      <c r="N450" s="54">
        <v>46241</v>
      </c>
      <c r="O450" s="54">
        <v>46246</v>
      </c>
    </row>
    <row r="451" spans="2:15" x14ac:dyDescent="0.25">
      <c r="B451">
        <v>469</v>
      </c>
      <c r="C451" t="s">
        <v>159</v>
      </c>
      <c r="D451" t="s">
        <v>959</v>
      </c>
      <c r="F451" t="s">
        <v>1668</v>
      </c>
      <c r="H451" t="s">
        <v>1559</v>
      </c>
      <c r="I451">
        <v>19</v>
      </c>
      <c r="J451" s="48">
        <v>0</v>
      </c>
      <c r="K451" s="48">
        <v>0</v>
      </c>
      <c r="L451" s="54">
        <v>46230</v>
      </c>
      <c r="M451" s="54">
        <v>46246</v>
      </c>
      <c r="N451" s="54">
        <v>46233</v>
      </c>
      <c r="O451" s="54">
        <v>46251</v>
      </c>
    </row>
    <row r="452" spans="2:15" x14ac:dyDescent="0.25">
      <c r="B452">
        <v>470</v>
      </c>
      <c r="C452" t="s">
        <v>159</v>
      </c>
      <c r="D452" t="s">
        <v>959</v>
      </c>
      <c r="E452">
        <v>465</v>
      </c>
      <c r="F452" t="s">
        <v>1515</v>
      </c>
      <c r="G452" t="s">
        <v>1962</v>
      </c>
      <c r="H452" t="s">
        <v>1519</v>
      </c>
      <c r="I452">
        <v>6</v>
      </c>
      <c r="J452" s="48">
        <v>0</v>
      </c>
      <c r="K452" s="48">
        <v>0</v>
      </c>
      <c r="L452" s="54">
        <v>46230</v>
      </c>
      <c r="M452" s="54">
        <v>46233</v>
      </c>
      <c r="N452" s="54">
        <v>46233</v>
      </c>
      <c r="O452" s="54">
        <v>46238</v>
      </c>
    </row>
    <row r="453" spans="2:15" x14ac:dyDescent="0.25">
      <c r="B453">
        <v>471</v>
      </c>
      <c r="C453" t="s">
        <v>159</v>
      </c>
      <c r="D453" t="s">
        <v>959</v>
      </c>
      <c r="E453">
        <v>470</v>
      </c>
      <c r="F453" t="s">
        <v>1517</v>
      </c>
      <c r="G453">
        <v>472</v>
      </c>
      <c r="H453" t="s">
        <v>1519</v>
      </c>
      <c r="I453">
        <v>4</v>
      </c>
      <c r="J453" s="48">
        <v>0</v>
      </c>
      <c r="K453" s="48">
        <v>0</v>
      </c>
      <c r="L453" s="54">
        <v>46233</v>
      </c>
      <c r="M453" s="54">
        <v>46238</v>
      </c>
      <c r="N453" s="54">
        <v>46238</v>
      </c>
      <c r="O453" s="54">
        <v>46241</v>
      </c>
    </row>
    <row r="454" spans="2:15" x14ac:dyDescent="0.25">
      <c r="B454">
        <v>472</v>
      </c>
      <c r="C454" t="s">
        <v>159</v>
      </c>
      <c r="D454" t="s">
        <v>959</v>
      </c>
      <c r="E454">
        <v>471</v>
      </c>
      <c r="F454" t="s">
        <v>1518</v>
      </c>
      <c r="G454">
        <v>473</v>
      </c>
      <c r="H454" t="s">
        <v>1519</v>
      </c>
      <c r="I454">
        <v>6</v>
      </c>
      <c r="J454" s="48">
        <v>0</v>
      </c>
      <c r="K454" s="48">
        <v>0</v>
      </c>
      <c r="L454" s="54">
        <v>46238</v>
      </c>
      <c r="M454" s="54">
        <v>46241</v>
      </c>
      <c r="N454" s="54">
        <v>46241</v>
      </c>
      <c r="O454" s="54">
        <v>46246</v>
      </c>
    </row>
    <row r="455" spans="2:15" x14ac:dyDescent="0.25">
      <c r="B455">
        <v>473</v>
      </c>
      <c r="C455" t="s">
        <v>159</v>
      </c>
      <c r="D455" t="s">
        <v>959</v>
      </c>
      <c r="E455">
        <v>472</v>
      </c>
      <c r="F455" t="s">
        <v>1520</v>
      </c>
      <c r="G455">
        <v>76</v>
      </c>
      <c r="H455" t="s">
        <v>1519</v>
      </c>
      <c r="I455">
        <v>6</v>
      </c>
      <c r="J455" s="48">
        <v>0</v>
      </c>
      <c r="K455" s="48">
        <v>0</v>
      </c>
      <c r="L455" s="54">
        <v>46241</v>
      </c>
      <c r="M455" s="54">
        <v>46246</v>
      </c>
      <c r="N455" s="54">
        <v>46246</v>
      </c>
      <c r="O455" s="54">
        <v>46251</v>
      </c>
    </row>
    <row r="456" spans="2:15" x14ac:dyDescent="0.25">
      <c r="B456">
        <v>474</v>
      </c>
      <c r="C456" t="s">
        <v>160</v>
      </c>
      <c r="D456" t="s">
        <v>963</v>
      </c>
      <c r="F456" t="s">
        <v>1669</v>
      </c>
      <c r="H456" t="s">
        <v>1559</v>
      </c>
      <c r="I456">
        <v>19</v>
      </c>
      <c r="J456" s="48">
        <v>0</v>
      </c>
      <c r="K456" s="48">
        <v>0</v>
      </c>
      <c r="L456" s="54">
        <v>46230</v>
      </c>
      <c r="M456" s="54">
        <v>46246</v>
      </c>
      <c r="N456" s="54">
        <v>46233</v>
      </c>
      <c r="O456" s="54">
        <v>46251</v>
      </c>
    </row>
    <row r="457" spans="2:15" x14ac:dyDescent="0.25">
      <c r="B457">
        <v>475</v>
      </c>
      <c r="C457" t="s">
        <v>160</v>
      </c>
      <c r="D457" t="s">
        <v>963</v>
      </c>
      <c r="E457" t="s">
        <v>1963</v>
      </c>
      <c r="F457" t="s">
        <v>1515</v>
      </c>
      <c r="G457" t="s">
        <v>1964</v>
      </c>
      <c r="H457" t="s">
        <v>1519</v>
      </c>
      <c r="I457">
        <v>6</v>
      </c>
      <c r="J457" s="48">
        <v>0</v>
      </c>
      <c r="K457" s="48">
        <v>0</v>
      </c>
      <c r="L457" s="54">
        <v>46230</v>
      </c>
      <c r="M457" s="54">
        <v>46233</v>
      </c>
      <c r="N457" s="54">
        <v>46233</v>
      </c>
      <c r="O457" s="54">
        <v>46238</v>
      </c>
    </row>
    <row r="458" spans="2:15" x14ac:dyDescent="0.25">
      <c r="B458">
        <v>476</v>
      </c>
      <c r="C458" t="s">
        <v>160</v>
      </c>
      <c r="D458" t="s">
        <v>963</v>
      </c>
      <c r="E458">
        <v>475</v>
      </c>
      <c r="F458" t="s">
        <v>1517</v>
      </c>
      <c r="G458">
        <v>477</v>
      </c>
      <c r="H458" t="s">
        <v>1519</v>
      </c>
      <c r="I458">
        <v>4</v>
      </c>
      <c r="J458" s="48">
        <v>0</v>
      </c>
      <c r="K458" s="48">
        <v>0</v>
      </c>
      <c r="L458" s="54">
        <v>46233</v>
      </c>
      <c r="M458" s="54">
        <v>46238</v>
      </c>
      <c r="N458" s="54">
        <v>46238</v>
      </c>
      <c r="O458" s="54">
        <v>46241</v>
      </c>
    </row>
    <row r="459" spans="2:15" x14ac:dyDescent="0.25">
      <c r="B459">
        <v>477</v>
      </c>
      <c r="C459" t="s">
        <v>160</v>
      </c>
      <c r="D459" t="s">
        <v>963</v>
      </c>
      <c r="E459">
        <v>476</v>
      </c>
      <c r="F459" t="s">
        <v>1518</v>
      </c>
      <c r="G459">
        <v>478</v>
      </c>
      <c r="H459" t="s">
        <v>1519</v>
      </c>
      <c r="I459">
        <v>6</v>
      </c>
      <c r="J459" s="48">
        <v>0</v>
      </c>
      <c r="K459" s="48">
        <v>0</v>
      </c>
      <c r="L459" s="54">
        <v>46238</v>
      </c>
      <c r="M459" s="54">
        <v>46241</v>
      </c>
      <c r="N459" s="54">
        <v>46241</v>
      </c>
      <c r="O459" s="54">
        <v>46246</v>
      </c>
    </row>
    <row r="460" spans="2:15" x14ac:dyDescent="0.25">
      <c r="B460">
        <v>478</v>
      </c>
      <c r="C460" t="s">
        <v>160</v>
      </c>
      <c r="D460" t="s">
        <v>963</v>
      </c>
      <c r="E460">
        <v>477</v>
      </c>
      <c r="F460" t="s">
        <v>1520</v>
      </c>
      <c r="G460">
        <v>76</v>
      </c>
      <c r="H460" t="s">
        <v>1519</v>
      </c>
      <c r="I460">
        <v>6</v>
      </c>
      <c r="J460" s="48">
        <v>0</v>
      </c>
      <c r="K460" s="48">
        <v>0</v>
      </c>
      <c r="L460" s="54">
        <v>46241</v>
      </c>
      <c r="M460" s="54">
        <v>46246</v>
      </c>
      <c r="N460" s="54">
        <v>46246</v>
      </c>
      <c r="O460" s="54">
        <v>46251</v>
      </c>
    </row>
    <row r="461" spans="2:15" x14ac:dyDescent="0.25">
      <c r="B461">
        <v>479</v>
      </c>
      <c r="C461" t="s">
        <v>161</v>
      </c>
      <c r="D461" t="s">
        <v>967</v>
      </c>
      <c r="F461" t="s">
        <v>1670</v>
      </c>
      <c r="H461" t="s">
        <v>1559</v>
      </c>
      <c r="I461">
        <v>17</v>
      </c>
      <c r="J461" s="48">
        <v>0</v>
      </c>
      <c r="K461" s="48">
        <v>0</v>
      </c>
      <c r="L461" s="54">
        <v>46233</v>
      </c>
      <c r="M461" s="54">
        <v>46251</v>
      </c>
      <c r="N461" s="54">
        <v>46238</v>
      </c>
      <c r="O461" s="54">
        <v>46254</v>
      </c>
    </row>
    <row r="462" spans="2:15" x14ac:dyDescent="0.25">
      <c r="B462">
        <v>480</v>
      </c>
      <c r="C462" t="s">
        <v>161</v>
      </c>
      <c r="D462" t="s">
        <v>967</v>
      </c>
      <c r="E462">
        <v>475</v>
      </c>
      <c r="F462" t="s">
        <v>1515</v>
      </c>
      <c r="G462" t="s">
        <v>1965</v>
      </c>
      <c r="H462" t="s">
        <v>1519</v>
      </c>
      <c r="I462">
        <v>4</v>
      </c>
      <c r="J462" s="48">
        <v>0</v>
      </c>
      <c r="K462" s="48">
        <v>0</v>
      </c>
      <c r="L462" s="54">
        <v>46233</v>
      </c>
      <c r="M462" s="54">
        <v>46238</v>
      </c>
      <c r="N462" s="54">
        <v>46238</v>
      </c>
      <c r="O462" s="54">
        <v>46241</v>
      </c>
    </row>
    <row r="463" spans="2:15" x14ac:dyDescent="0.25">
      <c r="B463">
        <v>481</v>
      </c>
      <c r="C463" t="s">
        <v>161</v>
      </c>
      <c r="D463" t="s">
        <v>967</v>
      </c>
      <c r="E463">
        <v>480</v>
      </c>
      <c r="F463" t="s">
        <v>1517</v>
      </c>
      <c r="G463">
        <v>482</v>
      </c>
      <c r="H463" t="s">
        <v>1519</v>
      </c>
      <c r="I463">
        <v>6</v>
      </c>
      <c r="J463" s="48">
        <v>0</v>
      </c>
      <c r="K463" s="48">
        <v>0</v>
      </c>
      <c r="L463" s="54">
        <v>46238</v>
      </c>
      <c r="M463" s="54">
        <v>46241</v>
      </c>
      <c r="N463" s="54">
        <v>46241</v>
      </c>
      <c r="O463" s="54">
        <v>46246</v>
      </c>
    </row>
    <row r="464" spans="2:15" x14ac:dyDescent="0.25">
      <c r="B464">
        <v>482</v>
      </c>
      <c r="C464" t="s">
        <v>161</v>
      </c>
      <c r="D464" t="s">
        <v>967</v>
      </c>
      <c r="E464">
        <v>481</v>
      </c>
      <c r="F464" t="s">
        <v>1518</v>
      </c>
      <c r="G464">
        <v>483</v>
      </c>
      <c r="H464" t="s">
        <v>1519</v>
      </c>
      <c r="I464">
        <v>6</v>
      </c>
      <c r="J464" s="48">
        <v>0</v>
      </c>
      <c r="K464" s="48">
        <v>0</v>
      </c>
      <c r="L464" s="54">
        <v>46241</v>
      </c>
      <c r="M464" s="54">
        <v>46246</v>
      </c>
      <c r="N464" s="54">
        <v>46246</v>
      </c>
      <c r="O464" s="54">
        <v>46251</v>
      </c>
    </row>
    <row r="465" spans="2:15" x14ac:dyDescent="0.25">
      <c r="B465">
        <v>483</v>
      </c>
      <c r="C465" t="s">
        <v>161</v>
      </c>
      <c r="D465" t="s">
        <v>967</v>
      </c>
      <c r="E465">
        <v>482</v>
      </c>
      <c r="F465" t="s">
        <v>1520</v>
      </c>
      <c r="G465">
        <v>76</v>
      </c>
      <c r="H465" t="s">
        <v>1519</v>
      </c>
      <c r="I465">
        <v>4</v>
      </c>
      <c r="J465" s="48">
        <v>0</v>
      </c>
      <c r="K465" s="48">
        <v>0</v>
      </c>
      <c r="L465" s="54">
        <v>46246</v>
      </c>
      <c r="M465" s="54">
        <v>46251</v>
      </c>
      <c r="N465" s="54">
        <v>46251</v>
      </c>
      <c r="O465" s="54">
        <v>46254</v>
      </c>
    </row>
    <row r="466" spans="2:15" x14ac:dyDescent="0.25">
      <c r="B466">
        <v>484</v>
      </c>
      <c r="C466" t="s">
        <v>162</v>
      </c>
      <c r="D466" t="s">
        <v>971</v>
      </c>
      <c r="F466" t="s">
        <v>1671</v>
      </c>
      <c r="H466" t="s">
        <v>1559</v>
      </c>
      <c r="I466">
        <v>17</v>
      </c>
      <c r="J466" s="48">
        <v>0</v>
      </c>
      <c r="K466" s="48">
        <v>0</v>
      </c>
      <c r="L466" s="54">
        <v>46233</v>
      </c>
      <c r="M466" s="54">
        <v>46251</v>
      </c>
      <c r="N466" s="54">
        <v>46238</v>
      </c>
      <c r="O466" s="54">
        <v>46254</v>
      </c>
    </row>
    <row r="467" spans="2:15" x14ac:dyDescent="0.25">
      <c r="B467">
        <v>485</v>
      </c>
      <c r="C467" t="s">
        <v>162</v>
      </c>
      <c r="D467" t="s">
        <v>971</v>
      </c>
      <c r="E467" t="s">
        <v>1966</v>
      </c>
      <c r="F467" t="s">
        <v>1515</v>
      </c>
      <c r="G467" t="s">
        <v>1967</v>
      </c>
      <c r="H467" t="s">
        <v>1519</v>
      </c>
      <c r="I467">
        <v>4</v>
      </c>
      <c r="J467" s="48">
        <v>0</v>
      </c>
      <c r="K467" s="48">
        <v>0</v>
      </c>
      <c r="L467" s="54">
        <v>46233</v>
      </c>
      <c r="M467" s="54">
        <v>46238</v>
      </c>
      <c r="N467" s="54">
        <v>46238</v>
      </c>
      <c r="O467" s="54">
        <v>46241</v>
      </c>
    </row>
    <row r="468" spans="2:15" x14ac:dyDescent="0.25">
      <c r="B468">
        <v>486</v>
      </c>
      <c r="C468" t="s">
        <v>162</v>
      </c>
      <c r="D468" t="s">
        <v>971</v>
      </c>
      <c r="E468">
        <v>485</v>
      </c>
      <c r="F468" t="s">
        <v>1517</v>
      </c>
      <c r="G468">
        <v>487</v>
      </c>
      <c r="H468" t="s">
        <v>1519</v>
      </c>
      <c r="I468">
        <v>6</v>
      </c>
      <c r="J468" s="48">
        <v>0</v>
      </c>
      <c r="K468" s="48">
        <v>0</v>
      </c>
      <c r="L468" s="54">
        <v>46238</v>
      </c>
      <c r="M468" s="54">
        <v>46241</v>
      </c>
      <c r="N468" s="54">
        <v>46241</v>
      </c>
      <c r="O468" s="54">
        <v>46246</v>
      </c>
    </row>
    <row r="469" spans="2:15" x14ac:dyDescent="0.25">
      <c r="B469">
        <v>487</v>
      </c>
      <c r="C469" t="s">
        <v>162</v>
      </c>
      <c r="D469" t="s">
        <v>971</v>
      </c>
      <c r="E469">
        <v>486</v>
      </c>
      <c r="F469" t="s">
        <v>1518</v>
      </c>
      <c r="G469">
        <v>488</v>
      </c>
      <c r="H469" t="s">
        <v>1519</v>
      </c>
      <c r="I469">
        <v>6</v>
      </c>
      <c r="J469" s="48">
        <v>0</v>
      </c>
      <c r="K469" s="48">
        <v>0</v>
      </c>
      <c r="L469" s="54">
        <v>46241</v>
      </c>
      <c r="M469" s="54">
        <v>46246</v>
      </c>
      <c r="N469" s="54">
        <v>46246</v>
      </c>
      <c r="O469" s="54">
        <v>46251</v>
      </c>
    </row>
    <row r="470" spans="2:15" x14ac:dyDescent="0.25">
      <c r="B470">
        <v>488</v>
      </c>
      <c r="C470" t="s">
        <v>162</v>
      </c>
      <c r="D470" t="s">
        <v>971</v>
      </c>
      <c r="E470">
        <v>487</v>
      </c>
      <c r="F470" t="s">
        <v>1520</v>
      </c>
      <c r="G470">
        <v>76</v>
      </c>
      <c r="H470" t="s">
        <v>1519</v>
      </c>
      <c r="I470">
        <v>4</v>
      </c>
      <c r="J470" s="48">
        <v>0</v>
      </c>
      <c r="K470" s="48">
        <v>0</v>
      </c>
      <c r="L470" s="54">
        <v>46246</v>
      </c>
      <c r="M470" s="54">
        <v>46251</v>
      </c>
      <c r="N470" s="54">
        <v>46251</v>
      </c>
      <c r="O470" s="54">
        <v>46254</v>
      </c>
    </row>
    <row r="471" spans="2:15" x14ac:dyDescent="0.25">
      <c r="B471">
        <v>489</v>
      </c>
      <c r="C471" t="s">
        <v>163</v>
      </c>
      <c r="D471" t="s">
        <v>975</v>
      </c>
      <c r="F471" t="s">
        <v>1672</v>
      </c>
      <c r="H471" t="s">
        <v>1559</v>
      </c>
      <c r="I471">
        <v>19</v>
      </c>
      <c r="J471" s="48">
        <v>0</v>
      </c>
      <c r="K471" s="48">
        <v>0</v>
      </c>
      <c r="L471" s="54">
        <v>46238</v>
      </c>
      <c r="M471" s="54">
        <v>46254</v>
      </c>
      <c r="N471" s="54">
        <v>46241</v>
      </c>
      <c r="O471" s="54">
        <v>46259</v>
      </c>
    </row>
    <row r="472" spans="2:15" x14ac:dyDescent="0.25">
      <c r="B472">
        <v>490</v>
      </c>
      <c r="C472" t="s">
        <v>163</v>
      </c>
      <c r="D472" t="s">
        <v>975</v>
      </c>
      <c r="E472">
        <v>485</v>
      </c>
      <c r="F472" t="s">
        <v>1515</v>
      </c>
      <c r="G472" t="s">
        <v>1968</v>
      </c>
      <c r="H472" t="s">
        <v>1519</v>
      </c>
      <c r="I472">
        <v>6</v>
      </c>
      <c r="J472" s="48">
        <v>0</v>
      </c>
      <c r="K472" s="48">
        <v>0</v>
      </c>
      <c r="L472" s="54">
        <v>46238</v>
      </c>
      <c r="M472" s="54">
        <v>46241</v>
      </c>
      <c r="N472" s="54">
        <v>46241</v>
      </c>
      <c r="O472" s="54">
        <v>46246</v>
      </c>
    </row>
    <row r="473" spans="2:15" x14ac:dyDescent="0.25">
      <c r="B473">
        <v>491</v>
      </c>
      <c r="C473" t="s">
        <v>163</v>
      </c>
      <c r="D473" t="s">
        <v>975</v>
      </c>
      <c r="E473">
        <v>490</v>
      </c>
      <c r="F473" t="s">
        <v>1517</v>
      </c>
      <c r="G473">
        <v>492</v>
      </c>
      <c r="H473" t="s">
        <v>1519</v>
      </c>
      <c r="I473">
        <v>6</v>
      </c>
      <c r="J473" s="48">
        <v>0</v>
      </c>
      <c r="K473" s="48">
        <v>0</v>
      </c>
      <c r="L473" s="54">
        <v>46241</v>
      </c>
      <c r="M473" s="54">
        <v>46246</v>
      </c>
      <c r="N473" s="54">
        <v>46246</v>
      </c>
      <c r="O473" s="54">
        <v>46251</v>
      </c>
    </row>
    <row r="474" spans="2:15" x14ac:dyDescent="0.25">
      <c r="B474">
        <v>492</v>
      </c>
      <c r="C474" t="s">
        <v>163</v>
      </c>
      <c r="D474" t="s">
        <v>975</v>
      </c>
      <c r="E474">
        <v>491</v>
      </c>
      <c r="F474" t="s">
        <v>1518</v>
      </c>
      <c r="G474">
        <v>493</v>
      </c>
      <c r="H474" t="s">
        <v>1519</v>
      </c>
      <c r="I474">
        <v>4</v>
      </c>
      <c r="J474" s="48">
        <v>0</v>
      </c>
      <c r="K474" s="48">
        <v>0</v>
      </c>
      <c r="L474" s="54">
        <v>46246</v>
      </c>
      <c r="M474" s="54">
        <v>46251</v>
      </c>
      <c r="N474" s="54">
        <v>46251</v>
      </c>
      <c r="O474" s="54">
        <v>46254</v>
      </c>
    </row>
    <row r="475" spans="2:15" x14ac:dyDescent="0.25">
      <c r="B475">
        <v>493</v>
      </c>
      <c r="C475" t="s">
        <v>163</v>
      </c>
      <c r="D475" t="s">
        <v>975</v>
      </c>
      <c r="E475">
        <v>492</v>
      </c>
      <c r="F475" t="s">
        <v>1520</v>
      </c>
      <c r="G475">
        <v>76</v>
      </c>
      <c r="H475" t="s">
        <v>1519</v>
      </c>
      <c r="I475">
        <v>6</v>
      </c>
      <c r="J475" s="48">
        <v>0</v>
      </c>
      <c r="K475" s="48">
        <v>0</v>
      </c>
      <c r="L475" s="54">
        <v>46251</v>
      </c>
      <c r="M475" s="54">
        <v>46254</v>
      </c>
      <c r="N475" s="54">
        <v>46254</v>
      </c>
      <c r="O475" s="54">
        <v>46259</v>
      </c>
    </row>
    <row r="476" spans="2:15" x14ac:dyDescent="0.25">
      <c r="B476">
        <v>494</v>
      </c>
      <c r="C476" t="s">
        <v>164</v>
      </c>
      <c r="D476" t="s">
        <v>979</v>
      </c>
      <c r="F476" t="s">
        <v>1673</v>
      </c>
      <c r="H476" t="s">
        <v>1559</v>
      </c>
      <c r="I476">
        <v>19</v>
      </c>
      <c r="J476" s="48">
        <v>0</v>
      </c>
      <c r="K476" s="48">
        <v>0</v>
      </c>
      <c r="L476" s="54">
        <v>46238</v>
      </c>
      <c r="M476" s="54">
        <v>46254</v>
      </c>
      <c r="N476" s="54">
        <v>46241</v>
      </c>
      <c r="O476" s="54">
        <v>46259</v>
      </c>
    </row>
    <row r="477" spans="2:15" x14ac:dyDescent="0.25">
      <c r="B477">
        <v>495</v>
      </c>
      <c r="C477" t="s">
        <v>164</v>
      </c>
      <c r="D477" t="s">
        <v>979</v>
      </c>
      <c r="E477" t="s">
        <v>1969</v>
      </c>
      <c r="F477" t="s">
        <v>1515</v>
      </c>
      <c r="G477" t="s">
        <v>1970</v>
      </c>
      <c r="H477" t="s">
        <v>1519</v>
      </c>
      <c r="I477">
        <v>6</v>
      </c>
      <c r="J477" s="48">
        <v>0</v>
      </c>
      <c r="K477" s="48">
        <v>0</v>
      </c>
      <c r="L477" s="54">
        <v>46238</v>
      </c>
      <c r="M477" s="54">
        <v>46241</v>
      </c>
      <c r="N477" s="54">
        <v>46241</v>
      </c>
      <c r="O477" s="54">
        <v>46246</v>
      </c>
    </row>
    <row r="478" spans="2:15" x14ac:dyDescent="0.25">
      <c r="B478">
        <v>496</v>
      </c>
      <c r="C478" t="s">
        <v>164</v>
      </c>
      <c r="D478" t="s">
        <v>979</v>
      </c>
      <c r="E478">
        <v>495</v>
      </c>
      <c r="F478" t="s">
        <v>1517</v>
      </c>
      <c r="G478">
        <v>497</v>
      </c>
      <c r="H478" t="s">
        <v>1519</v>
      </c>
      <c r="I478">
        <v>6</v>
      </c>
      <c r="J478" s="48">
        <v>0</v>
      </c>
      <c r="K478" s="48">
        <v>0</v>
      </c>
      <c r="L478" s="54">
        <v>46241</v>
      </c>
      <c r="M478" s="54">
        <v>46246</v>
      </c>
      <c r="N478" s="54">
        <v>46246</v>
      </c>
      <c r="O478" s="54">
        <v>46251</v>
      </c>
    </row>
    <row r="479" spans="2:15" x14ac:dyDescent="0.25">
      <c r="B479">
        <v>497</v>
      </c>
      <c r="C479" t="s">
        <v>164</v>
      </c>
      <c r="D479" t="s">
        <v>979</v>
      </c>
      <c r="E479">
        <v>496</v>
      </c>
      <c r="F479" t="s">
        <v>1518</v>
      </c>
      <c r="G479">
        <v>498</v>
      </c>
      <c r="H479" t="s">
        <v>1519</v>
      </c>
      <c r="I479">
        <v>4</v>
      </c>
      <c r="J479" s="48">
        <v>0</v>
      </c>
      <c r="K479" s="48">
        <v>0</v>
      </c>
      <c r="L479" s="54">
        <v>46246</v>
      </c>
      <c r="M479" s="54">
        <v>46251</v>
      </c>
      <c r="N479" s="54">
        <v>46251</v>
      </c>
      <c r="O479" s="54">
        <v>46254</v>
      </c>
    </row>
    <row r="480" spans="2:15" x14ac:dyDescent="0.25">
      <c r="B480">
        <v>498</v>
      </c>
      <c r="C480" t="s">
        <v>164</v>
      </c>
      <c r="D480" t="s">
        <v>979</v>
      </c>
      <c r="E480">
        <v>497</v>
      </c>
      <c r="F480" t="s">
        <v>1520</v>
      </c>
      <c r="G480">
        <v>76</v>
      </c>
      <c r="H480" t="s">
        <v>1519</v>
      </c>
      <c r="I480">
        <v>6</v>
      </c>
      <c r="J480" s="48">
        <v>0</v>
      </c>
      <c r="K480" s="48">
        <v>0</v>
      </c>
      <c r="L480" s="54">
        <v>46251</v>
      </c>
      <c r="M480" s="54">
        <v>46254</v>
      </c>
      <c r="N480" s="54">
        <v>46254</v>
      </c>
      <c r="O480" s="54">
        <v>46259</v>
      </c>
    </row>
    <row r="481" spans="2:15" x14ac:dyDescent="0.25">
      <c r="B481">
        <v>499</v>
      </c>
      <c r="C481" t="s">
        <v>165</v>
      </c>
      <c r="D481" t="s">
        <v>983</v>
      </c>
      <c r="F481" t="s">
        <v>1674</v>
      </c>
      <c r="H481" t="s">
        <v>1559</v>
      </c>
      <c r="I481">
        <v>19</v>
      </c>
      <c r="J481" s="48">
        <v>0</v>
      </c>
      <c r="K481" s="48">
        <v>0</v>
      </c>
      <c r="L481" s="54">
        <v>46241</v>
      </c>
      <c r="M481" s="54">
        <v>46259</v>
      </c>
      <c r="N481" s="54">
        <v>46241</v>
      </c>
      <c r="O481" s="54">
        <v>46259</v>
      </c>
    </row>
    <row r="482" spans="2:15" x14ac:dyDescent="0.25">
      <c r="B482">
        <v>500</v>
      </c>
      <c r="C482" t="s">
        <v>165</v>
      </c>
      <c r="D482" t="s">
        <v>983</v>
      </c>
      <c r="E482" t="s">
        <v>1971</v>
      </c>
      <c r="F482" t="s">
        <v>1515</v>
      </c>
      <c r="G482" t="s">
        <v>1972</v>
      </c>
      <c r="H482" t="s">
        <v>1519</v>
      </c>
      <c r="I482">
        <v>6</v>
      </c>
      <c r="J482" s="48">
        <v>0</v>
      </c>
      <c r="K482" s="48">
        <v>0</v>
      </c>
      <c r="L482" s="54">
        <v>46241</v>
      </c>
      <c r="M482" s="54">
        <v>46246</v>
      </c>
      <c r="N482" s="54">
        <v>46241</v>
      </c>
      <c r="O482" s="54">
        <v>46246</v>
      </c>
    </row>
    <row r="483" spans="2:15" x14ac:dyDescent="0.25">
      <c r="B483">
        <v>501</v>
      </c>
      <c r="C483" t="s">
        <v>165</v>
      </c>
      <c r="D483" t="s">
        <v>983</v>
      </c>
      <c r="E483">
        <v>500</v>
      </c>
      <c r="F483" t="s">
        <v>1517</v>
      </c>
      <c r="G483">
        <v>502</v>
      </c>
      <c r="H483" t="s">
        <v>1519</v>
      </c>
      <c r="I483">
        <v>6</v>
      </c>
      <c r="J483" s="48">
        <v>0</v>
      </c>
      <c r="K483" s="48">
        <v>0</v>
      </c>
      <c r="L483" s="54">
        <v>46246</v>
      </c>
      <c r="M483" s="54">
        <v>46251</v>
      </c>
      <c r="N483" s="54">
        <v>46246</v>
      </c>
      <c r="O483" s="54">
        <v>46251</v>
      </c>
    </row>
    <row r="484" spans="2:15" x14ac:dyDescent="0.25">
      <c r="B484">
        <v>502</v>
      </c>
      <c r="C484" t="s">
        <v>165</v>
      </c>
      <c r="D484" t="s">
        <v>983</v>
      </c>
      <c r="E484">
        <v>501</v>
      </c>
      <c r="F484" t="s">
        <v>1518</v>
      </c>
      <c r="G484">
        <v>503</v>
      </c>
      <c r="H484" t="s">
        <v>1519</v>
      </c>
      <c r="I484">
        <v>4</v>
      </c>
      <c r="J484" s="48">
        <v>0</v>
      </c>
      <c r="K484" s="48">
        <v>0</v>
      </c>
      <c r="L484" s="54">
        <v>46251</v>
      </c>
      <c r="M484" s="54">
        <v>46254</v>
      </c>
      <c r="N484" s="54">
        <v>46251</v>
      </c>
      <c r="O484" s="54">
        <v>46254</v>
      </c>
    </row>
    <row r="485" spans="2:15" x14ac:dyDescent="0.25">
      <c r="B485">
        <v>503</v>
      </c>
      <c r="C485" t="s">
        <v>165</v>
      </c>
      <c r="D485" t="s">
        <v>983</v>
      </c>
      <c r="E485">
        <v>502</v>
      </c>
      <c r="F485" t="s">
        <v>1520</v>
      </c>
      <c r="G485">
        <v>76</v>
      </c>
      <c r="H485" t="s">
        <v>1519</v>
      </c>
      <c r="I485">
        <v>6</v>
      </c>
      <c r="J485" s="48">
        <v>0</v>
      </c>
      <c r="K485" s="48">
        <v>0</v>
      </c>
      <c r="L485" s="54">
        <v>46254</v>
      </c>
      <c r="M485" s="54">
        <v>46259</v>
      </c>
      <c r="N485" s="54">
        <v>46254</v>
      </c>
      <c r="O485" s="54">
        <v>46259</v>
      </c>
    </row>
    <row r="486" spans="2:15" x14ac:dyDescent="0.25">
      <c r="B486">
        <v>504</v>
      </c>
      <c r="C486" t="s">
        <v>166</v>
      </c>
      <c r="D486" t="s">
        <v>987</v>
      </c>
      <c r="F486" t="s">
        <v>1675</v>
      </c>
      <c r="H486" t="s">
        <v>1559</v>
      </c>
      <c r="I486">
        <v>19</v>
      </c>
      <c r="J486" s="48">
        <v>0</v>
      </c>
      <c r="K486" s="48">
        <v>0</v>
      </c>
      <c r="L486" s="54">
        <v>46241</v>
      </c>
      <c r="M486" s="54">
        <v>46259</v>
      </c>
      <c r="N486" s="54">
        <v>46241</v>
      </c>
      <c r="O486" s="54">
        <v>46259</v>
      </c>
    </row>
    <row r="487" spans="2:15" x14ac:dyDescent="0.25">
      <c r="B487">
        <v>505</v>
      </c>
      <c r="C487" t="s">
        <v>166</v>
      </c>
      <c r="D487" t="s">
        <v>987</v>
      </c>
      <c r="E487" t="s">
        <v>1973</v>
      </c>
      <c r="F487" t="s">
        <v>1515</v>
      </c>
      <c r="G487" t="s">
        <v>1974</v>
      </c>
      <c r="H487" t="s">
        <v>1519</v>
      </c>
      <c r="I487">
        <v>6</v>
      </c>
      <c r="J487" s="48">
        <v>0</v>
      </c>
      <c r="K487" s="48">
        <v>0</v>
      </c>
      <c r="L487" s="54">
        <v>46241</v>
      </c>
      <c r="M487" s="54">
        <v>46246</v>
      </c>
      <c r="N487" s="54">
        <v>46241</v>
      </c>
      <c r="O487" s="54">
        <v>46246</v>
      </c>
    </row>
    <row r="488" spans="2:15" x14ac:dyDescent="0.25">
      <c r="B488">
        <v>506</v>
      </c>
      <c r="C488" t="s">
        <v>166</v>
      </c>
      <c r="D488" t="s">
        <v>987</v>
      </c>
      <c r="E488">
        <v>505</v>
      </c>
      <c r="F488" t="s">
        <v>1517</v>
      </c>
      <c r="G488">
        <v>507</v>
      </c>
      <c r="H488" t="s">
        <v>1519</v>
      </c>
      <c r="I488">
        <v>6</v>
      </c>
      <c r="J488" s="48">
        <v>0</v>
      </c>
      <c r="K488" s="48">
        <v>0</v>
      </c>
      <c r="L488" s="54">
        <v>46246</v>
      </c>
      <c r="M488" s="54">
        <v>46251</v>
      </c>
      <c r="N488" s="54">
        <v>46246</v>
      </c>
      <c r="O488" s="54">
        <v>46251</v>
      </c>
    </row>
    <row r="489" spans="2:15" x14ac:dyDescent="0.25">
      <c r="B489">
        <v>507</v>
      </c>
      <c r="C489" t="s">
        <v>166</v>
      </c>
      <c r="D489" t="s">
        <v>987</v>
      </c>
      <c r="E489">
        <v>506</v>
      </c>
      <c r="F489" t="s">
        <v>1518</v>
      </c>
      <c r="G489">
        <v>508</v>
      </c>
      <c r="H489" t="s">
        <v>1519</v>
      </c>
      <c r="I489">
        <v>4</v>
      </c>
      <c r="J489" s="48">
        <v>0</v>
      </c>
      <c r="K489" s="48">
        <v>0</v>
      </c>
      <c r="L489" s="54">
        <v>46251</v>
      </c>
      <c r="M489" s="54">
        <v>46254</v>
      </c>
      <c r="N489" s="54">
        <v>46251</v>
      </c>
      <c r="O489" s="54">
        <v>46254</v>
      </c>
    </row>
    <row r="490" spans="2:15" x14ac:dyDescent="0.25">
      <c r="B490">
        <v>508</v>
      </c>
      <c r="C490" t="s">
        <v>166</v>
      </c>
      <c r="D490" t="s">
        <v>987</v>
      </c>
      <c r="E490">
        <v>507</v>
      </c>
      <c r="F490" t="s">
        <v>1520</v>
      </c>
      <c r="G490">
        <v>76</v>
      </c>
      <c r="H490" t="s">
        <v>1519</v>
      </c>
      <c r="I490">
        <v>6</v>
      </c>
      <c r="J490" s="48">
        <v>0</v>
      </c>
      <c r="K490" s="48">
        <v>0</v>
      </c>
      <c r="L490" s="54">
        <v>46254</v>
      </c>
      <c r="M490" s="54">
        <v>46259</v>
      </c>
      <c r="N490" s="54">
        <v>46254</v>
      </c>
      <c r="O490" s="54">
        <v>46259</v>
      </c>
    </row>
    <row r="491" spans="2:15" x14ac:dyDescent="0.25">
      <c r="B491">
        <v>509</v>
      </c>
      <c r="C491" t="s">
        <v>991</v>
      </c>
      <c r="D491" t="s">
        <v>992</v>
      </c>
      <c r="F491" t="s">
        <v>1676</v>
      </c>
      <c r="H491" t="s">
        <v>1559</v>
      </c>
      <c r="I491">
        <v>19</v>
      </c>
      <c r="J491" s="48">
        <v>0</v>
      </c>
      <c r="K491" s="48">
        <v>0</v>
      </c>
      <c r="L491" t="s">
        <v>1506</v>
      </c>
      <c r="M491" t="s">
        <v>1506</v>
      </c>
      <c r="N491" s="54">
        <v>46241</v>
      </c>
      <c r="O491" s="54">
        <v>46259</v>
      </c>
    </row>
    <row r="492" spans="2:15" x14ac:dyDescent="0.25">
      <c r="B492">
        <v>510</v>
      </c>
      <c r="C492" t="s">
        <v>991</v>
      </c>
      <c r="D492" t="s">
        <v>992</v>
      </c>
      <c r="E492" t="s">
        <v>1975</v>
      </c>
      <c r="F492" t="s">
        <v>1515</v>
      </c>
      <c r="G492">
        <v>511</v>
      </c>
      <c r="H492" t="s">
        <v>1519</v>
      </c>
      <c r="I492">
        <v>6</v>
      </c>
      <c r="J492" s="48">
        <v>0</v>
      </c>
      <c r="K492" s="48">
        <v>0</v>
      </c>
      <c r="L492" t="s">
        <v>1506</v>
      </c>
      <c r="M492" t="s">
        <v>1506</v>
      </c>
      <c r="N492" s="54">
        <v>46241</v>
      </c>
      <c r="O492" s="54">
        <v>46246</v>
      </c>
    </row>
    <row r="493" spans="2:15" x14ac:dyDescent="0.25">
      <c r="B493">
        <v>511</v>
      </c>
      <c r="C493" t="s">
        <v>991</v>
      </c>
      <c r="D493" t="s">
        <v>992</v>
      </c>
      <c r="E493">
        <v>510</v>
      </c>
      <c r="F493" t="s">
        <v>1517</v>
      </c>
      <c r="G493">
        <v>512</v>
      </c>
      <c r="H493" t="s">
        <v>1519</v>
      </c>
      <c r="I493">
        <v>6</v>
      </c>
      <c r="J493" s="48">
        <v>0</v>
      </c>
      <c r="K493" s="48">
        <v>0</v>
      </c>
      <c r="L493" t="s">
        <v>1506</v>
      </c>
      <c r="M493" t="s">
        <v>1506</v>
      </c>
      <c r="N493" s="54">
        <v>46246</v>
      </c>
      <c r="O493" s="54">
        <v>46251</v>
      </c>
    </row>
    <row r="494" spans="2:15" x14ac:dyDescent="0.25">
      <c r="B494">
        <v>512</v>
      </c>
      <c r="C494" t="s">
        <v>991</v>
      </c>
      <c r="D494" t="s">
        <v>992</v>
      </c>
      <c r="E494">
        <v>511</v>
      </c>
      <c r="F494" t="s">
        <v>1518</v>
      </c>
      <c r="G494">
        <v>513</v>
      </c>
      <c r="H494" t="s">
        <v>1519</v>
      </c>
      <c r="I494">
        <v>4</v>
      </c>
      <c r="J494" s="48">
        <v>0</v>
      </c>
      <c r="K494" s="48">
        <v>0</v>
      </c>
      <c r="L494" t="s">
        <v>1506</v>
      </c>
      <c r="M494" t="s">
        <v>1506</v>
      </c>
      <c r="N494" s="54">
        <v>46251</v>
      </c>
      <c r="O494" s="54">
        <v>46254</v>
      </c>
    </row>
    <row r="495" spans="2:15" x14ac:dyDescent="0.25">
      <c r="B495">
        <v>513</v>
      </c>
      <c r="C495" t="s">
        <v>991</v>
      </c>
      <c r="D495" t="s">
        <v>992</v>
      </c>
      <c r="E495">
        <v>512</v>
      </c>
      <c r="F495" t="s">
        <v>1520</v>
      </c>
      <c r="G495">
        <v>76</v>
      </c>
      <c r="H495" t="s">
        <v>1519</v>
      </c>
      <c r="I495">
        <v>6</v>
      </c>
      <c r="J495" s="48">
        <v>0</v>
      </c>
      <c r="K495" s="48">
        <v>0</v>
      </c>
      <c r="L495" t="s">
        <v>1506</v>
      </c>
      <c r="M495" t="s">
        <v>1506</v>
      </c>
      <c r="N495" s="54">
        <v>46254</v>
      </c>
      <c r="O495" s="54">
        <v>46259</v>
      </c>
    </row>
    <row r="496" spans="2:15" x14ac:dyDescent="0.25">
      <c r="B496">
        <v>514</v>
      </c>
      <c r="C496" t="s">
        <v>171</v>
      </c>
      <c r="D496" t="s">
        <v>1008</v>
      </c>
      <c r="F496" t="s">
        <v>1677</v>
      </c>
      <c r="H496" t="s">
        <v>1559</v>
      </c>
      <c r="I496">
        <v>17</v>
      </c>
      <c r="J496" s="48">
        <v>0</v>
      </c>
      <c r="K496" s="48">
        <v>0</v>
      </c>
      <c r="L496" s="54">
        <v>46246</v>
      </c>
      <c r="M496" s="54">
        <v>46262</v>
      </c>
      <c r="N496" s="54">
        <v>46246</v>
      </c>
      <c r="O496" s="54">
        <v>46262</v>
      </c>
    </row>
    <row r="497" spans="2:15" x14ac:dyDescent="0.25">
      <c r="B497">
        <v>515</v>
      </c>
      <c r="C497" t="s">
        <v>171</v>
      </c>
      <c r="D497" t="s">
        <v>1008</v>
      </c>
      <c r="E497">
        <v>505</v>
      </c>
      <c r="F497" t="s">
        <v>1515</v>
      </c>
      <c r="G497" t="s">
        <v>1976</v>
      </c>
      <c r="H497" t="s">
        <v>1519</v>
      </c>
      <c r="I497">
        <v>6</v>
      </c>
      <c r="J497" s="48">
        <v>0</v>
      </c>
      <c r="K497" s="48">
        <v>0</v>
      </c>
      <c r="L497" s="54">
        <v>46246</v>
      </c>
      <c r="M497" s="54">
        <v>46251</v>
      </c>
      <c r="N497" s="54">
        <v>46246</v>
      </c>
      <c r="O497" s="54">
        <v>46251</v>
      </c>
    </row>
    <row r="498" spans="2:15" x14ac:dyDescent="0.25">
      <c r="B498">
        <v>516</v>
      </c>
      <c r="C498" t="s">
        <v>171</v>
      </c>
      <c r="D498" t="s">
        <v>1008</v>
      </c>
      <c r="E498">
        <v>515</v>
      </c>
      <c r="F498" t="s">
        <v>1517</v>
      </c>
      <c r="G498">
        <v>517</v>
      </c>
      <c r="H498" t="s">
        <v>1519</v>
      </c>
      <c r="I498">
        <v>4</v>
      </c>
      <c r="J498" s="48">
        <v>0</v>
      </c>
      <c r="K498" s="48">
        <v>0</v>
      </c>
      <c r="L498" s="54">
        <v>46251</v>
      </c>
      <c r="M498" s="54">
        <v>46254</v>
      </c>
      <c r="N498" s="54">
        <v>46251</v>
      </c>
      <c r="O498" s="54">
        <v>46254</v>
      </c>
    </row>
    <row r="499" spans="2:15" x14ac:dyDescent="0.25">
      <c r="B499">
        <v>517</v>
      </c>
      <c r="C499" t="s">
        <v>171</v>
      </c>
      <c r="D499" t="s">
        <v>1008</v>
      </c>
      <c r="E499">
        <v>516</v>
      </c>
      <c r="F499" t="s">
        <v>1518</v>
      </c>
      <c r="G499">
        <v>518</v>
      </c>
      <c r="H499" t="s">
        <v>1519</v>
      </c>
      <c r="I499">
        <v>6</v>
      </c>
      <c r="J499" s="48">
        <v>0</v>
      </c>
      <c r="K499" s="48">
        <v>0</v>
      </c>
      <c r="L499" s="54">
        <v>46254</v>
      </c>
      <c r="M499" s="54">
        <v>46259</v>
      </c>
      <c r="N499" s="54">
        <v>46254</v>
      </c>
      <c r="O499" s="54">
        <v>46259</v>
      </c>
    </row>
    <row r="500" spans="2:15" x14ac:dyDescent="0.25">
      <c r="B500">
        <v>518</v>
      </c>
      <c r="C500" t="s">
        <v>171</v>
      </c>
      <c r="D500" t="s">
        <v>1008</v>
      </c>
      <c r="E500">
        <v>517</v>
      </c>
      <c r="F500" t="s">
        <v>1520</v>
      </c>
      <c r="G500">
        <v>76</v>
      </c>
      <c r="H500" t="s">
        <v>1519</v>
      </c>
      <c r="I500">
        <v>4</v>
      </c>
      <c r="J500" s="48">
        <v>0</v>
      </c>
      <c r="K500" s="48">
        <v>0</v>
      </c>
      <c r="L500" s="54">
        <v>46259</v>
      </c>
      <c r="M500" s="54">
        <v>46262</v>
      </c>
      <c r="N500" s="54">
        <v>46259</v>
      </c>
      <c r="O500" s="54">
        <v>46262</v>
      </c>
    </row>
    <row r="501" spans="2:15" x14ac:dyDescent="0.25">
      <c r="B501">
        <v>519</v>
      </c>
      <c r="C501" t="s">
        <v>169</v>
      </c>
      <c r="D501" t="s">
        <v>1002</v>
      </c>
      <c r="F501" t="s">
        <v>1678</v>
      </c>
      <c r="H501" t="s">
        <v>1559</v>
      </c>
      <c r="I501">
        <v>17</v>
      </c>
      <c r="J501" s="48">
        <v>0</v>
      </c>
      <c r="K501" s="48">
        <v>0</v>
      </c>
      <c r="L501" t="s">
        <v>1506</v>
      </c>
      <c r="M501" t="s">
        <v>1506</v>
      </c>
      <c r="N501" s="54">
        <v>46246</v>
      </c>
      <c r="O501" s="54">
        <v>46262</v>
      </c>
    </row>
    <row r="502" spans="2:15" x14ac:dyDescent="0.25">
      <c r="B502">
        <v>520</v>
      </c>
      <c r="C502" t="s">
        <v>169</v>
      </c>
      <c r="D502" t="s">
        <v>1002</v>
      </c>
      <c r="E502" t="s">
        <v>1977</v>
      </c>
      <c r="F502" t="s">
        <v>1515</v>
      </c>
      <c r="G502">
        <v>521</v>
      </c>
      <c r="H502" t="s">
        <v>1519</v>
      </c>
      <c r="I502">
        <v>6</v>
      </c>
      <c r="J502" s="48">
        <v>0</v>
      </c>
      <c r="K502" s="48">
        <v>0</v>
      </c>
      <c r="L502" t="s">
        <v>1506</v>
      </c>
      <c r="M502" t="s">
        <v>1506</v>
      </c>
      <c r="N502" s="54">
        <v>46246</v>
      </c>
      <c r="O502" s="54">
        <v>46251</v>
      </c>
    </row>
    <row r="503" spans="2:15" x14ac:dyDescent="0.25">
      <c r="B503">
        <v>521</v>
      </c>
      <c r="C503" t="s">
        <v>169</v>
      </c>
      <c r="D503" t="s">
        <v>1002</v>
      </c>
      <c r="E503">
        <v>520</v>
      </c>
      <c r="F503" t="s">
        <v>1517</v>
      </c>
      <c r="G503">
        <v>522</v>
      </c>
      <c r="H503" t="s">
        <v>1519</v>
      </c>
      <c r="I503">
        <v>4</v>
      </c>
      <c r="J503" s="48">
        <v>0</v>
      </c>
      <c r="K503" s="48">
        <v>0</v>
      </c>
      <c r="L503" t="s">
        <v>1506</v>
      </c>
      <c r="M503" t="s">
        <v>1506</v>
      </c>
      <c r="N503" s="54">
        <v>46251</v>
      </c>
      <c r="O503" s="54">
        <v>46254</v>
      </c>
    </row>
    <row r="504" spans="2:15" x14ac:dyDescent="0.25">
      <c r="B504">
        <v>522</v>
      </c>
      <c r="C504" t="s">
        <v>169</v>
      </c>
      <c r="D504" t="s">
        <v>1002</v>
      </c>
      <c r="E504">
        <v>521</v>
      </c>
      <c r="F504" t="s">
        <v>1518</v>
      </c>
      <c r="G504">
        <v>523</v>
      </c>
      <c r="H504" t="s">
        <v>1519</v>
      </c>
      <c r="I504">
        <v>6</v>
      </c>
      <c r="J504" s="48">
        <v>0</v>
      </c>
      <c r="K504" s="48">
        <v>0</v>
      </c>
      <c r="L504" t="s">
        <v>1506</v>
      </c>
      <c r="M504" t="s">
        <v>1506</v>
      </c>
      <c r="N504" s="54">
        <v>46254</v>
      </c>
      <c r="O504" s="54">
        <v>46259</v>
      </c>
    </row>
    <row r="505" spans="2:15" x14ac:dyDescent="0.25">
      <c r="B505">
        <v>523</v>
      </c>
      <c r="C505" t="s">
        <v>169</v>
      </c>
      <c r="D505" t="s">
        <v>1002</v>
      </c>
      <c r="E505">
        <v>522</v>
      </c>
      <c r="F505" t="s">
        <v>1520</v>
      </c>
      <c r="G505">
        <v>76</v>
      </c>
      <c r="H505" t="s">
        <v>1519</v>
      </c>
      <c r="I505">
        <v>4</v>
      </c>
      <c r="J505" s="48">
        <v>0</v>
      </c>
      <c r="K505" s="48">
        <v>0</v>
      </c>
      <c r="L505" t="s">
        <v>1506</v>
      </c>
      <c r="M505" t="s">
        <v>1506</v>
      </c>
      <c r="N505" s="54">
        <v>46259</v>
      </c>
      <c r="O505" s="54">
        <v>46262</v>
      </c>
    </row>
    <row r="506" spans="2:15" x14ac:dyDescent="0.25">
      <c r="B506">
        <v>524</v>
      </c>
      <c r="C506" t="s">
        <v>172</v>
      </c>
      <c r="D506" t="s">
        <v>1012</v>
      </c>
      <c r="F506" t="s">
        <v>1679</v>
      </c>
      <c r="H506" t="s">
        <v>1559</v>
      </c>
      <c r="I506">
        <v>17</v>
      </c>
      <c r="J506" s="48">
        <v>0</v>
      </c>
      <c r="K506" s="48">
        <v>0</v>
      </c>
      <c r="L506" s="54">
        <v>46251</v>
      </c>
      <c r="M506" s="54">
        <v>46267</v>
      </c>
      <c r="N506" s="54">
        <v>46251</v>
      </c>
      <c r="O506" s="54">
        <v>46267</v>
      </c>
    </row>
    <row r="507" spans="2:15" x14ac:dyDescent="0.25">
      <c r="B507">
        <v>525</v>
      </c>
      <c r="C507" t="s">
        <v>172</v>
      </c>
      <c r="D507" t="s">
        <v>1012</v>
      </c>
      <c r="E507">
        <v>515</v>
      </c>
      <c r="F507" t="s">
        <v>1515</v>
      </c>
      <c r="G507" t="s">
        <v>1978</v>
      </c>
      <c r="H507" t="s">
        <v>1519</v>
      </c>
      <c r="I507">
        <v>4</v>
      </c>
      <c r="J507" s="48">
        <v>0</v>
      </c>
      <c r="K507" s="48">
        <v>0</v>
      </c>
      <c r="L507" s="54">
        <v>46251</v>
      </c>
      <c r="M507" s="54">
        <v>46254</v>
      </c>
      <c r="N507" s="54">
        <v>46251</v>
      </c>
      <c r="O507" s="54">
        <v>46254</v>
      </c>
    </row>
    <row r="508" spans="2:15" x14ac:dyDescent="0.25">
      <c r="B508">
        <v>526</v>
      </c>
      <c r="C508" t="s">
        <v>172</v>
      </c>
      <c r="D508" t="s">
        <v>1012</v>
      </c>
      <c r="E508">
        <v>525</v>
      </c>
      <c r="F508" t="s">
        <v>1517</v>
      </c>
      <c r="G508">
        <v>527</v>
      </c>
      <c r="H508" t="s">
        <v>1519</v>
      </c>
      <c r="I508">
        <v>6</v>
      </c>
      <c r="J508" s="48">
        <v>0</v>
      </c>
      <c r="K508" s="48">
        <v>0</v>
      </c>
      <c r="L508" s="54">
        <v>46254</v>
      </c>
      <c r="M508" s="54">
        <v>46259</v>
      </c>
      <c r="N508" s="54">
        <v>46254</v>
      </c>
      <c r="O508" s="54">
        <v>46259</v>
      </c>
    </row>
    <row r="509" spans="2:15" x14ac:dyDescent="0.25">
      <c r="B509">
        <v>527</v>
      </c>
      <c r="C509" t="s">
        <v>172</v>
      </c>
      <c r="D509" t="s">
        <v>1012</v>
      </c>
      <c r="E509">
        <v>526</v>
      </c>
      <c r="F509" t="s">
        <v>1518</v>
      </c>
      <c r="G509">
        <v>528</v>
      </c>
      <c r="H509" t="s">
        <v>1519</v>
      </c>
      <c r="I509">
        <v>4</v>
      </c>
      <c r="J509" s="48">
        <v>0</v>
      </c>
      <c r="K509" s="48">
        <v>0</v>
      </c>
      <c r="L509" s="54">
        <v>46259</v>
      </c>
      <c r="M509" s="54">
        <v>46262</v>
      </c>
      <c r="N509" s="54">
        <v>46259</v>
      </c>
      <c r="O509" s="54">
        <v>46262</v>
      </c>
    </row>
    <row r="510" spans="2:15" x14ac:dyDescent="0.25">
      <c r="B510">
        <v>528</v>
      </c>
      <c r="C510" t="s">
        <v>172</v>
      </c>
      <c r="D510" t="s">
        <v>1012</v>
      </c>
      <c r="E510">
        <v>527</v>
      </c>
      <c r="F510" t="s">
        <v>1520</v>
      </c>
      <c r="G510">
        <v>76</v>
      </c>
      <c r="H510" t="s">
        <v>1519</v>
      </c>
      <c r="I510">
        <v>6</v>
      </c>
      <c r="J510" s="48">
        <v>0</v>
      </c>
      <c r="K510" s="48">
        <v>0</v>
      </c>
      <c r="L510" s="54">
        <v>46262</v>
      </c>
      <c r="M510" s="54">
        <v>46267</v>
      </c>
      <c r="N510" s="54">
        <v>46262</v>
      </c>
      <c r="O510" s="54">
        <v>46267</v>
      </c>
    </row>
    <row r="511" spans="2:15" x14ac:dyDescent="0.25">
      <c r="B511">
        <v>529</v>
      </c>
      <c r="C511" t="s">
        <v>174</v>
      </c>
      <c r="D511" t="s">
        <v>1020</v>
      </c>
      <c r="F511" t="s">
        <v>1680</v>
      </c>
      <c r="H511" t="s">
        <v>1559</v>
      </c>
      <c r="I511">
        <v>20</v>
      </c>
      <c r="J511" s="48">
        <v>0</v>
      </c>
      <c r="K511" s="48">
        <v>0</v>
      </c>
      <c r="L511" s="54">
        <v>46254</v>
      </c>
      <c r="M511" s="54">
        <v>46273</v>
      </c>
      <c r="N511" s="54">
        <v>46254</v>
      </c>
      <c r="O511" s="54">
        <v>46273</v>
      </c>
    </row>
    <row r="512" spans="2:15" x14ac:dyDescent="0.25">
      <c r="B512">
        <v>530</v>
      </c>
      <c r="C512" t="s">
        <v>174</v>
      </c>
      <c r="D512" t="s">
        <v>1020</v>
      </c>
      <c r="E512">
        <v>525</v>
      </c>
      <c r="F512" t="s">
        <v>1515</v>
      </c>
      <c r="G512" t="s">
        <v>1979</v>
      </c>
      <c r="H512" t="s">
        <v>1519</v>
      </c>
      <c r="I512">
        <v>6</v>
      </c>
      <c r="J512" s="48">
        <v>0</v>
      </c>
      <c r="K512" s="48">
        <v>0</v>
      </c>
      <c r="L512" s="54">
        <v>46254</v>
      </c>
      <c r="M512" s="54">
        <v>46259</v>
      </c>
      <c r="N512" s="54">
        <v>46254</v>
      </c>
      <c r="O512" s="54">
        <v>46259</v>
      </c>
    </row>
    <row r="513" spans="2:15" x14ac:dyDescent="0.25">
      <c r="B513">
        <v>531</v>
      </c>
      <c r="C513" t="s">
        <v>174</v>
      </c>
      <c r="D513" t="s">
        <v>1020</v>
      </c>
      <c r="E513">
        <v>530</v>
      </c>
      <c r="F513" t="s">
        <v>1517</v>
      </c>
      <c r="G513">
        <v>532</v>
      </c>
      <c r="H513" t="s">
        <v>1519</v>
      </c>
      <c r="I513">
        <v>4</v>
      </c>
      <c r="J513" s="48">
        <v>0</v>
      </c>
      <c r="K513" s="48">
        <v>0</v>
      </c>
      <c r="L513" s="54">
        <v>46259</v>
      </c>
      <c r="M513" s="54">
        <v>46262</v>
      </c>
      <c r="N513" s="54">
        <v>46259</v>
      </c>
      <c r="O513" s="54">
        <v>46262</v>
      </c>
    </row>
    <row r="514" spans="2:15" x14ac:dyDescent="0.25">
      <c r="B514">
        <v>532</v>
      </c>
      <c r="C514" t="s">
        <v>174</v>
      </c>
      <c r="D514" t="s">
        <v>1020</v>
      </c>
      <c r="E514">
        <v>531</v>
      </c>
      <c r="F514" t="s">
        <v>1518</v>
      </c>
      <c r="G514">
        <v>533</v>
      </c>
      <c r="H514" t="s">
        <v>1519</v>
      </c>
      <c r="I514">
        <v>6</v>
      </c>
      <c r="J514" s="48">
        <v>0</v>
      </c>
      <c r="K514" s="48">
        <v>0</v>
      </c>
      <c r="L514" s="54">
        <v>46262</v>
      </c>
      <c r="M514" s="54">
        <v>46267</v>
      </c>
      <c r="N514" s="54">
        <v>46262</v>
      </c>
      <c r="O514" s="54">
        <v>46267</v>
      </c>
    </row>
    <row r="515" spans="2:15" x14ac:dyDescent="0.25">
      <c r="B515">
        <v>533</v>
      </c>
      <c r="C515" t="s">
        <v>174</v>
      </c>
      <c r="D515" t="s">
        <v>1020</v>
      </c>
      <c r="E515">
        <v>532</v>
      </c>
      <c r="F515" t="s">
        <v>1520</v>
      </c>
      <c r="G515">
        <v>76</v>
      </c>
      <c r="H515" t="s">
        <v>1519</v>
      </c>
      <c r="I515">
        <v>7</v>
      </c>
      <c r="J515" s="48">
        <v>0</v>
      </c>
      <c r="K515" s="48">
        <v>0</v>
      </c>
      <c r="L515" s="54">
        <v>46267</v>
      </c>
      <c r="M515" s="54">
        <v>46273</v>
      </c>
      <c r="N515" s="54">
        <v>46267</v>
      </c>
      <c r="O515" s="54">
        <v>46273</v>
      </c>
    </row>
    <row r="516" spans="2:15" x14ac:dyDescent="0.25">
      <c r="B516">
        <v>534</v>
      </c>
      <c r="C516" t="s">
        <v>149</v>
      </c>
      <c r="D516" t="s">
        <v>914</v>
      </c>
      <c r="F516" t="s">
        <v>1681</v>
      </c>
      <c r="H516" t="s">
        <v>1559</v>
      </c>
      <c r="I516">
        <v>18</v>
      </c>
      <c r="J516" s="48">
        <v>0</v>
      </c>
      <c r="K516" s="48">
        <v>0</v>
      </c>
      <c r="L516" s="54">
        <v>46259</v>
      </c>
      <c r="M516" s="54">
        <v>46276</v>
      </c>
      <c r="N516" s="54">
        <v>46259</v>
      </c>
      <c r="O516" s="54">
        <v>46276</v>
      </c>
    </row>
    <row r="517" spans="2:15" x14ac:dyDescent="0.25">
      <c r="B517">
        <v>535</v>
      </c>
      <c r="C517" t="s">
        <v>149</v>
      </c>
      <c r="D517" t="s">
        <v>914</v>
      </c>
      <c r="E517">
        <v>530</v>
      </c>
      <c r="F517" t="s">
        <v>1515</v>
      </c>
      <c r="G517" t="s">
        <v>1980</v>
      </c>
      <c r="H517" t="s">
        <v>1519</v>
      </c>
      <c r="I517">
        <v>4</v>
      </c>
      <c r="J517" s="48">
        <v>0</v>
      </c>
      <c r="K517" s="48">
        <v>0</v>
      </c>
      <c r="L517" s="54">
        <v>46259</v>
      </c>
      <c r="M517" s="54">
        <v>46262</v>
      </c>
      <c r="N517" s="54">
        <v>46259</v>
      </c>
      <c r="O517" s="54">
        <v>46262</v>
      </c>
    </row>
    <row r="518" spans="2:15" x14ac:dyDescent="0.25">
      <c r="B518">
        <v>536</v>
      </c>
      <c r="C518" t="s">
        <v>149</v>
      </c>
      <c r="D518" t="s">
        <v>914</v>
      </c>
      <c r="E518">
        <v>535</v>
      </c>
      <c r="F518" t="s">
        <v>1517</v>
      </c>
      <c r="G518">
        <v>537</v>
      </c>
      <c r="H518" t="s">
        <v>1519</v>
      </c>
      <c r="I518">
        <v>6</v>
      </c>
      <c r="J518" s="48">
        <v>0</v>
      </c>
      <c r="K518" s="48">
        <v>0</v>
      </c>
      <c r="L518" s="54">
        <v>46262</v>
      </c>
      <c r="M518" s="54">
        <v>46267</v>
      </c>
      <c r="N518" s="54">
        <v>46262</v>
      </c>
      <c r="O518" s="54">
        <v>46267</v>
      </c>
    </row>
    <row r="519" spans="2:15" x14ac:dyDescent="0.25">
      <c r="B519">
        <v>537</v>
      </c>
      <c r="C519" t="s">
        <v>149</v>
      </c>
      <c r="D519" t="s">
        <v>914</v>
      </c>
      <c r="E519">
        <v>536</v>
      </c>
      <c r="F519" t="s">
        <v>1518</v>
      </c>
      <c r="G519">
        <v>538</v>
      </c>
      <c r="H519" t="s">
        <v>1519</v>
      </c>
      <c r="I519">
        <v>7</v>
      </c>
      <c r="J519" s="48">
        <v>0</v>
      </c>
      <c r="K519" s="48">
        <v>0</v>
      </c>
      <c r="L519" s="54">
        <v>46267</v>
      </c>
      <c r="M519" s="54">
        <v>46273</v>
      </c>
      <c r="N519" s="54">
        <v>46267</v>
      </c>
      <c r="O519" s="54">
        <v>46273</v>
      </c>
    </row>
    <row r="520" spans="2:15" x14ac:dyDescent="0.25">
      <c r="B520">
        <v>538</v>
      </c>
      <c r="C520" t="s">
        <v>149</v>
      </c>
      <c r="D520" t="s">
        <v>914</v>
      </c>
      <c r="E520">
        <v>537</v>
      </c>
      <c r="F520" t="s">
        <v>1520</v>
      </c>
      <c r="G520">
        <v>76</v>
      </c>
      <c r="H520" t="s">
        <v>1519</v>
      </c>
      <c r="I520">
        <v>4</v>
      </c>
      <c r="J520" s="48">
        <v>0</v>
      </c>
      <c r="K520" s="48">
        <v>0</v>
      </c>
      <c r="L520" s="54">
        <v>46273</v>
      </c>
      <c r="M520" s="54">
        <v>46276</v>
      </c>
      <c r="N520" s="54">
        <v>46273</v>
      </c>
      <c r="O520" s="54">
        <v>46276</v>
      </c>
    </row>
    <row r="521" spans="2:15" x14ac:dyDescent="0.25">
      <c r="B521">
        <v>539</v>
      </c>
      <c r="C521" t="s">
        <v>150</v>
      </c>
      <c r="D521" t="s">
        <v>919</v>
      </c>
      <c r="F521" t="s">
        <v>1682</v>
      </c>
      <c r="H521" t="s">
        <v>1535</v>
      </c>
      <c r="I521">
        <v>21</v>
      </c>
      <c r="J521" s="48">
        <v>0</v>
      </c>
      <c r="K521" s="48">
        <v>0</v>
      </c>
      <c r="L521" s="54">
        <v>46262</v>
      </c>
      <c r="M521" s="54">
        <v>46282</v>
      </c>
      <c r="N521" s="54">
        <v>46262</v>
      </c>
      <c r="O521" s="54">
        <v>46282</v>
      </c>
    </row>
    <row r="522" spans="2:15" x14ac:dyDescent="0.25">
      <c r="B522">
        <v>540</v>
      </c>
      <c r="C522" t="s">
        <v>150</v>
      </c>
      <c r="D522" t="s">
        <v>919</v>
      </c>
      <c r="E522">
        <v>535</v>
      </c>
      <c r="F522" t="s">
        <v>1515</v>
      </c>
      <c r="G522" t="s">
        <v>1981</v>
      </c>
      <c r="H522" t="s">
        <v>1525</v>
      </c>
      <c r="I522">
        <v>7</v>
      </c>
      <c r="J522" s="48">
        <v>0</v>
      </c>
      <c r="K522" s="48">
        <v>0</v>
      </c>
      <c r="L522" s="54">
        <v>46262</v>
      </c>
      <c r="M522" s="54">
        <v>46268</v>
      </c>
      <c r="N522" s="54">
        <v>46262</v>
      </c>
      <c r="O522" s="54">
        <v>46268</v>
      </c>
    </row>
    <row r="523" spans="2:15" x14ac:dyDescent="0.25">
      <c r="B523">
        <v>541</v>
      </c>
      <c r="C523" t="s">
        <v>150</v>
      </c>
      <c r="D523" t="s">
        <v>919</v>
      </c>
      <c r="E523">
        <v>540</v>
      </c>
      <c r="F523" t="s">
        <v>1517</v>
      </c>
      <c r="G523">
        <v>542</v>
      </c>
      <c r="H523" t="s">
        <v>1519</v>
      </c>
      <c r="I523">
        <v>7</v>
      </c>
      <c r="J523" s="48">
        <v>0</v>
      </c>
      <c r="K523" s="48">
        <v>0</v>
      </c>
      <c r="L523" s="54">
        <v>46268</v>
      </c>
      <c r="M523" s="54">
        <v>46274</v>
      </c>
      <c r="N523" s="54">
        <v>46268</v>
      </c>
      <c r="O523" s="54">
        <v>46274</v>
      </c>
    </row>
    <row r="524" spans="2:15" x14ac:dyDescent="0.25">
      <c r="B524">
        <v>542</v>
      </c>
      <c r="C524" t="s">
        <v>150</v>
      </c>
      <c r="D524" t="s">
        <v>919</v>
      </c>
      <c r="E524">
        <v>541</v>
      </c>
      <c r="F524" t="s">
        <v>1518</v>
      </c>
      <c r="G524">
        <v>543</v>
      </c>
      <c r="H524" t="s">
        <v>1519</v>
      </c>
      <c r="I524">
        <v>6</v>
      </c>
      <c r="J524" s="48">
        <v>0</v>
      </c>
      <c r="K524" s="48">
        <v>0</v>
      </c>
      <c r="L524" s="54">
        <v>46274</v>
      </c>
      <c r="M524" s="54">
        <v>46279</v>
      </c>
      <c r="N524" s="54">
        <v>46274</v>
      </c>
      <c r="O524" s="54">
        <v>46279</v>
      </c>
    </row>
    <row r="525" spans="2:15" x14ac:dyDescent="0.25">
      <c r="B525">
        <v>543</v>
      </c>
      <c r="C525" t="s">
        <v>150</v>
      </c>
      <c r="D525" t="s">
        <v>919</v>
      </c>
      <c r="E525">
        <v>542</v>
      </c>
      <c r="F525" t="s">
        <v>1520</v>
      </c>
      <c r="G525">
        <v>76</v>
      </c>
      <c r="H525" t="s">
        <v>1519</v>
      </c>
      <c r="I525">
        <v>4</v>
      </c>
      <c r="J525" s="48">
        <v>0</v>
      </c>
      <c r="K525" s="48">
        <v>0</v>
      </c>
      <c r="L525" s="54">
        <v>46279</v>
      </c>
      <c r="M525" s="54">
        <v>46282</v>
      </c>
      <c r="N525" s="54">
        <v>46279</v>
      </c>
      <c r="O525" s="54">
        <v>46282</v>
      </c>
    </row>
    <row r="526" spans="2:15" x14ac:dyDescent="0.25">
      <c r="B526">
        <v>544</v>
      </c>
      <c r="C526" t="s">
        <v>175</v>
      </c>
      <c r="D526" t="s">
        <v>1024</v>
      </c>
      <c r="F526" t="s">
        <v>1683</v>
      </c>
      <c r="H526" t="s">
        <v>1641</v>
      </c>
      <c r="I526">
        <v>19</v>
      </c>
      <c r="J526" s="48">
        <v>0</v>
      </c>
      <c r="K526" s="48">
        <v>0</v>
      </c>
      <c r="L526" s="54">
        <v>46268</v>
      </c>
      <c r="M526" s="54">
        <v>46286</v>
      </c>
      <c r="N526" s="54">
        <v>46268</v>
      </c>
      <c r="O526" s="54">
        <v>46286</v>
      </c>
    </row>
    <row r="527" spans="2:15" x14ac:dyDescent="0.25">
      <c r="B527">
        <v>545</v>
      </c>
      <c r="C527" t="s">
        <v>175</v>
      </c>
      <c r="D527" t="s">
        <v>1024</v>
      </c>
      <c r="E527">
        <v>540</v>
      </c>
      <c r="F527" t="s">
        <v>1515</v>
      </c>
      <c r="G527" t="s">
        <v>1982</v>
      </c>
      <c r="H527" t="s">
        <v>1642</v>
      </c>
      <c r="I527">
        <v>6</v>
      </c>
      <c r="J527" s="48">
        <v>0</v>
      </c>
      <c r="K527" s="48">
        <v>0</v>
      </c>
      <c r="L527" s="54">
        <v>46268</v>
      </c>
      <c r="M527" s="54">
        <v>46273</v>
      </c>
      <c r="N527" s="54">
        <v>46268</v>
      </c>
      <c r="O527" s="54">
        <v>46273</v>
      </c>
    </row>
    <row r="528" spans="2:15" x14ac:dyDescent="0.25">
      <c r="B528">
        <v>546</v>
      </c>
      <c r="C528" t="s">
        <v>175</v>
      </c>
      <c r="D528" t="s">
        <v>1024</v>
      </c>
      <c r="E528">
        <v>545</v>
      </c>
      <c r="F528" t="s">
        <v>1517</v>
      </c>
      <c r="G528">
        <v>547</v>
      </c>
      <c r="H528" t="s">
        <v>1519</v>
      </c>
      <c r="I528">
        <v>4</v>
      </c>
      <c r="J528" s="48">
        <v>0</v>
      </c>
      <c r="K528" s="48">
        <v>0</v>
      </c>
      <c r="L528" s="54">
        <v>46273</v>
      </c>
      <c r="M528" s="54">
        <v>46276</v>
      </c>
      <c r="N528" s="54">
        <v>46273</v>
      </c>
      <c r="O528" s="54">
        <v>46276</v>
      </c>
    </row>
    <row r="529" spans="2:15" x14ac:dyDescent="0.25">
      <c r="B529">
        <v>547</v>
      </c>
      <c r="C529" t="s">
        <v>175</v>
      </c>
      <c r="D529" t="s">
        <v>1024</v>
      </c>
      <c r="E529">
        <v>546</v>
      </c>
      <c r="F529" t="s">
        <v>1518</v>
      </c>
      <c r="G529">
        <v>548</v>
      </c>
      <c r="H529" t="s">
        <v>1519</v>
      </c>
      <c r="I529">
        <v>6</v>
      </c>
      <c r="J529" s="48">
        <v>0</v>
      </c>
      <c r="K529" s="48">
        <v>0</v>
      </c>
      <c r="L529" s="54">
        <v>46276</v>
      </c>
      <c r="M529" s="54">
        <v>46281</v>
      </c>
      <c r="N529" s="54">
        <v>46276</v>
      </c>
      <c r="O529" s="54">
        <v>46281</v>
      </c>
    </row>
    <row r="530" spans="2:15" x14ac:dyDescent="0.25">
      <c r="B530">
        <v>548</v>
      </c>
      <c r="C530" t="s">
        <v>175</v>
      </c>
      <c r="D530" t="s">
        <v>1024</v>
      </c>
      <c r="E530">
        <v>547</v>
      </c>
      <c r="F530" t="s">
        <v>1520</v>
      </c>
      <c r="G530">
        <v>76</v>
      </c>
      <c r="H530" t="s">
        <v>1519</v>
      </c>
      <c r="I530">
        <v>6</v>
      </c>
      <c r="J530" s="48">
        <v>0</v>
      </c>
      <c r="K530" s="48">
        <v>0</v>
      </c>
      <c r="L530" s="54">
        <v>46281</v>
      </c>
      <c r="M530" s="54">
        <v>46286</v>
      </c>
      <c r="N530" s="54">
        <v>46281</v>
      </c>
      <c r="O530" s="54">
        <v>46286</v>
      </c>
    </row>
    <row r="531" spans="2:15" x14ac:dyDescent="0.25">
      <c r="B531">
        <v>549</v>
      </c>
      <c r="C531" t="s">
        <v>177</v>
      </c>
      <c r="D531" t="s">
        <v>1031</v>
      </c>
      <c r="F531" t="s">
        <v>1684</v>
      </c>
      <c r="H531" t="s">
        <v>1641</v>
      </c>
      <c r="I531">
        <v>16</v>
      </c>
      <c r="J531" s="48">
        <v>0</v>
      </c>
      <c r="K531" s="48">
        <v>0</v>
      </c>
      <c r="L531" s="54">
        <v>46273</v>
      </c>
      <c r="M531" s="54">
        <v>46288</v>
      </c>
      <c r="N531" s="54">
        <v>46273</v>
      </c>
      <c r="O531" s="54">
        <v>46288</v>
      </c>
    </row>
    <row r="532" spans="2:15" x14ac:dyDescent="0.25">
      <c r="B532">
        <v>550</v>
      </c>
      <c r="C532" t="s">
        <v>177</v>
      </c>
      <c r="D532" t="s">
        <v>1031</v>
      </c>
      <c r="E532">
        <v>545</v>
      </c>
      <c r="F532" t="s">
        <v>1515</v>
      </c>
      <c r="G532">
        <v>551</v>
      </c>
      <c r="H532" t="s">
        <v>1642</v>
      </c>
      <c r="I532">
        <v>3</v>
      </c>
      <c r="J532" s="48">
        <v>0</v>
      </c>
      <c r="K532" s="48">
        <v>0</v>
      </c>
      <c r="L532" s="54">
        <v>46273</v>
      </c>
      <c r="M532" s="54">
        <v>46275</v>
      </c>
      <c r="N532" s="54">
        <v>46273</v>
      </c>
      <c r="O532" s="54">
        <v>46275</v>
      </c>
    </row>
    <row r="533" spans="2:15" x14ac:dyDescent="0.25">
      <c r="B533">
        <v>551</v>
      </c>
      <c r="C533" t="s">
        <v>177</v>
      </c>
      <c r="D533" t="s">
        <v>1031</v>
      </c>
      <c r="E533">
        <v>550</v>
      </c>
      <c r="F533" t="s">
        <v>1517</v>
      </c>
      <c r="G533">
        <v>552</v>
      </c>
      <c r="H533" t="s">
        <v>1519</v>
      </c>
      <c r="I533">
        <v>6</v>
      </c>
      <c r="J533" s="48">
        <v>0</v>
      </c>
      <c r="K533" s="48">
        <v>0</v>
      </c>
      <c r="L533" s="54">
        <v>46275</v>
      </c>
      <c r="M533" s="54">
        <v>46280</v>
      </c>
      <c r="N533" s="54">
        <v>46275</v>
      </c>
      <c r="O533" s="54">
        <v>46280</v>
      </c>
    </row>
    <row r="534" spans="2:15" x14ac:dyDescent="0.25">
      <c r="B534">
        <v>552</v>
      </c>
      <c r="C534" t="s">
        <v>177</v>
      </c>
      <c r="D534" t="s">
        <v>1031</v>
      </c>
      <c r="E534">
        <v>551</v>
      </c>
      <c r="F534" t="s">
        <v>1518</v>
      </c>
      <c r="G534">
        <v>553</v>
      </c>
      <c r="H534" t="s">
        <v>1519</v>
      </c>
      <c r="I534">
        <v>4</v>
      </c>
      <c r="J534" s="48">
        <v>0</v>
      </c>
      <c r="K534" s="48">
        <v>0</v>
      </c>
      <c r="L534" s="54">
        <v>46280</v>
      </c>
      <c r="M534" s="54">
        <v>46283</v>
      </c>
      <c r="N534" s="54">
        <v>46280</v>
      </c>
      <c r="O534" s="54">
        <v>46283</v>
      </c>
    </row>
    <row r="535" spans="2:15" x14ac:dyDescent="0.25">
      <c r="B535">
        <v>553</v>
      </c>
      <c r="C535" t="s">
        <v>177</v>
      </c>
      <c r="D535" t="s">
        <v>1031</v>
      </c>
      <c r="E535">
        <v>552</v>
      </c>
      <c r="F535" t="s">
        <v>1520</v>
      </c>
      <c r="G535">
        <v>76</v>
      </c>
      <c r="H535" t="s">
        <v>1519</v>
      </c>
      <c r="I535">
        <v>6</v>
      </c>
      <c r="J535" s="48">
        <v>0</v>
      </c>
      <c r="K535" s="48">
        <v>0</v>
      </c>
      <c r="L535" s="54">
        <v>46283</v>
      </c>
      <c r="M535" s="54">
        <v>46288</v>
      </c>
      <c r="N535" s="54">
        <v>46283</v>
      </c>
      <c r="O535" s="54">
        <v>46288</v>
      </c>
    </row>
    <row r="536" spans="2:15" x14ac:dyDescent="0.25">
      <c r="B536">
        <v>554</v>
      </c>
      <c r="F536" t="s">
        <v>1624</v>
      </c>
      <c r="H536" t="s">
        <v>1527</v>
      </c>
      <c r="I536">
        <v>19</v>
      </c>
      <c r="J536" s="48">
        <v>0</v>
      </c>
      <c r="K536" s="48">
        <v>0</v>
      </c>
      <c r="L536" s="54">
        <v>46251</v>
      </c>
      <c r="M536" s="54">
        <v>46269</v>
      </c>
      <c r="N536" s="54">
        <v>46230</v>
      </c>
      <c r="O536" s="54">
        <v>46248</v>
      </c>
    </row>
    <row r="537" spans="2:15" x14ac:dyDescent="0.25">
      <c r="B537">
        <v>555</v>
      </c>
      <c r="C537" t="s">
        <v>285</v>
      </c>
      <c r="D537" t="s">
        <v>1410</v>
      </c>
      <c r="F537" t="s">
        <v>1685</v>
      </c>
      <c r="H537" t="s">
        <v>1527</v>
      </c>
      <c r="I537">
        <v>19</v>
      </c>
      <c r="J537" s="48">
        <v>0</v>
      </c>
      <c r="K537" s="48">
        <v>0</v>
      </c>
      <c r="L537" s="54">
        <v>46251</v>
      </c>
      <c r="M537" s="54">
        <v>46269</v>
      </c>
      <c r="N537" s="54">
        <v>46230</v>
      </c>
      <c r="O537" s="54">
        <v>46248</v>
      </c>
    </row>
    <row r="538" spans="2:15" x14ac:dyDescent="0.25">
      <c r="B538">
        <v>556</v>
      </c>
      <c r="C538" t="s">
        <v>285</v>
      </c>
      <c r="D538" t="s">
        <v>1410</v>
      </c>
      <c r="E538" t="s">
        <v>1983</v>
      </c>
      <c r="F538" t="s">
        <v>1515</v>
      </c>
      <c r="G538">
        <v>557</v>
      </c>
      <c r="H538" t="s">
        <v>1528</v>
      </c>
      <c r="I538">
        <v>8</v>
      </c>
      <c r="J538" s="48">
        <v>0</v>
      </c>
      <c r="K538" s="48">
        <v>0</v>
      </c>
      <c r="L538" s="54">
        <v>46251</v>
      </c>
      <c r="M538" s="54">
        <v>46258</v>
      </c>
      <c r="N538" s="54">
        <v>46230</v>
      </c>
      <c r="O538" s="54">
        <v>46237</v>
      </c>
    </row>
    <row r="539" spans="2:15" x14ac:dyDescent="0.25">
      <c r="B539">
        <v>557</v>
      </c>
      <c r="C539" t="s">
        <v>285</v>
      </c>
      <c r="D539" t="s">
        <v>1410</v>
      </c>
      <c r="E539">
        <v>556</v>
      </c>
      <c r="F539" t="s">
        <v>1517</v>
      </c>
      <c r="G539">
        <v>558</v>
      </c>
      <c r="H539" t="s">
        <v>1519</v>
      </c>
      <c r="I539">
        <v>4</v>
      </c>
      <c r="J539" s="48">
        <v>0</v>
      </c>
      <c r="K539" s="48">
        <v>0</v>
      </c>
      <c r="L539" s="54">
        <v>46258</v>
      </c>
      <c r="M539" s="54">
        <v>46261</v>
      </c>
      <c r="N539" s="54">
        <v>46237</v>
      </c>
      <c r="O539" s="54">
        <v>46240</v>
      </c>
    </row>
    <row r="540" spans="2:15" x14ac:dyDescent="0.25">
      <c r="B540">
        <v>558</v>
      </c>
      <c r="C540" t="s">
        <v>285</v>
      </c>
      <c r="D540" t="s">
        <v>1410</v>
      </c>
      <c r="E540">
        <v>557</v>
      </c>
      <c r="F540" t="s">
        <v>1518</v>
      </c>
      <c r="G540">
        <v>559</v>
      </c>
      <c r="H540" t="s">
        <v>1519</v>
      </c>
      <c r="I540">
        <v>6</v>
      </c>
      <c r="J540" s="48">
        <v>0</v>
      </c>
      <c r="K540" s="48">
        <v>0</v>
      </c>
      <c r="L540" s="54">
        <v>46261</v>
      </c>
      <c r="M540" s="54">
        <v>46266</v>
      </c>
      <c r="N540" s="54">
        <v>46240</v>
      </c>
      <c r="O540" s="54">
        <v>46245</v>
      </c>
    </row>
    <row r="541" spans="2:15" x14ac:dyDescent="0.25">
      <c r="B541">
        <v>559</v>
      </c>
      <c r="C541" t="s">
        <v>285</v>
      </c>
      <c r="D541" t="s">
        <v>1410</v>
      </c>
      <c r="E541">
        <v>558</v>
      </c>
      <c r="F541" t="s">
        <v>1520</v>
      </c>
      <c r="G541">
        <v>76</v>
      </c>
      <c r="H541" t="s">
        <v>1519</v>
      </c>
      <c r="I541">
        <v>4</v>
      </c>
      <c r="J541" s="48">
        <v>0</v>
      </c>
      <c r="K541" s="48">
        <v>0</v>
      </c>
      <c r="L541" s="54">
        <v>46266</v>
      </c>
      <c r="M541" s="54">
        <v>46269</v>
      </c>
      <c r="N541" s="54">
        <v>46245</v>
      </c>
      <c r="O541" s="54">
        <v>46248</v>
      </c>
    </row>
    <row r="542" spans="2:15" x14ac:dyDescent="0.25">
      <c r="B542">
        <v>560</v>
      </c>
      <c r="F542" t="s">
        <v>1686</v>
      </c>
      <c r="H542" t="s">
        <v>1514</v>
      </c>
      <c r="I542">
        <v>28</v>
      </c>
      <c r="J542" s="48">
        <v>0.72889999999999999</v>
      </c>
      <c r="K542" s="48">
        <v>0.78510000000000002</v>
      </c>
      <c r="L542" s="54">
        <v>46199</v>
      </c>
      <c r="M542" s="54">
        <v>46226</v>
      </c>
      <c r="N542" s="54">
        <v>46199</v>
      </c>
      <c r="O542" s="54">
        <v>46226</v>
      </c>
    </row>
    <row r="543" spans="2:15" x14ac:dyDescent="0.25">
      <c r="B543">
        <v>561</v>
      </c>
      <c r="F543" t="s">
        <v>1555</v>
      </c>
      <c r="G543" t="s">
        <v>1885</v>
      </c>
      <c r="H543" t="s">
        <v>1605</v>
      </c>
      <c r="I543">
        <v>11</v>
      </c>
      <c r="J543" s="48">
        <v>0.92569999999999997</v>
      </c>
      <c r="K543" s="48">
        <v>1</v>
      </c>
      <c r="L543" s="54">
        <v>46199</v>
      </c>
      <c r="M543" s="54">
        <v>46209</v>
      </c>
      <c r="N543" s="54">
        <v>46199</v>
      </c>
      <c r="O543" s="54">
        <v>46209</v>
      </c>
    </row>
    <row r="544" spans="2:15" x14ac:dyDescent="0.25">
      <c r="B544">
        <v>562</v>
      </c>
      <c r="E544" t="s">
        <v>1984</v>
      </c>
      <c r="F544" t="s">
        <v>1688</v>
      </c>
      <c r="G544" t="s">
        <v>1985</v>
      </c>
      <c r="H544" t="s">
        <v>1528</v>
      </c>
      <c r="I544">
        <v>8</v>
      </c>
      <c r="J544" s="48">
        <v>1</v>
      </c>
      <c r="K544" s="48">
        <v>1</v>
      </c>
      <c r="L544" s="54">
        <v>46199</v>
      </c>
      <c r="M544" s="54">
        <v>46206</v>
      </c>
      <c r="N544" s="54">
        <v>46199</v>
      </c>
      <c r="O544" s="54">
        <v>46206</v>
      </c>
    </row>
    <row r="545" spans="2:15" x14ac:dyDescent="0.25">
      <c r="B545">
        <v>563</v>
      </c>
      <c r="E545" t="s">
        <v>1986</v>
      </c>
      <c r="F545" t="s">
        <v>1689</v>
      </c>
      <c r="G545">
        <v>556</v>
      </c>
      <c r="H545" t="s">
        <v>1525</v>
      </c>
      <c r="I545">
        <v>7</v>
      </c>
      <c r="J545" s="48">
        <v>0.89</v>
      </c>
      <c r="K545" s="48">
        <v>1</v>
      </c>
      <c r="L545" s="54">
        <v>46203</v>
      </c>
      <c r="M545" s="54">
        <v>46209</v>
      </c>
      <c r="N545" s="54">
        <v>46203</v>
      </c>
      <c r="O545" s="54">
        <v>46209</v>
      </c>
    </row>
    <row r="546" spans="2:15" x14ac:dyDescent="0.25">
      <c r="B546">
        <v>564</v>
      </c>
      <c r="F546" t="s">
        <v>1560</v>
      </c>
      <c r="H546" t="s">
        <v>1514</v>
      </c>
      <c r="I546">
        <v>28</v>
      </c>
      <c r="J546" s="48">
        <v>0.48609999999999998</v>
      </c>
      <c r="K546" s="48">
        <v>0.52</v>
      </c>
      <c r="L546" s="54">
        <v>46199</v>
      </c>
      <c r="M546" s="54">
        <v>46226</v>
      </c>
      <c r="N546" s="54">
        <v>46199</v>
      </c>
      <c r="O546" s="54">
        <v>46226</v>
      </c>
    </row>
    <row r="547" spans="2:15" x14ac:dyDescent="0.25">
      <c r="B547">
        <v>565</v>
      </c>
      <c r="F547" t="s">
        <v>1657</v>
      </c>
      <c r="H547" t="s">
        <v>1514</v>
      </c>
      <c r="I547">
        <v>28</v>
      </c>
      <c r="J547" s="48">
        <v>0.48609999999999998</v>
      </c>
      <c r="K547" s="48">
        <v>0.52</v>
      </c>
      <c r="L547" s="54">
        <v>46199</v>
      </c>
      <c r="M547" s="54">
        <v>46226</v>
      </c>
      <c r="N547" s="54">
        <v>46199</v>
      </c>
      <c r="O547" s="54">
        <v>46226</v>
      </c>
    </row>
    <row r="548" spans="2:15" x14ac:dyDescent="0.25">
      <c r="B548">
        <v>566</v>
      </c>
      <c r="C548" t="s">
        <v>135</v>
      </c>
      <c r="D548" t="s">
        <v>860</v>
      </c>
      <c r="F548" t="s">
        <v>1690</v>
      </c>
      <c r="H548" t="s">
        <v>1588</v>
      </c>
      <c r="I548">
        <v>22</v>
      </c>
      <c r="J548" s="48">
        <v>0.74350000000000005</v>
      </c>
      <c r="K548" s="48">
        <v>0.69330000000000003</v>
      </c>
      <c r="L548" s="54">
        <v>46199</v>
      </c>
      <c r="M548" s="54">
        <v>46219</v>
      </c>
      <c r="N548" s="54">
        <v>46199</v>
      </c>
      <c r="O548" s="54">
        <v>46220</v>
      </c>
    </row>
    <row r="549" spans="2:15" x14ac:dyDescent="0.25">
      <c r="B549">
        <v>567</v>
      </c>
      <c r="C549" t="s">
        <v>135</v>
      </c>
      <c r="D549" t="s">
        <v>860</v>
      </c>
      <c r="E549">
        <v>420</v>
      </c>
      <c r="F549" t="s">
        <v>1515</v>
      </c>
      <c r="G549" t="s">
        <v>1987</v>
      </c>
      <c r="H549" t="s">
        <v>1605</v>
      </c>
      <c r="I549">
        <v>11</v>
      </c>
      <c r="J549" s="48">
        <v>1</v>
      </c>
      <c r="K549" s="48">
        <v>1</v>
      </c>
      <c r="L549" s="54">
        <v>46199</v>
      </c>
      <c r="M549" s="54">
        <v>46206</v>
      </c>
      <c r="N549" s="54">
        <v>46199</v>
      </c>
      <c r="O549" s="54">
        <v>46209</v>
      </c>
    </row>
    <row r="550" spans="2:15" x14ac:dyDescent="0.25">
      <c r="B550">
        <v>568</v>
      </c>
      <c r="C550" t="s">
        <v>135</v>
      </c>
      <c r="D550" t="s">
        <v>860</v>
      </c>
      <c r="E550">
        <v>567</v>
      </c>
      <c r="F550" t="s">
        <v>1517</v>
      </c>
      <c r="G550">
        <v>569</v>
      </c>
      <c r="H550" t="s">
        <v>1519</v>
      </c>
      <c r="I550">
        <v>4</v>
      </c>
      <c r="J550" s="48">
        <v>0.47</v>
      </c>
      <c r="K550" s="48">
        <v>0</v>
      </c>
      <c r="L550" s="54">
        <v>46206</v>
      </c>
      <c r="M550" s="54">
        <v>46211</v>
      </c>
      <c r="N550" s="54">
        <v>46209</v>
      </c>
      <c r="O550" s="54">
        <v>46212</v>
      </c>
    </row>
    <row r="551" spans="2:15" x14ac:dyDescent="0.25">
      <c r="B551">
        <v>569</v>
      </c>
      <c r="C551" t="s">
        <v>135</v>
      </c>
      <c r="D551" t="s">
        <v>860</v>
      </c>
      <c r="E551">
        <v>568</v>
      </c>
      <c r="F551" t="s">
        <v>1518</v>
      </c>
      <c r="G551">
        <v>570</v>
      </c>
      <c r="H551" t="s">
        <v>1519</v>
      </c>
      <c r="I551">
        <v>6</v>
      </c>
      <c r="J551" s="48">
        <v>0</v>
      </c>
      <c r="K551" s="48">
        <v>0</v>
      </c>
      <c r="L551" s="54">
        <v>46211</v>
      </c>
      <c r="M551" s="54">
        <v>46216</v>
      </c>
      <c r="N551" s="54">
        <v>46212</v>
      </c>
      <c r="O551" s="54">
        <v>46217</v>
      </c>
    </row>
    <row r="552" spans="2:15" x14ac:dyDescent="0.25">
      <c r="B552">
        <v>570</v>
      </c>
      <c r="C552" t="s">
        <v>135</v>
      </c>
      <c r="D552" t="s">
        <v>860</v>
      </c>
      <c r="E552">
        <v>569</v>
      </c>
      <c r="F552" t="s">
        <v>1520</v>
      </c>
      <c r="G552">
        <v>76</v>
      </c>
      <c r="H552" t="s">
        <v>1519</v>
      </c>
      <c r="I552">
        <v>4</v>
      </c>
      <c r="J552" s="48">
        <v>0</v>
      </c>
      <c r="K552" s="48">
        <v>0</v>
      </c>
      <c r="L552" s="54">
        <v>46216</v>
      </c>
      <c r="M552" s="54">
        <v>46219</v>
      </c>
      <c r="N552" s="54">
        <v>46217</v>
      </c>
      <c r="O552" s="54">
        <v>46220</v>
      </c>
    </row>
    <row r="553" spans="2:15" x14ac:dyDescent="0.25">
      <c r="B553">
        <v>571</v>
      </c>
      <c r="C553" t="s">
        <v>136</v>
      </c>
      <c r="D553" t="s">
        <v>866</v>
      </c>
      <c r="F553" t="s">
        <v>1691</v>
      </c>
      <c r="H553" t="s">
        <v>1527</v>
      </c>
      <c r="I553">
        <v>21</v>
      </c>
      <c r="J553" s="48">
        <v>0.2288</v>
      </c>
      <c r="K553" s="48">
        <v>0.34670000000000001</v>
      </c>
      <c r="L553" s="54">
        <v>46206</v>
      </c>
      <c r="M553" s="54">
        <v>46226</v>
      </c>
      <c r="N553" s="54">
        <v>46206</v>
      </c>
      <c r="O553" s="54">
        <v>46226</v>
      </c>
    </row>
    <row r="554" spans="2:15" x14ac:dyDescent="0.25">
      <c r="B554">
        <v>572</v>
      </c>
      <c r="C554" t="s">
        <v>136</v>
      </c>
      <c r="D554" t="s">
        <v>866</v>
      </c>
      <c r="E554" t="s">
        <v>1988</v>
      </c>
      <c r="F554" t="s">
        <v>1515</v>
      </c>
      <c r="G554" t="s">
        <v>1989</v>
      </c>
      <c r="H554" t="s">
        <v>1528</v>
      </c>
      <c r="I554">
        <v>8</v>
      </c>
      <c r="J554" s="48">
        <v>0.33</v>
      </c>
      <c r="K554" s="48">
        <v>0.5</v>
      </c>
      <c r="L554" s="54">
        <v>46206</v>
      </c>
      <c r="M554" s="54">
        <v>46213</v>
      </c>
      <c r="N554" s="54">
        <v>46206</v>
      </c>
      <c r="O554" s="54">
        <v>46213</v>
      </c>
    </row>
    <row r="555" spans="2:15" x14ac:dyDescent="0.25">
      <c r="B555">
        <v>573</v>
      </c>
      <c r="C555" t="s">
        <v>136</v>
      </c>
      <c r="D555" t="s">
        <v>866</v>
      </c>
      <c r="E555">
        <v>572</v>
      </c>
      <c r="F555" t="s">
        <v>1517</v>
      </c>
      <c r="G555">
        <v>574</v>
      </c>
      <c r="H555" t="s">
        <v>1519</v>
      </c>
      <c r="I555">
        <v>6</v>
      </c>
      <c r="J555" s="48">
        <v>0</v>
      </c>
      <c r="K555" s="48">
        <v>0</v>
      </c>
      <c r="L555" s="54">
        <v>46213</v>
      </c>
      <c r="M555" s="54">
        <v>46218</v>
      </c>
      <c r="N555" s="54">
        <v>46213</v>
      </c>
      <c r="O555" s="54">
        <v>46218</v>
      </c>
    </row>
    <row r="556" spans="2:15" x14ac:dyDescent="0.25">
      <c r="B556">
        <v>574</v>
      </c>
      <c r="C556" t="s">
        <v>136</v>
      </c>
      <c r="D556" t="s">
        <v>866</v>
      </c>
      <c r="E556">
        <v>573</v>
      </c>
      <c r="F556" t="s">
        <v>1518</v>
      </c>
      <c r="G556">
        <v>575</v>
      </c>
      <c r="H556" t="s">
        <v>1519</v>
      </c>
      <c r="I556">
        <v>6</v>
      </c>
      <c r="J556" s="48">
        <v>0</v>
      </c>
      <c r="K556" s="48">
        <v>0</v>
      </c>
      <c r="L556" s="54">
        <v>46218</v>
      </c>
      <c r="M556" s="54">
        <v>46223</v>
      </c>
      <c r="N556" s="54">
        <v>46218</v>
      </c>
      <c r="O556" s="54">
        <v>46223</v>
      </c>
    </row>
    <row r="557" spans="2:15" x14ac:dyDescent="0.25">
      <c r="B557">
        <v>575</v>
      </c>
      <c r="C557" t="s">
        <v>136</v>
      </c>
      <c r="D557" t="s">
        <v>866</v>
      </c>
      <c r="E557">
        <v>574</v>
      </c>
      <c r="F557" t="s">
        <v>1520</v>
      </c>
      <c r="G557">
        <v>76</v>
      </c>
      <c r="H557" t="s">
        <v>1519</v>
      </c>
      <c r="I557">
        <v>4</v>
      </c>
      <c r="J557" s="48">
        <v>0</v>
      </c>
      <c r="K557" s="48">
        <v>0</v>
      </c>
      <c r="L557" s="54">
        <v>46223</v>
      </c>
      <c r="M557" s="54">
        <v>46226</v>
      </c>
      <c r="N557" s="54">
        <v>46223</v>
      </c>
      <c r="O557" s="54">
        <v>46226</v>
      </c>
    </row>
    <row r="558" spans="2:15" x14ac:dyDescent="0.25">
      <c r="B558">
        <v>576</v>
      </c>
      <c r="F558" t="s">
        <v>1693</v>
      </c>
      <c r="H558" t="s">
        <v>1590</v>
      </c>
      <c r="I558">
        <v>54</v>
      </c>
      <c r="J558" s="48">
        <v>0</v>
      </c>
      <c r="K558" s="48">
        <v>5.2499999999999998E-2</v>
      </c>
      <c r="L558" s="54">
        <v>46213</v>
      </c>
      <c r="M558" s="54">
        <v>46254</v>
      </c>
      <c r="N558" s="54">
        <v>46202</v>
      </c>
      <c r="O558" s="54">
        <v>46255</v>
      </c>
    </row>
    <row r="559" spans="2:15" x14ac:dyDescent="0.25">
      <c r="B559">
        <v>577</v>
      </c>
      <c r="F559" t="s">
        <v>1555</v>
      </c>
      <c r="G559" t="s">
        <v>1990</v>
      </c>
      <c r="H559" t="s">
        <v>1465</v>
      </c>
      <c r="I559">
        <v>45</v>
      </c>
      <c r="J559" s="48">
        <v>0</v>
      </c>
      <c r="K559" s="48">
        <v>0.2</v>
      </c>
      <c r="L559" s="54">
        <v>46218</v>
      </c>
      <c r="M559" s="54">
        <v>46245</v>
      </c>
      <c r="N559" s="54">
        <v>46202</v>
      </c>
      <c r="O559" s="54">
        <v>46246</v>
      </c>
    </row>
    <row r="560" spans="2:15" x14ac:dyDescent="0.25">
      <c r="B560">
        <v>578</v>
      </c>
      <c r="E560" t="s">
        <v>1991</v>
      </c>
      <c r="F560" t="s">
        <v>1688</v>
      </c>
      <c r="G560" t="s">
        <v>1992</v>
      </c>
      <c r="H560" t="s">
        <v>1528</v>
      </c>
      <c r="I560">
        <v>8</v>
      </c>
      <c r="J560" s="48">
        <v>0</v>
      </c>
      <c r="K560" s="48">
        <v>0</v>
      </c>
      <c r="L560" s="54">
        <v>46218</v>
      </c>
      <c r="M560" s="54">
        <v>46225</v>
      </c>
      <c r="N560" s="54">
        <v>46218</v>
      </c>
      <c r="O560" s="54">
        <v>46225</v>
      </c>
    </row>
    <row r="561" spans="2:15" x14ac:dyDescent="0.25">
      <c r="B561">
        <v>579</v>
      </c>
      <c r="E561" t="s">
        <v>1993</v>
      </c>
      <c r="F561" t="s">
        <v>1689</v>
      </c>
      <c r="G561" t="s">
        <v>1994</v>
      </c>
      <c r="H561" t="s">
        <v>1687</v>
      </c>
      <c r="I561">
        <v>29</v>
      </c>
      <c r="J561" s="48">
        <v>0</v>
      </c>
      <c r="K561" s="48">
        <v>0.8</v>
      </c>
      <c r="L561" s="54">
        <v>46223</v>
      </c>
      <c r="M561" s="54">
        <v>46227</v>
      </c>
      <c r="N561" s="54">
        <v>46202</v>
      </c>
      <c r="O561" s="54">
        <v>46230</v>
      </c>
    </row>
    <row r="562" spans="2:15" x14ac:dyDescent="0.25">
      <c r="B562">
        <v>580</v>
      </c>
      <c r="E562" t="s">
        <v>1995</v>
      </c>
      <c r="F562" t="s">
        <v>1572</v>
      </c>
      <c r="G562">
        <v>76</v>
      </c>
      <c r="H562" t="s">
        <v>1528</v>
      </c>
      <c r="I562">
        <v>8</v>
      </c>
      <c r="J562" s="48">
        <v>0</v>
      </c>
      <c r="K562" s="48">
        <v>0</v>
      </c>
      <c r="L562" s="54">
        <v>46238</v>
      </c>
      <c r="M562" s="54">
        <v>46245</v>
      </c>
      <c r="N562" s="54">
        <v>46239</v>
      </c>
      <c r="O562" s="54">
        <v>46246</v>
      </c>
    </row>
    <row r="563" spans="2:15" x14ac:dyDescent="0.25">
      <c r="B563">
        <v>581</v>
      </c>
      <c r="E563" t="s">
        <v>1996</v>
      </c>
      <c r="F563" t="s">
        <v>1557</v>
      </c>
      <c r="G563">
        <v>76</v>
      </c>
      <c r="H563" t="s">
        <v>1528</v>
      </c>
      <c r="I563">
        <v>8</v>
      </c>
      <c r="J563" s="48">
        <v>0</v>
      </c>
      <c r="K563" s="48">
        <v>0</v>
      </c>
      <c r="L563" s="54">
        <v>46231</v>
      </c>
      <c r="M563" s="54">
        <v>46238</v>
      </c>
      <c r="N563" s="54">
        <v>46232</v>
      </c>
      <c r="O563" s="54">
        <v>46239</v>
      </c>
    </row>
    <row r="564" spans="2:15" x14ac:dyDescent="0.25">
      <c r="B564">
        <v>582</v>
      </c>
      <c r="F564" t="s">
        <v>1560</v>
      </c>
      <c r="H564" t="s">
        <v>1645</v>
      </c>
      <c r="I564">
        <v>43</v>
      </c>
      <c r="J564" s="48">
        <v>0</v>
      </c>
      <c r="K564" s="48">
        <v>0</v>
      </c>
      <c r="L564" s="54">
        <v>46213</v>
      </c>
      <c r="M564" s="54">
        <v>46254</v>
      </c>
      <c r="N564" s="54">
        <v>46213</v>
      </c>
      <c r="O564" s="54">
        <v>46255</v>
      </c>
    </row>
    <row r="565" spans="2:15" x14ac:dyDescent="0.25">
      <c r="B565">
        <v>583</v>
      </c>
      <c r="F565" t="s">
        <v>1657</v>
      </c>
      <c r="H565" t="s">
        <v>1598</v>
      </c>
      <c r="I565">
        <v>26</v>
      </c>
      <c r="J565" s="48">
        <v>0</v>
      </c>
      <c r="K565" s="48">
        <v>0</v>
      </c>
      <c r="L565" s="54">
        <v>46213</v>
      </c>
      <c r="M565" s="54">
        <v>46238</v>
      </c>
      <c r="N565" s="54">
        <v>46213</v>
      </c>
      <c r="O565" s="54">
        <v>46238</v>
      </c>
    </row>
    <row r="566" spans="2:15" x14ac:dyDescent="0.25">
      <c r="B566">
        <v>584</v>
      </c>
      <c r="C566" t="s">
        <v>137</v>
      </c>
      <c r="D566" t="s">
        <v>871</v>
      </c>
      <c r="F566" t="s">
        <v>1694</v>
      </c>
      <c r="H566" t="s">
        <v>1598</v>
      </c>
      <c r="I566">
        <v>26</v>
      </c>
      <c r="J566" s="48">
        <v>0</v>
      </c>
      <c r="K566" s="48">
        <v>0</v>
      </c>
      <c r="L566" s="54">
        <v>46213</v>
      </c>
      <c r="M566" s="54">
        <v>46238</v>
      </c>
      <c r="N566" s="54">
        <v>46213</v>
      </c>
      <c r="O566" s="54">
        <v>46238</v>
      </c>
    </row>
    <row r="567" spans="2:15" x14ac:dyDescent="0.25">
      <c r="B567">
        <v>585</v>
      </c>
      <c r="C567" t="s">
        <v>137</v>
      </c>
      <c r="D567" t="s">
        <v>871</v>
      </c>
      <c r="E567">
        <v>572</v>
      </c>
      <c r="F567" t="s">
        <v>1515</v>
      </c>
      <c r="G567" t="s">
        <v>1997</v>
      </c>
      <c r="H567" t="s">
        <v>1516</v>
      </c>
      <c r="I567">
        <v>13</v>
      </c>
      <c r="J567" s="48">
        <v>0</v>
      </c>
      <c r="K567" s="48">
        <v>0</v>
      </c>
      <c r="L567" s="54">
        <v>46213</v>
      </c>
      <c r="M567" s="54">
        <v>46225</v>
      </c>
      <c r="N567" s="54">
        <v>46213</v>
      </c>
      <c r="O567" s="54">
        <v>46225</v>
      </c>
    </row>
    <row r="568" spans="2:15" x14ac:dyDescent="0.25">
      <c r="B568">
        <v>586</v>
      </c>
      <c r="C568" t="s">
        <v>137</v>
      </c>
      <c r="D568" t="s">
        <v>871</v>
      </c>
      <c r="E568">
        <v>585</v>
      </c>
      <c r="F568" t="s">
        <v>1517</v>
      </c>
      <c r="G568">
        <v>587</v>
      </c>
      <c r="H568" t="s">
        <v>1519</v>
      </c>
      <c r="I568">
        <v>6</v>
      </c>
      <c r="J568" s="48">
        <v>0</v>
      </c>
      <c r="K568" s="48">
        <v>0</v>
      </c>
      <c r="L568" s="54">
        <v>46225</v>
      </c>
      <c r="M568" s="54">
        <v>46230</v>
      </c>
      <c r="N568" s="54">
        <v>46225</v>
      </c>
      <c r="O568" s="54">
        <v>46230</v>
      </c>
    </row>
    <row r="569" spans="2:15" x14ac:dyDescent="0.25">
      <c r="B569">
        <v>587</v>
      </c>
      <c r="C569" t="s">
        <v>137</v>
      </c>
      <c r="D569" t="s">
        <v>871</v>
      </c>
      <c r="E569">
        <v>586</v>
      </c>
      <c r="F569" t="s">
        <v>1518</v>
      </c>
      <c r="G569">
        <v>588</v>
      </c>
      <c r="H569" t="s">
        <v>1519</v>
      </c>
      <c r="I569">
        <v>4</v>
      </c>
      <c r="J569" s="48">
        <v>0</v>
      </c>
      <c r="K569" s="48">
        <v>0</v>
      </c>
      <c r="L569" s="54">
        <v>46230</v>
      </c>
      <c r="M569" s="54">
        <v>46233</v>
      </c>
      <c r="N569" s="54">
        <v>46230</v>
      </c>
      <c r="O569" s="54">
        <v>46233</v>
      </c>
    </row>
    <row r="570" spans="2:15" x14ac:dyDescent="0.25">
      <c r="B570">
        <v>588</v>
      </c>
      <c r="C570" t="s">
        <v>137</v>
      </c>
      <c r="D570" t="s">
        <v>871</v>
      </c>
      <c r="E570">
        <v>587</v>
      </c>
      <c r="F570" t="s">
        <v>1520</v>
      </c>
      <c r="G570">
        <v>76</v>
      </c>
      <c r="H570" t="s">
        <v>1519</v>
      </c>
      <c r="I570">
        <v>6</v>
      </c>
      <c r="J570" s="48">
        <v>0</v>
      </c>
      <c r="K570" s="48">
        <v>0</v>
      </c>
      <c r="L570" s="54">
        <v>46233</v>
      </c>
      <c r="M570" s="54">
        <v>46238</v>
      </c>
      <c r="N570" s="54">
        <v>46233</v>
      </c>
      <c r="O570" s="54">
        <v>46238</v>
      </c>
    </row>
    <row r="571" spans="2:15" x14ac:dyDescent="0.25">
      <c r="B571">
        <v>589</v>
      </c>
      <c r="C571" t="s">
        <v>138</v>
      </c>
      <c r="D571" t="s">
        <v>876</v>
      </c>
      <c r="F571" t="s">
        <v>1694</v>
      </c>
      <c r="H571" t="s">
        <v>1598</v>
      </c>
      <c r="I571">
        <v>26</v>
      </c>
      <c r="J571" s="48">
        <v>0</v>
      </c>
      <c r="K571" s="48">
        <v>0</v>
      </c>
      <c r="L571" s="54">
        <v>46213</v>
      </c>
      <c r="M571" s="54">
        <v>46238</v>
      </c>
      <c r="N571" s="54">
        <v>46213</v>
      </c>
      <c r="O571" s="54">
        <v>46238</v>
      </c>
    </row>
    <row r="572" spans="2:15" x14ac:dyDescent="0.25">
      <c r="B572">
        <v>590</v>
      </c>
      <c r="C572" t="s">
        <v>138</v>
      </c>
      <c r="D572" t="s">
        <v>876</v>
      </c>
      <c r="E572" t="s">
        <v>1998</v>
      </c>
      <c r="F572" t="s">
        <v>1515</v>
      </c>
      <c r="G572" t="s">
        <v>1999</v>
      </c>
      <c r="H572" t="s">
        <v>1516</v>
      </c>
      <c r="I572">
        <v>13</v>
      </c>
      <c r="J572" s="48">
        <v>0</v>
      </c>
      <c r="K572" s="48">
        <v>0</v>
      </c>
      <c r="L572" s="54">
        <v>46213</v>
      </c>
      <c r="M572" s="54">
        <v>46225</v>
      </c>
      <c r="N572" s="54">
        <v>46213</v>
      </c>
      <c r="O572" s="54">
        <v>46225</v>
      </c>
    </row>
    <row r="573" spans="2:15" x14ac:dyDescent="0.25">
      <c r="B573">
        <v>591</v>
      </c>
      <c r="C573" t="s">
        <v>138</v>
      </c>
      <c r="D573" t="s">
        <v>876</v>
      </c>
      <c r="E573">
        <v>590</v>
      </c>
      <c r="F573" t="s">
        <v>1517</v>
      </c>
      <c r="G573">
        <v>592</v>
      </c>
      <c r="H573" t="s">
        <v>1519</v>
      </c>
      <c r="I573">
        <v>6</v>
      </c>
      <c r="J573" s="48">
        <v>0</v>
      </c>
      <c r="K573" s="48">
        <v>0</v>
      </c>
      <c r="L573" s="54">
        <v>46225</v>
      </c>
      <c r="M573" s="54">
        <v>46230</v>
      </c>
      <c r="N573" s="54">
        <v>46225</v>
      </c>
      <c r="O573" s="54">
        <v>46230</v>
      </c>
    </row>
    <row r="574" spans="2:15" x14ac:dyDescent="0.25">
      <c r="B574">
        <v>592</v>
      </c>
      <c r="C574" t="s">
        <v>138</v>
      </c>
      <c r="D574" t="s">
        <v>876</v>
      </c>
      <c r="E574">
        <v>591</v>
      </c>
      <c r="F574" t="s">
        <v>1518</v>
      </c>
      <c r="G574">
        <v>593</v>
      </c>
      <c r="H574" t="s">
        <v>1519</v>
      </c>
      <c r="I574">
        <v>4</v>
      </c>
      <c r="J574" s="48">
        <v>0</v>
      </c>
      <c r="K574" s="48">
        <v>0</v>
      </c>
      <c r="L574" s="54">
        <v>46230</v>
      </c>
      <c r="M574" s="54">
        <v>46233</v>
      </c>
      <c r="N574" s="54">
        <v>46230</v>
      </c>
      <c r="O574" s="54">
        <v>46233</v>
      </c>
    </row>
    <row r="575" spans="2:15" x14ac:dyDescent="0.25">
      <c r="B575">
        <v>593</v>
      </c>
      <c r="C575" t="s">
        <v>138</v>
      </c>
      <c r="D575" t="s">
        <v>876</v>
      </c>
      <c r="E575">
        <v>592</v>
      </c>
      <c r="F575" t="s">
        <v>1520</v>
      </c>
      <c r="G575">
        <v>76</v>
      </c>
      <c r="H575" t="s">
        <v>1519</v>
      </c>
      <c r="I575">
        <v>6</v>
      </c>
      <c r="J575" s="48">
        <v>0</v>
      </c>
      <c r="K575" s="48">
        <v>0</v>
      </c>
      <c r="L575" s="54">
        <v>46233</v>
      </c>
      <c r="M575" s="54">
        <v>46238</v>
      </c>
      <c r="N575" s="54">
        <v>46233</v>
      </c>
      <c r="O575" s="54">
        <v>46238</v>
      </c>
    </row>
    <row r="576" spans="2:15" x14ac:dyDescent="0.25">
      <c r="B576">
        <v>594</v>
      </c>
      <c r="C576" t="s">
        <v>139</v>
      </c>
      <c r="D576" t="s">
        <v>880</v>
      </c>
      <c r="F576" t="s">
        <v>1694</v>
      </c>
      <c r="H576" t="s">
        <v>1598</v>
      </c>
      <c r="I576">
        <v>26</v>
      </c>
      <c r="J576" s="48">
        <v>0</v>
      </c>
      <c r="K576" s="48">
        <v>0</v>
      </c>
      <c r="L576" s="54">
        <v>46213</v>
      </c>
      <c r="M576" s="54">
        <v>46238</v>
      </c>
      <c r="N576" s="54">
        <v>46213</v>
      </c>
      <c r="O576" s="54">
        <v>46238</v>
      </c>
    </row>
    <row r="577" spans="2:15" x14ac:dyDescent="0.25">
      <c r="B577">
        <v>595</v>
      </c>
      <c r="C577" t="s">
        <v>139</v>
      </c>
      <c r="D577" t="s">
        <v>880</v>
      </c>
      <c r="E577" t="s">
        <v>2000</v>
      </c>
      <c r="F577" t="s">
        <v>1515</v>
      </c>
      <c r="G577" t="s">
        <v>2001</v>
      </c>
      <c r="H577" t="s">
        <v>1516</v>
      </c>
      <c r="I577">
        <v>13</v>
      </c>
      <c r="J577" s="48">
        <v>0</v>
      </c>
      <c r="K577" s="48">
        <v>0</v>
      </c>
      <c r="L577" s="54">
        <v>46213</v>
      </c>
      <c r="M577" s="54">
        <v>46225</v>
      </c>
      <c r="N577" s="54">
        <v>46213</v>
      </c>
      <c r="O577" s="54">
        <v>46225</v>
      </c>
    </row>
    <row r="578" spans="2:15" x14ac:dyDescent="0.25">
      <c r="B578">
        <v>596</v>
      </c>
      <c r="C578" t="s">
        <v>139</v>
      </c>
      <c r="D578" t="s">
        <v>880</v>
      </c>
      <c r="E578">
        <v>595</v>
      </c>
      <c r="F578" t="s">
        <v>1517</v>
      </c>
      <c r="G578">
        <v>597</v>
      </c>
      <c r="H578" t="s">
        <v>1519</v>
      </c>
      <c r="I578">
        <v>6</v>
      </c>
      <c r="J578" s="48">
        <v>0</v>
      </c>
      <c r="K578" s="48">
        <v>0</v>
      </c>
      <c r="L578" s="54">
        <v>46225</v>
      </c>
      <c r="M578" s="54">
        <v>46230</v>
      </c>
      <c r="N578" s="54">
        <v>46225</v>
      </c>
      <c r="O578" s="54">
        <v>46230</v>
      </c>
    </row>
    <row r="579" spans="2:15" x14ac:dyDescent="0.25">
      <c r="B579">
        <v>597</v>
      </c>
      <c r="C579" t="s">
        <v>139</v>
      </c>
      <c r="D579" t="s">
        <v>880</v>
      </c>
      <c r="E579">
        <v>596</v>
      </c>
      <c r="F579" t="s">
        <v>1518</v>
      </c>
      <c r="G579">
        <v>598</v>
      </c>
      <c r="H579" t="s">
        <v>1519</v>
      </c>
      <c r="I579">
        <v>4</v>
      </c>
      <c r="J579" s="48">
        <v>0</v>
      </c>
      <c r="K579" s="48">
        <v>0</v>
      </c>
      <c r="L579" s="54">
        <v>46230</v>
      </c>
      <c r="M579" s="54">
        <v>46233</v>
      </c>
      <c r="N579" s="54">
        <v>46230</v>
      </c>
      <c r="O579" s="54">
        <v>46233</v>
      </c>
    </row>
    <row r="580" spans="2:15" x14ac:dyDescent="0.25">
      <c r="B580">
        <v>598</v>
      </c>
      <c r="C580" t="s">
        <v>139</v>
      </c>
      <c r="D580" t="s">
        <v>880</v>
      </c>
      <c r="E580">
        <v>597</v>
      </c>
      <c r="F580" t="s">
        <v>1520</v>
      </c>
      <c r="G580">
        <v>76</v>
      </c>
      <c r="H580" t="s">
        <v>1519</v>
      </c>
      <c r="I580">
        <v>6</v>
      </c>
      <c r="J580" s="48">
        <v>0</v>
      </c>
      <c r="K580" s="48">
        <v>0</v>
      </c>
      <c r="L580" s="54">
        <v>46233</v>
      </c>
      <c r="M580" s="54">
        <v>46238</v>
      </c>
      <c r="N580" s="54">
        <v>46233</v>
      </c>
      <c r="O580" s="54">
        <v>46238</v>
      </c>
    </row>
    <row r="581" spans="2:15" x14ac:dyDescent="0.25">
      <c r="B581">
        <v>599</v>
      </c>
      <c r="F581" t="s">
        <v>1689</v>
      </c>
      <c r="H581" t="s">
        <v>1559</v>
      </c>
      <c r="I581">
        <v>17</v>
      </c>
      <c r="J581" s="48">
        <v>0</v>
      </c>
      <c r="K581" s="48">
        <v>0</v>
      </c>
      <c r="L581" s="54">
        <v>46227</v>
      </c>
      <c r="M581" s="54">
        <v>46245</v>
      </c>
      <c r="N581" s="54">
        <v>46230</v>
      </c>
      <c r="O581" s="54">
        <v>46246</v>
      </c>
    </row>
    <row r="582" spans="2:15" x14ac:dyDescent="0.25">
      <c r="B582">
        <v>600</v>
      </c>
      <c r="C582" t="s">
        <v>73</v>
      </c>
      <c r="D582" t="s">
        <v>582</v>
      </c>
      <c r="F582" t="s">
        <v>1695</v>
      </c>
      <c r="H582" t="s">
        <v>1559</v>
      </c>
      <c r="I582">
        <v>17</v>
      </c>
      <c r="J582" s="48">
        <v>0</v>
      </c>
      <c r="K582" s="48">
        <v>0</v>
      </c>
      <c r="L582" s="54">
        <v>46227</v>
      </c>
      <c r="M582" s="54">
        <v>46245</v>
      </c>
      <c r="N582" s="54">
        <v>46230</v>
      </c>
      <c r="O582" s="54">
        <v>46246</v>
      </c>
    </row>
    <row r="583" spans="2:15" x14ac:dyDescent="0.25">
      <c r="B583">
        <v>601</v>
      </c>
      <c r="C583" t="s">
        <v>73</v>
      </c>
      <c r="D583" t="s">
        <v>582</v>
      </c>
      <c r="E583">
        <v>579</v>
      </c>
      <c r="F583" t="s">
        <v>1515</v>
      </c>
      <c r="G583">
        <v>602</v>
      </c>
      <c r="H583" t="s">
        <v>1519</v>
      </c>
      <c r="I583">
        <v>4</v>
      </c>
      <c r="J583" s="48">
        <v>0</v>
      </c>
      <c r="K583" s="48">
        <v>0</v>
      </c>
      <c r="L583" s="54">
        <v>46227</v>
      </c>
      <c r="M583" s="54">
        <v>46232</v>
      </c>
      <c r="N583" s="54">
        <v>46230</v>
      </c>
      <c r="O583" s="54">
        <v>46233</v>
      </c>
    </row>
    <row r="584" spans="2:15" x14ac:dyDescent="0.25">
      <c r="B584">
        <v>602</v>
      </c>
      <c r="C584" t="s">
        <v>73</v>
      </c>
      <c r="D584" t="s">
        <v>582</v>
      </c>
      <c r="E584">
        <v>601</v>
      </c>
      <c r="F584" t="s">
        <v>1517</v>
      </c>
      <c r="G584">
        <v>603</v>
      </c>
      <c r="H584" t="s">
        <v>1519</v>
      </c>
      <c r="I584">
        <v>6</v>
      </c>
      <c r="J584" s="48">
        <v>0</v>
      </c>
      <c r="K584" s="48">
        <v>0</v>
      </c>
      <c r="L584" s="54">
        <v>46232</v>
      </c>
      <c r="M584" s="54">
        <v>46237</v>
      </c>
      <c r="N584" s="54">
        <v>46233</v>
      </c>
      <c r="O584" s="54">
        <v>46238</v>
      </c>
    </row>
    <row r="585" spans="2:15" x14ac:dyDescent="0.25">
      <c r="B585">
        <v>603</v>
      </c>
      <c r="C585" t="s">
        <v>73</v>
      </c>
      <c r="D585" t="s">
        <v>582</v>
      </c>
      <c r="E585">
        <v>602</v>
      </c>
      <c r="F585" t="s">
        <v>1518</v>
      </c>
      <c r="G585">
        <v>604</v>
      </c>
      <c r="H585" t="s">
        <v>1519</v>
      </c>
      <c r="I585">
        <v>4</v>
      </c>
      <c r="J585" s="48">
        <v>0</v>
      </c>
      <c r="K585" s="48">
        <v>0</v>
      </c>
      <c r="L585" s="54">
        <v>46237</v>
      </c>
      <c r="M585" s="54">
        <v>46240</v>
      </c>
      <c r="N585" s="54">
        <v>46238</v>
      </c>
      <c r="O585" s="54">
        <v>46241</v>
      </c>
    </row>
    <row r="586" spans="2:15" x14ac:dyDescent="0.25">
      <c r="B586">
        <v>604</v>
      </c>
      <c r="C586" t="s">
        <v>73</v>
      </c>
      <c r="D586" t="s">
        <v>582</v>
      </c>
      <c r="E586">
        <v>603</v>
      </c>
      <c r="F586" t="s">
        <v>1520</v>
      </c>
      <c r="G586">
        <v>76</v>
      </c>
      <c r="H586" t="s">
        <v>1519</v>
      </c>
      <c r="I586">
        <v>6</v>
      </c>
      <c r="J586" s="48">
        <v>0</v>
      </c>
      <c r="K586" s="48">
        <v>0</v>
      </c>
      <c r="L586" s="54">
        <v>46240</v>
      </c>
      <c r="M586" s="54">
        <v>46245</v>
      </c>
      <c r="N586" s="54">
        <v>46241</v>
      </c>
      <c r="O586" s="54">
        <v>46246</v>
      </c>
    </row>
    <row r="587" spans="2:15" x14ac:dyDescent="0.25">
      <c r="B587">
        <v>605</v>
      </c>
      <c r="F587" t="s">
        <v>1572</v>
      </c>
      <c r="H587" t="s">
        <v>1527</v>
      </c>
      <c r="I587">
        <v>19</v>
      </c>
      <c r="J587" s="48">
        <v>0</v>
      </c>
      <c r="K587" s="48">
        <v>0</v>
      </c>
      <c r="L587" s="54">
        <v>46234</v>
      </c>
      <c r="M587" s="54">
        <v>46254</v>
      </c>
      <c r="N587" s="54">
        <v>46237</v>
      </c>
      <c r="O587" s="54">
        <v>46255</v>
      </c>
    </row>
    <row r="588" spans="2:15" x14ac:dyDescent="0.25">
      <c r="B588">
        <v>606</v>
      </c>
      <c r="C588" t="s">
        <v>91</v>
      </c>
      <c r="D588" t="s">
        <v>666</v>
      </c>
      <c r="F588" t="s">
        <v>1696</v>
      </c>
      <c r="H588" t="s">
        <v>1527</v>
      </c>
      <c r="I588">
        <v>19</v>
      </c>
      <c r="J588" s="48">
        <v>0</v>
      </c>
      <c r="K588" s="48">
        <v>0</v>
      </c>
      <c r="L588" s="54">
        <v>46234</v>
      </c>
      <c r="M588" s="54">
        <v>46254</v>
      </c>
      <c r="N588" s="54">
        <v>46237</v>
      </c>
      <c r="O588" s="54">
        <v>46255</v>
      </c>
    </row>
    <row r="589" spans="2:15" x14ac:dyDescent="0.25">
      <c r="B589">
        <v>607</v>
      </c>
      <c r="C589" t="s">
        <v>91</v>
      </c>
      <c r="D589" t="s">
        <v>666</v>
      </c>
      <c r="E589">
        <v>613</v>
      </c>
      <c r="F589" t="s">
        <v>1515</v>
      </c>
      <c r="G589" t="s">
        <v>2002</v>
      </c>
      <c r="H589" t="s">
        <v>1528</v>
      </c>
      <c r="I589">
        <v>8</v>
      </c>
      <c r="J589" s="48">
        <v>0</v>
      </c>
      <c r="K589" s="48">
        <v>0</v>
      </c>
      <c r="L589" s="54">
        <v>46234</v>
      </c>
      <c r="M589" s="54">
        <v>46241</v>
      </c>
      <c r="N589" s="54">
        <v>46237</v>
      </c>
      <c r="O589" s="54">
        <v>46244</v>
      </c>
    </row>
    <row r="590" spans="2:15" x14ac:dyDescent="0.25">
      <c r="B590">
        <v>608</v>
      </c>
      <c r="C590" t="s">
        <v>91</v>
      </c>
      <c r="D590" t="s">
        <v>666</v>
      </c>
      <c r="E590">
        <v>607</v>
      </c>
      <c r="F590" t="s">
        <v>1517</v>
      </c>
      <c r="G590">
        <v>609</v>
      </c>
      <c r="H590" t="s">
        <v>1519</v>
      </c>
      <c r="I590">
        <v>4</v>
      </c>
      <c r="J590" s="48">
        <v>0</v>
      </c>
      <c r="K590" s="48">
        <v>0</v>
      </c>
      <c r="L590" s="54">
        <v>46241</v>
      </c>
      <c r="M590" s="54">
        <v>46246</v>
      </c>
      <c r="N590" s="54">
        <v>46244</v>
      </c>
      <c r="O590" s="54">
        <v>46247</v>
      </c>
    </row>
    <row r="591" spans="2:15" x14ac:dyDescent="0.25">
      <c r="B591">
        <v>609</v>
      </c>
      <c r="C591" t="s">
        <v>91</v>
      </c>
      <c r="D591" t="s">
        <v>666</v>
      </c>
      <c r="E591">
        <v>608</v>
      </c>
      <c r="F591" t="s">
        <v>1518</v>
      </c>
      <c r="G591">
        <v>610</v>
      </c>
      <c r="H591" t="s">
        <v>1519</v>
      </c>
      <c r="I591">
        <v>6</v>
      </c>
      <c r="J591" s="48">
        <v>0</v>
      </c>
      <c r="K591" s="48">
        <v>0</v>
      </c>
      <c r="L591" s="54">
        <v>46246</v>
      </c>
      <c r="M591" s="54">
        <v>46251</v>
      </c>
      <c r="N591" s="54">
        <v>46247</v>
      </c>
      <c r="O591" s="54">
        <v>46252</v>
      </c>
    </row>
    <row r="592" spans="2:15" x14ac:dyDescent="0.25">
      <c r="B592">
        <v>610</v>
      </c>
      <c r="C592" t="s">
        <v>91</v>
      </c>
      <c r="D592" t="s">
        <v>666</v>
      </c>
      <c r="E592">
        <v>609</v>
      </c>
      <c r="F592" t="s">
        <v>1520</v>
      </c>
      <c r="G592">
        <v>76</v>
      </c>
      <c r="H592" t="s">
        <v>1519</v>
      </c>
      <c r="I592">
        <v>4</v>
      </c>
      <c r="J592" s="48">
        <v>0</v>
      </c>
      <c r="K592" s="48">
        <v>0</v>
      </c>
      <c r="L592" s="54">
        <v>46251</v>
      </c>
      <c r="M592" s="54">
        <v>46254</v>
      </c>
      <c r="N592" s="54">
        <v>46252</v>
      </c>
      <c r="O592" s="54">
        <v>46255</v>
      </c>
    </row>
    <row r="593" spans="2:15" x14ac:dyDescent="0.25">
      <c r="B593">
        <v>611</v>
      </c>
      <c r="F593" t="s">
        <v>1557</v>
      </c>
      <c r="H593" t="s">
        <v>1527</v>
      </c>
      <c r="I593">
        <v>19</v>
      </c>
      <c r="J593" s="48">
        <v>0</v>
      </c>
      <c r="K593" s="48">
        <v>0</v>
      </c>
      <c r="L593" s="54">
        <v>46227</v>
      </c>
      <c r="M593" s="54">
        <v>46247</v>
      </c>
      <c r="N593" s="54">
        <v>46230</v>
      </c>
      <c r="O593" s="54">
        <v>46248</v>
      </c>
    </row>
    <row r="594" spans="2:15" x14ac:dyDescent="0.25">
      <c r="B594">
        <v>612</v>
      </c>
      <c r="C594" t="s">
        <v>180</v>
      </c>
      <c r="D594" t="s">
        <v>1039</v>
      </c>
      <c r="F594" t="s">
        <v>1697</v>
      </c>
      <c r="H594" t="s">
        <v>1527</v>
      </c>
      <c r="I594">
        <v>19</v>
      </c>
      <c r="J594" s="48">
        <v>0</v>
      </c>
      <c r="K594" s="48">
        <v>0</v>
      </c>
      <c r="L594" s="54">
        <v>46227</v>
      </c>
      <c r="M594" s="54">
        <v>46247</v>
      </c>
      <c r="N594" s="54">
        <v>46230</v>
      </c>
      <c r="O594" s="54">
        <v>46248</v>
      </c>
    </row>
    <row r="595" spans="2:15" x14ac:dyDescent="0.25">
      <c r="B595">
        <v>613</v>
      </c>
      <c r="C595" t="s">
        <v>180</v>
      </c>
      <c r="D595" t="s">
        <v>1039</v>
      </c>
      <c r="E595" t="s">
        <v>2003</v>
      </c>
      <c r="F595" t="s">
        <v>1515</v>
      </c>
      <c r="G595" t="s">
        <v>2004</v>
      </c>
      <c r="H595" t="s">
        <v>1528</v>
      </c>
      <c r="I595">
        <v>8</v>
      </c>
      <c r="J595" s="48">
        <v>0</v>
      </c>
      <c r="K595" s="48">
        <v>0</v>
      </c>
      <c r="L595" s="54">
        <v>46227</v>
      </c>
      <c r="M595" s="54">
        <v>46234</v>
      </c>
      <c r="N595" s="54">
        <v>46230</v>
      </c>
      <c r="O595" s="54">
        <v>46237</v>
      </c>
    </row>
    <row r="596" spans="2:15" x14ac:dyDescent="0.25">
      <c r="B596">
        <v>614</v>
      </c>
      <c r="C596" t="s">
        <v>180</v>
      </c>
      <c r="D596" t="s">
        <v>1039</v>
      </c>
      <c r="E596">
        <v>613</v>
      </c>
      <c r="F596" t="s">
        <v>1517</v>
      </c>
      <c r="G596">
        <v>615</v>
      </c>
      <c r="H596" t="s">
        <v>1519</v>
      </c>
      <c r="I596">
        <v>4</v>
      </c>
      <c r="J596" s="48">
        <v>0</v>
      </c>
      <c r="K596" s="48">
        <v>0</v>
      </c>
      <c r="L596" s="54">
        <v>46234</v>
      </c>
      <c r="M596" s="54">
        <v>46239</v>
      </c>
      <c r="N596" s="54">
        <v>46237</v>
      </c>
      <c r="O596" s="54">
        <v>46240</v>
      </c>
    </row>
    <row r="597" spans="2:15" x14ac:dyDescent="0.25">
      <c r="B597">
        <v>615</v>
      </c>
      <c r="C597" t="s">
        <v>180</v>
      </c>
      <c r="D597" t="s">
        <v>1039</v>
      </c>
      <c r="E597">
        <v>614</v>
      </c>
      <c r="F597" t="s">
        <v>1518</v>
      </c>
      <c r="G597">
        <v>616</v>
      </c>
      <c r="H597" t="s">
        <v>1519</v>
      </c>
      <c r="I597">
        <v>6</v>
      </c>
      <c r="J597" s="48">
        <v>0</v>
      </c>
      <c r="K597" s="48">
        <v>0</v>
      </c>
      <c r="L597" s="54">
        <v>46239</v>
      </c>
      <c r="M597" s="54">
        <v>46244</v>
      </c>
      <c r="N597" s="54">
        <v>46240</v>
      </c>
      <c r="O597" s="54">
        <v>46245</v>
      </c>
    </row>
    <row r="598" spans="2:15" x14ac:dyDescent="0.25">
      <c r="B598">
        <v>616</v>
      </c>
      <c r="C598" t="s">
        <v>180</v>
      </c>
      <c r="D598" t="s">
        <v>1039</v>
      </c>
      <c r="E598">
        <v>615</v>
      </c>
      <c r="F598" t="s">
        <v>1520</v>
      </c>
      <c r="G598">
        <v>76</v>
      </c>
      <c r="H598" t="s">
        <v>1519</v>
      </c>
      <c r="I598">
        <v>4</v>
      </c>
      <c r="J598" s="48">
        <v>0</v>
      </c>
      <c r="K598" s="48">
        <v>0</v>
      </c>
      <c r="L598" s="54">
        <v>46244</v>
      </c>
      <c r="M598" s="54">
        <v>46247</v>
      </c>
      <c r="N598" s="54">
        <v>46245</v>
      </c>
      <c r="O598" s="54">
        <v>46248</v>
      </c>
    </row>
    <row r="599" spans="2:15" x14ac:dyDescent="0.25">
      <c r="B599">
        <v>617</v>
      </c>
      <c r="F599" t="s">
        <v>1698</v>
      </c>
      <c r="H599" t="s">
        <v>1699</v>
      </c>
      <c r="I599">
        <v>52</v>
      </c>
      <c r="J599" s="48">
        <v>0</v>
      </c>
      <c r="K599" s="48">
        <v>5.2499999999999998E-2</v>
      </c>
      <c r="L599" s="54">
        <v>46225</v>
      </c>
      <c r="M599" s="54">
        <v>46262</v>
      </c>
      <c r="N599" s="54">
        <v>46202</v>
      </c>
      <c r="O599" s="54">
        <v>46253</v>
      </c>
    </row>
    <row r="600" spans="2:15" x14ac:dyDescent="0.25">
      <c r="B600">
        <v>618</v>
      </c>
      <c r="F600" t="s">
        <v>1555</v>
      </c>
      <c r="G600" t="s">
        <v>1990</v>
      </c>
      <c r="H600" t="s">
        <v>1479</v>
      </c>
      <c r="I600">
        <v>44</v>
      </c>
      <c r="J600" s="48">
        <v>0</v>
      </c>
      <c r="K600" s="48">
        <v>0.2</v>
      </c>
      <c r="L600" s="54">
        <v>46230</v>
      </c>
      <c r="M600" s="54">
        <v>46254</v>
      </c>
      <c r="N600" s="54">
        <v>46202</v>
      </c>
      <c r="O600" s="54">
        <v>46245</v>
      </c>
    </row>
    <row r="601" spans="2:15" x14ac:dyDescent="0.25">
      <c r="B601">
        <v>619</v>
      </c>
      <c r="E601" t="s">
        <v>2005</v>
      </c>
      <c r="F601" t="s">
        <v>1688</v>
      </c>
      <c r="H601" t="s">
        <v>1528</v>
      </c>
      <c r="I601">
        <v>8</v>
      </c>
      <c r="J601" s="48">
        <v>0</v>
      </c>
      <c r="K601" s="48">
        <v>0</v>
      </c>
      <c r="L601" s="54">
        <v>46230</v>
      </c>
      <c r="M601" s="54">
        <v>46237</v>
      </c>
      <c r="N601" s="54">
        <v>46230</v>
      </c>
      <c r="O601" s="54">
        <v>46237</v>
      </c>
    </row>
    <row r="602" spans="2:15" x14ac:dyDescent="0.25">
      <c r="B602">
        <v>620</v>
      </c>
      <c r="E602" t="s">
        <v>2006</v>
      </c>
      <c r="F602" t="s">
        <v>1689</v>
      </c>
      <c r="G602" t="s">
        <v>2007</v>
      </c>
      <c r="H602" t="s">
        <v>1687</v>
      </c>
      <c r="I602">
        <v>29</v>
      </c>
      <c r="J602" s="48">
        <v>0</v>
      </c>
      <c r="K602" s="48">
        <v>0.8</v>
      </c>
      <c r="L602" s="54">
        <v>46233</v>
      </c>
      <c r="M602" s="54">
        <v>46239</v>
      </c>
      <c r="N602" s="54">
        <v>46202</v>
      </c>
      <c r="O602" s="54">
        <v>46230</v>
      </c>
    </row>
    <row r="603" spans="2:15" x14ac:dyDescent="0.25">
      <c r="B603">
        <v>621</v>
      </c>
      <c r="E603" t="s">
        <v>2008</v>
      </c>
      <c r="F603" t="s">
        <v>1572</v>
      </c>
      <c r="G603">
        <v>76</v>
      </c>
      <c r="H603" t="s">
        <v>1528</v>
      </c>
      <c r="I603">
        <v>8</v>
      </c>
      <c r="J603" s="48">
        <v>0</v>
      </c>
      <c r="K603" s="48">
        <v>0</v>
      </c>
      <c r="L603" s="54">
        <v>46247</v>
      </c>
      <c r="M603" s="54">
        <v>46254</v>
      </c>
      <c r="N603" s="54">
        <v>46238</v>
      </c>
      <c r="O603" s="54">
        <v>46245</v>
      </c>
    </row>
    <row r="604" spans="2:15" x14ac:dyDescent="0.25">
      <c r="B604">
        <v>622</v>
      </c>
      <c r="E604" t="s">
        <v>2009</v>
      </c>
      <c r="F604" t="s">
        <v>1557</v>
      </c>
      <c r="G604">
        <v>76</v>
      </c>
      <c r="H604" t="s">
        <v>1528</v>
      </c>
      <c r="I604">
        <v>8</v>
      </c>
      <c r="J604" s="48">
        <v>0</v>
      </c>
      <c r="K604" s="48">
        <v>0</v>
      </c>
      <c r="L604" s="54">
        <v>46237</v>
      </c>
      <c r="M604" s="54">
        <v>46244</v>
      </c>
      <c r="N604" s="54">
        <v>46204</v>
      </c>
      <c r="O604" s="54">
        <v>46211</v>
      </c>
    </row>
    <row r="605" spans="2:15" x14ac:dyDescent="0.25">
      <c r="B605">
        <v>623</v>
      </c>
      <c r="F605" t="s">
        <v>1560</v>
      </c>
      <c r="H605" t="s">
        <v>1687</v>
      </c>
      <c r="I605">
        <v>29</v>
      </c>
      <c r="J605" s="48">
        <v>0</v>
      </c>
      <c r="K605" s="48">
        <v>0</v>
      </c>
      <c r="L605" s="54">
        <v>46225</v>
      </c>
      <c r="M605" s="54">
        <v>46262</v>
      </c>
      <c r="N605" s="54">
        <v>46225</v>
      </c>
      <c r="O605" s="54">
        <v>46253</v>
      </c>
    </row>
    <row r="606" spans="2:15" x14ac:dyDescent="0.25">
      <c r="B606">
        <v>624</v>
      </c>
      <c r="F606" t="s">
        <v>1657</v>
      </c>
      <c r="H606" t="s">
        <v>1598</v>
      </c>
      <c r="I606">
        <v>24</v>
      </c>
      <c r="J606" s="48">
        <v>0</v>
      </c>
      <c r="K606" s="48">
        <v>0</v>
      </c>
      <c r="L606" s="54">
        <v>46225</v>
      </c>
      <c r="M606" s="54">
        <v>46248</v>
      </c>
      <c r="N606" s="54">
        <v>46225</v>
      </c>
      <c r="O606" s="54">
        <v>46248</v>
      </c>
    </row>
    <row r="607" spans="2:15" x14ac:dyDescent="0.25">
      <c r="B607">
        <v>625</v>
      </c>
      <c r="C607" t="s">
        <v>140</v>
      </c>
      <c r="D607" t="s">
        <v>883</v>
      </c>
      <c r="F607" t="s">
        <v>1700</v>
      </c>
      <c r="H607" t="s">
        <v>1598</v>
      </c>
      <c r="I607">
        <v>24</v>
      </c>
      <c r="J607" s="48">
        <v>0</v>
      </c>
      <c r="K607" s="48">
        <v>0</v>
      </c>
      <c r="L607" s="54">
        <v>46225</v>
      </c>
      <c r="M607" s="54">
        <v>46248</v>
      </c>
      <c r="N607" s="54">
        <v>46225</v>
      </c>
      <c r="O607" s="54">
        <v>46248</v>
      </c>
    </row>
    <row r="608" spans="2:15" x14ac:dyDescent="0.25">
      <c r="B608">
        <v>626</v>
      </c>
      <c r="C608" t="s">
        <v>140</v>
      </c>
      <c r="D608" t="s">
        <v>883</v>
      </c>
      <c r="E608" t="s">
        <v>2010</v>
      </c>
      <c r="F608" t="s">
        <v>1515</v>
      </c>
      <c r="G608" t="s">
        <v>2011</v>
      </c>
      <c r="H608" t="s">
        <v>1516</v>
      </c>
      <c r="I608">
        <v>13</v>
      </c>
      <c r="J608" s="48">
        <v>0</v>
      </c>
      <c r="K608" s="48">
        <v>0</v>
      </c>
      <c r="L608" s="54">
        <v>46225</v>
      </c>
      <c r="M608" s="54">
        <v>46237</v>
      </c>
      <c r="N608" s="54">
        <v>46225</v>
      </c>
      <c r="O608" s="54">
        <v>46237</v>
      </c>
    </row>
    <row r="609" spans="2:15" x14ac:dyDescent="0.25">
      <c r="B609">
        <v>627</v>
      </c>
      <c r="C609" t="s">
        <v>140</v>
      </c>
      <c r="D609" t="s">
        <v>883</v>
      </c>
      <c r="E609">
        <v>626</v>
      </c>
      <c r="F609" t="s">
        <v>1517</v>
      </c>
      <c r="G609">
        <v>628</v>
      </c>
      <c r="H609" t="s">
        <v>1519</v>
      </c>
      <c r="I609">
        <v>4</v>
      </c>
      <c r="J609" s="48">
        <v>0</v>
      </c>
      <c r="K609" s="48">
        <v>0</v>
      </c>
      <c r="L609" s="54">
        <v>46237</v>
      </c>
      <c r="M609" s="54">
        <v>46240</v>
      </c>
      <c r="N609" s="54">
        <v>46237</v>
      </c>
      <c r="O609" s="54">
        <v>46240</v>
      </c>
    </row>
    <row r="610" spans="2:15" x14ac:dyDescent="0.25">
      <c r="B610">
        <v>628</v>
      </c>
      <c r="C610" t="s">
        <v>140</v>
      </c>
      <c r="D610" t="s">
        <v>883</v>
      </c>
      <c r="E610">
        <v>627</v>
      </c>
      <c r="F610" t="s">
        <v>1518</v>
      </c>
      <c r="G610">
        <v>629</v>
      </c>
      <c r="H610" t="s">
        <v>1519</v>
      </c>
      <c r="I610">
        <v>6</v>
      </c>
      <c r="J610" s="48">
        <v>0</v>
      </c>
      <c r="K610" s="48">
        <v>0</v>
      </c>
      <c r="L610" s="54">
        <v>46240</v>
      </c>
      <c r="M610" s="54">
        <v>46245</v>
      </c>
      <c r="N610" s="54">
        <v>46240</v>
      </c>
      <c r="O610" s="54">
        <v>46245</v>
      </c>
    </row>
    <row r="611" spans="2:15" x14ac:dyDescent="0.25">
      <c r="B611">
        <v>629</v>
      </c>
      <c r="C611" t="s">
        <v>140</v>
      </c>
      <c r="D611" t="s">
        <v>883</v>
      </c>
      <c r="E611">
        <v>628</v>
      </c>
      <c r="F611" t="s">
        <v>1520</v>
      </c>
      <c r="G611">
        <v>76</v>
      </c>
      <c r="H611" t="s">
        <v>1519</v>
      </c>
      <c r="I611">
        <v>4</v>
      </c>
      <c r="J611" s="48">
        <v>0</v>
      </c>
      <c r="K611" s="48">
        <v>0</v>
      </c>
      <c r="L611" s="54">
        <v>46245</v>
      </c>
      <c r="M611" s="54">
        <v>46248</v>
      </c>
      <c r="N611" s="54">
        <v>46245</v>
      </c>
      <c r="O611" s="54">
        <v>46248</v>
      </c>
    </row>
    <row r="612" spans="2:15" x14ac:dyDescent="0.25">
      <c r="B612">
        <v>630</v>
      </c>
      <c r="C612" t="s">
        <v>141</v>
      </c>
      <c r="D612" t="s">
        <v>887</v>
      </c>
      <c r="F612" t="s">
        <v>1700</v>
      </c>
      <c r="H612" t="s">
        <v>1598</v>
      </c>
      <c r="I612">
        <v>24</v>
      </c>
      <c r="J612" s="48">
        <v>0</v>
      </c>
      <c r="K612" s="48">
        <v>0</v>
      </c>
      <c r="L612" s="54">
        <v>46225</v>
      </c>
      <c r="M612" s="54">
        <v>46248</v>
      </c>
      <c r="N612" s="54">
        <v>46225</v>
      </c>
      <c r="O612" s="54">
        <v>46248</v>
      </c>
    </row>
    <row r="613" spans="2:15" x14ac:dyDescent="0.25">
      <c r="B613">
        <v>631</v>
      </c>
      <c r="C613" t="s">
        <v>141</v>
      </c>
      <c r="D613" t="s">
        <v>887</v>
      </c>
      <c r="E613" t="s">
        <v>2012</v>
      </c>
      <c r="F613" t="s">
        <v>1515</v>
      </c>
      <c r="G613" t="s">
        <v>2013</v>
      </c>
      <c r="H613" t="s">
        <v>1516</v>
      </c>
      <c r="I613">
        <v>13</v>
      </c>
      <c r="J613" s="48">
        <v>0</v>
      </c>
      <c r="K613" s="48">
        <v>0</v>
      </c>
      <c r="L613" s="54">
        <v>46225</v>
      </c>
      <c r="M613" s="54">
        <v>46237</v>
      </c>
      <c r="N613" s="54">
        <v>46225</v>
      </c>
      <c r="O613" s="54">
        <v>46237</v>
      </c>
    </row>
    <row r="614" spans="2:15" x14ac:dyDescent="0.25">
      <c r="B614">
        <v>632</v>
      </c>
      <c r="C614" t="s">
        <v>141</v>
      </c>
      <c r="D614" t="s">
        <v>887</v>
      </c>
      <c r="E614">
        <v>631</v>
      </c>
      <c r="F614" t="s">
        <v>1517</v>
      </c>
      <c r="G614">
        <v>633</v>
      </c>
      <c r="H614" t="s">
        <v>1519</v>
      </c>
      <c r="I614">
        <v>4</v>
      </c>
      <c r="J614" s="48">
        <v>0</v>
      </c>
      <c r="K614" s="48">
        <v>0</v>
      </c>
      <c r="L614" s="54">
        <v>46237</v>
      </c>
      <c r="M614" s="54">
        <v>46240</v>
      </c>
      <c r="N614" s="54">
        <v>46237</v>
      </c>
      <c r="O614" s="54">
        <v>46240</v>
      </c>
    </row>
    <row r="615" spans="2:15" x14ac:dyDescent="0.25">
      <c r="B615">
        <v>633</v>
      </c>
      <c r="C615" t="s">
        <v>141</v>
      </c>
      <c r="D615" t="s">
        <v>887</v>
      </c>
      <c r="E615">
        <v>632</v>
      </c>
      <c r="F615" t="s">
        <v>1518</v>
      </c>
      <c r="G615">
        <v>634</v>
      </c>
      <c r="H615" t="s">
        <v>1519</v>
      </c>
      <c r="I615">
        <v>6</v>
      </c>
      <c r="J615" s="48">
        <v>0</v>
      </c>
      <c r="K615" s="48">
        <v>0</v>
      </c>
      <c r="L615" s="54">
        <v>46240</v>
      </c>
      <c r="M615" s="54">
        <v>46245</v>
      </c>
      <c r="N615" s="54">
        <v>46240</v>
      </c>
      <c r="O615" s="54">
        <v>46245</v>
      </c>
    </row>
    <row r="616" spans="2:15" x14ac:dyDescent="0.25">
      <c r="B616">
        <v>634</v>
      </c>
      <c r="C616" t="s">
        <v>141</v>
      </c>
      <c r="D616" t="s">
        <v>887</v>
      </c>
      <c r="E616">
        <v>633</v>
      </c>
      <c r="F616" t="s">
        <v>1520</v>
      </c>
      <c r="G616">
        <v>76</v>
      </c>
      <c r="H616" t="s">
        <v>1519</v>
      </c>
      <c r="I616">
        <v>4</v>
      </c>
      <c r="J616" s="48">
        <v>0</v>
      </c>
      <c r="K616" s="48">
        <v>0</v>
      </c>
      <c r="L616" s="54">
        <v>46245</v>
      </c>
      <c r="M616" s="54">
        <v>46248</v>
      </c>
      <c r="N616" s="54">
        <v>46245</v>
      </c>
      <c r="O616" s="54">
        <v>46248</v>
      </c>
    </row>
    <row r="617" spans="2:15" x14ac:dyDescent="0.25">
      <c r="B617">
        <v>635</v>
      </c>
      <c r="C617" t="s">
        <v>142</v>
      </c>
      <c r="D617" t="s">
        <v>890</v>
      </c>
      <c r="F617" t="s">
        <v>1700</v>
      </c>
      <c r="H617" t="s">
        <v>1598</v>
      </c>
      <c r="I617">
        <v>24</v>
      </c>
      <c r="J617" s="48">
        <v>0</v>
      </c>
      <c r="K617" s="48">
        <v>0</v>
      </c>
      <c r="L617" s="54">
        <v>46225</v>
      </c>
      <c r="M617" s="54">
        <v>46248</v>
      </c>
      <c r="N617" s="54">
        <v>46225</v>
      </c>
      <c r="O617" s="54">
        <v>46248</v>
      </c>
    </row>
    <row r="618" spans="2:15" x14ac:dyDescent="0.25">
      <c r="B618">
        <v>636</v>
      </c>
      <c r="C618" t="s">
        <v>142</v>
      </c>
      <c r="D618" t="s">
        <v>890</v>
      </c>
      <c r="E618" t="s">
        <v>2014</v>
      </c>
      <c r="F618" t="s">
        <v>1515</v>
      </c>
      <c r="G618" t="s">
        <v>2015</v>
      </c>
      <c r="H618" t="s">
        <v>1516</v>
      </c>
      <c r="I618">
        <v>13</v>
      </c>
      <c r="J618" s="48">
        <v>0</v>
      </c>
      <c r="K618" s="48">
        <v>0</v>
      </c>
      <c r="L618" s="54">
        <v>46225</v>
      </c>
      <c r="M618" s="54">
        <v>46237</v>
      </c>
      <c r="N618" s="54">
        <v>46225</v>
      </c>
      <c r="O618" s="54">
        <v>46237</v>
      </c>
    </row>
    <row r="619" spans="2:15" x14ac:dyDescent="0.25">
      <c r="B619">
        <v>637</v>
      </c>
      <c r="C619" t="s">
        <v>142</v>
      </c>
      <c r="D619" t="s">
        <v>890</v>
      </c>
      <c r="E619">
        <v>636</v>
      </c>
      <c r="F619" t="s">
        <v>1517</v>
      </c>
      <c r="G619">
        <v>638</v>
      </c>
      <c r="H619" t="s">
        <v>1519</v>
      </c>
      <c r="I619">
        <v>4</v>
      </c>
      <c r="J619" s="48">
        <v>0</v>
      </c>
      <c r="K619" s="48">
        <v>0</v>
      </c>
      <c r="L619" s="54">
        <v>46237</v>
      </c>
      <c r="M619" s="54">
        <v>46240</v>
      </c>
      <c r="N619" s="54">
        <v>46237</v>
      </c>
      <c r="O619" s="54">
        <v>46240</v>
      </c>
    </row>
    <row r="620" spans="2:15" x14ac:dyDescent="0.25">
      <c r="B620">
        <v>638</v>
      </c>
      <c r="C620" t="s">
        <v>142</v>
      </c>
      <c r="D620" t="s">
        <v>890</v>
      </c>
      <c r="E620">
        <v>637</v>
      </c>
      <c r="F620" t="s">
        <v>1518</v>
      </c>
      <c r="G620">
        <v>639</v>
      </c>
      <c r="H620" t="s">
        <v>1519</v>
      </c>
      <c r="I620">
        <v>6</v>
      </c>
      <c r="J620" s="48">
        <v>0</v>
      </c>
      <c r="K620" s="48">
        <v>0</v>
      </c>
      <c r="L620" s="54">
        <v>46240</v>
      </c>
      <c r="M620" s="54">
        <v>46245</v>
      </c>
      <c r="N620" s="54">
        <v>46240</v>
      </c>
      <c r="O620" s="54">
        <v>46245</v>
      </c>
    </row>
    <row r="621" spans="2:15" x14ac:dyDescent="0.25">
      <c r="B621">
        <v>639</v>
      </c>
      <c r="C621" t="s">
        <v>142</v>
      </c>
      <c r="D621" t="s">
        <v>890</v>
      </c>
      <c r="E621">
        <v>638</v>
      </c>
      <c r="F621" t="s">
        <v>1520</v>
      </c>
      <c r="G621">
        <v>76</v>
      </c>
      <c r="H621" t="s">
        <v>1519</v>
      </c>
      <c r="I621">
        <v>4</v>
      </c>
      <c r="J621" s="48">
        <v>0</v>
      </c>
      <c r="K621" s="48">
        <v>0</v>
      </c>
      <c r="L621" s="54">
        <v>46245</v>
      </c>
      <c r="M621" s="54">
        <v>46248</v>
      </c>
      <c r="N621" s="54">
        <v>46245</v>
      </c>
      <c r="O621" s="54">
        <v>46248</v>
      </c>
    </row>
    <row r="622" spans="2:15" x14ac:dyDescent="0.25">
      <c r="B622">
        <v>640</v>
      </c>
      <c r="F622" t="s">
        <v>1689</v>
      </c>
      <c r="H622" t="s">
        <v>1559</v>
      </c>
      <c r="I622">
        <v>17</v>
      </c>
      <c r="J622" s="48">
        <v>0</v>
      </c>
      <c r="K622" s="48">
        <v>0</v>
      </c>
      <c r="L622" s="54">
        <v>46239</v>
      </c>
      <c r="M622" s="54">
        <v>46255</v>
      </c>
      <c r="N622" s="54">
        <v>46230</v>
      </c>
      <c r="O622" s="54">
        <v>46246</v>
      </c>
    </row>
    <row r="623" spans="2:15" x14ac:dyDescent="0.25">
      <c r="B623">
        <v>641</v>
      </c>
      <c r="C623" t="s">
        <v>74</v>
      </c>
      <c r="D623" t="s">
        <v>587</v>
      </c>
      <c r="F623" t="s">
        <v>1695</v>
      </c>
      <c r="H623" t="s">
        <v>1559</v>
      </c>
      <c r="I623">
        <v>17</v>
      </c>
      <c r="J623" s="48">
        <v>0</v>
      </c>
      <c r="K623" s="48">
        <v>0</v>
      </c>
      <c r="L623" s="54">
        <v>46239</v>
      </c>
      <c r="M623" s="54">
        <v>46255</v>
      </c>
      <c r="N623" s="54">
        <v>46230</v>
      </c>
      <c r="O623" s="54">
        <v>46246</v>
      </c>
    </row>
    <row r="624" spans="2:15" x14ac:dyDescent="0.25">
      <c r="B624">
        <v>642</v>
      </c>
      <c r="C624" t="s">
        <v>74</v>
      </c>
      <c r="D624" t="s">
        <v>587</v>
      </c>
      <c r="E624">
        <v>620</v>
      </c>
      <c r="F624" t="s">
        <v>1515</v>
      </c>
      <c r="G624">
        <v>643</v>
      </c>
      <c r="H624" t="s">
        <v>1519</v>
      </c>
      <c r="I624">
        <v>4</v>
      </c>
      <c r="J624" s="48">
        <v>0</v>
      </c>
      <c r="K624" s="48">
        <v>0</v>
      </c>
      <c r="L624" s="54">
        <v>46239</v>
      </c>
      <c r="M624" s="54">
        <v>46244</v>
      </c>
      <c r="N624" s="54">
        <v>46230</v>
      </c>
      <c r="O624" s="54">
        <v>46233</v>
      </c>
    </row>
    <row r="625" spans="2:15" x14ac:dyDescent="0.25">
      <c r="B625">
        <v>643</v>
      </c>
      <c r="C625" t="s">
        <v>74</v>
      </c>
      <c r="D625" t="s">
        <v>587</v>
      </c>
      <c r="E625">
        <v>642</v>
      </c>
      <c r="F625" t="s">
        <v>1517</v>
      </c>
      <c r="G625">
        <v>644</v>
      </c>
      <c r="H625" t="s">
        <v>1519</v>
      </c>
      <c r="I625">
        <v>6</v>
      </c>
      <c r="J625" s="48">
        <v>0</v>
      </c>
      <c r="K625" s="48">
        <v>0</v>
      </c>
      <c r="L625" s="54">
        <v>46244</v>
      </c>
      <c r="M625" s="54">
        <v>46247</v>
      </c>
      <c r="N625" s="54">
        <v>46233</v>
      </c>
      <c r="O625" s="54">
        <v>46238</v>
      </c>
    </row>
    <row r="626" spans="2:15" x14ac:dyDescent="0.25">
      <c r="B626">
        <v>644</v>
      </c>
      <c r="C626" t="s">
        <v>74</v>
      </c>
      <c r="D626" t="s">
        <v>587</v>
      </c>
      <c r="E626">
        <v>643</v>
      </c>
      <c r="F626" t="s">
        <v>1518</v>
      </c>
      <c r="G626">
        <v>645</v>
      </c>
      <c r="H626" t="s">
        <v>1519</v>
      </c>
      <c r="I626">
        <v>4</v>
      </c>
      <c r="J626" s="48">
        <v>0</v>
      </c>
      <c r="K626" s="48">
        <v>0</v>
      </c>
      <c r="L626" s="54">
        <v>46247</v>
      </c>
      <c r="M626" s="54">
        <v>46252</v>
      </c>
      <c r="N626" s="54">
        <v>46238</v>
      </c>
      <c r="O626" s="54">
        <v>46241</v>
      </c>
    </row>
    <row r="627" spans="2:15" x14ac:dyDescent="0.25">
      <c r="B627">
        <v>645</v>
      </c>
      <c r="C627" t="s">
        <v>74</v>
      </c>
      <c r="D627" t="s">
        <v>587</v>
      </c>
      <c r="E627">
        <v>644</v>
      </c>
      <c r="F627" t="s">
        <v>1520</v>
      </c>
      <c r="G627">
        <v>76</v>
      </c>
      <c r="H627" t="s">
        <v>1519</v>
      </c>
      <c r="I627">
        <v>6</v>
      </c>
      <c r="J627" s="48">
        <v>0</v>
      </c>
      <c r="K627" s="48">
        <v>0</v>
      </c>
      <c r="L627" s="54">
        <v>46252</v>
      </c>
      <c r="M627" s="54">
        <v>46255</v>
      </c>
      <c r="N627" s="54">
        <v>46241</v>
      </c>
      <c r="O627" s="54">
        <v>46246</v>
      </c>
    </row>
    <row r="628" spans="2:15" x14ac:dyDescent="0.25">
      <c r="B628">
        <v>646</v>
      </c>
      <c r="F628" t="s">
        <v>1572</v>
      </c>
      <c r="H628" t="s">
        <v>1535</v>
      </c>
      <c r="I628">
        <v>20</v>
      </c>
      <c r="J628" s="48">
        <v>0</v>
      </c>
      <c r="K628" s="48">
        <v>0</v>
      </c>
      <c r="L628" s="54">
        <v>46245</v>
      </c>
      <c r="M628" s="54">
        <v>46262</v>
      </c>
      <c r="N628" s="54">
        <v>46234</v>
      </c>
      <c r="O628" s="54">
        <v>46253</v>
      </c>
    </row>
    <row r="629" spans="2:15" x14ac:dyDescent="0.25">
      <c r="B629">
        <v>647</v>
      </c>
      <c r="C629" t="s">
        <v>92</v>
      </c>
      <c r="D629" t="s">
        <v>671</v>
      </c>
      <c r="F629" t="s">
        <v>1696</v>
      </c>
      <c r="H629" t="s">
        <v>1535</v>
      </c>
      <c r="I629">
        <v>20</v>
      </c>
      <c r="J629" s="48">
        <v>0</v>
      </c>
      <c r="K629" s="48">
        <v>0</v>
      </c>
      <c r="L629" s="54">
        <v>46245</v>
      </c>
      <c r="M629" s="54">
        <v>46262</v>
      </c>
      <c r="N629" s="54">
        <v>46234</v>
      </c>
      <c r="O629" s="54">
        <v>46253</v>
      </c>
    </row>
    <row r="630" spans="2:15" x14ac:dyDescent="0.25">
      <c r="B630">
        <v>648</v>
      </c>
      <c r="C630" t="s">
        <v>92</v>
      </c>
      <c r="D630" t="s">
        <v>671</v>
      </c>
      <c r="E630">
        <v>654</v>
      </c>
      <c r="F630" t="s">
        <v>1515</v>
      </c>
      <c r="G630" t="s">
        <v>2016</v>
      </c>
      <c r="H630" t="s">
        <v>1525</v>
      </c>
      <c r="I630">
        <v>7</v>
      </c>
      <c r="J630" s="48">
        <v>0</v>
      </c>
      <c r="K630" s="48">
        <v>0</v>
      </c>
      <c r="L630" s="54">
        <v>46245</v>
      </c>
      <c r="M630" s="54">
        <v>46251</v>
      </c>
      <c r="N630" s="54">
        <v>46234</v>
      </c>
      <c r="O630" s="54">
        <v>46240</v>
      </c>
    </row>
    <row r="631" spans="2:15" x14ac:dyDescent="0.25">
      <c r="B631">
        <v>649</v>
      </c>
      <c r="C631" t="s">
        <v>92</v>
      </c>
      <c r="D631" t="s">
        <v>671</v>
      </c>
      <c r="E631">
        <v>648</v>
      </c>
      <c r="F631" t="s">
        <v>1517</v>
      </c>
      <c r="G631">
        <v>650</v>
      </c>
      <c r="H631" t="s">
        <v>1519</v>
      </c>
      <c r="I631">
        <v>6</v>
      </c>
      <c r="J631" s="48">
        <v>0</v>
      </c>
      <c r="K631" s="48">
        <v>0</v>
      </c>
      <c r="L631" s="54">
        <v>46251</v>
      </c>
      <c r="M631" s="54">
        <v>46254</v>
      </c>
      <c r="N631" s="54">
        <v>46240</v>
      </c>
      <c r="O631" s="54">
        <v>46245</v>
      </c>
    </row>
    <row r="632" spans="2:15" x14ac:dyDescent="0.25">
      <c r="B632">
        <v>650</v>
      </c>
      <c r="C632" t="s">
        <v>92</v>
      </c>
      <c r="D632" t="s">
        <v>671</v>
      </c>
      <c r="E632">
        <v>649</v>
      </c>
      <c r="F632" t="s">
        <v>1518</v>
      </c>
      <c r="G632">
        <v>651</v>
      </c>
      <c r="H632" t="s">
        <v>1519</v>
      </c>
      <c r="I632">
        <v>4</v>
      </c>
      <c r="J632" s="48">
        <v>0</v>
      </c>
      <c r="K632" s="48">
        <v>0</v>
      </c>
      <c r="L632" s="54">
        <v>46254</v>
      </c>
      <c r="M632" s="54">
        <v>46259</v>
      </c>
      <c r="N632" s="54">
        <v>46245</v>
      </c>
      <c r="O632" s="54">
        <v>46248</v>
      </c>
    </row>
    <row r="633" spans="2:15" x14ac:dyDescent="0.25">
      <c r="B633">
        <v>651</v>
      </c>
      <c r="C633" t="s">
        <v>92</v>
      </c>
      <c r="D633" t="s">
        <v>671</v>
      </c>
      <c r="E633">
        <v>650</v>
      </c>
      <c r="F633" t="s">
        <v>1520</v>
      </c>
      <c r="G633">
        <v>76</v>
      </c>
      <c r="H633" t="s">
        <v>1519</v>
      </c>
      <c r="I633">
        <v>6</v>
      </c>
      <c r="J633" s="48">
        <v>0</v>
      </c>
      <c r="K633" s="48">
        <v>0</v>
      </c>
      <c r="L633" s="54">
        <v>46259</v>
      </c>
      <c r="M633" s="54">
        <v>46262</v>
      </c>
      <c r="N633" s="54">
        <v>46248</v>
      </c>
      <c r="O633" s="54">
        <v>46253</v>
      </c>
    </row>
    <row r="634" spans="2:15" x14ac:dyDescent="0.25">
      <c r="B634">
        <v>652</v>
      </c>
      <c r="F634" t="s">
        <v>1557</v>
      </c>
      <c r="H634" t="s">
        <v>1535</v>
      </c>
      <c r="I634">
        <v>18</v>
      </c>
      <c r="J634" s="48">
        <v>0</v>
      </c>
      <c r="K634" s="48">
        <v>0</v>
      </c>
      <c r="L634" s="54">
        <v>46239</v>
      </c>
      <c r="M634" s="54">
        <v>46258</v>
      </c>
      <c r="N634" s="54">
        <v>46230</v>
      </c>
      <c r="O634" s="54">
        <v>46247</v>
      </c>
    </row>
    <row r="635" spans="2:15" x14ac:dyDescent="0.25">
      <c r="B635">
        <v>653</v>
      </c>
      <c r="C635" t="s">
        <v>181</v>
      </c>
      <c r="D635" t="s">
        <v>1044</v>
      </c>
      <c r="F635" t="s">
        <v>1697</v>
      </c>
      <c r="H635" t="s">
        <v>1535</v>
      </c>
      <c r="I635">
        <v>18</v>
      </c>
      <c r="J635" s="48">
        <v>0</v>
      </c>
      <c r="K635" s="48">
        <v>0</v>
      </c>
      <c r="L635" s="54">
        <v>46239</v>
      </c>
      <c r="M635" s="54">
        <v>46258</v>
      </c>
      <c r="N635" s="54">
        <v>46230</v>
      </c>
      <c r="O635" s="54">
        <v>46247</v>
      </c>
    </row>
    <row r="636" spans="2:15" x14ac:dyDescent="0.25">
      <c r="B636">
        <v>654</v>
      </c>
      <c r="C636" t="s">
        <v>181</v>
      </c>
      <c r="D636" t="s">
        <v>1044</v>
      </c>
      <c r="E636">
        <v>620</v>
      </c>
      <c r="F636" t="s">
        <v>1515</v>
      </c>
      <c r="G636" t="s">
        <v>2017</v>
      </c>
      <c r="H636" t="s">
        <v>1525</v>
      </c>
      <c r="I636">
        <v>5</v>
      </c>
      <c r="J636" s="48">
        <v>0</v>
      </c>
      <c r="K636" s="48">
        <v>0</v>
      </c>
      <c r="L636" s="54">
        <v>46239</v>
      </c>
      <c r="M636" s="54">
        <v>46245</v>
      </c>
      <c r="N636" s="54">
        <v>46230</v>
      </c>
      <c r="O636" s="54">
        <v>46234</v>
      </c>
    </row>
    <row r="637" spans="2:15" x14ac:dyDescent="0.25">
      <c r="B637">
        <v>655</v>
      </c>
      <c r="C637" t="s">
        <v>181</v>
      </c>
      <c r="D637" t="s">
        <v>1044</v>
      </c>
      <c r="E637">
        <v>654</v>
      </c>
      <c r="F637" t="s">
        <v>1517</v>
      </c>
      <c r="G637">
        <v>656</v>
      </c>
      <c r="H637" t="s">
        <v>1519</v>
      </c>
      <c r="I637">
        <v>6</v>
      </c>
      <c r="J637" s="48">
        <v>0</v>
      </c>
      <c r="K637" s="48">
        <v>0</v>
      </c>
      <c r="L637" s="54">
        <v>46245</v>
      </c>
      <c r="M637" s="54">
        <v>46248</v>
      </c>
      <c r="N637" s="54">
        <v>46234</v>
      </c>
      <c r="O637" s="54">
        <v>46239</v>
      </c>
    </row>
    <row r="638" spans="2:15" x14ac:dyDescent="0.25">
      <c r="B638">
        <v>656</v>
      </c>
      <c r="C638" t="s">
        <v>181</v>
      </c>
      <c r="D638" t="s">
        <v>1044</v>
      </c>
      <c r="E638">
        <v>655</v>
      </c>
      <c r="F638" t="s">
        <v>1518</v>
      </c>
      <c r="G638">
        <v>657</v>
      </c>
      <c r="H638" t="s">
        <v>1519</v>
      </c>
      <c r="I638">
        <v>6</v>
      </c>
      <c r="J638" s="48">
        <v>0</v>
      </c>
      <c r="K638" s="48">
        <v>0</v>
      </c>
      <c r="L638" s="54">
        <v>46248</v>
      </c>
      <c r="M638" s="54">
        <v>46253</v>
      </c>
      <c r="N638" s="54">
        <v>46239</v>
      </c>
      <c r="O638" s="54">
        <v>46244</v>
      </c>
    </row>
    <row r="639" spans="2:15" x14ac:dyDescent="0.25">
      <c r="B639">
        <v>657</v>
      </c>
      <c r="C639" t="s">
        <v>181</v>
      </c>
      <c r="D639" t="s">
        <v>1044</v>
      </c>
      <c r="E639">
        <v>656</v>
      </c>
      <c r="F639" t="s">
        <v>1520</v>
      </c>
      <c r="G639">
        <v>76</v>
      </c>
      <c r="H639" t="s">
        <v>1519</v>
      </c>
      <c r="I639">
        <v>4</v>
      </c>
      <c r="J639" s="48">
        <v>0</v>
      </c>
      <c r="K639" s="48">
        <v>0</v>
      </c>
      <c r="L639" s="54">
        <v>46253</v>
      </c>
      <c r="M639" s="54">
        <v>46258</v>
      </c>
      <c r="N639" s="54">
        <v>46244</v>
      </c>
      <c r="O639" s="54">
        <v>46247</v>
      </c>
    </row>
    <row r="640" spans="2:15" x14ac:dyDescent="0.25">
      <c r="B640">
        <v>658</v>
      </c>
      <c r="F640" t="s">
        <v>1701</v>
      </c>
      <c r="H640" t="s">
        <v>1764</v>
      </c>
      <c r="I640">
        <v>59</v>
      </c>
      <c r="J640" s="48">
        <v>0</v>
      </c>
      <c r="K640" s="48">
        <v>5.2499999999999998E-2</v>
      </c>
      <c r="L640" s="54">
        <v>46237</v>
      </c>
      <c r="M640" s="54">
        <v>46273</v>
      </c>
      <c r="N640" s="54">
        <v>46202</v>
      </c>
      <c r="O640" s="54">
        <v>46260</v>
      </c>
    </row>
    <row r="641" spans="2:15" x14ac:dyDescent="0.25">
      <c r="B641">
        <v>659</v>
      </c>
      <c r="F641" t="s">
        <v>1555</v>
      </c>
      <c r="G641" t="s">
        <v>1990</v>
      </c>
      <c r="H641" t="s">
        <v>1792</v>
      </c>
      <c r="I641">
        <v>46</v>
      </c>
      <c r="J641" s="48">
        <v>0</v>
      </c>
      <c r="K641" s="48">
        <v>0.2</v>
      </c>
      <c r="L641" s="54">
        <v>46240</v>
      </c>
      <c r="M641" s="54">
        <v>46265</v>
      </c>
      <c r="N641" s="54">
        <v>46202</v>
      </c>
      <c r="O641" s="54">
        <v>46247</v>
      </c>
    </row>
    <row r="642" spans="2:15" x14ac:dyDescent="0.25">
      <c r="B642">
        <v>660</v>
      </c>
      <c r="E642" t="s">
        <v>2018</v>
      </c>
      <c r="F642" t="s">
        <v>1688</v>
      </c>
      <c r="H642" t="s">
        <v>1528</v>
      </c>
      <c r="I642">
        <v>8</v>
      </c>
      <c r="J642" s="48">
        <v>0</v>
      </c>
      <c r="K642" s="48">
        <v>0</v>
      </c>
      <c r="L642" s="54">
        <v>46240</v>
      </c>
      <c r="M642" s="54">
        <v>46247</v>
      </c>
      <c r="N642" s="54">
        <v>46240</v>
      </c>
      <c r="O642" s="54">
        <v>46247</v>
      </c>
    </row>
    <row r="643" spans="2:15" x14ac:dyDescent="0.25">
      <c r="B643">
        <v>661</v>
      </c>
      <c r="E643" t="s">
        <v>2019</v>
      </c>
      <c r="F643" t="s">
        <v>1689</v>
      </c>
      <c r="G643" t="s">
        <v>2020</v>
      </c>
      <c r="H643" t="s">
        <v>1687</v>
      </c>
      <c r="I643">
        <v>29</v>
      </c>
      <c r="J643" s="48">
        <v>0</v>
      </c>
      <c r="K643" s="48">
        <v>0.8</v>
      </c>
      <c r="L643" s="54">
        <v>46245</v>
      </c>
      <c r="M643" s="54">
        <v>46251</v>
      </c>
      <c r="N643" s="54">
        <v>46202</v>
      </c>
      <c r="O643" s="54">
        <v>46230</v>
      </c>
    </row>
    <row r="644" spans="2:15" x14ac:dyDescent="0.25">
      <c r="B644">
        <v>662</v>
      </c>
      <c r="E644" t="s">
        <v>2021</v>
      </c>
      <c r="F644" t="s">
        <v>1572</v>
      </c>
      <c r="G644">
        <v>76</v>
      </c>
      <c r="H644" t="s">
        <v>1528</v>
      </c>
      <c r="I644">
        <v>8</v>
      </c>
      <c r="J644" s="48">
        <v>0</v>
      </c>
      <c r="K644" s="48">
        <v>0</v>
      </c>
      <c r="L644" s="54">
        <v>46258</v>
      </c>
      <c r="M644" s="54">
        <v>46265</v>
      </c>
      <c r="N644" s="54">
        <v>46237</v>
      </c>
      <c r="O644" s="54">
        <v>46244</v>
      </c>
    </row>
    <row r="645" spans="2:15" x14ac:dyDescent="0.25">
      <c r="B645">
        <v>663</v>
      </c>
      <c r="E645" t="s">
        <v>2022</v>
      </c>
      <c r="F645" t="s">
        <v>1557</v>
      </c>
      <c r="G645">
        <v>76</v>
      </c>
      <c r="H645" t="s">
        <v>1528</v>
      </c>
      <c r="I645">
        <v>8</v>
      </c>
      <c r="J645" s="48">
        <v>0</v>
      </c>
      <c r="K645" s="48">
        <v>0</v>
      </c>
      <c r="L645" s="54">
        <v>46253</v>
      </c>
      <c r="M645" s="54">
        <v>46260</v>
      </c>
      <c r="N645" s="54">
        <v>46232</v>
      </c>
      <c r="O645" s="54">
        <v>46239</v>
      </c>
    </row>
    <row r="646" spans="2:15" x14ac:dyDescent="0.25">
      <c r="B646">
        <v>664</v>
      </c>
      <c r="F646" t="s">
        <v>1560</v>
      </c>
      <c r="H646" t="s">
        <v>1564</v>
      </c>
      <c r="I646">
        <v>31</v>
      </c>
      <c r="J646" s="48">
        <v>0</v>
      </c>
      <c r="K646" s="48">
        <v>0</v>
      </c>
      <c r="L646" s="54">
        <v>46237</v>
      </c>
      <c r="M646" s="54">
        <v>46273</v>
      </c>
      <c r="N646" s="54">
        <v>46230</v>
      </c>
      <c r="O646" s="54">
        <v>46260</v>
      </c>
    </row>
    <row r="647" spans="2:15" x14ac:dyDescent="0.25">
      <c r="B647">
        <v>665</v>
      </c>
      <c r="F647" t="s">
        <v>1657</v>
      </c>
      <c r="H647" t="s">
        <v>1598</v>
      </c>
      <c r="I647">
        <v>24</v>
      </c>
      <c r="J647" s="48">
        <v>0</v>
      </c>
      <c r="K647" s="48">
        <v>0</v>
      </c>
      <c r="L647" s="54">
        <v>46237</v>
      </c>
      <c r="M647" s="54">
        <v>46260</v>
      </c>
      <c r="N647" s="54">
        <v>46237</v>
      </c>
      <c r="O647" s="54">
        <v>46260</v>
      </c>
    </row>
    <row r="648" spans="2:15" x14ac:dyDescent="0.25">
      <c r="B648">
        <v>666</v>
      </c>
      <c r="C648" t="s">
        <v>143</v>
      </c>
      <c r="D648" t="s">
        <v>893</v>
      </c>
      <c r="F648" t="s">
        <v>1703</v>
      </c>
      <c r="H648" t="s">
        <v>1598</v>
      </c>
      <c r="I648">
        <v>24</v>
      </c>
      <c r="J648" s="48">
        <v>0</v>
      </c>
      <c r="K648" s="48">
        <v>0</v>
      </c>
      <c r="L648" s="54">
        <v>46237</v>
      </c>
      <c r="M648" s="54">
        <v>46260</v>
      </c>
      <c r="N648" s="54">
        <v>46237</v>
      </c>
      <c r="O648" s="54">
        <v>46260</v>
      </c>
    </row>
    <row r="649" spans="2:15" x14ac:dyDescent="0.25">
      <c r="B649">
        <v>667</v>
      </c>
      <c r="C649" t="s">
        <v>143</v>
      </c>
      <c r="D649" t="s">
        <v>893</v>
      </c>
      <c r="E649" t="s">
        <v>2023</v>
      </c>
      <c r="F649" t="s">
        <v>1515</v>
      </c>
      <c r="G649" t="s">
        <v>2024</v>
      </c>
      <c r="H649" t="s">
        <v>1516</v>
      </c>
      <c r="I649">
        <v>11</v>
      </c>
      <c r="J649" s="48">
        <v>0</v>
      </c>
      <c r="K649" s="48">
        <v>0</v>
      </c>
      <c r="L649" s="54">
        <v>46237</v>
      </c>
      <c r="M649" s="54">
        <v>46247</v>
      </c>
      <c r="N649" s="54">
        <v>46237</v>
      </c>
      <c r="O649" s="54">
        <v>46247</v>
      </c>
    </row>
    <row r="650" spans="2:15" x14ac:dyDescent="0.25">
      <c r="B650">
        <v>668</v>
      </c>
      <c r="C650" t="s">
        <v>143</v>
      </c>
      <c r="D650" t="s">
        <v>893</v>
      </c>
      <c r="E650">
        <v>667</v>
      </c>
      <c r="F650" t="s">
        <v>1517</v>
      </c>
      <c r="G650">
        <v>669</v>
      </c>
      <c r="H650" t="s">
        <v>1519</v>
      </c>
      <c r="I650">
        <v>6</v>
      </c>
      <c r="J650" s="48">
        <v>0</v>
      </c>
      <c r="K650" s="48">
        <v>0</v>
      </c>
      <c r="L650" s="54">
        <v>46247</v>
      </c>
      <c r="M650" s="54">
        <v>46252</v>
      </c>
      <c r="N650" s="54">
        <v>46247</v>
      </c>
      <c r="O650" s="54">
        <v>46252</v>
      </c>
    </row>
    <row r="651" spans="2:15" x14ac:dyDescent="0.25">
      <c r="B651">
        <v>669</v>
      </c>
      <c r="C651" t="s">
        <v>143</v>
      </c>
      <c r="D651" t="s">
        <v>893</v>
      </c>
      <c r="E651">
        <v>668</v>
      </c>
      <c r="F651" t="s">
        <v>1518</v>
      </c>
      <c r="G651">
        <v>670</v>
      </c>
      <c r="H651" t="s">
        <v>1519</v>
      </c>
      <c r="I651">
        <v>4</v>
      </c>
      <c r="J651" s="48">
        <v>0</v>
      </c>
      <c r="K651" s="48">
        <v>0</v>
      </c>
      <c r="L651" s="54">
        <v>46252</v>
      </c>
      <c r="M651" s="54">
        <v>46255</v>
      </c>
      <c r="N651" s="54">
        <v>46252</v>
      </c>
      <c r="O651" s="54">
        <v>46255</v>
      </c>
    </row>
    <row r="652" spans="2:15" x14ac:dyDescent="0.25">
      <c r="B652">
        <v>670</v>
      </c>
      <c r="C652" t="s">
        <v>143</v>
      </c>
      <c r="D652" t="s">
        <v>893</v>
      </c>
      <c r="E652">
        <v>669</v>
      </c>
      <c r="F652" t="s">
        <v>1520</v>
      </c>
      <c r="G652">
        <v>76</v>
      </c>
      <c r="H652" t="s">
        <v>1519</v>
      </c>
      <c r="I652">
        <v>6</v>
      </c>
      <c r="J652" s="48">
        <v>0</v>
      </c>
      <c r="K652" s="48">
        <v>0</v>
      </c>
      <c r="L652" s="54">
        <v>46255</v>
      </c>
      <c r="M652" s="54">
        <v>46260</v>
      </c>
      <c r="N652" s="54">
        <v>46255</v>
      </c>
      <c r="O652" s="54">
        <v>46260</v>
      </c>
    </row>
    <row r="653" spans="2:15" x14ac:dyDescent="0.25">
      <c r="B653">
        <v>671</v>
      </c>
      <c r="C653" t="s">
        <v>144</v>
      </c>
      <c r="D653" t="s">
        <v>897</v>
      </c>
      <c r="F653" t="s">
        <v>1703</v>
      </c>
      <c r="H653" t="s">
        <v>1598</v>
      </c>
      <c r="I653">
        <v>24</v>
      </c>
      <c r="J653" s="48">
        <v>0</v>
      </c>
      <c r="K653" s="48">
        <v>0</v>
      </c>
      <c r="L653" s="54">
        <v>46237</v>
      </c>
      <c r="M653" s="54">
        <v>46260</v>
      </c>
      <c r="N653" s="54">
        <v>46237</v>
      </c>
      <c r="O653" s="54">
        <v>46260</v>
      </c>
    </row>
    <row r="654" spans="2:15" x14ac:dyDescent="0.25">
      <c r="B654">
        <v>672</v>
      </c>
      <c r="C654" t="s">
        <v>144</v>
      </c>
      <c r="D654" t="s">
        <v>897</v>
      </c>
      <c r="E654" t="s">
        <v>2025</v>
      </c>
      <c r="F654" t="s">
        <v>1515</v>
      </c>
      <c r="G654" t="s">
        <v>2026</v>
      </c>
      <c r="H654" t="s">
        <v>1516</v>
      </c>
      <c r="I654">
        <v>11</v>
      </c>
      <c r="J654" s="48">
        <v>0</v>
      </c>
      <c r="K654" s="48">
        <v>0</v>
      </c>
      <c r="L654" s="54">
        <v>46237</v>
      </c>
      <c r="M654" s="54">
        <v>46247</v>
      </c>
      <c r="N654" s="54">
        <v>46237</v>
      </c>
      <c r="O654" s="54">
        <v>46247</v>
      </c>
    </row>
    <row r="655" spans="2:15" x14ac:dyDescent="0.25">
      <c r="B655">
        <v>673</v>
      </c>
      <c r="C655" t="s">
        <v>144</v>
      </c>
      <c r="D655" t="s">
        <v>897</v>
      </c>
      <c r="E655">
        <v>672</v>
      </c>
      <c r="F655" t="s">
        <v>1517</v>
      </c>
      <c r="G655">
        <v>674</v>
      </c>
      <c r="H655" t="s">
        <v>1519</v>
      </c>
      <c r="I655">
        <v>6</v>
      </c>
      <c r="J655" s="48">
        <v>0</v>
      </c>
      <c r="K655" s="48">
        <v>0</v>
      </c>
      <c r="L655" s="54">
        <v>46247</v>
      </c>
      <c r="M655" s="54">
        <v>46252</v>
      </c>
      <c r="N655" s="54">
        <v>46247</v>
      </c>
      <c r="O655" s="54">
        <v>46252</v>
      </c>
    </row>
    <row r="656" spans="2:15" x14ac:dyDescent="0.25">
      <c r="B656">
        <v>674</v>
      </c>
      <c r="C656" t="s">
        <v>144</v>
      </c>
      <c r="D656" t="s">
        <v>897</v>
      </c>
      <c r="E656">
        <v>673</v>
      </c>
      <c r="F656" t="s">
        <v>1518</v>
      </c>
      <c r="G656">
        <v>675</v>
      </c>
      <c r="H656" t="s">
        <v>1519</v>
      </c>
      <c r="I656">
        <v>4</v>
      </c>
      <c r="J656" s="48">
        <v>0</v>
      </c>
      <c r="K656" s="48">
        <v>0</v>
      </c>
      <c r="L656" s="54">
        <v>46252</v>
      </c>
      <c r="M656" s="54">
        <v>46255</v>
      </c>
      <c r="N656" s="54">
        <v>46252</v>
      </c>
      <c r="O656" s="54">
        <v>46255</v>
      </c>
    </row>
    <row r="657" spans="2:15" x14ac:dyDescent="0.25">
      <c r="B657">
        <v>675</v>
      </c>
      <c r="C657" t="s">
        <v>144</v>
      </c>
      <c r="D657" t="s">
        <v>897</v>
      </c>
      <c r="E657">
        <v>674</v>
      </c>
      <c r="F657" t="s">
        <v>1520</v>
      </c>
      <c r="G657">
        <v>76</v>
      </c>
      <c r="H657" t="s">
        <v>1519</v>
      </c>
      <c r="I657">
        <v>6</v>
      </c>
      <c r="J657" s="48">
        <v>0</v>
      </c>
      <c r="K657" s="48">
        <v>0</v>
      </c>
      <c r="L657" s="54">
        <v>46255</v>
      </c>
      <c r="M657" s="54">
        <v>46260</v>
      </c>
      <c r="N657" s="54">
        <v>46255</v>
      </c>
      <c r="O657" s="54">
        <v>46260</v>
      </c>
    </row>
    <row r="658" spans="2:15" x14ac:dyDescent="0.25">
      <c r="B658">
        <v>676</v>
      </c>
      <c r="C658" t="s">
        <v>145</v>
      </c>
      <c r="D658" t="s">
        <v>900</v>
      </c>
      <c r="F658" t="s">
        <v>1703</v>
      </c>
      <c r="H658" t="s">
        <v>1598</v>
      </c>
      <c r="I658">
        <v>24</v>
      </c>
      <c r="J658" s="48">
        <v>0</v>
      </c>
      <c r="K658" s="48">
        <v>0</v>
      </c>
      <c r="L658" s="54">
        <v>46237</v>
      </c>
      <c r="M658" s="54">
        <v>46260</v>
      </c>
      <c r="N658" s="54">
        <v>46237</v>
      </c>
      <c r="O658" s="54">
        <v>46260</v>
      </c>
    </row>
    <row r="659" spans="2:15" x14ac:dyDescent="0.25">
      <c r="B659">
        <v>677</v>
      </c>
      <c r="C659" t="s">
        <v>145</v>
      </c>
      <c r="D659" t="s">
        <v>900</v>
      </c>
      <c r="E659" t="s">
        <v>2027</v>
      </c>
      <c r="F659" t="s">
        <v>1515</v>
      </c>
      <c r="G659" t="s">
        <v>2028</v>
      </c>
      <c r="H659" t="s">
        <v>1516</v>
      </c>
      <c r="I659">
        <v>11</v>
      </c>
      <c r="J659" s="48">
        <v>0</v>
      </c>
      <c r="K659" s="48">
        <v>0</v>
      </c>
      <c r="L659" s="54">
        <v>46237</v>
      </c>
      <c r="M659" s="54">
        <v>46247</v>
      </c>
      <c r="N659" s="54">
        <v>46237</v>
      </c>
      <c r="O659" s="54">
        <v>46247</v>
      </c>
    </row>
    <row r="660" spans="2:15" x14ac:dyDescent="0.25">
      <c r="B660">
        <v>678</v>
      </c>
      <c r="C660" t="s">
        <v>145</v>
      </c>
      <c r="D660" t="s">
        <v>900</v>
      </c>
      <c r="E660">
        <v>677</v>
      </c>
      <c r="F660" t="s">
        <v>1517</v>
      </c>
      <c r="G660">
        <v>679</v>
      </c>
      <c r="H660" t="s">
        <v>1519</v>
      </c>
      <c r="I660">
        <v>6</v>
      </c>
      <c r="J660" s="48">
        <v>0</v>
      </c>
      <c r="K660" s="48">
        <v>0</v>
      </c>
      <c r="L660" s="54">
        <v>46247</v>
      </c>
      <c r="M660" s="54">
        <v>46252</v>
      </c>
      <c r="N660" s="54">
        <v>46247</v>
      </c>
      <c r="O660" s="54">
        <v>46252</v>
      </c>
    </row>
    <row r="661" spans="2:15" x14ac:dyDescent="0.25">
      <c r="B661">
        <v>679</v>
      </c>
      <c r="C661" t="s">
        <v>145</v>
      </c>
      <c r="D661" t="s">
        <v>900</v>
      </c>
      <c r="E661">
        <v>678</v>
      </c>
      <c r="F661" t="s">
        <v>1518</v>
      </c>
      <c r="G661">
        <v>680</v>
      </c>
      <c r="H661" t="s">
        <v>1519</v>
      </c>
      <c r="I661">
        <v>4</v>
      </c>
      <c r="J661" s="48">
        <v>0</v>
      </c>
      <c r="K661" s="48">
        <v>0</v>
      </c>
      <c r="L661" s="54">
        <v>46252</v>
      </c>
      <c r="M661" s="54">
        <v>46255</v>
      </c>
      <c r="N661" s="54">
        <v>46252</v>
      </c>
      <c r="O661" s="54">
        <v>46255</v>
      </c>
    </row>
    <row r="662" spans="2:15" x14ac:dyDescent="0.25">
      <c r="B662">
        <v>680</v>
      </c>
      <c r="C662" t="s">
        <v>145</v>
      </c>
      <c r="D662" t="s">
        <v>900</v>
      </c>
      <c r="E662">
        <v>679</v>
      </c>
      <c r="F662" t="s">
        <v>1520</v>
      </c>
      <c r="G662">
        <v>76</v>
      </c>
      <c r="H662" t="s">
        <v>1519</v>
      </c>
      <c r="I662">
        <v>6</v>
      </c>
      <c r="J662" s="48">
        <v>0</v>
      </c>
      <c r="K662" s="48">
        <v>0</v>
      </c>
      <c r="L662" s="54">
        <v>46255</v>
      </c>
      <c r="M662" s="54">
        <v>46260</v>
      </c>
      <c r="N662" s="54">
        <v>46255</v>
      </c>
      <c r="O662" s="54">
        <v>46260</v>
      </c>
    </row>
    <row r="663" spans="2:15" x14ac:dyDescent="0.25">
      <c r="B663">
        <v>681</v>
      </c>
      <c r="F663" t="s">
        <v>1689</v>
      </c>
      <c r="H663" t="s">
        <v>1559</v>
      </c>
      <c r="I663">
        <v>17</v>
      </c>
      <c r="J663" s="48">
        <v>0</v>
      </c>
      <c r="K663" s="48">
        <v>0</v>
      </c>
      <c r="L663" s="54">
        <v>46251</v>
      </c>
      <c r="M663" s="54">
        <v>46267</v>
      </c>
      <c r="N663" s="54">
        <v>46230</v>
      </c>
      <c r="O663" s="54">
        <v>46246</v>
      </c>
    </row>
    <row r="664" spans="2:15" x14ac:dyDescent="0.25">
      <c r="B664">
        <v>682</v>
      </c>
      <c r="C664" t="s">
        <v>75</v>
      </c>
      <c r="D664" t="s">
        <v>591</v>
      </c>
      <c r="F664" t="s">
        <v>1695</v>
      </c>
      <c r="H664" t="s">
        <v>1559</v>
      </c>
      <c r="I664">
        <v>17</v>
      </c>
      <c r="J664" s="48">
        <v>0</v>
      </c>
      <c r="K664" s="48">
        <v>0</v>
      </c>
      <c r="L664" s="54">
        <v>46251</v>
      </c>
      <c r="M664" s="54">
        <v>46267</v>
      </c>
      <c r="N664" s="54">
        <v>46230</v>
      </c>
      <c r="O664" s="54">
        <v>46246</v>
      </c>
    </row>
    <row r="665" spans="2:15" x14ac:dyDescent="0.25">
      <c r="B665">
        <v>683</v>
      </c>
      <c r="C665" t="s">
        <v>75</v>
      </c>
      <c r="D665" t="s">
        <v>591</v>
      </c>
      <c r="E665">
        <v>661</v>
      </c>
      <c r="F665" t="s">
        <v>1515</v>
      </c>
      <c r="G665">
        <v>684</v>
      </c>
      <c r="H665" t="s">
        <v>1519</v>
      </c>
      <c r="I665">
        <v>4</v>
      </c>
      <c r="J665" s="48">
        <v>0</v>
      </c>
      <c r="K665" s="48">
        <v>0</v>
      </c>
      <c r="L665" s="54">
        <v>46251</v>
      </c>
      <c r="M665" s="54">
        <v>46254</v>
      </c>
      <c r="N665" s="54">
        <v>46230</v>
      </c>
      <c r="O665" s="54">
        <v>46233</v>
      </c>
    </row>
    <row r="666" spans="2:15" x14ac:dyDescent="0.25">
      <c r="B666">
        <v>684</v>
      </c>
      <c r="C666" t="s">
        <v>75</v>
      </c>
      <c r="D666" t="s">
        <v>591</v>
      </c>
      <c r="E666">
        <v>683</v>
      </c>
      <c r="F666" t="s">
        <v>1517</v>
      </c>
      <c r="G666">
        <v>685</v>
      </c>
      <c r="H666" t="s">
        <v>1519</v>
      </c>
      <c r="I666">
        <v>6</v>
      </c>
      <c r="J666" s="48">
        <v>0</v>
      </c>
      <c r="K666" s="48">
        <v>0</v>
      </c>
      <c r="L666" s="54">
        <v>46254</v>
      </c>
      <c r="M666" s="54">
        <v>46259</v>
      </c>
      <c r="N666" s="54">
        <v>46233</v>
      </c>
      <c r="O666" s="54">
        <v>46238</v>
      </c>
    </row>
    <row r="667" spans="2:15" x14ac:dyDescent="0.25">
      <c r="B667">
        <v>685</v>
      </c>
      <c r="C667" t="s">
        <v>75</v>
      </c>
      <c r="D667" t="s">
        <v>591</v>
      </c>
      <c r="E667">
        <v>684</v>
      </c>
      <c r="F667" t="s">
        <v>1518</v>
      </c>
      <c r="G667">
        <v>686</v>
      </c>
      <c r="H667" t="s">
        <v>1519</v>
      </c>
      <c r="I667">
        <v>4</v>
      </c>
      <c r="J667" s="48">
        <v>0</v>
      </c>
      <c r="K667" s="48">
        <v>0</v>
      </c>
      <c r="L667" s="54">
        <v>46259</v>
      </c>
      <c r="M667" s="54">
        <v>46262</v>
      </c>
      <c r="N667" s="54">
        <v>46238</v>
      </c>
      <c r="O667" s="54">
        <v>46241</v>
      </c>
    </row>
    <row r="668" spans="2:15" x14ac:dyDescent="0.25">
      <c r="B668">
        <v>686</v>
      </c>
      <c r="C668" t="s">
        <v>75</v>
      </c>
      <c r="D668" t="s">
        <v>591</v>
      </c>
      <c r="E668">
        <v>685</v>
      </c>
      <c r="F668" t="s">
        <v>1520</v>
      </c>
      <c r="G668">
        <v>76</v>
      </c>
      <c r="H668" t="s">
        <v>1519</v>
      </c>
      <c r="I668">
        <v>6</v>
      </c>
      <c r="J668" s="48">
        <v>0</v>
      </c>
      <c r="K668" s="48">
        <v>0</v>
      </c>
      <c r="L668" s="54">
        <v>46262</v>
      </c>
      <c r="M668" s="54">
        <v>46267</v>
      </c>
      <c r="N668" s="54">
        <v>46241</v>
      </c>
      <c r="O668" s="54">
        <v>46246</v>
      </c>
    </row>
    <row r="669" spans="2:15" x14ac:dyDescent="0.25">
      <c r="B669">
        <v>687</v>
      </c>
      <c r="F669" t="s">
        <v>1572</v>
      </c>
      <c r="H669" t="s">
        <v>1559</v>
      </c>
      <c r="I669">
        <v>19</v>
      </c>
      <c r="J669" s="48">
        <v>0</v>
      </c>
      <c r="K669" s="48">
        <v>0</v>
      </c>
      <c r="L669" s="54">
        <v>46254</v>
      </c>
      <c r="M669" s="54">
        <v>46273</v>
      </c>
      <c r="N669" s="54">
        <v>46233</v>
      </c>
      <c r="O669" s="54">
        <v>46251</v>
      </c>
    </row>
    <row r="670" spans="2:15" x14ac:dyDescent="0.25">
      <c r="B670">
        <v>688</v>
      </c>
      <c r="C670" t="s">
        <v>93</v>
      </c>
      <c r="D670" t="s">
        <v>674</v>
      </c>
      <c r="F670" t="s">
        <v>1696</v>
      </c>
      <c r="H670" t="s">
        <v>1559</v>
      </c>
      <c r="I670">
        <v>19</v>
      </c>
      <c r="J670" s="48">
        <v>0</v>
      </c>
      <c r="K670" s="48">
        <v>0</v>
      </c>
      <c r="L670" s="54">
        <v>46254</v>
      </c>
      <c r="M670" s="54">
        <v>46273</v>
      </c>
      <c r="N670" s="54">
        <v>46233</v>
      </c>
      <c r="O670" s="54">
        <v>46251</v>
      </c>
    </row>
    <row r="671" spans="2:15" x14ac:dyDescent="0.25">
      <c r="B671">
        <v>689</v>
      </c>
      <c r="C671" t="s">
        <v>93</v>
      </c>
      <c r="D671" t="s">
        <v>674</v>
      </c>
      <c r="E671">
        <v>695</v>
      </c>
      <c r="F671" t="s">
        <v>1515</v>
      </c>
      <c r="G671" t="s">
        <v>2029</v>
      </c>
      <c r="H671" t="s">
        <v>1519</v>
      </c>
      <c r="I671">
        <v>6</v>
      </c>
      <c r="J671" s="48">
        <v>0</v>
      </c>
      <c r="K671" s="48">
        <v>0</v>
      </c>
      <c r="L671" s="54">
        <v>46254</v>
      </c>
      <c r="M671" s="54">
        <v>46259</v>
      </c>
      <c r="N671" s="54">
        <v>46233</v>
      </c>
      <c r="O671" s="54">
        <v>46238</v>
      </c>
    </row>
    <row r="672" spans="2:15" x14ac:dyDescent="0.25">
      <c r="B672">
        <v>690</v>
      </c>
      <c r="C672" t="s">
        <v>93</v>
      </c>
      <c r="D672" t="s">
        <v>674</v>
      </c>
      <c r="E672">
        <v>689</v>
      </c>
      <c r="F672" t="s">
        <v>1517</v>
      </c>
      <c r="G672">
        <v>691</v>
      </c>
      <c r="H672" t="s">
        <v>1519</v>
      </c>
      <c r="I672">
        <v>4</v>
      </c>
      <c r="J672" s="48">
        <v>0</v>
      </c>
      <c r="K672" s="48">
        <v>0</v>
      </c>
      <c r="L672" s="54">
        <v>46259</v>
      </c>
      <c r="M672" s="54">
        <v>46262</v>
      </c>
      <c r="N672" s="54">
        <v>46238</v>
      </c>
      <c r="O672" s="54">
        <v>46241</v>
      </c>
    </row>
    <row r="673" spans="2:15" x14ac:dyDescent="0.25">
      <c r="B673">
        <v>691</v>
      </c>
      <c r="C673" t="s">
        <v>93</v>
      </c>
      <c r="D673" t="s">
        <v>674</v>
      </c>
      <c r="E673">
        <v>690</v>
      </c>
      <c r="F673" t="s">
        <v>1518</v>
      </c>
      <c r="G673">
        <v>692</v>
      </c>
      <c r="H673" t="s">
        <v>1519</v>
      </c>
      <c r="I673">
        <v>6</v>
      </c>
      <c r="J673" s="48">
        <v>0</v>
      </c>
      <c r="K673" s="48">
        <v>0</v>
      </c>
      <c r="L673" s="54">
        <v>46262</v>
      </c>
      <c r="M673" s="54">
        <v>46267</v>
      </c>
      <c r="N673" s="54">
        <v>46241</v>
      </c>
      <c r="O673" s="54">
        <v>46246</v>
      </c>
    </row>
    <row r="674" spans="2:15" x14ac:dyDescent="0.25">
      <c r="B674">
        <v>692</v>
      </c>
      <c r="C674" t="s">
        <v>93</v>
      </c>
      <c r="D674" t="s">
        <v>674</v>
      </c>
      <c r="E674">
        <v>691</v>
      </c>
      <c r="F674" t="s">
        <v>1520</v>
      </c>
      <c r="G674">
        <v>76</v>
      </c>
      <c r="H674" t="s">
        <v>1519</v>
      </c>
      <c r="I674">
        <v>6</v>
      </c>
      <c r="J674" s="48">
        <v>0</v>
      </c>
      <c r="K674" s="48">
        <v>0</v>
      </c>
      <c r="L674" s="54">
        <v>46267</v>
      </c>
      <c r="M674" s="54">
        <v>46273</v>
      </c>
      <c r="N674" s="54">
        <v>46246</v>
      </c>
      <c r="O674" s="54">
        <v>46251</v>
      </c>
    </row>
    <row r="675" spans="2:15" x14ac:dyDescent="0.25">
      <c r="B675">
        <v>693</v>
      </c>
      <c r="F675" t="s">
        <v>1557</v>
      </c>
      <c r="H675" t="s">
        <v>1559</v>
      </c>
      <c r="I675">
        <v>17</v>
      </c>
      <c r="J675" s="48">
        <v>0</v>
      </c>
      <c r="K675" s="48">
        <v>0</v>
      </c>
      <c r="L675" s="54">
        <v>46251</v>
      </c>
      <c r="M675" s="54">
        <v>46267</v>
      </c>
      <c r="N675" s="54">
        <v>46230</v>
      </c>
      <c r="O675" s="54">
        <v>46246</v>
      </c>
    </row>
    <row r="676" spans="2:15" x14ac:dyDescent="0.25">
      <c r="B676">
        <v>694</v>
      </c>
      <c r="C676" t="s">
        <v>182</v>
      </c>
      <c r="D676" t="s">
        <v>1047</v>
      </c>
      <c r="F676" t="s">
        <v>1697</v>
      </c>
      <c r="H676" t="s">
        <v>1559</v>
      </c>
      <c r="I676">
        <v>17</v>
      </c>
      <c r="J676" s="48">
        <v>0</v>
      </c>
      <c r="K676" s="48">
        <v>0</v>
      </c>
      <c r="L676" s="54">
        <v>46251</v>
      </c>
      <c r="M676" s="54">
        <v>46267</v>
      </c>
      <c r="N676" s="54">
        <v>46230</v>
      </c>
      <c r="O676" s="54">
        <v>46246</v>
      </c>
    </row>
    <row r="677" spans="2:15" x14ac:dyDescent="0.25">
      <c r="B677">
        <v>695</v>
      </c>
      <c r="C677" t="s">
        <v>182</v>
      </c>
      <c r="D677" t="s">
        <v>1047</v>
      </c>
      <c r="E677">
        <v>661</v>
      </c>
      <c r="F677" t="s">
        <v>1515</v>
      </c>
      <c r="G677" t="s">
        <v>2030</v>
      </c>
      <c r="H677" t="s">
        <v>1519</v>
      </c>
      <c r="I677">
        <v>4</v>
      </c>
      <c r="J677" s="48">
        <v>0</v>
      </c>
      <c r="K677" s="48">
        <v>0</v>
      </c>
      <c r="L677" s="54">
        <v>46251</v>
      </c>
      <c r="M677" s="54">
        <v>46254</v>
      </c>
      <c r="N677" s="54">
        <v>46230</v>
      </c>
      <c r="O677" s="54">
        <v>46233</v>
      </c>
    </row>
    <row r="678" spans="2:15" x14ac:dyDescent="0.25">
      <c r="B678">
        <v>696</v>
      </c>
      <c r="C678" t="s">
        <v>182</v>
      </c>
      <c r="D678" t="s">
        <v>1047</v>
      </c>
      <c r="E678">
        <v>695</v>
      </c>
      <c r="F678" t="s">
        <v>1517</v>
      </c>
      <c r="G678">
        <v>697</v>
      </c>
      <c r="H678" t="s">
        <v>1519</v>
      </c>
      <c r="I678">
        <v>6</v>
      </c>
      <c r="J678" s="48">
        <v>0</v>
      </c>
      <c r="K678" s="48">
        <v>0</v>
      </c>
      <c r="L678" s="54">
        <v>46254</v>
      </c>
      <c r="M678" s="54">
        <v>46259</v>
      </c>
      <c r="N678" s="54">
        <v>46233</v>
      </c>
      <c r="O678" s="54">
        <v>46238</v>
      </c>
    </row>
    <row r="679" spans="2:15" x14ac:dyDescent="0.25">
      <c r="B679">
        <v>697</v>
      </c>
      <c r="C679" t="s">
        <v>182</v>
      </c>
      <c r="D679" t="s">
        <v>1047</v>
      </c>
      <c r="E679">
        <v>696</v>
      </c>
      <c r="F679" t="s">
        <v>1518</v>
      </c>
      <c r="G679">
        <v>698</v>
      </c>
      <c r="H679" t="s">
        <v>1519</v>
      </c>
      <c r="I679">
        <v>4</v>
      </c>
      <c r="J679" s="48">
        <v>0</v>
      </c>
      <c r="K679" s="48">
        <v>0</v>
      </c>
      <c r="L679" s="54">
        <v>46259</v>
      </c>
      <c r="M679" s="54">
        <v>46262</v>
      </c>
      <c r="N679" s="54">
        <v>46238</v>
      </c>
      <c r="O679" s="54">
        <v>46241</v>
      </c>
    </row>
    <row r="680" spans="2:15" x14ac:dyDescent="0.25">
      <c r="B680">
        <v>698</v>
      </c>
      <c r="C680" t="s">
        <v>182</v>
      </c>
      <c r="D680" t="s">
        <v>1047</v>
      </c>
      <c r="E680">
        <v>697</v>
      </c>
      <c r="F680" t="s">
        <v>1520</v>
      </c>
      <c r="G680">
        <v>76</v>
      </c>
      <c r="H680" t="s">
        <v>1519</v>
      </c>
      <c r="I680">
        <v>6</v>
      </c>
      <c r="J680" s="48">
        <v>0</v>
      </c>
      <c r="K680" s="48">
        <v>0</v>
      </c>
      <c r="L680" s="54">
        <v>46262</v>
      </c>
      <c r="M680" s="54">
        <v>46267</v>
      </c>
      <c r="N680" s="54">
        <v>46241</v>
      </c>
      <c r="O680" s="54">
        <v>46246</v>
      </c>
    </row>
    <row r="681" spans="2:15" x14ac:dyDescent="0.25">
      <c r="B681">
        <v>699</v>
      </c>
      <c r="F681" t="s">
        <v>1472</v>
      </c>
      <c r="H681" t="s">
        <v>1473</v>
      </c>
      <c r="I681">
        <v>107</v>
      </c>
      <c r="J681" s="48">
        <v>0.1142</v>
      </c>
      <c r="K681" s="48">
        <v>0.13089999999999999</v>
      </c>
      <c r="L681" s="54">
        <v>46182</v>
      </c>
      <c r="M681" s="54">
        <v>46288</v>
      </c>
      <c r="N681" s="54">
        <v>46182</v>
      </c>
      <c r="O681" s="54">
        <v>46288</v>
      </c>
    </row>
    <row r="682" spans="2:15" x14ac:dyDescent="0.25">
      <c r="B682">
        <v>700</v>
      </c>
      <c r="F682" t="s">
        <v>1704</v>
      </c>
      <c r="H682" t="s">
        <v>1473</v>
      </c>
      <c r="I682">
        <v>107</v>
      </c>
      <c r="J682" s="48">
        <v>0.1142</v>
      </c>
      <c r="K682" s="48">
        <v>0.13089999999999999</v>
      </c>
      <c r="L682" s="54">
        <v>46182</v>
      </c>
      <c r="M682" s="54">
        <v>46288</v>
      </c>
      <c r="N682" s="54">
        <v>46182</v>
      </c>
      <c r="O682" s="54">
        <v>46288</v>
      </c>
    </row>
    <row r="683" spans="2:15" x14ac:dyDescent="0.25">
      <c r="B683">
        <v>701</v>
      </c>
      <c r="F683" t="s">
        <v>1705</v>
      </c>
      <c r="H683" t="s">
        <v>1473</v>
      </c>
      <c r="I683">
        <v>107</v>
      </c>
      <c r="J683" s="48">
        <v>0.1142</v>
      </c>
      <c r="K683" s="48">
        <v>0.13089999999999999</v>
      </c>
      <c r="L683" s="54">
        <v>46182</v>
      </c>
      <c r="M683" s="54">
        <v>46288</v>
      </c>
      <c r="N683" s="54">
        <v>46182</v>
      </c>
      <c r="O683" s="54">
        <v>46288</v>
      </c>
    </row>
    <row r="684" spans="2:15" x14ac:dyDescent="0.25">
      <c r="B684">
        <v>702</v>
      </c>
      <c r="F684" t="s">
        <v>1706</v>
      </c>
      <c r="H684" t="s">
        <v>1473</v>
      </c>
      <c r="I684">
        <v>107</v>
      </c>
      <c r="J684" s="48">
        <v>0.16350000000000001</v>
      </c>
      <c r="K684" s="48">
        <v>0.18740000000000001</v>
      </c>
      <c r="L684" s="54">
        <v>46182</v>
      </c>
      <c r="M684" s="54">
        <v>46288</v>
      </c>
      <c r="N684" s="54">
        <v>46182</v>
      </c>
      <c r="O684" s="54">
        <v>46288</v>
      </c>
    </row>
    <row r="685" spans="2:15" x14ac:dyDescent="0.25">
      <c r="B685">
        <v>703</v>
      </c>
      <c r="F685" t="s">
        <v>1560</v>
      </c>
      <c r="H685" t="s">
        <v>1473</v>
      </c>
      <c r="I685">
        <v>107</v>
      </c>
      <c r="J685" s="48">
        <v>0.16350000000000001</v>
      </c>
      <c r="K685" s="48">
        <v>0.18740000000000001</v>
      </c>
      <c r="L685" s="54">
        <v>46182</v>
      </c>
      <c r="M685" s="54">
        <v>46288</v>
      </c>
      <c r="N685" s="54">
        <v>46182</v>
      </c>
      <c r="O685" s="54">
        <v>46288</v>
      </c>
    </row>
    <row r="686" spans="2:15" x14ac:dyDescent="0.25">
      <c r="B686">
        <v>704</v>
      </c>
      <c r="F686" t="s">
        <v>1707</v>
      </c>
      <c r="H686" t="s">
        <v>1473</v>
      </c>
      <c r="I686">
        <v>107</v>
      </c>
      <c r="J686" s="48">
        <v>0.16350000000000001</v>
      </c>
      <c r="K686" s="48">
        <v>0.18740000000000001</v>
      </c>
      <c r="L686" s="54">
        <v>46182</v>
      </c>
      <c r="M686" s="54">
        <v>46288</v>
      </c>
      <c r="N686" s="54">
        <v>46182</v>
      </c>
      <c r="O686" s="54">
        <v>46288</v>
      </c>
    </row>
    <row r="687" spans="2:15" x14ac:dyDescent="0.25">
      <c r="B687">
        <v>705</v>
      </c>
      <c r="C687" t="s">
        <v>66</v>
      </c>
      <c r="D687" t="s">
        <v>558</v>
      </c>
      <c r="F687" t="s">
        <v>1708</v>
      </c>
      <c r="H687" t="s">
        <v>1591</v>
      </c>
      <c r="I687">
        <v>35</v>
      </c>
      <c r="J687" s="48">
        <v>0.99650000000000005</v>
      </c>
      <c r="K687" s="48">
        <v>0.8</v>
      </c>
      <c r="L687" s="54">
        <v>46182</v>
      </c>
      <c r="M687" s="54">
        <v>46209</v>
      </c>
      <c r="N687" s="54">
        <v>46182</v>
      </c>
      <c r="O687" s="54">
        <v>46216</v>
      </c>
    </row>
    <row r="688" spans="2:15" x14ac:dyDescent="0.25">
      <c r="B688">
        <v>706</v>
      </c>
      <c r="C688" t="s">
        <v>66</v>
      </c>
      <c r="D688" t="s">
        <v>558</v>
      </c>
      <c r="E688">
        <v>20</v>
      </c>
      <c r="F688" t="s">
        <v>1515</v>
      </c>
      <c r="G688" t="s">
        <v>2031</v>
      </c>
      <c r="H688" t="s">
        <v>1535</v>
      </c>
      <c r="I688">
        <v>18</v>
      </c>
      <c r="J688" s="48">
        <v>1</v>
      </c>
      <c r="K688" s="48">
        <v>1</v>
      </c>
      <c r="L688" s="54">
        <v>46182</v>
      </c>
      <c r="M688" s="54">
        <v>46196</v>
      </c>
      <c r="N688" s="54">
        <v>46182</v>
      </c>
      <c r="O688" s="54">
        <v>46199</v>
      </c>
    </row>
    <row r="689" spans="2:15" x14ac:dyDescent="0.25">
      <c r="B689">
        <v>707</v>
      </c>
      <c r="C689" t="s">
        <v>66</v>
      </c>
      <c r="D689" t="s">
        <v>558</v>
      </c>
      <c r="E689">
        <v>706</v>
      </c>
      <c r="F689" t="s">
        <v>1517</v>
      </c>
      <c r="G689">
        <v>708</v>
      </c>
      <c r="H689" t="s">
        <v>1519</v>
      </c>
      <c r="I689">
        <v>6</v>
      </c>
      <c r="J689" s="48">
        <v>1</v>
      </c>
      <c r="K689" s="48">
        <v>1</v>
      </c>
      <c r="L689" s="54">
        <v>46196</v>
      </c>
      <c r="M689" s="54">
        <v>46199</v>
      </c>
      <c r="N689" s="54">
        <v>46199</v>
      </c>
      <c r="O689" s="54">
        <v>46204</v>
      </c>
    </row>
    <row r="690" spans="2:15" x14ac:dyDescent="0.25">
      <c r="B690">
        <v>708</v>
      </c>
      <c r="C690" t="s">
        <v>66</v>
      </c>
      <c r="D690" t="s">
        <v>558</v>
      </c>
      <c r="E690">
        <v>707</v>
      </c>
      <c r="F690" t="s">
        <v>1518</v>
      </c>
      <c r="G690">
        <v>709</v>
      </c>
      <c r="H690" t="s">
        <v>1528</v>
      </c>
      <c r="I690">
        <v>8</v>
      </c>
      <c r="J690" s="48">
        <v>1</v>
      </c>
      <c r="K690" s="48">
        <v>0</v>
      </c>
      <c r="L690" s="54">
        <v>46199</v>
      </c>
      <c r="M690" s="54">
        <v>46204</v>
      </c>
      <c r="N690" s="54">
        <v>46204</v>
      </c>
      <c r="O690" s="54">
        <v>46211</v>
      </c>
    </row>
    <row r="691" spans="2:15" x14ac:dyDescent="0.25">
      <c r="B691">
        <v>709</v>
      </c>
      <c r="C691" t="s">
        <v>66</v>
      </c>
      <c r="D691" t="s">
        <v>558</v>
      </c>
      <c r="E691">
        <v>708</v>
      </c>
      <c r="F691" t="s">
        <v>1520</v>
      </c>
      <c r="G691">
        <v>76</v>
      </c>
      <c r="H691" t="s">
        <v>1519</v>
      </c>
      <c r="I691">
        <v>6</v>
      </c>
      <c r="J691" s="48">
        <v>0.87</v>
      </c>
      <c r="K691" s="48">
        <v>0</v>
      </c>
      <c r="L691" s="54">
        <v>46204</v>
      </c>
      <c r="M691" s="54">
        <v>46209</v>
      </c>
      <c r="N691" s="54">
        <v>46211</v>
      </c>
      <c r="O691" s="54">
        <v>46216</v>
      </c>
    </row>
    <row r="692" spans="2:15" x14ac:dyDescent="0.25">
      <c r="B692">
        <v>710</v>
      </c>
      <c r="C692" t="s">
        <v>28</v>
      </c>
      <c r="D692" t="s">
        <v>414</v>
      </c>
      <c r="F692" t="s">
        <v>1710</v>
      </c>
      <c r="H692" t="s">
        <v>1523</v>
      </c>
      <c r="I692">
        <v>10</v>
      </c>
      <c r="J692" s="48">
        <v>0.95079999999999998</v>
      </c>
      <c r="K692" s="48">
        <v>1</v>
      </c>
      <c r="L692" s="54">
        <v>46196</v>
      </c>
      <c r="M692" s="54">
        <v>46212</v>
      </c>
      <c r="N692" s="54">
        <v>46196</v>
      </c>
      <c r="O692" s="54">
        <v>46205</v>
      </c>
    </row>
    <row r="693" spans="2:15" x14ac:dyDescent="0.25">
      <c r="B693">
        <v>711</v>
      </c>
      <c r="C693" t="s">
        <v>28</v>
      </c>
      <c r="D693" t="s">
        <v>414</v>
      </c>
      <c r="E693" t="s">
        <v>2032</v>
      </c>
      <c r="F693" t="s">
        <v>1515</v>
      </c>
      <c r="G693" t="s">
        <v>2033</v>
      </c>
      <c r="H693" t="s">
        <v>1525</v>
      </c>
      <c r="I693">
        <v>7</v>
      </c>
      <c r="J693" s="48">
        <v>1</v>
      </c>
      <c r="K693" s="48">
        <v>1</v>
      </c>
      <c r="L693" s="54">
        <v>46196</v>
      </c>
      <c r="M693" s="54">
        <v>46199</v>
      </c>
      <c r="N693" s="54">
        <v>46196</v>
      </c>
      <c r="O693" s="54">
        <v>46202</v>
      </c>
    </row>
    <row r="694" spans="2:15" x14ac:dyDescent="0.25">
      <c r="B694">
        <v>712</v>
      </c>
      <c r="C694" t="s">
        <v>28</v>
      </c>
      <c r="D694" t="s">
        <v>414</v>
      </c>
      <c r="E694">
        <v>711</v>
      </c>
      <c r="F694" t="s">
        <v>1517</v>
      </c>
      <c r="G694" t="s">
        <v>2034</v>
      </c>
      <c r="H694" t="s">
        <v>1519</v>
      </c>
      <c r="I694">
        <v>4</v>
      </c>
      <c r="J694" s="48">
        <v>1</v>
      </c>
      <c r="K694" s="48">
        <v>1</v>
      </c>
      <c r="L694" s="54">
        <v>46199</v>
      </c>
      <c r="M694" s="54">
        <v>46204</v>
      </c>
      <c r="N694" s="54">
        <v>46202</v>
      </c>
      <c r="O694" s="54">
        <v>46205</v>
      </c>
    </row>
    <row r="695" spans="2:15" x14ac:dyDescent="0.25">
      <c r="B695">
        <v>713</v>
      </c>
      <c r="C695" t="s">
        <v>28</v>
      </c>
      <c r="D695" t="s">
        <v>414</v>
      </c>
      <c r="E695" t="s">
        <v>2035</v>
      </c>
      <c r="F695" t="s">
        <v>1518</v>
      </c>
      <c r="G695" t="s">
        <v>2036</v>
      </c>
      <c r="H695" t="s">
        <v>1525</v>
      </c>
      <c r="I695">
        <v>7</v>
      </c>
      <c r="J695" s="48">
        <v>0.87</v>
      </c>
      <c r="K695" s="48">
        <v>1</v>
      </c>
      <c r="L695" s="54">
        <v>46204</v>
      </c>
      <c r="M695" s="54">
        <v>46209</v>
      </c>
      <c r="N695" s="54">
        <v>46199</v>
      </c>
      <c r="O695" s="54">
        <v>46205</v>
      </c>
    </row>
    <row r="696" spans="2:15" x14ac:dyDescent="0.25">
      <c r="B696">
        <v>714</v>
      </c>
      <c r="C696" t="s">
        <v>28</v>
      </c>
      <c r="D696" t="s">
        <v>414</v>
      </c>
      <c r="E696" t="s">
        <v>2034</v>
      </c>
      <c r="F696" t="s">
        <v>1520</v>
      </c>
      <c r="G696">
        <v>76</v>
      </c>
      <c r="H696" t="s">
        <v>1519</v>
      </c>
      <c r="I696">
        <v>4</v>
      </c>
      <c r="J696" s="48">
        <v>0</v>
      </c>
      <c r="K696" s="48">
        <v>1</v>
      </c>
      <c r="L696" s="54">
        <v>46209</v>
      </c>
      <c r="M696" s="54">
        <v>46212</v>
      </c>
      <c r="N696" s="54">
        <v>46202</v>
      </c>
      <c r="O696" s="54">
        <v>46205</v>
      </c>
    </row>
    <row r="697" spans="2:15" x14ac:dyDescent="0.25">
      <c r="B697">
        <v>715</v>
      </c>
      <c r="C697" t="s">
        <v>37</v>
      </c>
      <c r="D697" t="s">
        <v>455</v>
      </c>
      <c r="F697" t="s">
        <v>1711</v>
      </c>
      <c r="H697" t="s">
        <v>1528</v>
      </c>
      <c r="I697">
        <v>8</v>
      </c>
      <c r="J697" s="48">
        <v>0.78610000000000002</v>
      </c>
      <c r="K697" s="48">
        <v>1</v>
      </c>
      <c r="L697" s="54">
        <v>46199</v>
      </c>
      <c r="M697" s="54">
        <v>46217</v>
      </c>
      <c r="N697" s="54">
        <v>46195</v>
      </c>
      <c r="O697" s="54">
        <v>46202</v>
      </c>
    </row>
    <row r="698" spans="2:15" x14ac:dyDescent="0.25">
      <c r="B698">
        <v>716</v>
      </c>
      <c r="C698" t="s">
        <v>37</v>
      </c>
      <c r="D698" t="s">
        <v>455</v>
      </c>
      <c r="E698" t="s">
        <v>2037</v>
      </c>
      <c r="F698" t="s">
        <v>1515</v>
      </c>
      <c r="G698" t="s">
        <v>2038</v>
      </c>
      <c r="H698" t="s">
        <v>1519</v>
      </c>
      <c r="I698">
        <v>6</v>
      </c>
      <c r="J698" s="48">
        <v>1</v>
      </c>
      <c r="K698" s="48">
        <v>1</v>
      </c>
      <c r="L698" s="54">
        <v>46199</v>
      </c>
      <c r="M698" s="54">
        <v>46204</v>
      </c>
      <c r="N698" s="54">
        <v>46197</v>
      </c>
      <c r="O698" s="54">
        <v>46202</v>
      </c>
    </row>
    <row r="699" spans="2:15" x14ac:dyDescent="0.25">
      <c r="B699">
        <v>717</v>
      </c>
      <c r="C699" t="s">
        <v>37</v>
      </c>
      <c r="D699" t="s">
        <v>455</v>
      </c>
      <c r="E699" t="s">
        <v>2039</v>
      </c>
      <c r="F699" t="s">
        <v>1517</v>
      </c>
      <c r="G699" t="s">
        <v>2040</v>
      </c>
      <c r="H699" t="s">
        <v>1528</v>
      </c>
      <c r="I699">
        <v>8</v>
      </c>
      <c r="J699" s="48">
        <v>0.87</v>
      </c>
      <c r="K699" s="48">
        <v>1</v>
      </c>
      <c r="L699" s="54">
        <v>46204</v>
      </c>
      <c r="M699" s="54">
        <v>46209</v>
      </c>
      <c r="N699" s="54">
        <v>46195</v>
      </c>
      <c r="O699" s="54">
        <v>46202</v>
      </c>
    </row>
    <row r="700" spans="2:15" x14ac:dyDescent="0.25">
      <c r="B700">
        <v>718</v>
      </c>
      <c r="C700" t="s">
        <v>37</v>
      </c>
      <c r="D700" t="s">
        <v>455</v>
      </c>
      <c r="E700" t="s">
        <v>2041</v>
      </c>
      <c r="F700" t="s">
        <v>1518</v>
      </c>
      <c r="G700" t="s">
        <v>2042</v>
      </c>
      <c r="H700" t="s">
        <v>1519</v>
      </c>
      <c r="I700">
        <v>6</v>
      </c>
      <c r="J700" s="48">
        <v>0</v>
      </c>
      <c r="K700" s="48">
        <v>1</v>
      </c>
      <c r="L700" s="54">
        <v>46209</v>
      </c>
      <c r="M700" s="54">
        <v>46212</v>
      </c>
      <c r="N700" s="54">
        <v>46197</v>
      </c>
      <c r="O700" s="54">
        <v>46202</v>
      </c>
    </row>
    <row r="701" spans="2:15" x14ac:dyDescent="0.25">
      <c r="B701">
        <v>719</v>
      </c>
      <c r="C701" t="s">
        <v>37</v>
      </c>
      <c r="D701" t="s">
        <v>455</v>
      </c>
      <c r="E701" t="s">
        <v>2040</v>
      </c>
      <c r="F701" t="s">
        <v>1520</v>
      </c>
      <c r="G701">
        <v>76</v>
      </c>
      <c r="H701" t="s">
        <v>1519</v>
      </c>
      <c r="I701">
        <v>6</v>
      </c>
      <c r="J701" s="48">
        <v>0</v>
      </c>
      <c r="K701" s="48">
        <v>1</v>
      </c>
      <c r="L701" s="54">
        <v>46212</v>
      </c>
      <c r="M701" s="54">
        <v>46217</v>
      </c>
      <c r="N701" s="54">
        <v>46197</v>
      </c>
      <c r="O701" s="54">
        <v>46202</v>
      </c>
    </row>
    <row r="702" spans="2:15" x14ac:dyDescent="0.25">
      <c r="B702">
        <v>720</v>
      </c>
      <c r="C702" t="s">
        <v>40</v>
      </c>
      <c r="D702" t="s">
        <v>475</v>
      </c>
      <c r="F702" t="s">
        <v>1712</v>
      </c>
      <c r="H702" t="s">
        <v>1528</v>
      </c>
      <c r="I702">
        <v>8</v>
      </c>
      <c r="J702" s="48">
        <v>0.78610000000000002</v>
      </c>
      <c r="K702" s="48">
        <v>1</v>
      </c>
      <c r="L702" s="54">
        <v>46199</v>
      </c>
      <c r="M702" s="54">
        <v>46217</v>
      </c>
      <c r="N702" s="54">
        <v>46199</v>
      </c>
      <c r="O702" s="54">
        <v>46206</v>
      </c>
    </row>
    <row r="703" spans="2:15" x14ac:dyDescent="0.25">
      <c r="B703">
        <v>721</v>
      </c>
      <c r="C703" t="s">
        <v>40</v>
      </c>
      <c r="D703" t="s">
        <v>475</v>
      </c>
      <c r="E703" t="s">
        <v>2043</v>
      </c>
      <c r="F703" t="s">
        <v>1515</v>
      </c>
      <c r="G703" t="s">
        <v>2044</v>
      </c>
      <c r="H703" t="s">
        <v>1519</v>
      </c>
      <c r="I703">
        <v>6</v>
      </c>
      <c r="J703" s="48">
        <v>1</v>
      </c>
      <c r="K703" s="48">
        <v>1</v>
      </c>
      <c r="L703" s="54">
        <v>46199</v>
      </c>
      <c r="M703" s="54">
        <v>46204</v>
      </c>
      <c r="N703" s="54">
        <v>46199</v>
      </c>
      <c r="O703" s="54">
        <v>46204</v>
      </c>
    </row>
    <row r="704" spans="2:15" x14ac:dyDescent="0.25">
      <c r="B704">
        <v>722</v>
      </c>
      <c r="C704" t="s">
        <v>40</v>
      </c>
      <c r="D704" t="s">
        <v>475</v>
      </c>
      <c r="E704">
        <v>721</v>
      </c>
      <c r="F704" t="s">
        <v>1517</v>
      </c>
      <c r="G704" t="s">
        <v>2045</v>
      </c>
      <c r="H704" t="s">
        <v>1642</v>
      </c>
      <c r="I704">
        <v>3</v>
      </c>
      <c r="J704" s="48">
        <v>0.87</v>
      </c>
      <c r="K704" s="48">
        <v>1</v>
      </c>
      <c r="L704" s="54">
        <v>46204</v>
      </c>
      <c r="M704" s="54">
        <v>46209</v>
      </c>
      <c r="N704" s="54">
        <v>46204</v>
      </c>
      <c r="O704" s="54">
        <v>46206</v>
      </c>
    </row>
    <row r="705" spans="2:15" x14ac:dyDescent="0.25">
      <c r="B705">
        <v>723</v>
      </c>
      <c r="C705" t="s">
        <v>40</v>
      </c>
      <c r="D705" t="s">
        <v>475</v>
      </c>
      <c r="E705" t="s">
        <v>2046</v>
      </c>
      <c r="F705" t="s">
        <v>1518</v>
      </c>
      <c r="G705" t="s">
        <v>2047</v>
      </c>
      <c r="H705" t="s">
        <v>1519</v>
      </c>
      <c r="I705">
        <v>4</v>
      </c>
      <c r="J705" s="48">
        <v>0</v>
      </c>
      <c r="K705" s="48">
        <v>1</v>
      </c>
      <c r="L705" s="54">
        <v>46209</v>
      </c>
      <c r="M705" s="54">
        <v>46212</v>
      </c>
      <c r="N705" s="54">
        <v>46203</v>
      </c>
      <c r="O705" s="54">
        <v>46206</v>
      </c>
    </row>
    <row r="706" spans="2:15" x14ac:dyDescent="0.25">
      <c r="B706">
        <v>724</v>
      </c>
      <c r="C706" t="s">
        <v>40</v>
      </c>
      <c r="D706" t="s">
        <v>475</v>
      </c>
      <c r="E706" t="s">
        <v>2045</v>
      </c>
      <c r="F706" t="s">
        <v>1520</v>
      </c>
      <c r="G706">
        <v>76</v>
      </c>
      <c r="H706" t="s">
        <v>1519</v>
      </c>
      <c r="I706">
        <v>4</v>
      </c>
      <c r="J706" s="48">
        <v>0</v>
      </c>
      <c r="K706" s="48">
        <v>1</v>
      </c>
      <c r="L706" s="54">
        <v>46212</v>
      </c>
      <c r="M706" s="54">
        <v>46217</v>
      </c>
      <c r="N706" s="54">
        <v>46203</v>
      </c>
      <c r="O706" s="54">
        <v>46206</v>
      </c>
    </row>
    <row r="707" spans="2:15" x14ac:dyDescent="0.25">
      <c r="B707">
        <v>725</v>
      </c>
      <c r="C707" t="s">
        <v>41</v>
      </c>
      <c r="D707" t="s">
        <v>481</v>
      </c>
      <c r="F707" t="s">
        <v>1713</v>
      </c>
      <c r="H707" t="s">
        <v>1559</v>
      </c>
      <c r="I707">
        <v>17</v>
      </c>
      <c r="J707" s="48">
        <v>0.60319999999999996</v>
      </c>
      <c r="K707" s="48">
        <v>0.69330000000000003</v>
      </c>
      <c r="L707" s="54">
        <v>46204</v>
      </c>
      <c r="M707" s="54">
        <v>46220</v>
      </c>
      <c r="N707" s="54">
        <v>46204</v>
      </c>
      <c r="O707" s="54">
        <v>46220</v>
      </c>
    </row>
    <row r="708" spans="2:15" x14ac:dyDescent="0.25">
      <c r="B708">
        <v>726</v>
      </c>
      <c r="C708" t="s">
        <v>41</v>
      </c>
      <c r="D708" t="s">
        <v>481</v>
      </c>
      <c r="E708">
        <v>721</v>
      </c>
      <c r="F708" t="s">
        <v>1515</v>
      </c>
      <c r="G708" t="s">
        <v>2048</v>
      </c>
      <c r="H708" t="s">
        <v>1519</v>
      </c>
      <c r="I708">
        <v>6</v>
      </c>
      <c r="J708" s="48">
        <v>0.87</v>
      </c>
      <c r="K708" s="48">
        <v>1</v>
      </c>
      <c r="L708" s="54">
        <v>46204</v>
      </c>
      <c r="M708" s="54">
        <v>46209</v>
      </c>
      <c r="N708" s="54">
        <v>46204</v>
      </c>
      <c r="O708" s="54">
        <v>46209</v>
      </c>
    </row>
    <row r="709" spans="2:15" x14ac:dyDescent="0.25">
      <c r="B709">
        <v>727</v>
      </c>
      <c r="C709" t="s">
        <v>41</v>
      </c>
      <c r="D709" t="s">
        <v>481</v>
      </c>
      <c r="E709">
        <v>726</v>
      </c>
      <c r="F709" t="s">
        <v>1517</v>
      </c>
      <c r="G709">
        <v>728</v>
      </c>
      <c r="H709" t="s">
        <v>1519</v>
      </c>
      <c r="I709">
        <v>4</v>
      </c>
      <c r="J709" s="48">
        <v>0</v>
      </c>
      <c r="K709" s="48">
        <v>0</v>
      </c>
      <c r="L709" s="54">
        <v>46209</v>
      </c>
      <c r="M709" s="54">
        <v>46212</v>
      </c>
      <c r="N709" s="54">
        <v>46209</v>
      </c>
      <c r="O709" s="54">
        <v>46212</v>
      </c>
    </row>
    <row r="710" spans="2:15" x14ac:dyDescent="0.25">
      <c r="B710">
        <v>728</v>
      </c>
      <c r="C710" t="s">
        <v>41</v>
      </c>
      <c r="D710" t="s">
        <v>481</v>
      </c>
      <c r="E710">
        <v>727</v>
      </c>
      <c r="F710" t="s">
        <v>1518</v>
      </c>
      <c r="G710">
        <v>729</v>
      </c>
      <c r="H710" t="s">
        <v>1519</v>
      </c>
      <c r="I710">
        <v>6</v>
      </c>
      <c r="J710" s="48">
        <v>0</v>
      </c>
      <c r="K710" s="48">
        <v>0</v>
      </c>
      <c r="L710" s="54">
        <v>46212</v>
      </c>
      <c r="M710" s="54">
        <v>46217</v>
      </c>
      <c r="N710" s="54">
        <v>46212</v>
      </c>
      <c r="O710" s="54">
        <v>46217</v>
      </c>
    </row>
    <row r="711" spans="2:15" x14ac:dyDescent="0.25">
      <c r="B711">
        <v>729</v>
      </c>
      <c r="C711" t="s">
        <v>41</v>
      </c>
      <c r="D711" t="s">
        <v>481</v>
      </c>
      <c r="E711">
        <v>728</v>
      </c>
      <c r="F711" t="s">
        <v>1520</v>
      </c>
      <c r="G711">
        <v>76</v>
      </c>
      <c r="H711" t="s">
        <v>1519</v>
      </c>
      <c r="I711">
        <v>4</v>
      </c>
      <c r="J711" s="48">
        <v>0</v>
      </c>
      <c r="K711" s="48">
        <v>0</v>
      </c>
      <c r="L711" s="54">
        <v>46217</v>
      </c>
      <c r="M711" s="54">
        <v>46220</v>
      </c>
      <c r="N711" s="54">
        <v>46217</v>
      </c>
      <c r="O711" s="54">
        <v>46220</v>
      </c>
    </row>
    <row r="712" spans="2:15" x14ac:dyDescent="0.25">
      <c r="B712">
        <v>730</v>
      </c>
      <c r="C712" t="s">
        <v>47</v>
      </c>
      <c r="D712" t="s">
        <v>507</v>
      </c>
      <c r="F712" t="s">
        <v>1714</v>
      </c>
      <c r="H712" t="s">
        <v>1559</v>
      </c>
      <c r="I712">
        <v>17</v>
      </c>
      <c r="J712" s="48">
        <v>0.60319999999999996</v>
      </c>
      <c r="K712" s="48">
        <v>0.69330000000000003</v>
      </c>
      <c r="L712" s="54">
        <v>46204</v>
      </c>
      <c r="M712" s="54">
        <v>46220</v>
      </c>
      <c r="N712" s="54">
        <v>46204</v>
      </c>
      <c r="O712" s="54">
        <v>46220</v>
      </c>
    </row>
    <row r="713" spans="2:15" x14ac:dyDescent="0.25">
      <c r="B713">
        <v>731</v>
      </c>
      <c r="C713" t="s">
        <v>47</v>
      </c>
      <c r="D713" t="s">
        <v>507</v>
      </c>
      <c r="E713" t="s">
        <v>2049</v>
      </c>
      <c r="F713" t="s">
        <v>1515</v>
      </c>
      <c r="G713" t="s">
        <v>2050</v>
      </c>
      <c r="H713" t="s">
        <v>1519</v>
      </c>
      <c r="I713">
        <v>6</v>
      </c>
      <c r="J713" s="48">
        <v>0.87</v>
      </c>
      <c r="K713" s="48">
        <v>1</v>
      </c>
      <c r="L713" s="54">
        <v>46204</v>
      </c>
      <c r="M713" s="54">
        <v>46209</v>
      </c>
      <c r="N713" s="54">
        <v>46204</v>
      </c>
      <c r="O713" s="54">
        <v>46209</v>
      </c>
    </row>
    <row r="714" spans="2:15" x14ac:dyDescent="0.25">
      <c r="B714">
        <v>732</v>
      </c>
      <c r="C714" t="s">
        <v>47</v>
      </c>
      <c r="D714" t="s">
        <v>507</v>
      </c>
      <c r="E714">
        <v>731</v>
      </c>
      <c r="F714" t="s">
        <v>1517</v>
      </c>
      <c r="G714">
        <v>733</v>
      </c>
      <c r="H714" t="s">
        <v>1519</v>
      </c>
      <c r="I714">
        <v>4</v>
      </c>
      <c r="J714" s="48">
        <v>0</v>
      </c>
      <c r="K714" s="48">
        <v>0</v>
      </c>
      <c r="L714" s="54">
        <v>46209</v>
      </c>
      <c r="M714" s="54">
        <v>46212</v>
      </c>
      <c r="N714" s="54">
        <v>46209</v>
      </c>
      <c r="O714" s="54">
        <v>46212</v>
      </c>
    </row>
    <row r="715" spans="2:15" x14ac:dyDescent="0.25">
      <c r="B715">
        <v>733</v>
      </c>
      <c r="C715" t="s">
        <v>47</v>
      </c>
      <c r="D715" t="s">
        <v>507</v>
      </c>
      <c r="E715">
        <v>732</v>
      </c>
      <c r="F715" t="s">
        <v>1518</v>
      </c>
      <c r="G715">
        <v>734</v>
      </c>
      <c r="H715" t="s">
        <v>1519</v>
      </c>
      <c r="I715">
        <v>6</v>
      </c>
      <c r="J715" s="48">
        <v>0</v>
      </c>
      <c r="K715" s="48">
        <v>0</v>
      </c>
      <c r="L715" s="54">
        <v>46212</v>
      </c>
      <c r="M715" s="54">
        <v>46217</v>
      </c>
      <c r="N715" s="54">
        <v>46212</v>
      </c>
      <c r="O715" s="54">
        <v>46217</v>
      </c>
    </row>
    <row r="716" spans="2:15" x14ac:dyDescent="0.25">
      <c r="B716">
        <v>734</v>
      </c>
      <c r="C716" t="s">
        <v>47</v>
      </c>
      <c r="D716" t="s">
        <v>507</v>
      </c>
      <c r="E716">
        <v>733</v>
      </c>
      <c r="F716" t="s">
        <v>1520</v>
      </c>
      <c r="G716">
        <v>76</v>
      </c>
      <c r="H716" t="s">
        <v>1519</v>
      </c>
      <c r="I716">
        <v>4</v>
      </c>
      <c r="J716" s="48">
        <v>0</v>
      </c>
      <c r="K716" s="48">
        <v>0</v>
      </c>
      <c r="L716" s="54">
        <v>46217</v>
      </c>
      <c r="M716" s="54">
        <v>46220</v>
      </c>
      <c r="N716" s="54">
        <v>46217</v>
      </c>
      <c r="O716" s="54">
        <v>46220</v>
      </c>
    </row>
    <row r="717" spans="2:15" x14ac:dyDescent="0.25">
      <c r="B717">
        <v>735</v>
      </c>
      <c r="C717" t="s">
        <v>39</v>
      </c>
      <c r="D717" t="s">
        <v>468</v>
      </c>
      <c r="F717" t="s">
        <v>1715</v>
      </c>
      <c r="H717" t="s">
        <v>1559</v>
      </c>
      <c r="I717">
        <v>17</v>
      </c>
      <c r="J717" s="48">
        <v>0.60319999999999996</v>
      </c>
      <c r="K717" s="48">
        <v>0.69330000000000003</v>
      </c>
      <c r="L717" s="54">
        <v>46204</v>
      </c>
      <c r="M717" s="54">
        <v>46220</v>
      </c>
      <c r="N717" s="54">
        <v>46204</v>
      </c>
      <c r="O717" s="54">
        <v>46220</v>
      </c>
    </row>
    <row r="718" spans="2:15" x14ac:dyDescent="0.25">
      <c r="B718">
        <v>736</v>
      </c>
      <c r="C718" t="s">
        <v>39</v>
      </c>
      <c r="D718" t="s">
        <v>468</v>
      </c>
      <c r="E718" t="s">
        <v>2051</v>
      </c>
      <c r="F718" t="s">
        <v>1515</v>
      </c>
      <c r="G718" t="s">
        <v>2052</v>
      </c>
      <c r="H718" t="s">
        <v>1519</v>
      </c>
      <c r="I718">
        <v>6</v>
      </c>
      <c r="J718" s="48">
        <v>0.87</v>
      </c>
      <c r="K718" s="48">
        <v>1</v>
      </c>
      <c r="L718" s="54">
        <v>46204</v>
      </c>
      <c r="M718" s="54">
        <v>46209</v>
      </c>
      <c r="N718" s="54">
        <v>46204</v>
      </c>
      <c r="O718" s="54">
        <v>46209</v>
      </c>
    </row>
    <row r="719" spans="2:15" x14ac:dyDescent="0.25">
      <c r="B719">
        <v>737</v>
      </c>
      <c r="C719" t="s">
        <v>39</v>
      </c>
      <c r="D719" t="s">
        <v>468</v>
      </c>
      <c r="E719">
        <v>736</v>
      </c>
      <c r="F719" t="s">
        <v>1517</v>
      </c>
      <c r="G719">
        <v>738</v>
      </c>
      <c r="H719" t="s">
        <v>1519</v>
      </c>
      <c r="I719">
        <v>4</v>
      </c>
      <c r="J719" s="48">
        <v>0</v>
      </c>
      <c r="K719" s="48">
        <v>0</v>
      </c>
      <c r="L719" s="54">
        <v>46209</v>
      </c>
      <c r="M719" s="54">
        <v>46212</v>
      </c>
      <c r="N719" s="54">
        <v>46209</v>
      </c>
      <c r="O719" s="54">
        <v>46212</v>
      </c>
    </row>
    <row r="720" spans="2:15" x14ac:dyDescent="0.25">
      <c r="B720">
        <v>738</v>
      </c>
      <c r="C720" t="s">
        <v>39</v>
      </c>
      <c r="D720" t="s">
        <v>468</v>
      </c>
      <c r="E720">
        <v>737</v>
      </c>
      <c r="F720" t="s">
        <v>1518</v>
      </c>
      <c r="G720">
        <v>739</v>
      </c>
      <c r="H720" t="s">
        <v>1519</v>
      </c>
      <c r="I720">
        <v>6</v>
      </c>
      <c r="J720" s="48">
        <v>0</v>
      </c>
      <c r="K720" s="48">
        <v>0</v>
      </c>
      <c r="L720" s="54">
        <v>46212</v>
      </c>
      <c r="M720" s="54">
        <v>46217</v>
      </c>
      <c r="N720" s="54">
        <v>46212</v>
      </c>
      <c r="O720" s="54">
        <v>46217</v>
      </c>
    </row>
    <row r="721" spans="2:15" x14ac:dyDescent="0.25">
      <c r="B721">
        <v>739</v>
      </c>
      <c r="C721" t="s">
        <v>39</v>
      </c>
      <c r="D721" t="s">
        <v>468</v>
      </c>
      <c r="E721">
        <v>738</v>
      </c>
      <c r="F721" t="s">
        <v>1520</v>
      </c>
      <c r="G721">
        <v>76</v>
      </c>
      <c r="H721" t="s">
        <v>1519</v>
      </c>
      <c r="I721">
        <v>4</v>
      </c>
      <c r="J721" s="48">
        <v>0</v>
      </c>
      <c r="K721" s="48">
        <v>0</v>
      </c>
      <c r="L721" s="54">
        <v>46217</v>
      </c>
      <c r="M721" s="54">
        <v>46220</v>
      </c>
      <c r="N721" s="54">
        <v>46217</v>
      </c>
      <c r="O721" s="54">
        <v>46220</v>
      </c>
    </row>
    <row r="722" spans="2:15" x14ac:dyDescent="0.25">
      <c r="B722">
        <v>740</v>
      </c>
      <c r="C722" t="s">
        <v>63</v>
      </c>
      <c r="D722" t="s">
        <v>543</v>
      </c>
      <c r="F722" t="s">
        <v>1716</v>
      </c>
      <c r="H722" t="s">
        <v>1559</v>
      </c>
      <c r="I722">
        <v>17</v>
      </c>
      <c r="J722" s="48">
        <v>0.60319999999999996</v>
      </c>
      <c r="K722" s="48">
        <v>0.41599999999999998</v>
      </c>
      <c r="L722" s="54">
        <v>46204</v>
      </c>
      <c r="M722" s="54">
        <v>46220</v>
      </c>
      <c r="N722" s="54">
        <v>46209</v>
      </c>
      <c r="O722" s="54">
        <v>46225</v>
      </c>
    </row>
    <row r="723" spans="2:15" x14ac:dyDescent="0.25">
      <c r="B723">
        <v>741</v>
      </c>
      <c r="C723" t="s">
        <v>63</v>
      </c>
      <c r="D723" t="s">
        <v>543</v>
      </c>
      <c r="E723">
        <v>736</v>
      </c>
      <c r="F723" t="s">
        <v>1515</v>
      </c>
      <c r="G723" t="s">
        <v>2053</v>
      </c>
      <c r="H723" t="s">
        <v>1519</v>
      </c>
      <c r="I723">
        <v>4</v>
      </c>
      <c r="J723" s="48">
        <v>0.87</v>
      </c>
      <c r="K723" s="48">
        <v>0.6</v>
      </c>
      <c r="L723" s="54">
        <v>46204</v>
      </c>
      <c r="M723" s="54">
        <v>46209</v>
      </c>
      <c r="N723" s="54">
        <v>46209</v>
      </c>
      <c r="O723" s="54">
        <v>46212</v>
      </c>
    </row>
    <row r="724" spans="2:15" x14ac:dyDescent="0.25">
      <c r="B724">
        <v>742</v>
      </c>
      <c r="C724" t="s">
        <v>63</v>
      </c>
      <c r="D724" t="s">
        <v>543</v>
      </c>
      <c r="E724">
        <v>741</v>
      </c>
      <c r="F724" t="s">
        <v>1517</v>
      </c>
      <c r="G724">
        <v>743</v>
      </c>
      <c r="H724" t="s">
        <v>1519</v>
      </c>
      <c r="I724">
        <v>6</v>
      </c>
      <c r="J724" s="48">
        <v>0</v>
      </c>
      <c r="K724" s="48">
        <v>0</v>
      </c>
      <c r="L724" s="54">
        <v>46209</v>
      </c>
      <c r="M724" s="54">
        <v>46212</v>
      </c>
      <c r="N724" s="54">
        <v>46212</v>
      </c>
      <c r="O724" s="54">
        <v>46217</v>
      </c>
    </row>
    <row r="725" spans="2:15" x14ac:dyDescent="0.25">
      <c r="B725">
        <v>743</v>
      </c>
      <c r="C725" t="s">
        <v>63</v>
      </c>
      <c r="D725" t="s">
        <v>543</v>
      </c>
      <c r="E725">
        <v>742</v>
      </c>
      <c r="F725" t="s">
        <v>1518</v>
      </c>
      <c r="G725">
        <v>744</v>
      </c>
      <c r="H725" t="s">
        <v>1519</v>
      </c>
      <c r="I725">
        <v>4</v>
      </c>
      <c r="J725" s="48">
        <v>0</v>
      </c>
      <c r="K725" s="48">
        <v>0</v>
      </c>
      <c r="L725" s="54">
        <v>46212</v>
      </c>
      <c r="M725" s="54">
        <v>46217</v>
      </c>
      <c r="N725" s="54">
        <v>46217</v>
      </c>
      <c r="O725" s="54">
        <v>46220</v>
      </c>
    </row>
    <row r="726" spans="2:15" x14ac:dyDescent="0.25">
      <c r="B726">
        <v>744</v>
      </c>
      <c r="C726" t="s">
        <v>63</v>
      </c>
      <c r="D726" t="s">
        <v>543</v>
      </c>
      <c r="E726">
        <v>743</v>
      </c>
      <c r="F726" t="s">
        <v>1520</v>
      </c>
      <c r="G726">
        <v>76</v>
      </c>
      <c r="H726" t="s">
        <v>1519</v>
      </c>
      <c r="I726">
        <v>6</v>
      </c>
      <c r="J726" s="48">
        <v>0</v>
      </c>
      <c r="K726" s="48">
        <v>0</v>
      </c>
      <c r="L726" s="54">
        <v>46217</v>
      </c>
      <c r="M726" s="54">
        <v>46220</v>
      </c>
      <c r="N726" s="54">
        <v>46220</v>
      </c>
      <c r="O726" s="54">
        <v>46225</v>
      </c>
    </row>
    <row r="727" spans="2:15" x14ac:dyDescent="0.25">
      <c r="B727">
        <v>745</v>
      </c>
      <c r="C727" t="s">
        <v>15</v>
      </c>
      <c r="D727" t="s">
        <v>344</v>
      </c>
      <c r="F727" t="s">
        <v>1717</v>
      </c>
      <c r="H727" t="s">
        <v>1559</v>
      </c>
      <c r="I727">
        <v>17</v>
      </c>
      <c r="J727" s="48">
        <v>0</v>
      </c>
      <c r="K727" s="48">
        <v>0.41599999999999998</v>
      </c>
      <c r="L727" s="54">
        <v>46209</v>
      </c>
      <c r="M727" s="54">
        <v>46225</v>
      </c>
      <c r="N727" s="54">
        <v>46209</v>
      </c>
      <c r="O727" s="54">
        <v>46225</v>
      </c>
    </row>
    <row r="728" spans="2:15" x14ac:dyDescent="0.25">
      <c r="B728">
        <v>746</v>
      </c>
      <c r="C728" t="s">
        <v>15</v>
      </c>
      <c r="D728" t="s">
        <v>344</v>
      </c>
      <c r="E728" t="s">
        <v>2054</v>
      </c>
      <c r="F728" t="s">
        <v>1515</v>
      </c>
      <c r="G728" t="s">
        <v>2055</v>
      </c>
      <c r="H728" t="s">
        <v>1519</v>
      </c>
      <c r="I728">
        <v>4</v>
      </c>
      <c r="J728" s="48">
        <v>0</v>
      </c>
      <c r="K728" s="48">
        <v>0.6</v>
      </c>
      <c r="L728" s="54">
        <v>46209</v>
      </c>
      <c r="M728" s="54">
        <v>46212</v>
      </c>
      <c r="N728" s="54">
        <v>46209</v>
      </c>
      <c r="O728" s="54">
        <v>46212</v>
      </c>
    </row>
    <row r="729" spans="2:15" x14ac:dyDescent="0.25">
      <c r="B729">
        <v>747</v>
      </c>
      <c r="C729" t="s">
        <v>15</v>
      </c>
      <c r="D729" t="s">
        <v>344</v>
      </c>
      <c r="E729">
        <v>746</v>
      </c>
      <c r="F729" t="s">
        <v>1517</v>
      </c>
      <c r="G729">
        <v>748</v>
      </c>
      <c r="H729" t="s">
        <v>1519</v>
      </c>
      <c r="I729">
        <v>6</v>
      </c>
      <c r="J729" s="48">
        <v>0</v>
      </c>
      <c r="K729" s="48">
        <v>0</v>
      </c>
      <c r="L729" s="54">
        <v>46212</v>
      </c>
      <c r="M729" s="54">
        <v>46217</v>
      </c>
      <c r="N729" s="54">
        <v>46212</v>
      </c>
      <c r="O729" s="54">
        <v>46217</v>
      </c>
    </row>
    <row r="730" spans="2:15" x14ac:dyDescent="0.25">
      <c r="B730">
        <v>748</v>
      </c>
      <c r="C730" t="s">
        <v>15</v>
      </c>
      <c r="D730" t="s">
        <v>344</v>
      </c>
      <c r="E730">
        <v>747</v>
      </c>
      <c r="F730" t="s">
        <v>1518</v>
      </c>
      <c r="G730">
        <v>749</v>
      </c>
      <c r="H730" t="s">
        <v>1519</v>
      </c>
      <c r="I730">
        <v>4</v>
      </c>
      <c r="J730" s="48">
        <v>0</v>
      </c>
      <c r="K730" s="48">
        <v>0</v>
      </c>
      <c r="L730" s="54">
        <v>46217</v>
      </c>
      <c r="M730" s="54">
        <v>46220</v>
      </c>
      <c r="N730" s="54">
        <v>46217</v>
      </c>
      <c r="O730" s="54">
        <v>46220</v>
      </c>
    </row>
    <row r="731" spans="2:15" x14ac:dyDescent="0.25">
      <c r="B731">
        <v>749</v>
      </c>
      <c r="C731" t="s">
        <v>15</v>
      </c>
      <c r="D731" t="s">
        <v>344</v>
      </c>
      <c r="E731">
        <v>748</v>
      </c>
      <c r="F731" t="s">
        <v>1520</v>
      </c>
      <c r="G731">
        <v>76</v>
      </c>
      <c r="H731" t="s">
        <v>1519</v>
      </c>
      <c r="I731">
        <v>6</v>
      </c>
      <c r="J731" s="48">
        <v>0</v>
      </c>
      <c r="K731" s="48">
        <v>0</v>
      </c>
      <c r="L731" s="54">
        <v>46220</v>
      </c>
      <c r="M731" s="54">
        <v>46225</v>
      </c>
      <c r="N731" s="54">
        <v>46220</v>
      </c>
      <c r="O731" s="54">
        <v>46225</v>
      </c>
    </row>
    <row r="732" spans="2:15" x14ac:dyDescent="0.25">
      <c r="B732">
        <v>750</v>
      </c>
      <c r="C732" t="s">
        <v>16</v>
      </c>
      <c r="D732" t="s">
        <v>347</v>
      </c>
      <c r="F732" t="s">
        <v>1718</v>
      </c>
      <c r="H732" t="s">
        <v>1559</v>
      </c>
      <c r="I732">
        <v>19</v>
      </c>
      <c r="J732" s="48">
        <v>0</v>
      </c>
      <c r="K732" s="48">
        <v>0</v>
      </c>
      <c r="L732" s="54">
        <v>46212</v>
      </c>
      <c r="M732" s="54">
        <v>46230</v>
      </c>
      <c r="N732" s="54">
        <v>46212</v>
      </c>
      <c r="O732" s="54">
        <v>46230</v>
      </c>
    </row>
    <row r="733" spans="2:15" x14ac:dyDescent="0.25">
      <c r="B733">
        <v>751</v>
      </c>
      <c r="C733" t="s">
        <v>16</v>
      </c>
      <c r="D733" t="s">
        <v>347</v>
      </c>
      <c r="E733">
        <v>746</v>
      </c>
      <c r="F733" t="s">
        <v>1515</v>
      </c>
      <c r="G733" t="s">
        <v>2056</v>
      </c>
      <c r="H733" t="s">
        <v>1519</v>
      </c>
      <c r="I733">
        <v>6</v>
      </c>
      <c r="J733" s="48">
        <v>0</v>
      </c>
      <c r="K733" s="48">
        <v>0</v>
      </c>
      <c r="L733" s="54">
        <v>46212</v>
      </c>
      <c r="M733" s="54">
        <v>46217</v>
      </c>
      <c r="N733" s="54">
        <v>46212</v>
      </c>
      <c r="O733" s="54">
        <v>46217</v>
      </c>
    </row>
    <row r="734" spans="2:15" x14ac:dyDescent="0.25">
      <c r="B734">
        <v>752</v>
      </c>
      <c r="C734" t="s">
        <v>16</v>
      </c>
      <c r="D734" t="s">
        <v>347</v>
      </c>
      <c r="E734">
        <v>751</v>
      </c>
      <c r="F734" t="s">
        <v>1517</v>
      </c>
      <c r="G734">
        <v>753</v>
      </c>
      <c r="H734" t="s">
        <v>1519</v>
      </c>
      <c r="I734">
        <v>4</v>
      </c>
      <c r="J734" s="48">
        <v>0</v>
      </c>
      <c r="K734" s="48">
        <v>0</v>
      </c>
      <c r="L734" s="54">
        <v>46217</v>
      </c>
      <c r="M734" s="54">
        <v>46220</v>
      </c>
      <c r="N734" s="54">
        <v>46217</v>
      </c>
      <c r="O734" s="54">
        <v>46220</v>
      </c>
    </row>
    <row r="735" spans="2:15" x14ac:dyDescent="0.25">
      <c r="B735">
        <v>753</v>
      </c>
      <c r="C735" t="s">
        <v>16</v>
      </c>
      <c r="D735" t="s">
        <v>347</v>
      </c>
      <c r="E735">
        <v>752</v>
      </c>
      <c r="F735" t="s">
        <v>1518</v>
      </c>
      <c r="G735">
        <v>754</v>
      </c>
      <c r="H735" t="s">
        <v>1519</v>
      </c>
      <c r="I735">
        <v>6</v>
      </c>
      <c r="J735" s="48">
        <v>0</v>
      </c>
      <c r="K735" s="48">
        <v>0</v>
      </c>
      <c r="L735" s="54">
        <v>46220</v>
      </c>
      <c r="M735" s="54">
        <v>46225</v>
      </c>
      <c r="N735" s="54">
        <v>46220</v>
      </c>
      <c r="O735" s="54">
        <v>46225</v>
      </c>
    </row>
    <row r="736" spans="2:15" x14ac:dyDescent="0.25">
      <c r="B736">
        <v>754</v>
      </c>
      <c r="C736" t="s">
        <v>16</v>
      </c>
      <c r="D736" t="s">
        <v>347</v>
      </c>
      <c r="E736">
        <v>753</v>
      </c>
      <c r="F736" t="s">
        <v>1520</v>
      </c>
      <c r="G736">
        <v>76</v>
      </c>
      <c r="H736" t="s">
        <v>1519</v>
      </c>
      <c r="I736">
        <v>6</v>
      </c>
      <c r="J736" s="48">
        <v>0</v>
      </c>
      <c r="K736" s="48">
        <v>0</v>
      </c>
      <c r="L736" s="54">
        <v>46225</v>
      </c>
      <c r="M736" s="54">
        <v>46230</v>
      </c>
      <c r="N736" s="54">
        <v>46225</v>
      </c>
      <c r="O736" s="54">
        <v>46230</v>
      </c>
    </row>
    <row r="737" spans="2:15" x14ac:dyDescent="0.25">
      <c r="B737">
        <v>755</v>
      </c>
      <c r="C737" t="s">
        <v>70</v>
      </c>
      <c r="D737" t="s">
        <v>565</v>
      </c>
      <c r="F737" t="s">
        <v>1719</v>
      </c>
      <c r="H737" t="s">
        <v>1559</v>
      </c>
      <c r="I737">
        <v>17</v>
      </c>
      <c r="J737" s="48">
        <v>0</v>
      </c>
      <c r="K737" s="48">
        <v>0</v>
      </c>
      <c r="L737" s="54">
        <v>46217</v>
      </c>
      <c r="M737" s="54">
        <v>46233</v>
      </c>
      <c r="N737" s="54">
        <v>46217</v>
      </c>
      <c r="O737" s="54">
        <v>46233</v>
      </c>
    </row>
    <row r="738" spans="2:15" x14ac:dyDescent="0.25">
      <c r="B738">
        <v>756</v>
      </c>
      <c r="C738" t="s">
        <v>70</v>
      </c>
      <c r="D738" t="s">
        <v>565</v>
      </c>
      <c r="E738">
        <v>751</v>
      </c>
      <c r="F738" t="s">
        <v>1515</v>
      </c>
      <c r="G738" t="s">
        <v>2057</v>
      </c>
      <c r="H738" t="s">
        <v>1519</v>
      </c>
      <c r="I738">
        <v>4</v>
      </c>
      <c r="J738" s="48">
        <v>0</v>
      </c>
      <c r="K738" s="48">
        <v>0</v>
      </c>
      <c r="L738" s="54">
        <v>46217</v>
      </c>
      <c r="M738" s="54">
        <v>46220</v>
      </c>
      <c r="N738" s="54">
        <v>46217</v>
      </c>
      <c r="O738" s="54">
        <v>46220</v>
      </c>
    </row>
    <row r="739" spans="2:15" x14ac:dyDescent="0.25">
      <c r="B739">
        <v>757</v>
      </c>
      <c r="C739" t="s">
        <v>70</v>
      </c>
      <c r="D739" t="s">
        <v>565</v>
      </c>
      <c r="E739">
        <v>756</v>
      </c>
      <c r="F739" t="s">
        <v>1517</v>
      </c>
      <c r="G739">
        <v>758</v>
      </c>
      <c r="H739" t="s">
        <v>1519</v>
      </c>
      <c r="I739">
        <v>6</v>
      </c>
      <c r="J739" s="48">
        <v>0</v>
      </c>
      <c r="K739" s="48">
        <v>0</v>
      </c>
      <c r="L739" s="54">
        <v>46220</v>
      </c>
      <c r="M739" s="54">
        <v>46225</v>
      </c>
      <c r="N739" s="54">
        <v>46220</v>
      </c>
      <c r="O739" s="54">
        <v>46225</v>
      </c>
    </row>
    <row r="740" spans="2:15" x14ac:dyDescent="0.25">
      <c r="B740">
        <v>758</v>
      </c>
      <c r="C740" t="s">
        <v>70</v>
      </c>
      <c r="D740" t="s">
        <v>565</v>
      </c>
      <c r="E740">
        <v>757</v>
      </c>
      <c r="F740" t="s">
        <v>1518</v>
      </c>
      <c r="G740">
        <v>759</v>
      </c>
      <c r="H740" t="s">
        <v>1519</v>
      </c>
      <c r="I740">
        <v>6</v>
      </c>
      <c r="J740" s="48">
        <v>0</v>
      </c>
      <c r="K740" s="48">
        <v>0</v>
      </c>
      <c r="L740" s="54">
        <v>46225</v>
      </c>
      <c r="M740" s="54">
        <v>46230</v>
      </c>
      <c r="N740" s="54">
        <v>46225</v>
      </c>
      <c r="O740" s="54">
        <v>46230</v>
      </c>
    </row>
    <row r="741" spans="2:15" x14ac:dyDescent="0.25">
      <c r="B741">
        <v>759</v>
      </c>
      <c r="C741" t="s">
        <v>70</v>
      </c>
      <c r="D741" t="s">
        <v>565</v>
      </c>
      <c r="E741">
        <v>758</v>
      </c>
      <c r="F741" t="s">
        <v>1520</v>
      </c>
      <c r="G741">
        <v>76</v>
      </c>
      <c r="H741" t="s">
        <v>1519</v>
      </c>
      <c r="I741">
        <v>4</v>
      </c>
      <c r="J741" s="48">
        <v>0</v>
      </c>
      <c r="K741" s="48">
        <v>0</v>
      </c>
      <c r="L741" s="54">
        <v>46230</v>
      </c>
      <c r="M741" s="54">
        <v>46233</v>
      </c>
      <c r="N741" s="54">
        <v>46230</v>
      </c>
      <c r="O741" s="54">
        <v>46233</v>
      </c>
    </row>
    <row r="742" spans="2:15" x14ac:dyDescent="0.25">
      <c r="B742">
        <v>760</v>
      </c>
      <c r="C742" t="s">
        <v>27</v>
      </c>
      <c r="D742" t="s">
        <v>410</v>
      </c>
      <c r="F742" t="s">
        <v>1720</v>
      </c>
      <c r="H742" t="s">
        <v>1559</v>
      </c>
      <c r="I742">
        <v>17</v>
      </c>
      <c r="J742" s="48">
        <v>0</v>
      </c>
      <c r="K742" s="48">
        <v>0</v>
      </c>
      <c r="L742" s="54">
        <v>46217</v>
      </c>
      <c r="M742" s="54">
        <v>46233</v>
      </c>
      <c r="N742" s="54">
        <v>46217</v>
      </c>
      <c r="O742" s="54">
        <v>46233</v>
      </c>
    </row>
    <row r="743" spans="2:15" x14ac:dyDescent="0.25">
      <c r="B743">
        <v>761</v>
      </c>
      <c r="C743" t="s">
        <v>27</v>
      </c>
      <c r="D743" t="s">
        <v>410</v>
      </c>
      <c r="E743" t="s">
        <v>2058</v>
      </c>
      <c r="F743" t="s">
        <v>1515</v>
      </c>
      <c r="G743" t="s">
        <v>2059</v>
      </c>
      <c r="H743" t="s">
        <v>1519</v>
      </c>
      <c r="I743">
        <v>4</v>
      </c>
      <c r="J743" s="48">
        <v>0</v>
      </c>
      <c r="K743" s="48">
        <v>0</v>
      </c>
      <c r="L743" s="54">
        <v>46217</v>
      </c>
      <c r="M743" s="54">
        <v>46220</v>
      </c>
      <c r="N743" s="54">
        <v>46217</v>
      </c>
      <c r="O743" s="54">
        <v>46220</v>
      </c>
    </row>
    <row r="744" spans="2:15" x14ac:dyDescent="0.25">
      <c r="B744">
        <v>762</v>
      </c>
      <c r="C744" t="s">
        <v>27</v>
      </c>
      <c r="D744" t="s">
        <v>410</v>
      </c>
      <c r="E744">
        <v>761</v>
      </c>
      <c r="F744" t="s">
        <v>1517</v>
      </c>
      <c r="G744">
        <v>763</v>
      </c>
      <c r="H744" t="s">
        <v>1519</v>
      </c>
      <c r="I744">
        <v>6</v>
      </c>
      <c r="J744" s="48">
        <v>0</v>
      </c>
      <c r="K744" s="48">
        <v>0</v>
      </c>
      <c r="L744" s="54">
        <v>46220</v>
      </c>
      <c r="M744" s="54">
        <v>46225</v>
      </c>
      <c r="N744" s="54">
        <v>46220</v>
      </c>
      <c r="O744" s="54">
        <v>46225</v>
      </c>
    </row>
    <row r="745" spans="2:15" x14ac:dyDescent="0.25">
      <c r="B745">
        <v>763</v>
      </c>
      <c r="C745" t="s">
        <v>27</v>
      </c>
      <c r="D745" t="s">
        <v>410</v>
      </c>
      <c r="E745">
        <v>762</v>
      </c>
      <c r="F745" t="s">
        <v>1518</v>
      </c>
      <c r="G745">
        <v>764</v>
      </c>
      <c r="H745" t="s">
        <v>1519</v>
      </c>
      <c r="I745">
        <v>6</v>
      </c>
      <c r="J745" s="48">
        <v>0</v>
      </c>
      <c r="K745" s="48">
        <v>0</v>
      </c>
      <c r="L745" s="54">
        <v>46225</v>
      </c>
      <c r="M745" s="54">
        <v>46230</v>
      </c>
      <c r="N745" s="54">
        <v>46225</v>
      </c>
      <c r="O745" s="54">
        <v>46230</v>
      </c>
    </row>
    <row r="746" spans="2:15" x14ac:dyDescent="0.25">
      <c r="B746">
        <v>764</v>
      </c>
      <c r="C746" t="s">
        <v>27</v>
      </c>
      <c r="D746" t="s">
        <v>410</v>
      </c>
      <c r="E746">
        <v>763</v>
      </c>
      <c r="F746" t="s">
        <v>1520</v>
      </c>
      <c r="G746">
        <v>76</v>
      </c>
      <c r="H746" t="s">
        <v>1519</v>
      </c>
      <c r="I746">
        <v>4</v>
      </c>
      <c r="J746" s="48">
        <v>0</v>
      </c>
      <c r="K746" s="48">
        <v>0</v>
      </c>
      <c r="L746" s="54">
        <v>46230</v>
      </c>
      <c r="M746" s="54">
        <v>46233</v>
      </c>
      <c r="N746" s="54">
        <v>46230</v>
      </c>
      <c r="O746" s="54">
        <v>46233</v>
      </c>
    </row>
    <row r="747" spans="2:15" x14ac:dyDescent="0.25">
      <c r="B747">
        <v>765</v>
      </c>
      <c r="C747" t="s">
        <v>51</v>
      </c>
      <c r="D747" t="s">
        <v>524</v>
      </c>
      <c r="F747" t="s">
        <v>1721</v>
      </c>
      <c r="H747" t="s">
        <v>1559</v>
      </c>
      <c r="I747">
        <v>17</v>
      </c>
      <c r="J747" s="48">
        <v>0</v>
      </c>
      <c r="K747" s="48">
        <v>0</v>
      </c>
      <c r="L747" s="54">
        <v>46217</v>
      </c>
      <c r="M747" s="54">
        <v>46233</v>
      </c>
      <c r="N747" s="54">
        <v>46217</v>
      </c>
      <c r="O747" s="54">
        <v>46233</v>
      </c>
    </row>
    <row r="748" spans="2:15" x14ac:dyDescent="0.25">
      <c r="B748">
        <v>766</v>
      </c>
      <c r="C748" t="s">
        <v>51</v>
      </c>
      <c r="D748" t="s">
        <v>524</v>
      </c>
      <c r="E748" t="s">
        <v>2060</v>
      </c>
      <c r="F748" t="s">
        <v>1515</v>
      </c>
      <c r="G748" t="s">
        <v>2061</v>
      </c>
      <c r="H748" t="s">
        <v>1519</v>
      </c>
      <c r="I748">
        <v>4</v>
      </c>
      <c r="J748" s="48">
        <v>0</v>
      </c>
      <c r="K748" s="48">
        <v>0</v>
      </c>
      <c r="L748" s="54">
        <v>46217</v>
      </c>
      <c r="M748" s="54">
        <v>46220</v>
      </c>
      <c r="N748" s="54">
        <v>46217</v>
      </c>
      <c r="O748" s="54">
        <v>46220</v>
      </c>
    </row>
    <row r="749" spans="2:15" x14ac:dyDescent="0.25">
      <c r="B749">
        <v>767</v>
      </c>
      <c r="C749" t="s">
        <v>51</v>
      </c>
      <c r="D749" t="s">
        <v>524</v>
      </c>
      <c r="E749">
        <v>766</v>
      </c>
      <c r="F749" t="s">
        <v>1517</v>
      </c>
      <c r="G749">
        <v>768</v>
      </c>
      <c r="H749" t="s">
        <v>1519</v>
      </c>
      <c r="I749">
        <v>6</v>
      </c>
      <c r="J749" s="48">
        <v>0</v>
      </c>
      <c r="K749" s="48">
        <v>0</v>
      </c>
      <c r="L749" s="54">
        <v>46220</v>
      </c>
      <c r="M749" s="54">
        <v>46225</v>
      </c>
      <c r="N749" s="54">
        <v>46220</v>
      </c>
      <c r="O749" s="54">
        <v>46225</v>
      </c>
    </row>
    <row r="750" spans="2:15" x14ac:dyDescent="0.25">
      <c r="B750">
        <v>768</v>
      </c>
      <c r="C750" t="s">
        <v>51</v>
      </c>
      <c r="D750" t="s">
        <v>524</v>
      </c>
      <c r="E750">
        <v>767</v>
      </c>
      <c r="F750" t="s">
        <v>1518</v>
      </c>
      <c r="G750">
        <v>769</v>
      </c>
      <c r="H750" t="s">
        <v>1519</v>
      </c>
      <c r="I750">
        <v>6</v>
      </c>
      <c r="J750" s="48">
        <v>0</v>
      </c>
      <c r="K750" s="48">
        <v>0</v>
      </c>
      <c r="L750" s="54">
        <v>46225</v>
      </c>
      <c r="M750" s="54">
        <v>46230</v>
      </c>
      <c r="N750" s="54">
        <v>46225</v>
      </c>
      <c r="O750" s="54">
        <v>46230</v>
      </c>
    </row>
    <row r="751" spans="2:15" x14ac:dyDescent="0.25">
      <c r="B751">
        <v>769</v>
      </c>
      <c r="C751" t="s">
        <v>51</v>
      </c>
      <c r="D751" t="s">
        <v>524</v>
      </c>
      <c r="E751">
        <v>768</v>
      </c>
      <c r="F751" t="s">
        <v>1520</v>
      </c>
      <c r="G751">
        <v>76</v>
      </c>
      <c r="H751" t="s">
        <v>1519</v>
      </c>
      <c r="I751">
        <v>4</v>
      </c>
      <c r="J751" s="48">
        <v>0</v>
      </c>
      <c r="K751" s="48">
        <v>0</v>
      </c>
      <c r="L751" s="54">
        <v>46230</v>
      </c>
      <c r="M751" s="54">
        <v>46233</v>
      </c>
      <c r="N751" s="54">
        <v>46230</v>
      </c>
      <c r="O751" s="54">
        <v>46233</v>
      </c>
    </row>
    <row r="752" spans="2:15" x14ac:dyDescent="0.25">
      <c r="B752">
        <v>770</v>
      </c>
      <c r="C752" t="s">
        <v>49</v>
      </c>
      <c r="D752" t="s">
        <v>515</v>
      </c>
      <c r="F752" t="s">
        <v>1722</v>
      </c>
      <c r="H752" t="s">
        <v>1559</v>
      </c>
      <c r="I752">
        <v>19</v>
      </c>
      <c r="J752" s="48">
        <v>0</v>
      </c>
      <c r="K752" s="48">
        <v>0</v>
      </c>
      <c r="L752" s="54">
        <v>46220</v>
      </c>
      <c r="M752" s="54">
        <v>46238</v>
      </c>
      <c r="N752" s="54">
        <v>46220</v>
      </c>
      <c r="O752" s="54">
        <v>46238</v>
      </c>
    </row>
    <row r="753" spans="2:15" x14ac:dyDescent="0.25">
      <c r="B753">
        <v>771</v>
      </c>
      <c r="C753" t="s">
        <v>49</v>
      </c>
      <c r="D753" t="s">
        <v>515</v>
      </c>
      <c r="E753">
        <v>766</v>
      </c>
      <c r="F753" t="s">
        <v>1515</v>
      </c>
      <c r="G753" t="s">
        <v>2062</v>
      </c>
      <c r="H753" t="s">
        <v>1519</v>
      </c>
      <c r="I753">
        <v>6</v>
      </c>
      <c r="J753" s="48">
        <v>0</v>
      </c>
      <c r="K753" s="48">
        <v>0</v>
      </c>
      <c r="L753" s="54">
        <v>46220</v>
      </c>
      <c r="M753" s="54">
        <v>46225</v>
      </c>
      <c r="N753" s="54">
        <v>46220</v>
      </c>
      <c r="O753" s="54">
        <v>46225</v>
      </c>
    </row>
    <row r="754" spans="2:15" x14ac:dyDescent="0.25">
      <c r="B754">
        <v>772</v>
      </c>
      <c r="C754" t="s">
        <v>49</v>
      </c>
      <c r="D754" t="s">
        <v>515</v>
      </c>
      <c r="E754">
        <v>771</v>
      </c>
      <c r="F754" t="s">
        <v>1517</v>
      </c>
      <c r="G754">
        <v>773</v>
      </c>
      <c r="H754" t="s">
        <v>1519</v>
      </c>
      <c r="I754">
        <v>6</v>
      </c>
      <c r="J754" s="48">
        <v>0</v>
      </c>
      <c r="K754" s="48">
        <v>0</v>
      </c>
      <c r="L754" s="54">
        <v>46225</v>
      </c>
      <c r="M754" s="54">
        <v>46230</v>
      </c>
      <c r="N754" s="54">
        <v>46225</v>
      </c>
      <c r="O754" s="54">
        <v>46230</v>
      </c>
    </row>
    <row r="755" spans="2:15" x14ac:dyDescent="0.25">
      <c r="B755">
        <v>773</v>
      </c>
      <c r="C755" t="s">
        <v>49</v>
      </c>
      <c r="D755" t="s">
        <v>515</v>
      </c>
      <c r="E755">
        <v>772</v>
      </c>
      <c r="F755" t="s">
        <v>1518</v>
      </c>
      <c r="G755">
        <v>774</v>
      </c>
      <c r="H755" t="s">
        <v>1519</v>
      </c>
      <c r="I755">
        <v>4</v>
      </c>
      <c r="J755" s="48">
        <v>0</v>
      </c>
      <c r="K755" s="48">
        <v>0</v>
      </c>
      <c r="L755" s="54">
        <v>46230</v>
      </c>
      <c r="M755" s="54">
        <v>46233</v>
      </c>
      <c r="N755" s="54">
        <v>46230</v>
      </c>
      <c r="O755" s="54">
        <v>46233</v>
      </c>
    </row>
    <row r="756" spans="2:15" x14ac:dyDescent="0.25">
      <c r="B756">
        <v>774</v>
      </c>
      <c r="C756" t="s">
        <v>49</v>
      </c>
      <c r="D756" t="s">
        <v>515</v>
      </c>
      <c r="E756">
        <v>773</v>
      </c>
      <c r="F756" t="s">
        <v>1520</v>
      </c>
      <c r="G756">
        <v>76</v>
      </c>
      <c r="H756" t="s">
        <v>1519</v>
      </c>
      <c r="I756">
        <v>6</v>
      </c>
      <c r="J756" s="48">
        <v>0</v>
      </c>
      <c r="K756" s="48">
        <v>0</v>
      </c>
      <c r="L756" s="54">
        <v>46233</v>
      </c>
      <c r="M756" s="54">
        <v>46238</v>
      </c>
      <c r="N756" s="54">
        <v>46233</v>
      </c>
      <c r="O756" s="54">
        <v>46238</v>
      </c>
    </row>
    <row r="757" spans="2:15" x14ac:dyDescent="0.25">
      <c r="B757">
        <v>775</v>
      </c>
      <c r="C757" t="s">
        <v>22</v>
      </c>
      <c r="D757" t="s">
        <v>386</v>
      </c>
      <c r="F757" t="s">
        <v>1723</v>
      </c>
      <c r="H757" t="s">
        <v>1509</v>
      </c>
      <c r="I757">
        <v>15</v>
      </c>
      <c r="J757" s="48">
        <v>0</v>
      </c>
      <c r="K757" s="48">
        <v>0</v>
      </c>
      <c r="L757" s="54">
        <v>46225</v>
      </c>
      <c r="M757" s="54">
        <v>46239</v>
      </c>
      <c r="N757" s="54">
        <v>46225</v>
      </c>
      <c r="O757" s="54">
        <v>46239</v>
      </c>
    </row>
    <row r="758" spans="2:15" x14ac:dyDescent="0.25">
      <c r="B758">
        <v>776</v>
      </c>
      <c r="C758" t="s">
        <v>22</v>
      </c>
      <c r="D758" t="s">
        <v>386</v>
      </c>
      <c r="E758">
        <v>771</v>
      </c>
      <c r="F758" t="s">
        <v>1515</v>
      </c>
      <c r="G758" t="s">
        <v>2063</v>
      </c>
      <c r="H758" t="s">
        <v>1692</v>
      </c>
      <c r="I758">
        <v>2</v>
      </c>
      <c r="J758" s="48">
        <v>0</v>
      </c>
      <c r="K758" s="48">
        <v>0</v>
      </c>
      <c r="L758" s="54">
        <v>46225</v>
      </c>
      <c r="M758" s="54">
        <v>46226</v>
      </c>
      <c r="N758" s="54">
        <v>46225</v>
      </c>
      <c r="O758" s="54">
        <v>46226</v>
      </c>
    </row>
    <row r="759" spans="2:15" x14ac:dyDescent="0.25">
      <c r="B759">
        <v>777</v>
      </c>
      <c r="C759" t="s">
        <v>22</v>
      </c>
      <c r="D759" t="s">
        <v>386</v>
      </c>
      <c r="E759">
        <v>776</v>
      </c>
      <c r="F759" t="s">
        <v>1517</v>
      </c>
      <c r="G759">
        <v>778</v>
      </c>
      <c r="H759" t="s">
        <v>1519</v>
      </c>
      <c r="I759">
        <v>6</v>
      </c>
      <c r="J759" s="48">
        <v>0</v>
      </c>
      <c r="K759" s="48">
        <v>0</v>
      </c>
      <c r="L759" s="54">
        <v>46226</v>
      </c>
      <c r="M759" s="54">
        <v>46231</v>
      </c>
      <c r="N759" s="54">
        <v>46226</v>
      </c>
      <c r="O759" s="54">
        <v>46231</v>
      </c>
    </row>
    <row r="760" spans="2:15" x14ac:dyDescent="0.25">
      <c r="B760">
        <v>778</v>
      </c>
      <c r="C760" t="s">
        <v>22</v>
      </c>
      <c r="D760" t="s">
        <v>386</v>
      </c>
      <c r="E760">
        <v>777</v>
      </c>
      <c r="F760" t="s">
        <v>1518</v>
      </c>
      <c r="G760">
        <v>779</v>
      </c>
      <c r="H760" t="s">
        <v>1519</v>
      </c>
      <c r="I760">
        <v>4</v>
      </c>
      <c r="J760" s="48">
        <v>0</v>
      </c>
      <c r="K760" s="48">
        <v>0</v>
      </c>
      <c r="L760" s="54">
        <v>46231</v>
      </c>
      <c r="M760" s="54">
        <v>46234</v>
      </c>
      <c r="N760" s="54">
        <v>46231</v>
      </c>
      <c r="O760" s="54">
        <v>46234</v>
      </c>
    </row>
    <row r="761" spans="2:15" x14ac:dyDescent="0.25">
      <c r="B761">
        <v>779</v>
      </c>
      <c r="C761" t="s">
        <v>22</v>
      </c>
      <c r="D761" t="s">
        <v>386</v>
      </c>
      <c r="E761">
        <v>778</v>
      </c>
      <c r="F761" t="s">
        <v>1520</v>
      </c>
      <c r="G761">
        <v>76</v>
      </c>
      <c r="H761" t="s">
        <v>1519</v>
      </c>
      <c r="I761">
        <v>6</v>
      </c>
      <c r="J761" s="48">
        <v>0</v>
      </c>
      <c r="K761" s="48">
        <v>0</v>
      </c>
      <c r="L761" s="54">
        <v>46234</v>
      </c>
      <c r="M761" s="54">
        <v>46239</v>
      </c>
      <c r="N761" s="54">
        <v>46234</v>
      </c>
      <c r="O761" s="54">
        <v>46239</v>
      </c>
    </row>
    <row r="762" spans="2:15" x14ac:dyDescent="0.25">
      <c r="B762">
        <v>780</v>
      </c>
      <c r="C762" t="s">
        <v>64</v>
      </c>
      <c r="D762" t="s">
        <v>548</v>
      </c>
      <c r="F762" t="s">
        <v>1724</v>
      </c>
      <c r="H762" t="s">
        <v>1509</v>
      </c>
      <c r="I762">
        <v>15</v>
      </c>
      <c r="J762" s="48">
        <v>0</v>
      </c>
      <c r="K762" s="48">
        <v>0</v>
      </c>
      <c r="L762" s="54">
        <v>46226</v>
      </c>
      <c r="M762" s="54">
        <v>46240</v>
      </c>
      <c r="N762" s="54">
        <v>46226</v>
      </c>
      <c r="O762" s="54">
        <v>46240</v>
      </c>
    </row>
    <row r="763" spans="2:15" x14ac:dyDescent="0.25">
      <c r="B763">
        <v>781</v>
      </c>
      <c r="C763" t="s">
        <v>64</v>
      </c>
      <c r="D763" t="s">
        <v>548</v>
      </c>
      <c r="E763">
        <v>776</v>
      </c>
      <c r="F763" t="s">
        <v>1515</v>
      </c>
      <c r="G763" t="s">
        <v>2064</v>
      </c>
      <c r="H763" t="s">
        <v>1692</v>
      </c>
      <c r="I763">
        <v>2</v>
      </c>
      <c r="J763" s="48">
        <v>0</v>
      </c>
      <c r="K763" s="48">
        <v>0</v>
      </c>
      <c r="L763" s="54">
        <v>46226</v>
      </c>
      <c r="M763" s="54">
        <v>46227</v>
      </c>
      <c r="N763" s="54">
        <v>46226</v>
      </c>
      <c r="O763" s="54">
        <v>46227</v>
      </c>
    </row>
    <row r="764" spans="2:15" x14ac:dyDescent="0.25">
      <c r="B764">
        <v>782</v>
      </c>
      <c r="C764" t="s">
        <v>64</v>
      </c>
      <c r="D764" t="s">
        <v>548</v>
      </c>
      <c r="E764">
        <v>781</v>
      </c>
      <c r="F764" t="s">
        <v>1517</v>
      </c>
      <c r="G764">
        <v>783</v>
      </c>
      <c r="H764" t="s">
        <v>1519</v>
      </c>
      <c r="I764">
        <v>6</v>
      </c>
      <c r="J764" s="48">
        <v>0</v>
      </c>
      <c r="K764" s="48">
        <v>0</v>
      </c>
      <c r="L764" s="54">
        <v>46227</v>
      </c>
      <c r="M764" s="54">
        <v>46232</v>
      </c>
      <c r="N764" s="54">
        <v>46227</v>
      </c>
      <c r="O764" s="54">
        <v>46232</v>
      </c>
    </row>
    <row r="765" spans="2:15" x14ac:dyDescent="0.25">
      <c r="B765">
        <v>783</v>
      </c>
      <c r="C765" t="s">
        <v>64</v>
      </c>
      <c r="D765" t="s">
        <v>548</v>
      </c>
      <c r="E765">
        <v>782</v>
      </c>
      <c r="F765" t="s">
        <v>1518</v>
      </c>
      <c r="G765">
        <v>784</v>
      </c>
      <c r="H765" t="s">
        <v>1519</v>
      </c>
      <c r="I765">
        <v>6</v>
      </c>
      <c r="J765" s="48">
        <v>0</v>
      </c>
      <c r="K765" s="48">
        <v>0</v>
      </c>
      <c r="L765" s="54">
        <v>46232</v>
      </c>
      <c r="M765" s="54">
        <v>46237</v>
      </c>
      <c r="N765" s="54">
        <v>46232</v>
      </c>
      <c r="O765" s="54">
        <v>46237</v>
      </c>
    </row>
    <row r="766" spans="2:15" x14ac:dyDescent="0.25">
      <c r="B766">
        <v>784</v>
      </c>
      <c r="C766" t="s">
        <v>64</v>
      </c>
      <c r="D766" t="s">
        <v>548</v>
      </c>
      <c r="E766">
        <v>783</v>
      </c>
      <c r="F766" t="s">
        <v>1520</v>
      </c>
      <c r="G766">
        <v>76</v>
      </c>
      <c r="H766" t="s">
        <v>1519</v>
      </c>
      <c r="I766">
        <v>4</v>
      </c>
      <c r="J766" s="48">
        <v>0</v>
      </c>
      <c r="K766" s="48">
        <v>0</v>
      </c>
      <c r="L766" s="54">
        <v>46237</v>
      </c>
      <c r="M766" s="54">
        <v>46240</v>
      </c>
      <c r="N766" s="54">
        <v>46237</v>
      </c>
      <c r="O766" s="54">
        <v>46240</v>
      </c>
    </row>
    <row r="767" spans="2:15" x14ac:dyDescent="0.25">
      <c r="B767">
        <v>785</v>
      </c>
      <c r="C767" t="s">
        <v>26</v>
      </c>
      <c r="D767" t="s">
        <v>405</v>
      </c>
      <c r="F767" t="s">
        <v>1725</v>
      </c>
      <c r="H767" t="s">
        <v>1509</v>
      </c>
      <c r="I767">
        <v>15</v>
      </c>
      <c r="J767" s="48">
        <v>0</v>
      </c>
      <c r="K767" s="48">
        <v>0</v>
      </c>
      <c r="L767" s="54">
        <v>46254</v>
      </c>
      <c r="M767" s="54">
        <v>46268</v>
      </c>
      <c r="N767" s="54">
        <v>46254</v>
      </c>
      <c r="O767" s="54">
        <v>46268</v>
      </c>
    </row>
    <row r="768" spans="2:15" x14ac:dyDescent="0.25">
      <c r="B768">
        <v>786</v>
      </c>
      <c r="C768" t="s">
        <v>26</v>
      </c>
      <c r="D768" t="s">
        <v>405</v>
      </c>
      <c r="E768">
        <v>940</v>
      </c>
      <c r="F768" t="s">
        <v>1515</v>
      </c>
      <c r="G768" t="s">
        <v>2065</v>
      </c>
      <c r="H768" t="s">
        <v>1692</v>
      </c>
      <c r="I768">
        <v>2</v>
      </c>
      <c r="J768" s="48">
        <v>0</v>
      </c>
      <c r="K768" s="48">
        <v>0</v>
      </c>
      <c r="L768" s="54">
        <v>46254</v>
      </c>
      <c r="M768" s="54">
        <v>46255</v>
      </c>
      <c r="N768" s="54">
        <v>46254</v>
      </c>
      <c r="O768" s="54">
        <v>46255</v>
      </c>
    </row>
    <row r="769" spans="2:15" x14ac:dyDescent="0.25">
      <c r="B769">
        <v>787</v>
      </c>
      <c r="C769" t="s">
        <v>26</v>
      </c>
      <c r="D769" t="s">
        <v>405</v>
      </c>
      <c r="E769">
        <v>786</v>
      </c>
      <c r="F769" t="s">
        <v>1517</v>
      </c>
      <c r="G769">
        <v>788</v>
      </c>
      <c r="H769" t="s">
        <v>1519</v>
      </c>
      <c r="I769">
        <v>6</v>
      </c>
      <c r="J769" s="48">
        <v>0</v>
      </c>
      <c r="K769" s="48">
        <v>0</v>
      </c>
      <c r="L769" s="54">
        <v>46255</v>
      </c>
      <c r="M769" s="54">
        <v>46260</v>
      </c>
      <c r="N769" s="54">
        <v>46255</v>
      </c>
      <c r="O769" s="54">
        <v>46260</v>
      </c>
    </row>
    <row r="770" spans="2:15" x14ac:dyDescent="0.25">
      <c r="B770">
        <v>788</v>
      </c>
      <c r="C770" t="s">
        <v>26</v>
      </c>
      <c r="D770" t="s">
        <v>405</v>
      </c>
      <c r="E770">
        <v>787</v>
      </c>
      <c r="F770" t="s">
        <v>1518</v>
      </c>
      <c r="G770">
        <v>789</v>
      </c>
      <c r="H770" t="s">
        <v>1519</v>
      </c>
      <c r="I770">
        <v>6</v>
      </c>
      <c r="J770" s="48">
        <v>0</v>
      </c>
      <c r="K770" s="48">
        <v>0</v>
      </c>
      <c r="L770" s="54">
        <v>46260</v>
      </c>
      <c r="M770" s="54">
        <v>46265</v>
      </c>
      <c r="N770" s="54">
        <v>46260</v>
      </c>
      <c r="O770" s="54">
        <v>46265</v>
      </c>
    </row>
    <row r="771" spans="2:15" x14ac:dyDescent="0.25">
      <c r="B771">
        <v>789</v>
      </c>
      <c r="C771" t="s">
        <v>26</v>
      </c>
      <c r="D771" t="s">
        <v>405</v>
      </c>
      <c r="E771">
        <v>788</v>
      </c>
      <c r="F771" t="s">
        <v>1520</v>
      </c>
      <c r="G771">
        <v>76</v>
      </c>
      <c r="H771" t="s">
        <v>1519</v>
      </c>
      <c r="I771">
        <v>4</v>
      </c>
      <c r="J771" s="48">
        <v>0</v>
      </c>
      <c r="K771" s="48">
        <v>0</v>
      </c>
      <c r="L771" s="54">
        <v>46265</v>
      </c>
      <c r="M771" s="54">
        <v>46268</v>
      </c>
      <c r="N771" s="54">
        <v>46265</v>
      </c>
      <c r="O771" s="54">
        <v>46268</v>
      </c>
    </row>
    <row r="772" spans="2:15" x14ac:dyDescent="0.25">
      <c r="B772">
        <v>790</v>
      </c>
      <c r="C772" t="s">
        <v>43</v>
      </c>
      <c r="D772" t="s">
        <v>491</v>
      </c>
      <c r="F772" t="s">
        <v>1726</v>
      </c>
      <c r="H772" t="s">
        <v>1509</v>
      </c>
      <c r="I772">
        <v>15</v>
      </c>
      <c r="J772" s="48">
        <v>0</v>
      </c>
      <c r="K772" s="48">
        <v>0</v>
      </c>
      <c r="L772" s="54">
        <v>46254</v>
      </c>
      <c r="M772" s="54">
        <v>46268</v>
      </c>
      <c r="N772" s="54">
        <v>46254</v>
      </c>
      <c r="O772" s="54">
        <v>46268</v>
      </c>
    </row>
    <row r="773" spans="2:15" x14ac:dyDescent="0.25">
      <c r="B773">
        <v>791</v>
      </c>
      <c r="C773" t="s">
        <v>43</v>
      </c>
      <c r="D773" t="s">
        <v>491</v>
      </c>
      <c r="E773" t="s">
        <v>2066</v>
      </c>
      <c r="F773" t="s">
        <v>1515</v>
      </c>
      <c r="G773" t="s">
        <v>2067</v>
      </c>
      <c r="H773" t="s">
        <v>1692</v>
      </c>
      <c r="I773">
        <v>2</v>
      </c>
      <c r="J773" s="48">
        <v>0</v>
      </c>
      <c r="K773" s="48">
        <v>0</v>
      </c>
      <c r="L773" s="54">
        <v>46254</v>
      </c>
      <c r="M773" s="54">
        <v>46255</v>
      </c>
      <c r="N773" s="54">
        <v>46254</v>
      </c>
      <c r="O773" s="54">
        <v>46255</v>
      </c>
    </row>
    <row r="774" spans="2:15" x14ac:dyDescent="0.25">
      <c r="B774">
        <v>792</v>
      </c>
      <c r="C774" t="s">
        <v>43</v>
      </c>
      <c r="D774" t="s">
        <v>491</v>
      </c>
      <c r="E774">
        <v>791</v>
      </c>
      <c r="F774" t="s">
        <v>1517</v>
      </c>
      <c r="G774">
        <v>793</v>
      </c>
      <c r="H774" t="s">
        <v>1519</v>
      </c>
      <c r="I774">
        <v>6</v>
      </c>
      <c r="J774" s="48">
        <v>0</v>
      </c>
      <c r="K774" s="48">
        <v>0</v>
      </c>
      <c r="L774" s="54">
        <v>46255</v>
      </c>
      <c r="M774" s="54">
        <v>46260</v>
      </c>
      <c r="N774" s="54">
        <v>46255</v>
      </c>
      <c r="O774" s="54">
        <v>46260</v>
      </c>
    </row>
    <row r="775" spans="2:15" x14ac:dyDescent="0.25">
      <c r="B775">
        <v>793</v>
      </c>
      <c r="C775" t="s">
        <v>43</v>
      </c>
      <c r="D775" t="s">
        <v>491</v>
      </c>
      <c r="E775">
        <v>792</v>
      </c>
      <c r="F775" t="s">
        <v>1518</v>
      </c>
      <c r="G775">
        <v>794</v>
      </c>
      <c r="H775" t="s">
        <v>1519</v>
      </c>
      <c r="I775">
        <v>6</v>
      </c>
      <c r="J775" s="48">
        <v>0</v>
      </c>
      <c r="K775" s="48">
        <v>0</v>
      </c>
      <c r="L775" s="54">
        <v>46260</v>
      </c>
      <c r="M775" s="54">
        <v>46265</v>
      </c>
      <c r="N775" s="54">
        <v>46260</v>
      </c>
      <c r="O775" s="54">
        <v>46265</v>
      </c>
    </row>
    <row r="776" spans="2:15" x14ac:dyDescent="0.25">
      <c r="B776">
        <v>794</v>
      </c>
      <c r="C776" t="s">
        <v>43</v>
      </c>
      <c r="D776" t="s">
        <v>491</v>
      </c>
      <c r="E776">
        <v>793</v>
      </c>
      <c r="F776" t="s">
        <v>1520</v>
      </c>
      <c r="G776">
        <v>76</v>
      </c>
      <c r="H776" t="s">
        <v>1519</v>
      </c>
      <c r="I776">
        <v>4</v>
      </c>
      <c r="J776" s="48">
        <v>0</v>
      </c>
      <c r="K776" s="48">
        <v>0</v>
      </c>
      <c r="L776" s="54">
        <v>46265</v>
      </c>
      <c r="M776" s="54">
        <v>46268</v>
      </c>
      <c r="N776" s="54">
        <v>46265</v>
      </c>
      <c r="O776" s="54">
        <v>46268</v>
      </c>
    </row>
    <row r="777" spans="2:15" x14ac:dyDescent="0.25">
      <c r="B777">
        <v>795</v>
      </c>
      <c r="C777" t="s">
        <v>33</v>
      </c>
      <c r="D777" t="s">
        <v>439</v>
      </c>
      <c r="F777" t="s">
        <v>1727</v>
      </c>
      <c r="H777" t="s">
        <v>1509</v>
      </c>
      <c r="I777">
        <v>15</v>
      </c>
      <c r="J777" s="48">
        <v>0</v>
      </c>
      <c r="K777" s="48">
        <v>0</v>
      </c>
      <c r="L777" s="54">
        <v>46255</v>
      </c>
      <c r="M777" s="54">
        <v>46269</v>
      </c>
      <c r="N777" s="54">
        <v>46255</v>
      </c>
      <c r="O777" s="54">
        <v>46269</v>
      </c>
    </row>
    <row r="778" spans="2:15" x14ac:dyDescent="0.25">
      <c r="B778">
        <v>796</v>
      </c>
      <c r="C778" t="s">
        <v>33</v>
      </c>
      <c r="D778" t="s">
        <v>439</v>
      </c>
      <c r="E778">
        <v>791</v>
      </c>
      <c r="F778" t="s">
        <v>1515</v>
      </c>
      <c r="G778" t="s">
        <v>2068</v>
      </c>
      <c r="H778" t="s">
        <v>1692</v>
      </c>
      <c r="I778">
        <v>4</v>
      </c>
      <c r="J778" s="48">
        <v>0</v>
      </c>
      <c r="K778" s="48">
        <v>0</v>
      </c>
      <c r="L778" s="54">
        <v>46255</v>
      </c>
      <c r="M778" s="54">
        <v>46258</v>
      </c>
      <c r="N778" s="54">
        <v>46255</v>
      </c>
      <c r="O778" s="54">
        <v>46258</v>
      </c>
    </row>
    <row r="779" spans="2:15" x14ac:dyDescent="0.25">
      <c r="B779">
        <v>797</v>
      </c>
      <c r="C779" t="s">
        <v>33</v>
      </c>
      <c r="D779" t="s">
        <v>439</v>
      </c>
      <c r="E779">
        <v>796</v>
      </c>
      <c r="F779" t="s">
        <v>1517</v>
      </c>
      <c r="G779">
        <v>798</v>
      </c>
      <c r="H779" t="s">
        <v>1519</v>
      </c>
      <c r="I779">
        <v>4</v>
      </c>
      <c r="J779" s="48">
        <v>0</v>
      </c>
      <c r="K779" s="48">
        <v>0</v>
      </c>
      <c r="L779" s="54">
        <v>46258</v>
      </c>
      <c r="M779" s="54">
        <v>46261</v>
      </c>
      <c r="N779" s="54">
        <v>46258</v>
      </c>
      <c r="O779" s="54">
        <v>46261</v>
      </c>
    </row>
    <row r="780" spans="2:15" x14ac:dyDescent="0.25">
      <c r="B780">
        <v>798</v>
      </c>
      <c r="C780" t="s">
        <v>33</v>
      </c>
      <c r="D780" t="s">
        <v>439</v>
      </c>
      <c r="E780">
        <v>797</v>
      </c>
      <c r="F780" t="s">
        <v>1518</v>
      </c>
      <c r="G780">
        <v>799</v>
      </c>
      <c r="H780" t="s">
        <v>1519</v>
      </c>
      <c r="I780">
        <v>6</v>
      </c>
      <c r="J780" s="48">
        <v>0</v>
      </c>
      <c r="K780" s="48">
        <v>0</v>
      </c>
      <c r="L780" s="54">
        <v>46261</v>
      </c>
      <c r="M780" s="54">
        <v>46266</v>
      </c>
      <c r="N780" s="54">
        <v>46261</v>
      </c>
      <c r="O780" s="54">
        <v>46266</v>
      </c>
    </row>
    <row r="781" spans="2:15" x14ac:dyDescent="0.25">
      <c r="B781">
        <v>799</v>
      </c>
      <c r="C781" t="s">
        <v>33</v>
      </c>
      <c r="D781" t="s">
        <v>439</v>
      </c>
      <c r="E781">
        <v>798</v>
      </c>
      <c r="F781" t="s">
        <v>1520</v>
      </c>
      <c r="G781">
        <v>76</v>
      </c>
      <c r="H781" t="s">
        <v>1519</v>
      </c>
      <c r="I781">
        <v>4</v>
      </c>
      <c r="J781" s="48">
        <v>0</v>
      </c>
      <c r="K781" s="48">
        <v>0</v>
      </c>
      <c r="L781" s="54">
        <v>46266</v>
      </c>
      <c r="M781" s="54">
        <v>46269</v>
      </c>
      <c r="N781" s="54">
        <v>46266</v>
      </c>
      <c r="O781" s="54">
        <v>46269</v>
      </c>
    </row>
    <row r="782" spans="2:15" x14ac:dyDescent="0.25">
      <c r="B782">
        <v>800</v>
      </c>
      <c r="C782" t="s">
        <v>32</v>
      </c>
      <c r="D782" t="s">
        <v>435</v>
      </c>
      <c r="F782" t="s">
        <v>1728</v>
      </c>
      <c r="H782" t="s">
        <v>1509</v>
      </c>
      <c r="I782">
        <v>15</v>
      </c>
      <c r="J782" s="48">
        <v>0</v>
      </c>
      <c r="K782" s="48">
        <v>0</v>
      </c>
      <c r="L782" s="54">
        <v>46255</v>
      </c>
      <c r="M782" s="54">
        <v>46269</v>
      </c>
      <c r="N782" s="54">
        <v>46255</v>
      </c>
      <c r="O782" s="54">
        <v>46269</v>
      </c>
    </row>
    <row r="783" spans="2:15" x14ac:dyDescent="0.25">
      <c r="B783">
        <v>801</v>
      </c>
      <c r="C783" t="s">
        <v>32</v>
      </c>
      <c r="D783" t="s">
        <v>435</v>
      </c>
      <c r="E783" t="s">
        <v>2069</v>
      </c>
      <c r="F783" t="s">
        <v>1515</v>
      </c>
      <c r="G783" t="s">
        <v>2070</v>
      </c>
      <c r="H783" t="s">
        <v>1692</v>
      </c>
      <c r="I783">
        <v>4</v>
      </c>
      <c r="J783" s="48">
        <v>0</v>
      </c>
      <c r="K783" s="48">
        <v>0</v>
      </c>
      <c r="L783" s="54">
        <v>46255</v>
      </c>
      <c r="M783" s="54">
        <v>46258</v>
      </c>
      <c r="N783" s="54">
        <v>46255</v>
      </c>
      <c r="O783" s="54">
        <v>46258</v>
      </c>
    </row>
    <row r="784" spans="2:15" x14ac:dyDescent="0.25">
      <c r="B784">
        <v>802</v>
      </c>
      <c r="C784" t="s">
        <v>32</v>
      </c>
      <c r="D784" t="s">
        <v>435</v>
      </c>
      <c r="E784">
        <v>801</v>
      </c>
      <c r="F784" t="s">
        <v>1517</v>
      </c>
      <c r="G784">
        <v>803</v>
      </c>
      <c r="H784" t="s">
        <v>1519</v>
      </c>
      <c r="I784">
        <v>4</v>
      </c>
      <c r="J784" s="48">
        <v>0</v>
      </c>
      <c r="K784" s="48">
        <v>0</v>
      </c>
      <c r="L784" s="54">
        <v>46258</v>
      </c>
      <c r="M784" s="54">
        <v>46261</v>
      </c>
      <c r="N784" s="54">
        <v>46258</v>
      </c>
      <c r="O784" s="54">
        <v>46261</v>
      </c>
    </row>
    <row r="785" spans="2:15" x14ac:dyDescent="0.25">
      <c r="B785">
        <v>803</v>
      </c>
      <c r="C785" t="s">
        <v>32</v>
      </c>
      <c r="D785" t="s">
        <v>435</v>
      </c>
      <c r="E785">
        <v>802</v>
      </c>
      <c r="F785" t="s">
        <v>1518</v>
      </c>
      <c r="G785">
        <v>804</v>
      </c>
      <c r="H785" t="s">
        <v>1519</v>
      </c>
      <c r="I785">
        <v>6</v>
      </c>
      <c r="J785" s="48">
        <v>0</v>
      </c>
      <c r="K785" s="48">
        <v>0</v>
      </c>
      <c r="L785" s="54">
        <v>46261</v>
      </c>
      <c r="M785" s="54">
        <v>46266</v>
      </c>
      <c r="N785" s="54">
        <v>46261</v>
      </c>
      <c r="O785" s="54">
        <v>46266</v>
      </c>
    </row>
    <row r="786" spans="2:15" x14ac:dyDescent="0.25">
      <c r="B786">
        <v>804</v>
      </c>
      <c r="C786" t="s">
        <v>32</v>
      </c>
      <c r="D786" t="s">
        <v>435</v>
      </c>
      <c r="E786">
        <v>803</v>
      </c>
      <c r="F786" t="s">
        <v>1520</v>
      </c>
      <c r="G786">
        <v>76</v>
      </c>
      <c r="H786" t="s">
        <v>1519</v>
      </c>
      <c r="I786">
        <v>4</v>
      </c>
      <c r="J786" s="48">
        <v>0</v>
      </c>
      <c r="K786" s="48">
        <v>0</v>
      </c>
      <c r="L786" s="54">
        <v>46266</v>
      </c>
      <c r="M786" s="54">
        <v>46269</v>
      </c>
      <c r="N786" s="54">
        <v>46266</v>
      </c>
      <c r="O786" s="54">
        <v>46269</v>
      </c>
    </row>
    <row r="787" spans="2:15" x14ac:dyDescent="0.25">
      <c r="B787">
        <v>805</v>
      </c>
      <c r="C787" t="s">
        <v>42</v>
      </c>
      <c r="D787" t="s">
        <v>487</v>
      </c>
      <c r="F787" t="s">
        <v>1729</v>
      </c>
      <c r="H787" t="s">
        <v>1509</v>
      </c>
      <c r="I787">
        <v>16</v>
      </c>
      <c r="J787" s="48">
        <v>0</v>
      </c>
      <c r="K787" s="48">
        <v>0</v>
      </c>
      <c r="L787" s="54">
        <v>46258</v>
      </c>
      <c r="M787" s="54">
        <v>46273</v>
      </c>
      <c r="N787" s="54">
        <v>46258</v>
      </c>
      <c r="O787" s="54">
        <v>46273</v>
      </c>
    </row>
    <row r="788" spans="2:15" x14ac:dyDescent="0.25">
      <c r="B788">
        <v>806</v>
      </c>
      <c r="C788" t="s">
        <v>42</v>
      </c>
      <c r="D788" t="s">
        <v>487</v>
      </c>
      <c r="E788">
        <v>801</v>
      </c>
      <c r="F788" t="s">
        <v>1515</v>
      </c>
      <c r="G788" t="s">
        <v>2071</v>
      </c>
      <c r="H788" t="s">
        <v>1692</v>
      </c>
      <c r="I788">
        <v>2</v>
      </c>
      <c r="J788" s="48">
        <v>0</v>
      </c>
      <c r="K788" s="48">
        <v>0</v>
      </c>
      <c r="L788" s="54">
        <v>46258</v>
      </c>
      <c r="M788" s="54">
        <v>46259</v>
      </c>
      <c r="N788" s="54">
        <v>46258</v>
      </c>
      <c r="O788" s="54">
        <v>46259</v>
      </c>
    </row>
    <row r="789" spans="2:15" x14ac:dyDescent="0.25">
      <c r="B789">
        <v>807</v>
      </c>
      <c r="C789" t="s">
        <v>42</v>
      </c>
      <c r="D789" t="s">
        <v>487</v>
      </c>
      <c r="E789">
        <v>806</v>
      </c>
      <c r="F789" t="s">
        <v>1517</v>
      </c>
      <c r="G789">
        <v>808</v>
      </c>
      <c r="H789" t="s">
        <v>1519</v>
      </c>
      <c r="I789">
        <v>4</v>
      </c>
      <c r="J789" s="48">
        <v>0</v>
      </c>
      <c r="K789" s="48">
        <v>0</v>
      </c>
      <c r="L789" s="54">
        <v>46259</v>
      </c>
      <c r="M789" s="54">
        <v>46262</v>
      </c>
      <c r="N789" s="54">
        <v>46259</v>
      </c>
      <c r="O789" s="54">
        <v>46262</v>
      </c>
    </row>
    <row r="790" spans="2:15" x14ac:dyDescent="0.25">
      <c r="B790">
        <v>808</v>
      </c>
      <c r="C790" t="s">
        <v>42</v>
      </c>
      <c r="D790" t="s">
        <v>487</v>
      </c>
      <c r="E790">
        <v>807</v>
      </c>
      <c r="F790" t="s">
        <v>1518</v>
      </c>
      <c r="G790">
        <v>809</v>
      </c>
      <c r="H790" t="s">
        <v>1519</v>
      </c>
      <c r="I790">
        <v>6</v>
      </c>
      <c r="J790" s="48">
        <v>0</v>
      </c>
      <c r="K790" s="48">
        <v>0</v>
      </c>
      <c r="L790" s="54">
        <v>46262</v>
      </c>
      <c r="M790" s="54">
        <v>46267</v>
      </c>
      <c r="N790" s="54">
        <v>46262</v>
      </c>
      <c r="O790" s="54">
        <v>46267</v>
      </c>
    </row>
    <row r="791" spans="2:15" x14ac:dyDescent="0.25">
      <c r="B791">
        <v>809</v>
      </c>
      <c r="C791" t="s">
        <v>42</v>
      </c>
      <c r="D791" t="s">
        <v>487</v>
      </c>
      <c r="E791">
        <v>808</v>
      </c>
      <c r="F791" t="s">
        <v>1520</v>
      </c>
      <c r="G791">
        <v>76</v>
      </c>
      <c r="H791" t="s">
        <v>1519</v>
      </c>
      <c r="I791">
        <v>7</v>
      </c>
      <c r="J791" s="48">
        <v>0</v>
      </c>
      <c r="K791" s="48">
        <v>0</v>
      </c>
      <c r="L791" s="54">
        <v>46267</v>
      </c>
      <c r="M791" s="54">
        <v>46273</v>
      </c>
      <c r="N791" s="54">
        <v>46267</v>
      </c>
      <c r="O791" s="54">
        <v>46273</v>
      </c>
    </row>
    <row r="792" spans="2:15" x14ac:dyDescent="0.25">
      <c r="B792">
        <v>810</v>
      </c>
      <c r="C792" t="s">
        <v>44</v>
      </c>
      <c r="D792" t="s">
        <v>495</v>
      </c>
      <c r="F792" t="s">
        <v>1730</v>
      </c>
      <c r="H792" t="s">
        <v>1509</v>
      </c>
      <c r="I792">
        <v>16</v>
      </c>
      <c r="J792" s="48">
        <v>0</v>
      </c>
      <c r="K792" s="48">
        <v>0</v>
      </c>
      <c r="L792" s="54">
        <v>46258</v>
      </c>
      <c r="M792" s="54">
        <v>46273</v>
      </c>
      <c r="N792" s="54">
        <v>46258</v>
      </c>
      <c r="O792" s="54">
        <v>46273</v>
      </c>
    </row>
    <row r="793" spans="2:15" x14ac:dyDescent="0.25">
      <c r="B793">
        <v>811</v>
      </c>
      <c r="C793" t="s">
        <v>44</v>
      </c>
      <c r="D793" t="s">
        <v>495</v>
      </c>
      <c r="E793" t="s">
        <v>2072</v>
      </c>
      <c r="F793" t="s">
        <v>1515</v>
      </c>
      <c r="G793" t="s">
        <v>2073</v>
      </c>
      <c r="H793" t="s">
        <v>1692</v>
      </c>
      <c r="I793">
        <v>2</v>
      </c>
      <c r="J793" s="48">
        <v>0</v>
      </c>
      <c r="K793" s="48">
        <v>0</v>
      </c>
      <c r="L793" s="54">
        <v>46258</v>
      </c>
      <c r="M793" s="54">
        <v>46259</v>
      </c>
      <c r="N793" s="54">
        <v>46258</v>
      </c>
      <c r="O793" s="54">
        <v>46259</v>
      </c>
    </row>
    <row r="794" spans="2:15" x14ac:dyDescent="0.25">
      <c r="B794">
        <v>812</v>
      </c>
      <c r="C794" t="s">
        <v>44</v>
      </c>
      <c r="D794" t="s">
        <v>495</v>
      </c>
      <c r="E794">
        <v>811</v>
      </c>
      <c r="F794" t="s">
        <v>1517</v>
      </c>
      <c r="G794">
        <v>813</v>
      </c>
      <c r="H794" t="s">
        <v>1519</v>
      </c>
      <c r="I794">
        <v>4</v>
      </c>
      <c r="J794" s="48">
        <v>0</v>
      </c>
      <c r="K794" s="48">
        <v>0</v>
      </c>
      <c r="L794" s="54">
        <v>46259</v>
      </c>
      <c r="M794" s="54">
        <v>46262</v>
      </c>
      <c r="N794" s="54">
        <v>46259</v>
      </c>
      <c r="O794" s="54">
        <v>46262</v>
      </c>
    </row>
    <row r="795" spans="2:15" x14ac:dyDescent="0.25">
      <c r="B795">
        <v>813</v>
      </c>
      <c r="C795" t="s">
        <v>44</v>
      </c>
      <c r="D795" t="s">
        <v>495</v>
      </c>
      <c r="E795">
        <v>812</v>
      </c>
      <c r="F795" t="s">
        <v>1518</v>
      </c>
      <c r="G795">
        <v>814</v>
      </c>
      <c r="H795" t="s">
        <v>1519</v>
      </c>
      <c r="I795">
        <v>6</v>
      </c>
      <c r="J795" s="48">
        <v>0</v>
      </c>
      <c r="K795" s="48">
        <v>0</v>
      </c>
      <c r="L795" s="54">
        <v>46262</v>
      </c>
      <c r="M795" s="54">
        <v>46267</v>
      </c>
      <c r="N795" s="54">
        <v>46262</v>
      </c>
      <c r="O795" s="54">
        <v>46267</v>
      </c>
    </row>
    <row r="796" spans="2:15" x14ac:dyDescent="0.25">
      <c r="B796">
        <v>814</v>
      </c>
      <c r="C796" t="s">
        <v>44</v>
      </c>
      <c r="D796" t="s">
        <v>495</v>
      </c>
      <c r="E796">
        <v>813</v>
      </c>
      <c r="F796" t="s">
        <v>1520</v>
      </c>
      <c r="G796">
        <v>76</v>
      </c>
      <c r="H796" t="s">
        <v>1519</v>
      </c>
      <c r="I796">
        <v>7</v>
      </c>
      <c r="J796" s="48">
        <v>0</v>
      </c>
      <c r="K796" s="48">
        <v>0</v>
      </c>
      <c r="L796" s="54">
        <v>46267</v>
      </c>
      <c r="M796" s="54">
        <v>46273</v>
      </c>
      <c r="N796" s="54">
        <v>46267</v>
      </c>
      <c r="O796" s="54">
        <v>46273</v>
      </c>
    </row>
    <row r="797" spans="2:15" x14ac:dyDescent="0.25">
      <c r="B797">
        <v>815</v>
      </c>
      <c r="C797" t="s">
        <v>45</v>
      </c>
      <c r="D797" t="s">
        <v>499</v>
      </c>
      <c r="F797" t="s">
        <v>1731</v>
      </c>
      <c r="H797" t="s">
        <v>1509</v>
      </c>
      <c r="I797">
        <v>16</v>
      </c>
      <c r="J797" s="48">
        <v>0</v>
      </c>
      <c r="K797" s="48">
        <v>0</v>
      </c>
      <c r="L797" s="54">
        <v>46258</v>
      </c>
      <c r="M797" s="54">
        <v>46273</v>
      </c>
      <c r="N797" s="54">
        <v>46258</v>
      </c>
      <c r="O797" s="54">
        <v>46273</v>
      </c>
    </row>
    <row r="798" spans="2:15" x14ac:dyDescent="0.25">
      <c r="B798">
        <v>816</v>
      </c>
      <c r="C798" t="s">
        <v>45</v>
      </c>
      <c r="D798" t="s">
        <v>499</v>
      </c>
      <c r="E798" t="s">
        <v>2074</v>
      </c>
      <c r="F798" t="s">
        <v>1515</v>
      </c>
      <c r="G798" t="s">
        <v>2075</v>
      </c>
      <c r="H798" t="s">
        <v>1692</v>
      </c>
      <c r="I798">
        <v>2</v>
      </c>
      <c r="J798" s="48">
        <v>0</v>
      </c>
      <c r="K798" s="48">
        <v>0</v>
      </c>
      <c r="L798" s="54">
        <v>46258</v>
      </c>
      <c r="M798" s="54">
        <v>46259</v>
      </c>
      <c r="N798" s="54">
        <v>46258</v>
      </c>
      <c r="O798" s="54">
        <v>46259</v>
      </c>
    </row>
    <row r="799" spans="2:15" x14ac:dyDescent="0.25">
      <c r="B799">
        <v>817</v>
      </c>
      <c r="C799" t="s">
        <v>45</v>
      </c>
      <c r="D799" t="s">
        <v>499</v>
      </c>
      <c r="E799">
        <v>816</v>
      </c>
      <c r="F799" t="s">
        <v>1517</v>
      </c>
      <c r="G799">
        <v>818</v>
      </c>
      <c r="H799" t="s">
        <v>1519</v>
      </c>
      <c r="I799">
        <v>4</v>
      </c>
      <c r="J799" s="48">
        <v>0</v>
      </c>
      <c r="K799" s="48">
        <v>0</v>
      </c>
      <c r="L799" s="54">
        <v>46259</v>
      </c>
      <c r="M799" s="54">
        <v>46262</v>
      </c>
      <c r="N799" s="54">
        <v>46259</v>
      </c>
      <c r="O799" s="54">
        <v>46262</v>
      </c>
    </row>
    <row r="800" spans="2:15" x14ac:dyDescent="0.25">
      <c r="B800">
        <v>818</v>
      </c>
      <c r="C800" t="s">
        <v>45</v>
      </c>
      <c r="D800" t="s">
        <v>499</v>
      </c>
      <c r="E800">
        <v>817</v>
      </c>
      <c r="F800" t="s">
        <v>1518</v>
      </c>
      <c r="G800">
        <v>819</v>
      </c>
      <c r="H800" t="s">
        <v>1519</v>
      </c>
      <c r="I800">
        <v>6</v>
      </c>
      <c r="J800" s="48">
        <v>0</v>
      </c>
      <c r="K800" s="48">
        <v>0</v>
      </c>
      <c r="L800" s="54">
        <v>46262</v>
      </c>
      <c r="M800" s="54">
        <v>46267</v>
      </c>
      <c r="N800" s="54">
        <v>46262</v>
      </c>
      <c r="O800" s="54">
        <v>46267</v>
      </c>
    </row>
    <row r="801" spans="2:15" x14ac:dyDescent="0.25">
      <c r="B801">
        <v>819</v>
      </c>
      <c r="C801" t="s">
        <v>45</v>
      </c>
      <c r="D801" t="s">
        <v>499</v>
      </c>
      <c r="E801">
        <v>818</v>
      </c>
      <c r="F801" t="s">
        <v>1520</v>
      </c>
      <c r="G801">
        <v>76</v>
      </c>
      <c r="H801" t="s">
        <v>1519</v>
      </c>
      <c r="I801">
        <v>7</v>
      </c>
      <c r="J801" s="48">
        <v>0</v>
      </c>
      <c r="K801" s="48">
        <v>0</v>
      </c>
      <c r="L801" s="54">
        <v>46267</v>
      </c>
      <c r="M801" s="54">
        <v>46273</v>
      </c>
      <c r="N801" s="54">
        <v>46267</v>
      </c>
      <c r="O801" s="54">
        <v>46273</v>
      </c>
    </row>
    <row r="802" spans="2:15" x14ac:dyDescent="0.25">
      <c r="B802">
        <v>820</v>
      </c>
      <c r="C802" t="s">
        <v>48</v>
      </c>
      <c r="D802" t="s">
        <v>511</v>
      </c>
      <c r="F802" t="s">
        <v>1732</v>
      </c>
      <c r="H802" t="s">
        <v>1559</v>
      </c>
      <c r="I802">
        <v>20</v>
      </c>
      <c r="J802" s="48">
        <v>0</v>
      </c>
      <c r="K802" s="48">
        <v>0</v>
      </c>
      <c r="L802" s="54">
        <v>46254</v>
      </c>
      <c r="M802" s="54">
        <v>46273</v>
      </c>
      <c r="N802" s="54">
        <v>46254</v>
      </c>
      <c r="O802" s="54">
        <v>46273</v>
      </c>
    </row>
    <row r="803" spans="2:15" x14ac:dyDescent="0.25">
      <c r="B803">
        <v>821</v>
      </c>
      <c r="C803" t="s">
        <v>48</v>
      </c>
      <c r="D803" t="s">
        <v>511</v>
      </c>
      <c r="E803" t="s">
        <v>2076</v>
      </c>
      <c r="F803" t="s">
        <v>1515</v>
      </c>
      <c r="G803" t="s">
        <v>2077</v>
      </c>
      <c r="H803" t="s">
        <v>1519</v>
      </c>
      <c r="I803">
        <v>6</v>
      </c>
      <c r="J803" s="48">
        <v>0</v>
      </c>
      <c r="K803" s="48">
        <v>0</v>
      </c>
      <c r="L803" s="54">
        <v>46254</v>
      </c>
      <c r="M803" s="54">
        <v>46259</v>
      </c>
      <c r="N803" s="54">
        <v>46254</v>
      </c>
      <c r="O803" s="54">
        <v>46259</v>
      </c>
    </row>
    <row r="804" spans="2:15" x14ac:dyDescent="0.25">
      <c r="B804">
        <v>822</v>
      </c>
      <c r="C804" t="s">
        <v>48</v>
      </c>
      <c r="D804" t="s">
        <v>511</v>
      </c>
      <c r="E804">
        <v>821</v>
      </c>
      <c r="F804" t="s">
        <v>1517</v>
      </c>
      <c r="G804">
        <v>823</v>
      </c>
      <c r="H804" t="s">
        <v>1519</v>
      </c>
      <c r="I804">
        <v>4</v>
      </c>
      <c r="J804" s="48">
        <v>0</v>
      </c>
      <c r="K804" s="48">
        <v>0</v>
      </c>
      <c r="L804" s="54">
        <v>46259</v>
      </c>
      <c r="M804" s="54">
        <v>46262</v>
      </c>
      <c r="N804" s="54">
        <v>46259</v>
      </c>
      <c r="O804" s="54">
        <v>46262</v>
      </c>
    </row>
    <row r="805" spans="2:15" x14ac:dyDescent="0.25">
      <c r="B805">
        <v>823</v>
      </c>
      <c r="C805" t="s">
        <v>48</v>
      </c>
      <c r="D805" t="s">
        <v>511</v>
      </c>
      <c r="E805">
        <v>822</v>
      </c>
      <c r="F805" t="s">
        <v>1518</v>
      </c>
      <c r="G805">
        <v>824</v>
      </c>
      <c r="H805" t="s">
        <v>1519</v>
      </c>
      <c r="I805">
        <v>6</v>
      </c>
      <c r="J805" s="48">
        <v>0</v>
      </c>
      <c r="K805" s="48">
        <v>0</v>
      </c>
      <c r="L805" s="54">
        <v>46262</v>
      </c>
      <c r="M805" s="54">
        <v>46267</v>
      </c>
      <c r="N805" s="54">
        <v>46262</v>
      </c>
      <c r="O805" s="54">
        <v>46267</v>
      </c>
    </row>
    <row r="806" spans="2:15" x14ac:dyDescent="0.25">
      <c r="B806">
        <v>824</v>
      </c>
      <c r="C806" t="s">
        <v>48</v>
      </c>
      <c r="D806" t="s">
        <v>511</v>
      </c>
      <c r="E806">
        <v>823</v>
      </c>
      <c r="F806" t="s">
        <v>1520</v>
      </c>
      <c r="G806">
        <v>76</v>
      </c>
      <c r="H806" t="s">
        <v>1519</v>
      </c>
      <c r="I806">
        <v>7</v>
      </c>
      <c r="J806" s="48">
        <v>0</v>
      </c>
      <c r="K806" s="48">
        <v>0</v>
      </c>
      <c r="L806" s="54">
        <v>46267</v>
      </c>
      <c r="M806" s="54">
        <v>46273</v>
      </c>
      <c r="N806" s="54">
        <v>46267</v>
      </c>
      <c r="O806" s="54">
        <v>46273</v>
      </c>
    </row>
    <row r="807" spans="2:15" x14ac:dyDescent="0.25">
      <c r="B807">
        <v>825</v>
      </c>
      <c r="C807" t="s">
        <v>29</v>
      </c>
      <c r="D807" t="s">
        <v>423</v>
      </c>
      <c r="F807" t="s">
        <v>1733</v>
      </c>
      <c r="H807" t="s">
        <v>1535</v>
      </c>
      <c r="I807">
        <v>21</v>
      </c>
      <c r="J807" s="48">
        <v>0</v>
      </c>
      <c r="K807" s="48">
        <v>0</v>
      </c>
      <c r="L807" s="54">
        <v>46259</v>
      </c>
      <c r="M807" s="54">
        <v>46279</v>
      </c>
      <c r="N807" s="54">
        <v>46259</v>
      </c>
      <c r="O807" s="54">
        <v>46279</v>
      </c>
    </row>
    <row r="808" spans="2:15" x14ac:dyDescent="0.25">
      <c r="B808">
        <v>826</v>
      </c>
      <c r="C808" t="s">
        <v>29</v>
      </c>
      <c r="D808" t="s">
        <v>423</v>
      </c>
      <c r="E808">
        <v>821</v>
      </c>
      <c r="F808" t="s">
        <v>1515</v>
      </c>
      <c r="G808" t="s">
        <v>2078</v>
      </c>
      <c r="H808" t="s">
        <v>1525</v>
      </c>
      <c r="I808">
        <v>7</v>
      </c>
      <c r="J808" s="48">
        <v>0</v>
      </c>
      <c r="K808" s="48">
        <v>0</v>
      </c>
      <c r="L808" s="54">
        <v>46259</v>
      </c>
      <c r="M808" s="54">
        <v>46265</v>
      </c>
      <c r="N808" s="54">
        <v>46259</v>
      </c>
      <c r="O808" s="54">
        <v>46265</v>
      </c>
    </row>
    <row r="809" spans="2:15" x14ac:dyDescent="0.25">
      <c r="B809">
        <v>827</v>
      </c>
      <c r="C809" t="s">
        <v>29</v>
      </c>
      <c r="D809" t="s">
        <v>423</v>
      </c>
      <c r="E809">
        <v>826</v>
      </c>
      <c r="F809" t="s">
        <v>1517</v>
      </c>
      <c r="G809">
        <v>828</v>
      </c>
      <c r="H809" t="s">
        <v>1519</v>
      </c>
      <c r="I809">
        <v>4</v>
      </c>
      <c r="J809" s="48">
        <v>0</v>
      </c>
      <c r="K809" s="48">
        <v>0</v>
      </c>
      <c r="L809" s="54">
        <v>46265</v>
      </c>
      <c r="M809" s="54">
        <v>46268</v>
      </c>
      <c r="N809" s="54">
        <v>46265</v>
      </c>
      <c r="O809" s="54">
        <v>46268</v>
      </c>
    </row>
    <row r="810" spans="2:15" x14ac:dyDescent="0.25">
      <c r="B810">
        <v>828</v>
      </c>
      <c r="C810" t="s">
        <v>29</v>
      </c>
      <c r="D810" t="s">
        <v>423</v>
      </c>
      <c r="E810">
        <v>827</v>
      </c>
      <c r="F810" t="s">
        <v>1518</v>
      </c>
      <c r="G810">
        <v>829</v>
      </c>
      <c r="H810" t="s">
        <v>1519</v>
      </c>
      <c r="I810">
        <v>7</v>
      </c>
      <c r="J810" s="48">
        <v>0</v>
      </c>
      <c r="K810" s="48">
        <v>0</v>
      </c>
      <c r="L810" s="54">
        <v>46268</v>
      </c>
      <c r="M810" s="54">
        <v>46274</v>
      </c>
      <c r="N810" s="54">
        <v>46268</v>
      </c>
      <c r="O810" s="54">
        <v>46274</v>
      </c>
    </row>
    <row r="811" spans="2:15" x14ac:dyDescent="0.25">
      <c r="B811">
        <v>829</v>
      </c>
      <c r="C811" t="s">
        <v>29</v>
      </c>
      <c r="D811" t="s">
        <v>423</v>
      </c>
      <c r="E811">
        <v>828</v>
      </c>
      <c r="F811" t="s">
        <v>1520</v>
      </c>
      <c r="G811">
        <v>76</v>
      </c>
      <c r="H811" t="s">
        <v>1519</v>
      </c>
      <c r="I811">
        <v>6</v>
      </c>
      <c r="J811" s="48">
        <v>0</v>
      </c>
      <c r="K811" s="48">
        <v>0</v>
      </c>
      <c r="L811" s="54">
        <v>46274</v>
      </c>
      <c r="M811" s="54">
        <v>46279</v>
      </c>
      <c r="N811" s="54">
        <v>46274</v>
      </c>
      <c r="O811" s="54">
        <v>46279</v>
      </c>
    </row>
    <row r="812" spans="2:15" x14ac:dyDescent="0.25">
      <c r="B812">
        <v>830</v>
      </c>
      <c r="C812" t="s">
        <v>30</v>
      </c>
      <c r="D812" t="s">
        <v>427</v>
      </c>
      <c r="F812" t="s">
        <v>1734</v>
      </c>
      <c r="H812" t="s">
        <v>1535</v>
      </c>
      <c r="I812">
        <v>21</v>
      </c>
      <c r="J812" s="48">
        <v>0</v>
      </c>
      <c r="K812" s="48">
        <v>0</v>
      </c>
      <c r="L812" s="54">
        <v>46259</v>
      </c>
      <c r="M812" s="54">
        <v>46279</v>
      </c>
      <c r="N812" s="54">
        <v>46259</v>
      </c>
      <c r="O812" s="54">
        <v>46279</v>
      </c>
    </row>
    <row r="813" spans="2:15" x14ac:dyDescent="0.25">
      <c r="B813">
        <v>831</v>
      </c>
      <c r="C813" t="s">
        <v>30</v>
      </c>
      <c r="D813" t="s">
        <v>427</v>
      </c>
      <c r="E813" t="s">
        <v>2079</v>
      </c>
      <c r="F813" t="s">
        <v>1515</v>
      </c>
      <c r="G813" t="s">
        <v>2080</v>
      </c>
      <c r="H813" t="s">
        <v>1525</v>
      </c>
      <c r="I813">
        <v>7</v>
      </c>
      <c r="J813" s="48">
        <v>0</v>
      </c>
      <c r="K813" s="48">
        <v>0</v>
      </c>
      <c r="L813" s="54">
        <v>46259</v>
      </c>
      <c r="M813" s="54">
        <v>46265</v>
      </c>
      <c r="N813" s="54">
        <v>46259</v>
      </c>
      <c r="O813" s="54">
        <v>46265</v>
      </c>
    </row>
    <row r="814" spans="2:15" x14ac:dyDescent="0.25">
      <c r="B814">
        <v>832</v>
      </c>
      <c r="C814" t="s">
        <v>30</v>
      </c>
      <c r="D814" t="s">
        <v>427</v>
      </c>
      <c r="E814">
        <v>831</v>
      </c>
      <c r="F814" t="s">
        <v>1517</v>
      </c>
      <c r="G814">
        <v>833</v>
      </c>
      <c r="H814" t="s">
        <v>1519</v>
      </c>
      <c r="I814">
        <v>4</v>
      </c>
      <c r="J814" s="48">
        <v>0</v>
      </c>
      <c r="K814" s="48">
        <v>0</v>
      </c>
      <c r="L814" s="54">
        <v>46265</v>
      </c>
      <c r="M814" s="54">
        <v>46268</v>
      </c>
      <c r="N814" s="54">
        <v>46265</v>
      </c>
      <c r="O814" s="54">
        <v>46268</v>
      </c>
    </row>
    <row r="815" spans="2:15" x14ac:dyDescent="0.25">
      <c r="B815">
        <v>833</v>
      </c>
      <c r="C815" t="s">
        <v>30</v>
      </c>
      <c r="D815" t="s">
        <v>427</v>
      </c>
      <c r="E815">
        <v>832</v>
      </c>
      <c r="F815" t="s">
        <v>1518</v>
      </c>
      <c r="G815">
        <v>834</v>
      </c>
      <c r="H815" t="s">
        <v>1519</v>
      </c>
      <c r="I815">
        <v>7</v>
      </c>
      <c r="J815" s="48">
        <v>0</v>
      </c>
      <c r="K815" s="48">
        <v>0</v>
      </c>
      <c r="L815" s="54">
        <v>46268</v>
      </c>
      <c r="M815" s="54">
        <v>46274</v>
      </c>
      <c r="N815" s="54">
        <v>46268</v>
      </c>
      <c r="O815" s="54">
        <v>46274</v>
      </c>
    </row>
    <row r="816" spans="2:15" x14ac:dyDescent="0.25">
      <c r="B816">
        <v>834</v>
      </c>
      <c r="C816" t="s">
        <v>30</v>
      </c>
      <c r="D816" t="s">
        <v>427</v>
      </c>
      <c r="E816">
        <v>833</v>
      </c>
      <c r="F816" t="s">
        <v>1520</v>
      </c>
      <c r="G816">
        <v>76</v>
      </c>
      <c r="H816" t="s">
        <v>1519</v>
      </c>
      <c r="I816">
        <v>6</v>
      </c>
      <c r="J816" s="48">
        <v>0</v>
      </c>
      <c r="K816" s="48">
        <v>0</v>
      </c>
      <c r="L816" s="54">
        <v>46274</v>
      </c>
      <c r="M816" s="54">
        <v>46279</v>
      </c>
      <c r="N816" s="54">
        <v>46274</v>
      </c>
      <c r="O816" s="54">
        <v>46279</v>
      </c>
    </row>
    <row r="817" spans="2:15" x14ac:dyDescent="0.25">
      <c r="B817">
        <v>835</v>
      </c>
      <c r="C817" t="s">
        <v>31</v>
      </c>
      <c r="D817" t="s">
        <v>431</v>
      </c>
      <c r="F817" t="s">
        <v>1735</v>
      </c>
      <c r="H817" t="s">
        <v>1535</v>
      </c>
      <c r="I817">
        <v>19</v>
      </c>
      <c r="J817" s="48">
        <v>0</v>
      </c>
      <c r="K817" s="48">
        <v>0</v>
      </c>
      <c r="L817" s="54">
        <v>46265</v>
      </c>
      <c r="M817" s="54">
        <v>46283</v>
      </c>
      <c r="N817" s="54">
        <v>46265</v>
      </c>
      <c r="O817" s="54">
        <v>46283</v>
      </c>
    </row>
    <row r="818" spans="2:15" x14ac:dyDescent="0.25">
      <c r="B818">
        <v>836</v>
      </c>
      <c r="C818" t="s">
        <v>31</v>
      </c>
      <c r="D818" t="s">
        <v>431</v>
      </c>
      <c r="E818">
        <v>831</v>
      </c>
      <c r="F818" t="s">
        <v>1515</v>
      </c>
      <c r="G818" t="s">
        <v>2081</v>
      </c>
      <c r="H818" t="s">
        <v>1525</v>
      </c>
      <c r="I818">
        <v>5</v>
      </c>
      <c r="J818" s="48">
        <v>0</v>
      </c>
      <c r="K818" s="48">
        <v>0</v>
      </c>
      <c r="L818" s="54">
        <v>46265</v>
      </c>
      <c r="M818" s="54">
        <v>46269</v>
      </c>
      <c r="N818" s="54">
        <v>46265</v>
      </c>
      <c r="O818" s="54">
        <v>46269</v>
      </c>
    </row>
    <row r="819" spans="2:15" x14ac:dyDescent="0.25">
      <c r="B819">
        <v>837</v>
      </c>
      <c r="C819" t="s">
        <v>31</v>
      </c>
      <c r="D819" t="s">
        <v>431</v>
      </c>
      <c r="E819">
        <v>836</v>
      </c>
      <c r="F819" t="s">
        <v>1517</v>
      </c>
      <c r="G819">
        <v>838</v>
      </c>
      <c r="H819" t="s">
        <v>1519</v>
      </c>
      <c r="I819">
        <v>7</v>
      </c>
      <c r="J819" s="48">
        <v>0</v>
      </c>
      <c r="K819" s="48">
        <v>0</v>
      </c>
      <c r="L819" s="54">
        <v>46269</v>
      </c>
      <c r="M819" s="54">
        <v>46275</v>
      </c>
      <c r="N819" s="54">
        <v>46269</v>
      </c>
      <c r="O819" s="54">
        <v>46275</v>
      </c>
    </row>
    <row r="820" spans="2:15" x14ac:dyDescent="0.25">
      <c r="B820">
        <v>838</v>
      </c>
      <c r="C820" t="s">
        <v>31</v>
      </c>
      <c r="D820" t="s">
        <v>431</v>
      </c>
      <c r="E820">
        <v>837</v>
      </c>
      <c r="F820" t="s">
        <v>1518</v>
      </c>
      <c r="G820">
        <v>839</v>
      </c>
      <c r="H820" t="s">
        <v>1519</v>
      </c>
      <c r="I820">
        <v>6</v>
      </c>
      <c r="J820" s="48">
        <v>0</v>
      </c>
      <c r="K820" s="48">
        <v>0</v>
      </c>
      <c r="L820" s="54">
        <v>46275</v>
      </c>
      <c r="M820" s="54">
        <v>46280</v>
      </c>
      <c r="N820" s="54">
        <v>46275</v>
      </c>
      <c r="O820" s="54">
        <v>46280</v>
      </c>
    </row>
    <row r="821" spans="2:15" x14ac:dyDescent="0.25">
      <c r="B821">
        <v>839</v>
      </c>
      <c r="C821" t="s">
        <v>31</v>
      </c>
      <c r="D821" t="s">
        <v>431</v>
      </c>
      <c r="E821">
        <v>838</v>
      </c>
      <c r="F821" t="s">
        <v>1520</v>
      </c>
      <c r="G821">
        <v>76</v>
      </c>
      <c r="H821" t="s">
        <v>1519</v>
      </c>
      <c r="I821">
        <v>4</v>
      </c>
      <c r="J821" s="48">
        <v>0</v>
      </c>
      <c r="K821" s="48">
        <v>0</v>
      </c>
      <c r="L821" s="54">
        <v>46280</v>
      </c>
      <c r="M821" s="54">
        <v>46283</v>
      </c>
      <c r="N821" s="54">
        <v>46280</v>
      </c>
      <c r="O821" s="54">
        <v>46283</v>
      </c>
    </row>
    <row r="822" spans="2:15" x14ac:dyDescent="0.25">
      <c r="B822">
        <v>840</v>
      </c>
      <c r="C822" t="s">
        <v>46</v>
      </c>
      <c r="D822" t="s">
        <v>503</v>
      </c>
      <c r="F822" t="s">
        <v>1736</v>
      </c>
      <c r="H822" t="s">
        <v>1535</v>
      </c>
      <c r="I822">
        <v>19</v>
      </c>
      <c r="J822" s="48">
        <v>0</v>
      </c>
      <c r="K822" s="48">
        <v>0</v>
      </c>
      <c r="L822" s="54">
        <v>46265</v>
      </c>
      <c r="M822" s="54">
        <v>46283</v>
      </c>
      <c r="N822" s="54">
        <v>46265</v>
      </c>
      <c r="O822" s="54">
        <v>46283</v>
      </c>
    </row>
    <row r="823" spans="2:15" x14ac:dyDescent="0.25">
      <c r="B823">
        <v>841</v>
      </c>
      <c r="C823" t="s">
        <v>46</v>
      </c>
      <c r="D823" t="s">
        <v>503</v>
      </c>
      <c r="E823" t="s">
        <v>2082</v>
      </c>
      <c r="F823" t="s">
        <v>1515</v>
      </c>
      <c r="G823" t="s">
        <v>2083</v>
      </c>
      <c r="H823" t="s">
        <v>1525</v>
      </c>
      <c r="I823">
        <v>5</v>
      </c>
      <c r="J823" s="48">
        <v>0</v>
      </c>
      <c r="K823" s="48">
        <v>0</v>
      </c>
      <c r="L823" s="54">
        <v>46265</v>
      </c>
      <c r="M823" s="54">
        <v>46269</v>
      </c>
      <c r="N823" s="54">
        <v>46265</v>
      </c>
      <c r="O823" s="54">
        <v>46269</v>
      </c>
    </row>
    <row r="824" spans="2:15" x14ac:dyDescent="0.25">
      <c r="B824">
        <v>842</v>
      </c>
      <c r="C824" t="s">
        <v>46</v>
      </c>
      <c r="D824" t="s">
        <v>503</v>
      </c>
      <c r="E824">
        <v>841</v>
      </c>
      <c r="F824" t="s">
        <v>1517</v>
      </c>
      <c r="G824">
        <v>843</v>
      </c>
      <c r="H824" t="s">
        <v>1519</v>
      </c>
      <c r="I824">
        <v>7</v>
      </c>
      <c r="J824" s="48">
        <v>0</v>
      </c>
      <c r="K824" s="48">
        <v>0</v>
      </c>
      <c r="L824" s="54">
        <v>46269</v>
      </c>
      <c r="M824" s="54">
        <v>46275</v>
      </c>
      <c r="N824" s="54">
        <v>46269</v>
      </c>
      <c r="O824" s="54">
        <v>46275</v>
      </c>
    </row>
    <row r="825" spans="2:15" x14ac:dyDescent="0.25">
      <c r="B825">
        <v>843</v>
      </c>
      <c r="C825" t="s">
        <v>46</v>
      </c>
      <c r="D825" t="s">
        <v>503</v>
      </c>
      <c r="E825">
        <v>842</v>
      </c>
      <c r="F825" t="s">
        <v>1518</v>
      </c>
      <c r="G825">
        <v>844</v>
      </c>
      <c r="H825" t="s">
        <v>1519</v>
      </c>
      <c r="I825">
        <v>6</v>
      </c>
      <c r="J825" s="48">
        <v>0</v>
      </c>
      <c r="K825" s="48">
        <v>0</v>
      </c>
      <c r="L825" s="54">
        <v>46275</v>
      </c>
      <c r="M825" s="54">
        <v>46280</v>
      </c>
      <c r="N825" s="54">
        <v>46275</v>
      </c>
      <c r="O825" s="54">
        <v>46280</v>
      </c>
    </row>
    <row r="826" spans="2:15" x14ac:dyDescent="0.25">
      <c r="B826">
        <v>844</v>
      </c>
      <c r="C826" t="s">
        <v>46</v>
      </c>
      <c r="D826" t="s">
        <v>503</v>
      </c>
      <c r="E826">
        <v>843</v>
      </c>
      <c r="F826" t="s">
        <v>1520</v>
      </c>
      <c r="G826">
        <v>76</v>
      </c>
      <c r="H826" t="s">
        <v>1519</v>
      </c>
      <c r="I826">
        <v>4</v>
      </c>
      <c r="J826" s="48">
        <v>0</v>
      </c>
      <c r="K826" s="48">
        <v>0</v>
      </c>
      <c r="L826" s="54">
        <v>46280</v>
      </c>
      <c r="M826" s="54">
        <v>46283</v>
      </c>
      <c r="N826" s="54">
        <v>46280</v>
      </c>
      <c r="O826" s="54">
        <v>46283</v>
      </c>
    </row>
    <row r="827" spans="2:15" x14ac:dyDescent="0.25">
      <c r="B827">
        <v>845</v>
      </c>
      <c r="C827" t="s">
        <v>38</v>
      </c>
      <c r="D827" t="s">
        <v>463</v>
      </c>
      <c r="F827" t="s">
        <v>1737</v>
      </c>
      <c r="H827" t="s">
        <v>1559</v>
      </c>
      <c r="I827">
        <v>20</v>
      </c>
      <c r="J827" s="48">
        <v>0</v>
      </c>
      <c r="K827" s="48">
        <v>0</v>
      </c>
      <c r="L827" s="54">
        <v>46269</v>
      </c>
      <c r="M827" s="54">
        <v>46288</v>
      </c>
      <c r="N827" s="54">
        <v>46269</v>
      </c>
      <c r="O827" s="54">
        <v>46288</v>
      </c>
    </row>
    <row r="828" spans="2:15" x14ac:dyDescent="0.25">
      <c r="B828">
        <v>846</v>
      </c>
      <c r="C828" t="s">
        <v>38</v>
      </c>
      <c r="D828" t="s">
        <v>463</v>
      </c>
      <c r="E828">
        <v>841</v>
      </c>
      <c r="F828" t="s">
        <v>1515</v>
      </c>
      <c r="G828" t="s">
        <v>2084</v>
      </c>
      <c r="H828" t="s">
        <v>1519</v>
      </c>
      <c r="I828">
        <v>7</v>
      </c>
      <c r="J828" s="48">
        <v>0</v>
      </c>
      <c r="K828" s="48">
        <v>0</v>
      </c>
      <c r="L828" s="54">
        <v>46269</v>
      </c>
      <c r="M828" s="54">
        <v>46275</v>
      </c>
      <c r="N828" s="54">
        <v>46269</v>
      </c>
      <c r="O828" s="54">
        <v>46275</v>
      </c>
    </row>
    <row r="829" spans="2:15" x14ac:dyDescent="0.25">
      <c r="B829">
        <v>847</v>
      </c>
      <c r="C829" t="s">
        <v>38</v>
      </c>
      <c r="D829" t="s">
        <v>463</v>
      </c>
      <c r="E829">
        <v>846</v>
      </c>
      <c r="F829" t="s">
        <v>1517</v>
      </c>
      <c r="G829">
        <v>848</v>
      </c>
      <c r="H829" t="s">
        <v>1519</v>
      </c>
      <c r="I829">
        <v>6</v>
      </c>
      <c r="J829" s="48">
        <v>0</v>
      </c>
      <c r="K829" s="48">
        <v>0</v>
      </c>
      <c r="L829" s="54">
        <v>46275</v>
      </c>
      <c r="M829" s="54">
        <v>46280</v>
      </c>
      <c r="N829" s="54">
        <v>46275</v>
      </c>
      <c r="O829" s="54">
        <v>46280</v>
      </c>
    </row>
    <row r="830" spans="2:15" x14ac:dyDescent="0.25">
      <c r="B830">
        <v>848</v>
      </c>
      <c r="C830" t="s">
        <v>38</v>
      </c>
      <c r="D830" t="s">
        <v>463</v>
      </c>
      <c r="E830">
        <v>847</v>
      </c>
      <c r="F830" t="s">
        <v>1518</v>
      </c>
      <c r="G830">
        <v>849</v>
      </c>
      <c r="H830" t="s">
        <v>1519</v>
      </c>
      <c r="I830">
        <v>4</v>
      </c>
      <c r="J830" s="48">
        <v>0</v>
      </c>
      <c r="K830" s="48">
        <v>0</v>
      </c>
      <c r="L830" s="54">
        <v>46280</v>
      </c>
      <c r="M830" s="54">
        <v>46283</v>
      </c>
      <c r="N830" s="54">
        <v>46280</v>
      </c>
      <c r="O830" s="54">
        <v>46283</v>
      </c>
    </row>
    <row r="831" spans="2:15" x14ac:dyDescent="0.25">
      <c r="B831">
        <v>849</v>
      </c>
      <c r="C831" t="s">
        <v>38</v>
      </c>
      <c r="D831" t="s">
        <v>463</v>
      </c>
      <c r="E831">
        <v>848</v>
      </c>
      <c r="F831" t="s">
        <v>1520</v>
      </c>
      <c r="G831">
        <v>76</v>
      </c>
      <c r="H831" t="s">
        <v>1519</v>
      </c>
      <c r="I831">
        <v>6</v>
      </c>
      <c r="J831" s="48">
        <v>0</v>
      </c>
      <c r="K831" s="48">
        <v>0</v>
      </c>
      <c r="L831" s="54">
        <v>46283</v>
      </c>
      <c r="M831" s="54">
        <v>46288</v>
      </c>
      <c r="N831" s="54">
        <v>46283</v>
      </c>
      <c r="O831" s="54">
        <v>46288</v>
      </c>
    </row>
    <row r="832" spans="2:15" x14ac:dyDescent="0.25">
      <c r="B832">
        <v>850</v>
      </c>
      <c r="C832" t="s">
        <v>34</v>
      </c>
      <c r="D832" t="s">
        <v>443</v>
      </c>
      <c r="F832" t="s">
        <v>1738</v>
      </c>
      <c r="H832" t="s">
        <v>1559</v>
      </c>
      <c r="I832">
        <v>20</v>
      </c>
      <c r="J832" s="48">
        <v>0</v>
      </c>
      <c r="K832" s="48">
        <v>0</v>
      </c>
      <c r="L832" s="54">
        <v>46269</v>
      </c>
      <c r="M832" s="54">
        <v>46288</v>
      </c>
      <c r="N832" s="54">
        <v>46269</v>
      </c>
      <c r="O832" s="54">
        <v>46288</v>
      </c>
    </row>
    <row r="833" spans="2:15" x14ac:dyDescent="0.25">
      <c r="B833">
        <v>851</v>
      </c>
      <c r="C833" t="s">
        <v>34</v>
      </c>
      <c r="D833" t="s">
        <v>443</v>
      </c>
      <c r="E833" t="s">
        <v>2085</v>
      </c>
      <c r="F833" t="s">
        <v>1515</v>
      </c>
      <c r="G833" t="s">
        <v>2086</v>
      </c>
      <c r="H833" t="s">
        <v>1519</v>
      </c>
      <c r="I833">
        <v>7</v>
      </c>
      <c r="J833" s="48">
        <v>0</v>
      </c>
      <c r="K833" s="48">
        <v>0</v>
      </c>
      <c r="L833" s="54">
        <v>46269</v>
      </c>
      <c r="M833" s="54">
        <v>46275</v>
      </c>
      <c r="N833" s="54">
        <v>46269</v>
      </c>
      <c r="O833" s="54">
        <v>46275</v>
      </c>
    </row>
    <row r="834" spans="2:15" x14ac:dyDescent="0.25">
      <c r="B834">
        <v>852</v>
      </c>
      <c r="C834" t="s">
        <v>34</v>
      </c>
      <c r="D834" t="s">
        <v>443</v>
      </c>
      <c r="E834">
        <v>851</v>
      </c>
      <c r="F834" t="s">
        <v>1517</v>
      </c>
      <c r="G834">
        <v>853</v>
      </c>
      <c r="H834" t="s">
        <v>1519</v>
      </c>
      <c r="I834">
        <v>6</v>
      </c>
      <c r="J834" s="48">
        <v>0</v>
      </c>
      <c r="K834" s="48">
        <v>0</v>
      </c>
      <c r="L834" s="54">
        <v>46275</v>
      </c>
      <c r="M834" s="54">
        <v>46280</v>
      </c>
      <c r="N834" s="54">
        <v>46275</v>
      </c>
      <c r="O834" s="54">
        <v>46280</v>
      </c>
    </row>
    <row r="835" spans="2:15" x14ac:dyDescent="0.25">
      <c r="B835">
        <v>853</v>
      </c>
      <c r="C835" t="s">
        <v>34</v>
      </c>
      <c r="D835" t="s">
        <v>443</v>
      </c>
      <c r="E835">
        <v>852</v>
      </c>
      <c r="F835" t="s">
        <v>1518</v>
      </c>
      <c r="G835">
        <v>854</v>
      </c>
      <c r="H835" t="s">
        <v>1519</v>
      </c>
      <c r="I835">
        <v>4</v>
      </c>
      <c r="J835" s="48">
        <v>0</v>
      </c>
      <c r="K835" s="48">
        <v>0</v>
      </c>
      <c r="L835" s="54">
        <v>46280</v>
      </c>
      <c r="M835" s="54">
        <v>46283</v>
      </c>
      <c r="N835" s="54">
        <v>46280</v>
      </c>
      <c r="O835" s="54">
        <v>46283</v>
      </c>
    </row>
    <row r="836" spans="2:15" x14ac:dyDescent="0.25">
      <c r="B836">
        <v>854</v>
      </c>
      <c r="C836" t="s">
        <v>34</v>
      </c>
      <c r="D836" t="s">
        <v>443</v>
      </c>
      <c r="E836">
        <v>853</v>
      </c>
      <c r="F836" t="s">
        <v>1520</v>
      </c>
      <c r="G836">
        <v>76</v>
      </c>
      <c r="H836" t="s">
        <v>1519</v>
      </c>
      <c r="I836">
        <v>6</v>
      </c>
      <c r="J836" s="48">
        <v>0</v>
      </c>
      <c r="K836" s="48">
        <v>0</v>
      </c>
      <c r="L836" s="54">
        <v>46283</v>
      </c>
      <c r="M836" s="54">
        <v>46288</v>
      </c>
      <c r="N836" s="54">
        <v>46283</v>
      </c>
      <c r="O836" s="54">
        <v>46288</v>
      </c>
    </row>
    <row r="837" spans="2:15" x14ac:dyDescent="0.25">
      <c r="B837">
        <v>855</v>
      </c>
      <c r="C837" t="s">
        <v>35</v>
      </c>
      <c r="D837" t="s">
        <v>447</v>
      </c>
      <c r="F837" t="s">
        <v>1739</v>
      </c>
      <c r="H837" t="s">
        <v>1559</v>
      </c>
      <c r="I837">
        <v>20</v>
      </c>
      <c r="J837" s="48">
        <v>0</v>
      </c>
      <c r="K837" s="48">
        <v>0</v>
      </c>
      <c r="L837" s="54">
        <v>46269</v>
      </c>
      <c r="M837" s="54">
        <v>46288</v>
      </c>
      <c r="N837" s="54">
        <v>46269</v>
      </c>
      <c r="O837" s="54">
        <v>46288</v>
      </c>
    </row>
    <row r="838" spans="2:15" x14ac:dyDescent="0.25">
      <c r="B838">
        <v>856</v>
      </c>
      <c r="C838" t="s">
        <v>35</v>
      </c>
      <c r="D838" t="s">
        <v>447</v>
      </c>
      <c r="E838" t="s">
        <v>2087</v>
      </c>
      <c r="F838" t="s">
        <v>1515</v>
      </c>
      <c r="G838" t="s">
        <v>2088</v>
      </c>
      <c r="H838" t="s">
        <v>1519</v>
      </c>
      <c r="I838">
        <v>7</v>
      </c>
      <c r="J838" s="48">
        <v>0</v>
      </c>
      <c r="K838" s="48">
        <v>0</v>
      </c>
      <c r="L838" s="54">
        <v>46269</v>
      </c>
      <c r="M838" s="54">
        <v>46275</v>
      </c>
      <c r="N838" s="54">
        <v>46269</v>
      </c>
      <c r="O838" s="54">
        <v>46275</v>
      </c>
    </row>
    <row r="839" spans="2:15" x14ac:dyDescent="0.25">
      <c r="B839">
        <v>857</v>
      </c>
      <c r="C839" t="s">
        <v>35</v>
      </c>
      <c r="D839" t="s">
        <v>447</v>
      </c>
      <c r="E839">
        <v>856</v>
      </c>
      <c r="F839" t="s">
        <v>1517</v>
      </c>
      <c r="G839">
        <v>858</v>
      </c>
      <c r="H839" t="s">
        <v>1519</v>
      </c>
      <c r="I839">
        <v>6</v>
      </c>
      <c r="J839" s="48">
        <v>0</v>
      </c>
      <c r="K839" s="48">
        <v>0</v>
      </c>
      <c r="L839" s="54">
        <v>46275</v>
      </c>
      <c r="M839" s="54">
        <v>46280</v>
      </c>
      <c r="N839" s="54">
        <v>46275</v>
      </c>
      <c r="O839" s="54">
        <v>46280</v>
      </c>
    </row>
    <row r="840" spans="2:15" x14ac:dyDescent="0.25">
      <c r="B840">
        <v>858</v>
      </c>
      <c r="C840" t="s">
        <v>35</v>
      </c>
      <c r="D840" t="s">
        <v>447</v>
      </c>
      <c r="E840">
        <v>857</v>
      </c>
      <c r="F840" t="s">
        <v>1518</v>
      </c>
      <c r="G840">
        <v>859</v>
      </c>
      <c r="H840" t="s">
        <v>1519</v>
      </c>
      <c r="I840">
        <v>4</v>
      </c>
      <c r="J840" s="48">
        <v>0</v>
      </c>
      <c r="K840" s="48">
        <v>0</v>
      </c>
      <c r="L840" s="54">
        <v>46280</v>
      </c>
      <c r="M840" s="54">
        <v>46283</v>
      </c>
      <c r="N840" s="54">
        <v>46280</v>
      </c>
      <c r="O840" s="54">
        <v>46283</v>
      </c>
    </row>
    <row r="841" spans="2:15" x14ac:dyDescent="0.25">
      <c r="B841">
        <v>859</v>
      </c>
      <c r="C841" t="s">
        <v>35</v>
      </c>
      <c r="D841" t="s">
        <v>447</v>
      </c>
      <c r="E841">
        <v>858</v>
      </c>
      <c r="F841" t="s">
        <v>1520</v>
      </c>
      <c r="G841">
        <v>76</v>
      </c>
      <c r="H841" t="s">
        <v>1519</v>
      </c>
      <c r="I841">
        <v>6</v>
      </c>
      <c r="J841" s="48">
        <v>0</v>
      </c>
      <c r="K841" s="48">
        <v>0</v>
      </c>
      <c r="L841" s="54">
        <v>46283</v>
      </c>
      <c r="M841" s="54">
        <v>46288</v>
      </c>
      <c r="N841" s="54">
        <v>46283</v>
      </c>
      <c r="O841" s="54">
        <v>46288</v>
      </c>
    </row>
    <row r="842" spans="2:15" x14ac:dyDescent="0.25">
      <c r="B842">
        <v>860</v>
      </c>
      <c r="C842" t="s">
        <v>36</v>
      </c>
      <c r="D842" t="s">
        <v>451</v>
      </c>
      <c r="F842" t="s">
        <v>1740</v>
      </c>
      <c r="H842" t="s">
        <v>1559</v>
      </c>
      <c r="I842">
        <v>20</v>
      </c>
      <c r="J842" s="48">
        <v>0</v>
      </c>
      <c r="K842" s="48">
        <v>0</v>
      </c>
      <c r="L842" s="54">
        <v>46269</v>
      </c>
      <c r="M842" s="54">
        <v>46288</v>
      </c>
      <c r="N842" s="54">
        <v>46269</v>
      </c>
      <c r="O842" s="54">
        <v>46288</v>
      </c>
    </row>
    <row r="843" spans="2:15" x14ac:dyDescent="0.25">
      <c r="B843">
        <v>861</v>
      </c>
      <c r="C843" t="s">
        <v>36</v>
      </c>
      <c r="D843" t="s">
        <v>451</v>
      </c>
      <c r="E843" t="s">
        <v>2089</v>
      </c>
      <c r="F843" t="s">
        <v>1515</v>
      </c>
      <c r="G843">
        <v>862</v>
      </c>
      <c r="H843" t="s">
        <v>1519</v>
      </c>
      <c r="I843">
        <v>7</v>
      </c>
      <c r="J843" s="48">
        <v>0</v>
      </c>
      <c r="K843" s="48">
        <v>0</v>
      </c>
      <c r="L843" s="54">
        <v>46269</v>
      </c>
      <c r="M843" s="54">
        <v>46275</v>
      </c>
      <c r="N843" s="54">
        <v>46269</v>
      </c>
      <c r="O843" s="54">
        <v>46275</v>
      </c>
    </row>
    <row r="844" spans="2:15" x14ac:dyDescent="0.25">
      <c r="B844">
        <v>862</v>
      </c>
      <c r="C844" t="s">
        <v>36</v>
      </c>
      <c r="D844" t="s">
        <v>451</v>
      </c>
      <c r="E844">
        <v>861</v>
      </c>
      <c r="F844" t="s">
        <v>1517</v>
      </c>
      <c r="G844">
        <v>863</v>
      </c>
      <c r="H844" t="s">
        <v>1519</v>
      </c>
      <c r="I844">
        <v>6</v>
      </c>
      <c r="J844" s="48">
        <v>0</v>
      </c>
      <c r="K844" s="48">
        <v>0</v>
      </c>
      <c r="L844" s="54">
        <v>46275</v>
      </c>
      <c r="M844" s="54">
        <v>46280</v>
      </c>
      <c r="N844" s="54">
        <v>46275</v>
      </c>
      <c r="O844" s="54">
        <v>46280</v>
      </c>
    </row>
    <row r="845" spans="2:15" x14ac:dyDescent="0.25">
      <c r="B845">
        <v>863</v>
      </c>
      <c r="C845" t="s">
        <v>36</v>
      </c>
      <c r="D845" t="s">
        <v>451</v>
      </c>
      <c r="E845">
        <v>862</v>
      </c>
      <c r="F845" t="s">
        <v>1518</v>
      </c>
      <c r="G845">
        <v>864</v>
      </c>
      <c r="H845" t="s">
        <v>1519</v>
      </c>
      <c r="I845">
        <v>4</v>
      </c>
      <c r="J845" s="48">
        <v>0</v>
      </c>
      <c r="K845" s="48">
        <v>0</v>
      </c>
      <c r="L845" s="54">
        <v>46280</v>
      </c>
      <c r="M845" s="54">
        <v>46283</v>
      </c>
      <c r="N845" s="54">
        <v>46280</v>
      </c>
      <c r="O845" s="54">
        <v>46283</v>
      </c>
    </row>
    <row r="846" spans="2:15" x14ac:dyDescent="0.25">
      <c r="B846">
        <v>864</v>
      </c>
      <c r="C846" t="s">
        <v>36</v>
      </c>
      <c r="D846" t="s">
        <v>451</v>
      </c>
      <c r="E846">
        <v>863</v>
      </c>
      <c r="F846" t="s">
        <v>1520</v>
      </c>
      <c r="G846">
        <v>76</v>
      </c>
      <c r="H846" t="s">
        <v>1519</v>
      </c>
      <c r="I846">
        <v>6</v>
      </c>
      <c r="J846" s="48">
        <v>0</v>
      </c>
      <c r="K846" s="48">
        <v>0</v>
      </c>
      <c r="L846" s="54">
        <v>46283</v>
      </c>
      <c r="M846" s="54">
        <v>46288</v>
      </c>
      <c r="N846" s="54">
        <v>46283</v>
      </c>
      <c r="O846" s="54">
        <v>46288</v>
      </c>
    </row>
    <row r="847" spans="2:15" x14ac:dyDescent="0.25">
      <c r="B847">
        <v>865</v>
      </c>
      <c r="F847" t="s">
        <v>1741</v>
      </c>
      <c r="H847" t="s">
        <v>1559</v>
      </c>
      <c r="I847">
        <v>19</v>
      </c>
      <c r="J847" s="48">
        <v>0</v>
      </c>
      <c r="K847" s="48">
        <v>0</v>
      </c>
      <c r="L847" s="54">
        <v>46247</v>
      </c>
      <c r="M847" s="54">
        <v>46265</v>
      </c>
      <c r="N847" s="54">
        <v>46247</v>
      </c>
      <c r="O847" s="54">
        <v>46265</v>
      </c>
    </row>
    <row r="848" spans="2:15" x14ac:dyDescent="0.25">
      <c r="B848">
        <v>866</v>
      </c>
      <c r="F848" t="s">
        <v>1560</v>
      </c>
      <c r="H848" t="s">
        <v>1559</v>
      </c>
      <c r="I848">
        <v>19</v>
      </c>
      <c r="J848" s="48">
        <v>0</v>
      </c>
      <c r="K848" s="48">
        <v>0</v>
      </c>
      <c r="L848" s="54">
        <v>46247</v>
      </c>
      <c r="M848" s="54">
        <v>46265</v>
      </c>
      <c r="N848" s="54">
        <v>46247</v>
      </c>
      <c r="O848" s="54">
        <v>46265</v>
      </c>
    </row>
    <row r="849" spans="2:15" x14ac:dyDescent="0.25">
      <c r="B849">
        <v>867</v>
      </c>
      <c r="F849" t="s">
        <v>1707</v>
      </c>
      <c r="H849" t="s">
        <v>1559</v>
      </c>
      <c r="I849">
        <v>19</v>
      </c>
      <c r="J849" s="48">
        <v>0</v>
      </c>
      <c r="K849" s="48">
        <v>0</v>
      </c>
      <c r="L849" s="54">
        <v>46247</v>
      </c>
      <c r="M849" s="54">
        <v>46265</v>
      </c>
      <c r="N849" s="54">
        <v>46247</v>
      </c>
      <c r="O849" s="54">
        <v>46265</v>
      </c>
    </row>
    <row r="850" spans="2:15" x14ac:dyDescent="0.25">
      <c r="B850">
        <v>868</v>
      </c>
      <c r="C850" t="s">
        <v>17</v>
      </c>
      <c r="D850" t="s">
        <v>361</v>
      </c>
      <c r="F850" t="s">
        <v>1742</v>
      </c>
      <c r="H850" t="s">
        <v>1559</v>
      </c>
      <c r="I850">
        <v>19</v>
      </c>
      <c r="J850" s="48">
        <v>0</v>
      </c>
      <c r="K850" s="48">
        <v>0</v>
      </c>
      <c r="L850" s="54">
        <v>46247</v>
      </c>
      <c r="M850" s="54">
        <v>46265</v>
      </c>
      <c r="N850" s="54">
        <v>46247</v>
      </c>
      <c r="O850" s="54">
        <v>46265</v>
      </c>
    </row>
    <row r="851" spans="2:15" x14ac:dyDescent="0.25">
      <c r="B851">
        <v>869</v>
      </c>
      <c r="C851" t="s">
        <v>17</v>
      </c>
      <c r="D851" t="s">
        <v>361</v>
      </c>
      <c r="E851">
        <v>935</v>
      </c>
      <c r="F851" t="s">
        <v>1515</v>
      </c>
      <c r="G851" t="s">
        <v>2090</v>
      </c>
      <c r="H851" t="s">
        <v>1519</v>
      </c>
      <c r="I851">
        <v>6</v>
      </c>
      <c r="J851" s="48">
        <v>0</v>
      </c>
      <c r="K851" s="48">
        <v>0</v>
      </c>
      <c r="L851" s="54">
        <v>46247</v>
      </c>
      <c r="M851" s="54">
        <v>46252</v>
      </c>
      <c r="N851" s="54">
        <v>46247</v>
      </c>
      <c r="O851" s="54">
        <v>46252</v>
      </c>
    </row>
    <row r="852" spans="2:15" x14ac:dyDescent="0.25">
      <c r="B852">
        <v>870</v>
      </c>
      <c r="C852" t="s">
        <v>17</v>
      </c>
      <c r="D852" t="s">
        <v>361</v>
      </c>
      <c r="E852">
        <v>869</v>
      </c>
      <c r="F852" t="s">
        <v>1517</v>
      </c>
      <c r="G852">
        <v>871</v>
      </c>
      <c r="H852" t="s">
        <v>1519</v>
      </c>
      <c r="I852">
        <v>4</v>
      </c>
      <c r="J852" s="48">
        <v>0</v>
      </c>
      <c r="K852" s="48">
        <v>0</v>
      </c>
      <c r="L852" s="54">
        <v>46252</v>
      </c>
      <c r="M852" s="54">
        <v>46255</v>
      </c>
      <c r="N852" s="54">
        <v>46252</v>
      </c>
      <c r="O852" s="54">
        <v>46255</v>
      </c>
    </row>
    <row r="853" spans="2:15" x14ac:dyDescent="0.25">
      <c r="B853">
        <v>871</v>
      </c>
      <c r="C853" t="s">
        <v>17</v>
      </c>
      <c r="D853" t="s">
        <v>361</v>
      </c>
      <c r="E853">
        <v>870</v>
      </c>
      <c r="F853" t="s">
        <v>1518</v>
      </c>
      <c r="G853">
        <v>872</v>
      </c>
      <c r="H853" t="s">
        <v>1519</v>
      </c>
      <c r="I853">
        <v>6</v>
      </c>
      <c r="J853" s="48">
        <v>0</v>
      </c>
      <c r="K853" s="48">
        <v>0</v>
      </c>
      <c r="L853" s="54">
        <v>46255</v>
      </c>
      <c r="M853" s="54">
        <v>46260</v>
      </c>
      <c r="N853" s="54">
        <v>46255</v>
      </c>
      <c r="O853" s="54">
        <v>46260</v>
      </c>
    </row>
    <row r="854" spans="2:15" x14ac:dyDescent="0.25">
      <c r="B854">
        <v>872</v>
      </c>
      <c r="C854" t="s">
        <v>17</v>
      </c>
      <c r="D854" t="s">
        <v>361</v>
      </c>
      <c r="E854">
        <v>871</v>
      </c>
      <c r="F854" t="s">
        <v>1520</v>
      </c>
      <c r="G854">
        <v>76</v>
      </c>
      <c r="H854" t="s">
        <v>1519</v>
      </c>
      <c r="I854">
        <v>6</v>
      </c>
      <c r="J854" s="48">
        <v>0</v>
      </c>
      <c r="K854" s="48">
        <v>0</v>
      </c>
      <c r="L854" s="54">
        <v>46260</v>
      </c>
      <c r="M854" s="54">
        <v>46265</v>
      </c>
      <c r="N854" s="54">
        <v>46260</v>
      </c>
      <c r="O854" s="54">
        <v>46265</v>
      </c>
    </row>
    <row r="855" spans="2:15" x14ac:dyDescent="0.25">
      <c r="B855">
        <v>873</v>
      </c>
      <c r="C855" t="s">
        <v>50</v>
      </c>
      <c r="D855" t="s">
        <v>520</v>
      </c>
      <c r="F855" t="s">
        <v>1743</v>
      </c>
      <c r="H855" t="s">
        <v>1641</v>
      </c>
      <c r="I855">
        <v>18</v>
      </c>
      <c r="J855" s="48">
        <v>0</v>
      </c>
      <c r="K855" s="48">
        <v>0</v>
      </c>
      <c r="L855" s="54">
        <v>46248</v>
      </c>
      <c r="M855" s="54">
        <v>46265</v>
      </c>
      <c r="N855" s="54">
        <v>46248</v>
      </c>
      <c r="O855" s="54">
        <v>46265</v>
      </c>
    </row>
    <row r="856" spans="2:15" x14ac:dyDescent="0.25">
      <c r="B856">
        <v>874</v>
      </c>
      <c r="C856" t="s">
        <v>50</v>
      </c>
      <c r="D856" t="s">
        <v>520</v>
      </c>
      <c r="E856" t="s">
        <v>2091</v>
      </c>
      <c r="F856" t="s">
        <v>1515</v>
      </c>
      <c r="G856" t="s">
        <v>2092</v>
      </c>
      <c r="H856" t="s">
        <v>1642</v>
      </c>
      <c r="I856">
        <v>5</v>
      </c>
      <c r="J856" s="48">
        <v>0</v>
      </c>
      <c r="K856" s="48">
        <v>0</v>
      </c>
      <c r="L856" s="54">
        <v>46248</v>
      </c>
      <c r="M856" s="54">
        <v>46252</v>
      </c>
      <c r="N856" s="54">
        <v>46248</v>
      </c>
      <c r="O856" s="54">
        <v>46252</v>
      </c>
    </row>
    <row r="857" spans="2:15" x14ac:dyDescent="0.25">
      <c r="B857">
        <v>875</v>
      </c>
      <c r="C857" t="s">
        <v>50</v>
      </c>
      <c r="D857" t="s">
        <v>520</v>
      </c>
      <c r="E857">
        <v>874</v>
      </c>
      <c r="F857" t="s">
        <v>1517</v>
      </c>
      <c r="G857">
        <v>876</v>
      </c>
      <c r="H857" t="s">
        <v>1519</v>
      </c>
      <c r="I857">
        <v>4</v>
      </c>
      <c r="J857" s="48">
        <v>0</v>
      </c>
      <c r="K857" s="48">
        <v>0</v>
      </c>
      <c r="L857" s="54">
        <v>46252</v>
      </c>
      <c r="M857" s="54">
        <v>46255</v>
      </c>
      <c r="N857" s="54">
        <v>46252</v>
      </c>
      <c r="O857" s="54">
        <v>46255</v>
      </c>
    </row>
    <row r="858" spans="2:15" x14ac:dyDescent="0.25">
      <c r="B858">
        <v>876</v>
      </c>
      <c r="C858" t="s">
        <v>50</v>
      </c>
      <c r="D858" t="s">
        <v>520</v>
      </c>
      <c r="E858">
        <v>875</v>
      </c>
      <c r="F858" t="s">
        <v>1518</v>
      </c>
      <c r="G858">
        <v>877</v>
      </c>
      <c r="H858" t="s">
        <v>1519</v>
      </c>
      <c r="I858">
        <v>6</v>
      </c>
      <c r="J858" s="48">
        <v>0</v>
      </c>
      <c r="K858" s="48">
        <v>0</v>
      </c>
      <c r="L858" s="54">
        <v>46255</v>
      </c>
      <c r="M858" s="54">
        <v>46260</v>
      </c>
      <c r="N858" s="54">
        <v>46255</v>
      </c>
      <c r="O858" s="54">
        <v>46260</v>
      </c>
    </row>
    <row r="859" spans="2:15" x14ac:dyDescent="0.25">
      <c r="B859">
        <v>877</v>
      </c>
      <c r="C859" t="s">
        <v>50</v>
      </c>
      <c r="D859" t="s">
        <v>520</v>
      </c>
      <c r="E859">
        <v>876</v>
      </c>
      <c r="F859" t="s">
        <v>1520</v>
      </c>
      <c r="G859">
        <v>76</v>
      </c>
      <c r="H859" t="s">
        <v>1519</v>
      </c>
      <c r="I859">
        <v>6</v>
      </c>
      <c r="J859" s="48">
        <v>0</v>
      </c>
      <c r="K859" s="48">
        <v>0</v>
      </c>
      <c r="L859" s="54">
        <v>46260</v>
      </c>
      <c r="M859" s="54">
        <v>46265</v>
      </c>
      <c r="N859" s="54">
        <v>46260</v>
      </c>
      <c r="O859" s="54">
        <v>46265</v>
      </c>
    </row>
    <row r="860" spans="2:15" x14ac:dyDescent="0.25">
      <c r="B860">
        <v>878</v>
      </c>
      <c r="C860" t="s">
        <v>23</v>
      </c>
      <c r="D860" t="s">
        <v>393</v>
      </c>
      <c r="F860" t="s">
        <v>1744</v>
      </c>
      <c r="H860" t="s">
        <v>1641</v>
      </c>
      <c r="I860">
        <v>18</v>
      </c>
      <c r="J860" s="48">
        <v>0</v>
      </c>
      <c r="K860" s="48">
        <v>0</v>
      </c>
      <c r="L860" s="54">
        <v>46248</v>
      </c>
      <c r="M860" s="54">
        <v>46265</v>
      </c>
      <c r="N860" s="54">
        <v>46248</v>
      </c>
      <c r="O860" s="54">
        <v>46265</v>
      </c>
    </row>
    <row r="861" spans="2:15" x14ac:dyDescent="0.25">
      <c r="B861">
        <v>879</v>
      </c>
      <c r="C861" t="s">
        <v>23</v>
      </c>
      <c r="D861" t="s">
        <v>393</v>
      </c>
      <c r="E861" t="s">
        <v>2093</v>
      </c>
      <c r="F861" t="s">
        <v>1515</v>
      </c>
      <c r="G861" t="s">
        <v>2094</v>
      </c>
      <c r="H861" t="s">
        <v>1642</v>
      </c>
      <c r="I861">
        <v>5</v>
      </c>
      <c r="J861" s="48">
        <v>0</v>
      </c>
      <c r="K861" s="48">
        <v>0</v>
      </c>
      <c r="L861" s="54">
        <v>46248</v>
      </c>
      <c r="M861" s="54">
        <v>46252</v>
      </c>
      <c r="N861" s="54">
        <v>46248</v>
      </c>
      <c r="O861" s="54">
        <v>46252</v>
      </c>
    </row>
    <row r="862" spans="2:15" x14ac:dyDescent="0.25">
      <c r="B862">
        <v>880</v>
      </c>
      <c r="C862" t="s">
        <v>23</v>
      </c>
      <c r="D862" t="s">
        <v>393</v>
      </c>
      <c r="E862">
        <v>879</v>
      </c>
      <c r="F862" t="s">
        <v>1517</v>
      </c>
      <c r="G862">
        <v>881</v>
      </c>
      <c r="H862" t="s">
        <v>1519</v>
      </c>
      <c r="I862">
        <v>4</v>
      </c>
      <c r="J862" s="48">
        <v>0</v>
      </c>
      <c r="K862" s="48">
        <v>0</v>
      </c>
      <c r="L862" s="54">
        <v>46252</v>
      </c>
      <c r="M862" s="54">
        <v>46255</v>
      </c>
      <c r="N862" s="54">
        <v>46252</v>
      </c>
      <c r="O862" s="54">
        <v>46255</v>
      </c>
    </row>
    <row r="863" spans="2:15" x14ac:dyDescent="0.25">
      <c r="B863">
        <v>881</v>
      </c>
      <c r="C863" t="s">
        <v>23</v>
      </c>
      <c r="D863" t="s">
        <v>393</v>
      </c>
      <c r="E863">
        <v>880</v>
      </c>
      <c r="F863" t="s">
        <v>1518</v>
      </c>
      <c r="G863">
        <v>882</v>
      </c>
      <c r="H863" t="s">
        <v>1519</v>
      </c>
      <c r="I863">
        <v>6</v>
      </c>
      <c r="J863" s="48">
        <v>0</v>
      </c>
      <c r="K863" s="48">
        <v>0</v>
      </c>
      <c r="L863" s="54">
        <v>46255</v>
      </c>
      <c r="M863" s="54">
        <v>46260</v>
      </c>
      <c r="N863" s="54">
        <v>46255</v>
      </c>
      <c r="O863" s="54">
        <v>46260</v>
      </c>
    </row>
    <row r="864" spans="2:15" x14ac:dyDescent="0.25">
      <c r="B864">
        <v>882</v>
      </c>
      <c r="C864" t="s">
        <v>23</v>
      </c>
      <c r="D864" t="s">
        <v>393</v>
      </c>
      <c r="E864">
        <v>881</v>
      </c>
      <c r="F864" t="s">
        <v>1520</v>
      </c>
      <c r="G864">
        <v>76</v>
      </c>
      <c r="H864" t="s">
        <v>1519</v>
      </c>
      <c r="I864">
        <v>6</v>
      </c>
      <c r="J864" s="48">
        <v>0</v>
      </c>
      <c r="K864" s="48">
        <v>0</v>
      </c>
      <c r="L864" s="54">
        <v>46260</v>
      </c>
      <c r="M864" s="54">
        <v>46265</v>
      </c>
      <c r="N864" s="54">
        <v>46260</v>
      </c>
      <c r="O864" s="54">
        <v>46265</v>
      </c>
    </row>
    <row r="865" spans="2:15" x14ac:dyDescent="0.25">
      <c r="B865">
        <v>883</v>
      </c>
      <c r="F865" t="s">
        <v>1745</v>
      </c>
      <c r="H865" t="s">
        <v>1598</v>
      </c>
      <c r="I865">
        <v>26</v>
      </c>
      <c r="J865" s="48">
        <v>0</v>
      </c>
      <c r="K865" s="48">
        <v>0</v>
      </c>
      <c r="L865" s="54">
        <v>46227</v>
      </c>
      <c r="M865" s="54">
        <v>46252</v>
      </c>
      <c r="N865" s="54">
        <v>46227</v>
      </c>
      <c r="O865" s="54">
        <v>46252</v>
      </c>
    </row>
    <row r="866" spans="2:15" x14ac:dyDescent="0.25">
      <c r="B866">
        <v>884</v>
      </c>
      <c r="F866" t="s">
        <v>1560</v>
      </c>
      <c r="H866" t="s">
        <v>1598</v>
      </c>
      <c r="I866">
        <v>26</v>
      </c>
      <c r="J866" s="48">
        <v>0</v>
      </c>
      <c r="K866" s="48">
        <v>0</v>
      </c>
      <c r="L866" s="54">
        <v>46227</v>
      </c>
      <c r="M866" s="54">
        <v>46252</v>
      </c>
      <c r="N866" s="54">
        <v>46227</v>
      </c>
      <c r="O866" s="54">
        <v>46252</v>
      </c>
    </row>
    <row r="867" spans="2:15" x14ac:dyDescent="0.25">
      <c r="B867">
        <v>885</v>
      </c>
      <c r="F867" t="s">
        <v>1707</v>
      </c>
      <c r="H867" t="s">
        <v>1598</v>
      </c>
      <c r="I867">
        <v>26</v>
      </c>
      <c r="J867" s="48">
        <v>0</v>
      </c>
      <c r="K867" s="48">
        <v>0</v>
      </c>
      <c r="L867" s="54">
        <v>46227</v>
      </c>
      <c r="M867" s="54">
        <v>46252</v>
      </c>
      <c r="N867" s="54">
        <v>46227</v>
      </c>
      <c r="O867" s="54">
        <v>46252</v>
      </c>
    </row>
    <row r="868" spans="2:15" x14ac:dyDescent="0.25">
      <c r="B868">
        <v>886</v>
      </c>
      <c r="C868" t="s">
        <v>20</v>
      </c>
      <c r="D868" t="s">
        <v>377</v>
      </c>
      <c r="F868" t="s">
        <v>1746</v>
      </c>
      <c r="H868" t="s">
        <v>1641</v>
      </c>
      <c r="I868">
        <v>18</v>
      </c>
      <c r="J868" s="48">
        <v>0</v>
      </c>
      <c r="K868" s="48">
        <v>0</v>
      </c>
      <c r="L868" s="54">
        <v>46227</v>
      </c>
      <c r="M868" s="54">
        <v>46244</v>
      </c>
      <c r="N868" s="54">
        <v>46227</v>
      </c>
      <c r="O868" s="54">
        <v>46244</v>
      </c>
    </row>
    <row r="869" spans="2:15" x14ac:dyDescent="0.25">
      <c r="B869">
        <v>887</v>
      </c>
      <c r="C869" t="s">
        <v>20</v>
      </c>
      <c r="D869" t="s">
        <v>377</v>
      </c>
      <c r="E869">
        <v>781</v>
      </c>
      <c r="F869" t="s">
        <v>1515</v>
      </c>
      <c r="G869" t="s">
        <v>2095</v>
      </c>
      <c r="H869" t="s">
        <v>1642</v>
      </c>
      <c r="I869">
        <v>5</v>
      </c>
      <c r="J869" s="48">
        <v>0</v>
      </c>
      <c r="K869" s="48">
        <v>0</v>
      </c>
      <c r="L869" s="54">
        <v>46227</v>
      </c>
      <c r="M869" s="54">
        <v>46231</v>
      </c>
      <c r="N869" s="54">
        <v>46227</v>
      </c>
      <c r="O869" s="54">
        <v>46231</v>
      </c>
    </row>
    <row r="870" spans="2:15" x14ac:dyDescent="0.25">
      <c r="B870">
        <v>888</v>
      </c>
      <c r="C870" t="s">
        <v>20</v>
      </c>
      <c r="D870" t="s">
        <v>377</v>
      </c>
      <c r="E870">
        <v>887</v>
      </c>
      <c r="F870" t="s">
        <v>1517</v>
      </c>
      <c r="G870">
        <v>889</v>
      </c>
      <c r="H870" t="s">
        <v>1519</v>
      </c>
      <c r="I870">
        <v>4</v>
      </c>
      <c r="J870" s="48">
        <v>0</v>
      </c>
      <c r="K870" s="48">
        <v>0</v>
      </c>
      <c r="L870" s="54">
        <v>46231</v>
      </c>
      <c r="M870" s="54">
        <v>46234</v>
      </c>
      <c r="N870" s="54">
        <v>46231</v>
      </c>
      <c r="O870" s="54">
        <v>46234</v>
      </c>
    </row>
    <row r="871" spans="2:15" x14ac:dyDescent="0.25">
      <c r="B871">
        <v>889</v>
      </c>
      <c r="C871" t="s">
        <v>20</v>
      </c>
      <c r="D871" t="s">
        <v>377</v>
      </c>
      <c r="E871">
        <v>888</v>
      </c>
      <c r="F871" t="s">
        <v>1518</v>
      </c>
      <c r="G871">
        <v>890</v>
      </c>
      <c r="H871" t="s">
        <v>1519</v>
      </c>
      <c r="I871">
        <v>6</v>
      </c>
      <c r="J871" s="48">
        <v>0</v>
      </c>
      <c r="K871" s="48">
        <v>0</v>
      </c>
      <c r="L871" s="54">
        <v>46234</v>
      </c>
      <c r="M871" s="54">
        <v>46239</v>
      </c>
      <c r="N871" s="54">
        <v>46234</v>
      </c>
      <c r="O871" s="54">
        <v>46239</v>
      </c>
    </row>
    <row r="872" spans="2:15" x14ac:dyDescent="0.25">
      <c r="B872">
        <v>890</v>
      </c>
      <c r="C872" t="s">
        <v>20</v>
      </c>
      <c r="D872" t="s">
        <v>377</v>
      </c>
      <c r="E872">
        <v>889</v>
      </c>
      <c r="F872" t="s">
        <v>1520</v>
      </c>
      <c r="G872">
        <v>76</v>
      </c>
      <c r="H872" t="s">
        <v>1519</v>
      </c>
      <c r="I872">
        <v>6</v>
      </c>
      <c r="J872" s="48">
        <v>0</v>
      </c>
      <c r="K872" s="48">
        <v>0</v>
      </c>
      <c r="L872" s="54">
        <v>46239</v>
      </c>
      <c r="M872" s="54">
        <v>46244</v>
      </c>
      <c r="N872" s="54">
        <v>46239</v>
      </c>
      <c r="O872" s="54">
        <v>46244</v>
      </c>
    </row>
    <row r="873" spans="2:15" x14ac:dyDescent="0.25">
      <c r="B873">
        <v>891</v>
      </c>
      <c r="C873" t="s">
        <v>54</v>
      </c>
      <c r="D873" t="s">
        <v>534</v>
      </c>
      <c r="F873" t="s">
        <v>1747</v>
      </c>
      <c r="H873" t="s">
        <v>1641</v>
      </c>
      <c r="I873">
        <v>16</v>
      </c>
      <c r="J873" s="48">
        <v>0</v>
      </c>
      <c r="K873" s="48">
        <v>0</v>
      </c>
      <c r="L873" s="54">
        <v>46231</v>
      </c>
      <c r="M873" s="54">
        <v>46246</v>
      </c>
      <c r="N873" s="54">
        <v>46231</v>
      </c>
      <c r="O873" s="54">
        <v>46246</v>
      </c>
    </row>
    <row r="874" spans="2:15" x14ac:dyDescent="0.25">
      <c r="B874">
        <v>892</v>
      </c>
      <c r="C874" t="s">
        <v>54</v>
      </c>
      <c r="D874" t="s">
        <v>534</v>
      </c>
      <c r="E874">
        <v>887</v>
      </c>
      <c r="F874" t="s">
        <v>1515</v>
      </c>
      <c r="G874" t="s">
        <v>2096</v>
      </c>
      <c r="H874" t="s">
        <v>1642</v>
      </c>
      <c r="I874">
        <v>3</v>
      </c>
      <c r="J874" s="48">
        <v>0</v>
      </c>
      <c r="K874" s="48">
        <v>0</v>
      </c>
      <c r="L874" s="54">
        <v>46231</v>
      </c>
      <c r="M874" s="54">
        <v>46233</v>
      </c>
      <c r="N874" s="54">
        <v>46231</v>
      </c>
      <c r="O874" s="54">
        <v>46233</v>
      </c>
    </row>
    <row r="875" spans="2:15" x14ac:dyDescent="0.25">
      <c r="B875">
        <v>893</v>
      </c>
      <c r="C875" t="s">
        <v>54</v>
      </c>
      <c r="D875" t="s">
        <v>534</v>
      </c>
      <c r="E875">
        <v>892</v>
      </c>
      <c r="F875" t="s">
        <v>1517</v>
      </c>
      <c r="G875">
        <v>894</v>
      </c>
      <c r="H875" t="s">
        <v>1519</v>
      </c>
      <c r="I875">
        <v>6</v>
      </c>
      <c r="J875" s="48">
        <v>0</v>
      </c>
      <c r="K875" s="48">
        <v>0</v>
      </c>
      <c r="L875" s="54">
        <v>46233</v>
      </c>
      <c r="M875" s="54">
        <v>46238</v>
      </c>
      <c r="N875" s="54">
        <v>46233</v>
      </c>
      <c r="O875" s="54">
        <v>46238</v>
      </c>
    </row>
    <row r="876" spans="2:15" x14ac:dyDescent="0.25">
      <c r="B876">
        <v>894</v>
      </c>
      <c r="C876" t="s">
        <v>54</v>
      </c>
      <c r="D876" t="s">
        <v>534</v>
      </c>
      <c r="E876">
        <v>893</v>
      </c>
      <c r="F876" t="s">
        <v>1518</v>
      </c>
      <c r="G876">
        <v>895</v>
      </c>
      <c r="H876" t="s">
        <v>1519</v>
      </c>
      <c r="I876">
        <v>4</v>
      </c>
      <c r="J876" s="48">
        <v>0</v>
      </c>
      <c r="K876" s="48">
        <v>0</v>
      </c>
      <c r="L876" s="54">
        <v>46238</v>
      </c>
      <c r="M876" s="54">
        <v>46241</v>
      </c>
      <c r="N876" s="54">
        <v>46238</v>
      </c>
      <c r="O876" s="54">
        <v>46241</v>
      </c>
    </row>
    <row r="877" spans="2:15" x14ac:dyDescent="0.25">
      <c r="B877">
        <v>895</v>
      </c>
      <c r="C877" t="s">
        <v>54</v>
      </c>
      <c r="D877" t="s">
        <v>534</v>
      </c>
      <c r="E877">
        <v>894</v>
      </c>
      <c r="F877" t="s">
        <v>1520</v>
      </c>
      <c r="G877">
        <v>76</v>
      </c>
      <c r="H877" t="s">
        <v>1519</v>
      </c>
      <c r="I877">
        <v>6</v>
      </c>
      <c r="J877" s="48">
        <v>0</v>
      </c>
      <c r="K877" s="48">
        <v>0</v>
      </c>
      <c r="L877" s="54">
        <v>46241</v>
      </c>
      <c r="M877" s="54">
        <v>46246</v>
      </c>
      <c r="N877" s="54">
        <v>46241</v>
      </c>
      <c r="O877" s="54">
        <v>46246</v>
      </c>
    </row>
    <row r="878" spans="2:15" x14ac:dyDescent="0.25">
      <c r="B878">
        <v>896</v>
      </c>
      <c r="C878" t="s">
        <v>25</v>
      </c>
      <c r="D878" t="s">
        <v>399</v>
      </c>
      <c r="F878" t="s">
        <v>1748</v>
      </c>
      <c r="H878" t="s">
        <v>1641</v>
      </c>
      <c r="I878">
        <v>16</v>
      </c>
      <c r="J878" s="48">
        <v>0</v>
      </c>
      <c r="K878" s="48">
        <v>0</v>
      </c>
      <c r="L878" s="54">
        <v>46231</v>
      </c>
      <c r="M878" s="54">
        <v>46246</v>
      </c>
      <c r="N878" s="54">
        <v>46231</v>
      </c>
      <c r="O878" s="54">
        <v>46246</v>
      </c>
    </row>
    <row r="879" spans="2:15" x14ac:dyDescent="0.25">
      <c r="B879">
        <v>897</v>
      </c>
      <c r="C879" t="s">
        <v>25</v>
      </c>
      <c r="D879" t="s">
        <v>399</v>
      </c>
      <c r="E879" t="s">
        <v>2097</v>
      </c>
      <c r="F879" t="s">
        <v>1515</v>
      </c>
      <c r="G879" t="s">
        <v>2098</v>
      </c>
      <c r="H879" t="s">
        <v>1642</v>
      </c>
      <c r="I879">
        <v>3</v>
      </c>
      <c r="J879" s="48">
        <v>0</v>
      </c>
      <c r="K879" s="48">
        <v>0</v>
      </c>
      <c r="L879" s="54">
        <v>46231</v>
      </c>
      <c r="M879" s="54">
        <v>46233</v>
      </c>
      <c r="N879" s="54">
        <v>46231</v>
      </c>
      <c r="O879" s="54">
        <v>46233</v>
      </c>
    </row>
    <row r="880" spans="2:15" x14ac:dyDescent="0.25">
      <c r="B880">
        <v>898</v>
      </c>
      <c r="C880" t="s">
        <v>25</v>
      </c>
      <c r="D880" t="s">
        <v>399</v>
      </c>
      <c r="E880">
        <v>897</v>
      </c>
      <c r="F880" t="s">
        <v>1517</v>
      </c>
      <c r="G880">
        <v>899</v>
      </c>
      <c r="H880" t="s">
        <v>1519</v>
      </c>
      <c r="I880">
        <v>6</v>
      </c>
      <c r="J880" s="48">
        <v>0</v>
      </c>
      <c r="K880" s="48">
        <v>0</v>
      </c>
      <c r="L880" s="54">
        <v>46233</v>
      </c>
      <c r="M880" s="54">
        <v>46238</v>
      </c>
      <c r="N880" s="54">
        <v>46233</v>
      </c>
      <c r="O880" s="54">
        <v>46238</v>
      </c>
    </row>
    <row r="881" spans="2:15" x14ac:dyDescent="0.25">
      <c r="B881">
        <v>899</v>
      </c>
      <c r="C881" t="s">
        <v>25</v>
      </c>
      <c r="D881" t="s">
        <v>399</v>
      </c>
      <c r="E881">
        <v>898</v>
      </c>
      <c r="F881" t="s">
        <v>1518</v>
      </c>
      <c r="G881">
        <v>900</v>
      </c>
      <c r="H881" t="s">
        <v>1519</v>
      </c>
      <c r="I881">
        <v>4</v>
      </c>
      <c r="J881" s="48">
        <v>0</v>
      </c>
      <c r="K881" s="48">
        <v>0</v>
      </c>
      <c r="L881" s="54">
        <v>46238</v>
      </c>
      <c r="M881" s="54">
        <v>46241</v>
      </c>
      <c r="N881" s="54">
        <v>46238</v>
      </c>
      <c r="O881" s="54">
        <v>46241</v>
      </c>
    </row>
    <row r="882" spans="2:15" x14ac:dyDescent="0.25">
      <c r="B882">
        <v>900</v>
      </c>
      <c r="C882" t="s">
        <v>25</v>
      </c>
      <c r="D882" t="s">
        <v>399</v>
      </c>
      <c r="E882">
        <v>899</v>
      </c>
      <c r="F882" t="s">
        <v>1520</v>
      </c>
      <c r="G882">
        <v>76</v>
      </c>
      <c r="H882" t="s">
        <v>1519</v>
      </c>
      <c r="I882">
        <v>6</v>
      </c>
      <c r="J882" s="48">
        <v>0</v>
      </c>
      <c r="K882" s="48">
        <v>0</v>
      </c>
      <c r="L882" s="54">
        <v>46241</v>
      </c>
      <c r="M882" s="54">
        <v>46246</v>
      </c>
      <c r="N882" s="54">
        <v>46241</v>
      </c>
      <c r="O882" s="54">
        <v>46246</v>
      </c>
    </row>
    <row r="883" spans="2:15" x14ac:dyDescent="0.25">
      <c r="B883">
        <v>901</v>
      </c>
      <c r="C883" t="s">
        <v>19</v>
      </c>
      <c r="D883" t="s">
        <v>371</v>
      </c>
      <c r="F883" t="s">
        <v>1749</v>
      </c>
      <c r="H883" t="s">
        <v>1641</v>
      </c>
      <c r="I883">
        <v>16</v>
      </c>
      <c r="J883" s="48">
        <v>0</v>
      </c>
      <c r="K883" s="48">
        <v>0</v>
      </c>
      <c r="L883" s="54">
        <v>46233</v>
      </c>
      <c r="M883" s="54">
        <v>46248</v>
      </c>
      <c r="N883" s="54">
        <v>46233</v>
      </c>
      <c r="O883" s="54">
        <v>46248</v>
      </c>
    </row>
    <row r="884" spans="2:15" x14ac:dyDescent="0.25">
      <c r="B884">
        <v>902</v>
      </c>
      <c r="C884" t="s">
        <v>19</v>
      </c>
      <c r="D884" t="s">
        <v>371</v>
      </c>
      <c r="E884">
        <v>897</v>
      </c>
      <c r="F884" t="s">
        <v>1515</v>
      </c>
      <c r="G884" t="s">
        <v>2099</v>
      </c>
      <c r="H884" t="s">
        <v>1642</v>
      </c>
      <c r="I884">
        <v>5</v>
      </c>
      <c r="J884" s="48">
        <v>0</v>
      </c>
      <c r="K884" s="48">
        <v>0</v>
      </c>
      <c r="L884" s="54">
        <v>46233</v>
      </c>
      <c r="M884" s="54">
        <v>46237</v>
      </c>
      <c r="N884" s="54">
        <v>46233</v>
      </c>
      <c r="O884" s="54">
        <v>46237</v>
      </c>
    </row>
    <row r="885" spans="2:15" x14ac:dyDescent="0.25">
      <c r="B885">
        <v>903</v>
      </c>
      <c r="C885" t="s">
        <v>19</v>
      </c>
      <c r="D885" t="s">
        <v>371</v>
      </c>
      <c r="E885">
        <v>902</v>
      </c>
      <c r="F885" t="s">
        <v>1517</v>
      </c>
      <c r="G885">
        <v>904</v>
      </c>
      <c r="H885" t="s">
        <v>1519</v>
      </c>
      <c r="I885">
        <v>4</v>
      </c>
      <c r="J885" s="48">
        <v>0</v>
      </c>
      <c r="K885" s="48">
        <v>0</v>
      </c>
      <c r="L885" s="54">
        <v>46237</v>
      </c>
      <c r="M885" s="54">
        <v>46240</v>
      </c>
      <c r="N885" s="54">
        <v>46237</v>
      </c>
      <c r="O885" s="54">
        <v>46240</v>
      </c>
    </row>
    <row r="886" spans="2:15" x14ac:dyDescent="0.25">
      <c r="B886">
        <v>904</v>
      </c>
      <c r="C886" t="s">
        <v>19</v>
      </c>
      <c r="D886" t="s">
        <v>371</v>
      </c>
      <c r="E886">
        <v>903</v>
      </c>
      <c r="F886" t="s">
        <v>1518</v>
      </c>
      <c r="G886">
        <v>905</v>
      </c>
      <c r="H886" t="s">
        <v>1519</v>
      </c>
      <c r="I886">
        <v>6</v>
      </c>
      <c r="J886" s="48">
        <v>0</v>
      </c>
      <c r="K886" s="48">
        <v>0</v>
      </c>
      <c r="L886" s="54">
        <v>46240</v>
      </c>
      <c r="M886" s="54">
        <v>46245</v>
      </c>
      <c r="N886" s="54">
        <v>46240</v>
      </c>
      <c r="O886" s="54">
        <v>46245</v>
      </c>
    </row>
    <row r="887" spans="2:15" x14ac:dyDescent="0.25">
      <c r="B887">
        <v>905</v>
      </c>
      <c r="C887" t="s">
        <v>19</v>
      </c>
      <c r="D887" t="s">
        <v>371</v>
      </c>
      <c r="E887">
        <v>904</v>
      </c>
      <c r="F887" t="s">
        <v>1520</v>
      </c>
      <c r="G887">
        <v>76</v>
      </c>
      <c r="H887" t="s">
        <v>1519</v>
      </c>
      <c r="I887">
        <v>4</v>
      </c>
      <c r="J887" s="48">
        <v>0</v>
      </c>
      <c r="K887" s="48">
        <v>0</v>
      </c>
      <c r="L887" s="54">
        <v>46245</v>
      </c>
      <c r="M887" s="54">
        <v>46248</v>
      </c>
      <c r="N887" s="54">
        <v>46245</v>
      </c>
      <c r="O887" s="54">
        <v>46248</v>
      </c>
    </row>
    <row r="888" spans="2:15" x14ac:dyDescent="0.25">
      <c r="B888">
        <v>906</v>
      </c>
      <c r="C888" t="s">
        <v>53</v>
      </c>
      <c r="D888" t="s">
        <v>531</v>
      </c>
      <c r="F888" t="s">
        <v>1750</v>
      </c>
      <c r="H888" t="s">
        <v>1641</v>
      </c>
      <c r="I888">
        <v>16</v>
      </c>
      <c r="J888" s="48">
        <v>0</v>
      </c>
      <c r="K888" s="48">
        <v>0</v>
      </c>
      <c r="L888" s="54">
        <v>46237</v>
      </c>
      <c r="M888" s="54">
        <v>46252</v>
      </c>
      <c r="N888" s="54">
        <v>46237</v>
      </c>
      <c r="O888" s="54">
        <v>46252</v>
      </c>
    </row>
    <row r="889" spans="2:15" x14ac:dyDescent="0.25">
      <c r="B889">
        <v>907</v>
      </c>
      <c r="C889" t="s">
        <v>53</v>
      </c>
      <c r="D889" t="s">
        <v>531</v>
      </c>
      <c r="E889">
        <v>902</v>
      </c>
      <c r="F889" t="s">
        <v>1515</v>
      </c>
      <c r="G889" t="s">
        <v>2100</v>
      </c>
      <c r="H889" t="s">
        <v>1642</v>
      </c>
      <c r="I889">
        <v>3</v>
      </c>
      <c r="J889" s="48">
        <v>0</v>
      </c>
      <c r="K889" s="48">
        <v>0</v>
      </c>
      <c r="L889" s="54">
        <v>46237</v>
      </c>
      <c r="M889" s="54">
        <v>46239</v>
      </c>
      <c r="N889" s="54">
        <v>46237</v>
      </c>
      <c r="O889" s="54">
        <v>46239</v>
      </c>
    </row>
    <row r="890" spans="2:15" x14ac:dyDescent="0.25">
      <c r="B890">
        <v>908</v>
      </c>
      <c r="C890" t="s">
        <v>53</v>
      </c>
      <c r="D890" t="s">
        <v>531</v>
      </c>
      <c r="E890">
        <v>907</v>
      </c>
      <c r="F890" t="s">
        <v>1517</v>
      </c>
      <c r="G890">
        <v>909</v>
      </c>
      <c r="H890" t="s">
        <v>1519</v>
      </c>
      <c r="I890">
        <v>6</v>
      </c>
      <c r="J890" s="48">
        <v>0</v>
      </c>
      <c r="K890" s="48">
        <v>0</v>
      </c>
      <c r="L890" s="54">
        <v>46239</v>
      </c>
      <c r="M890" s="54">
        <v>46244</v>
      </c>
      <c r="N890" s="54">
        <v>46239</v>
      </c>
      <c r="O890" s="54">
        <v>46244</v>
      </c>
    </row>
    <row r="891" spans="2:15" x14ac:dyDescent="0.25">
      <c r="B891">
        <v>909</v>
      </c>
      <c r="C891" t="s">
        <v>53</v>
      </c>
      <c r="D891" t="s">
        <v>531</v>
      </c>
      <c r="E891">
        <v>908</v>
      </c>
      <c r="F891" t="s">
        <v>1518</v>
      </c>
      <c r="G891">
        <v>910</v>
      </c>
      <c r="H891" t="s">
        <v>1519</v>
      </c>
      <c r="I891">
        <v>4</v>
      </c>
      <c r="J891" s="48">
        <v>0</v>
      </c>
      <c r="K891" s="48">
        <v>0</v>
      </c>
      <c r="L891" s="54">
        <v>46244</v>
      </c>
      <c r="M891" s="54">
        <v>46247</v>
      </c>
      <c r="N891" s="54">
        <v>46244</v>
      </c>
      <c r="O891" s="54">
        <v>46247</v>
      </c>
    </row>
    <row r="892" spans="2:15" x14ac:dyDescent="0.25">
      <c r="B892">
        <v>910</v>
      </c>
      <c r="C892" t="s">
        <v>53</v>
      </c>
      <c r="D892" t="s">
        <v>531</v>
      </c>
      <c r="E892">
        <v>909</v>
      </c>
      <c r="F892" t="s">
        <v>1520</v>
      </c>
      <c r="G892">
        <v>76</v>
      </c>
      <c r="H892" t="s">
        <v>1519</v>
      </c>
      <c r="I892">
        <v>6</v>
      </c>
      <c r="J892" s="48">
        <v>0</v>
      </c>
      <c r="K892" s="48">
        <v>0</v>
      </c>
      <c r="L892" s="54">
        <v>46247</v>
      </c>
      <c r="M892" s="54">
        <v>46252</v>
      </c>
      <c r="N892" s="54">
        <v>46247</v>
      </c>
      <c r="O892" s="54">
        <v>46252</v>
      </c>
    </row>
    <row r="893" spans="2:15" x14ac:dyDescent="0.25">
      <c r="B893">
        <v>911</v>
      </c>
      <c r="C893" t="s">
        <v>24</v>
      </c>
      <c r="D893" t="s">
        <v>396</v>
      </c>
      <c r="F893" t="s">
        <v>1751</v>
      </c>
      <c r="H893" t="s">
        <v>1641</v>
      </c>
      <c r="I893">
        <v>16</v>
      </c>
      <c r="J893" s="48">
        <v>0</v>
      </c>
      <c r="K893" s="48">
        <v>0</v>
      </c>
      <c r="L893" s="54">
        <v>46237</v>
      </c>
      <c r="M893" s="54">
        <v>46252</v>
      </c>
      <c r="N893" s="54">
        <v>46237</v>
      </c>
      <c r="O893" s="54">
        <v>46252</v>
      </c>
    </row>
    <row r="894" spans="2:15" x14ac:dyDescent="0.25">
      <c r="B894">
        <v>912</v>
      </c>
      <c r="C894" t="s">
        <v>24</v>
      </c>
      <c r="D894" t="s">
        <v>396</v>
      </c>
      <c r="E894" t="s">
        <v>2101</v>
      </c>
      <c r="F894" t="s">
        <v>1515</v>
      </c>
      <c r="G894" t="s">
        <v>2102</v>
      </c>
      <c r="H894" t="s">
        <v>1642</v>
      </c>
      <c r="I894">
        <v>3</v>
      </c>
      <c r="J894" s="48">
        <v>0</v>
      </c>
      <c r="K894" s="48">
        <v>0</v>
      </c>
      <c r="L894" s="54">
        <v>46237</v>
      </c>
      <c r="M894" s="54">
        <v>46239</v>
      </c>
      <c r="N894" s="54">
        <v>46237</v>
      </c>
      <c r="O894" s="54">
        <v>46239</v>
      </c>
    </row>
    <row r="895" spans="2:15" x14ac:dyDescent="0.25">
      <c r="B895">
        <v>913</v>
      </c>
      <c r="C895" t="s">
        <v>24</v>
      </c>
      <c r="D895" t="s">
        <v>396</v>
      </c>
      <c r="E895">
        <v>912</v>
      </c>
      <c r="F895" t="s">
        <v>1517</v>
      </c>
      <c r="G895">
        <v>914</v>
      </c>
      <c r="H895" t="s">
        <v>1519</v>
      </c>
      <c r="I895">
        <v>6</v>
      </c>
      <c r="J895" s="48">
        <v>0</v>
      </c>
      <c r="K895" s="48">
        <v>0</v>
      </c>
      <c r="L895" s="54">
        <v>46239</v>
      </c>
      <c r="M895" s="54">
        <v>46244</v>
      </c>
      <c r="N895" s="54">
        <v>46239</v>
      </c>
      <c r="O895" s="54">
        <v>46244</v>
      </c>
    </row>
    <row r="896" spans="2:15" x14ac:dyDescent="0.25">
      <c r="B896">
        <v>914</v>
      </c>
      <c r="C896" t="s">
        <v>24</v>
      </c>
      <c r="D896" t="s">
        <v>396</v>
      </c>
      <c r="E896">
        <v>913</v>
      </c>
      <c r="F896" t="s">
        <v>1518</v>
      </c>
      <c r="G896">
        <v>915</v>
      </c>
      <c r="H896" t="s">
        <v>1519</v>
      </c>
      <c r="I896">
        <v>4</v>
      </c>
      <c r="J896" s="48">
        <v>0</v>
      </c>
      <c r="K896" s="48">
        <v>0</v>
      </c>
      <c r="L896" s="54">
        <v>46244</v>
      </c>
      <c r="M896" s="54">
        <v>46247</v>
      </c>
      <c r="N896" s="54">
        <v>46244</v>
      </c>
      <c r="O896" s="54">
        <v>46247</v>
      </c>
    </row>
    <row r="897" spans="2:15" x14ac:dyDescent="0.25">
      <c r="B897">
        <v>915</v>
      </c>
      <c r="C897" t="s">
        <v>24</v>
      </c>
      <c r="D897" t="s">
        <v>396</v>
      </c>
      <c r="E897">
        <v>914</v>
      </c>
      <c r="F897" t="s">
        <v>1520</v>
      </c>
      <c r="G897">
        <v>76</v>
      </c>
      <c r="H897" t="s">
        <v>1519</v>
      </c>
      <c r="I897">
        <v>6</v>
      </c>
      <c r="J897" s="48">
        <v>0</v>
      </c>
      <c r="K897" s="48">
        <v>0</v>
      </c>
      <c r="L897" s="54">
        <v>46247</v>
      </c>
      <c r="M897" s="54">
        <v>46252</v>
      </c>
      <c r="N897" s="54">
        <v>46247</v>
      </c>
      <c r="O897" s="54">
        <v>46252</v>
      </c>
    </row>
    <row r="898" spans="2:15" x14ac:dyDescent="0.25">
      <c r="B898">
        <v>916</v>
      </c>
      <c r="F898" t="s">
        <v>1752</v>
      </c>
      <c r="H898" t="s">
        <v>1687</v>
      </c>
      <c r="I898">
        <v>29</v>
      </c>
      <c r="J898" s="48">
        <v>0</v>
      </c>
      <c r="K898" s="48">
        <v>0</v>
      </c>
      <c r="L898" s="54">
        <v>46239</v>
      </c>
      <c r="M898" s="54">
        <v>46267</v>
      </c>
      <c r="N898" s="54">
        <v>46239</v>
      </c>
      <c r="O898" s="54">
        <v>46267</v>
      </c>
    </row>
    <row r="899" spans="2:15" x14ac:dyDescent="0.25">
      <c r="B899">
        <v>917</v>
      </c>
      <c r="F899" t="s">
        <v>1560</v>
      </c>
      <c r="H899" t="s">
        <v>1687</v>
      </c>
      <c r="I899">
        <v>29</v>
      </c>
      <c r="J899" s="48">
        <v>0</v>
      </c>
      <c r="K899" s="48">
        <v>0</v>
      </c>
      <c r="L899" s="54">
        <v>46239</v>
      </c>
      <c r="M899" s="54">
        <v>46267</v>
      </c>
      <c r="N899" s="54">
        <v>46239</v>
      </c>
      <c r="O899" s="54">
        <v>46267</v>
      </c>
    </row>
    <row r="900" spans="2:15" x14ac:dyDescent="0.25">
      <c r="B900">
        <v>918</v>
      </c>
      <c r="F900" t="s">
        <v>1707</v>
      </c>
      <c r="H900" t="s">
        <v>1687</v>
      </c>
      <c r="I900">
        <v>29</v>
      </c>
      <c r="J900" s="48">
        <v>0</v>
      </c>
      <c r="K900" s="48">
        <v>0</v>
      </c>
      <c r="L900" s="54">
        <v>46239</v>
      </c>
      <c r="M900" s="54">
        <v>46267</v>
      </c>
      <c r="N900" s="54">
        <v>46239</v>
      </c>
      <c r="O900" s="54">
        <v>46267</v>
      </c>
    </row>
    <row r="901" spans="2:15" x14ac:dyDescent="0.25">
      <c r="B901">
        <v>919</v>
      </c>
      <c r="C901" t="s">
        <v>18</v>
      </c>
      <c r="D901" t="s">
        <v>367</v>
      </c>
      <c r="F901" t="s">
        <v>1753</v>
      </c>
      <c r="H901" t="s">
        <v>1559</v>
      </c>
      <c r="I901">
        <v>17</v>
      </c>
      <c r="J901" s="48">
        <v>0</v>
      </c>
      <c r="K901" s="48">
        <v>0</v>
      </c>
      <c r="L901" s="54">
        <v>46239</v>
      </c>
      <c r="M901" s="54">
        <v>46255</v>
      </c>
      <c r="N901" s="54">
        <v>46239</v>
      </c>
      <c r="O901" s="54">
        <v>46255</v>
      </c>
    </row>
    <row r="902" spans="2:15" x14ac:dyDescent="0.25">
      <c r="B902">
        <v>920</v>
      </c>
      <c r="C902" t="s">
        <v>18</v>
      </c>
      <c r="D902" t="s">
        <v>367</v>
      </c>
      <c r="E902">
        <v>912</v>
      </c>
      <c r="F902" t="s">
        <v>1515</v>
      </c>
      <c r="G902" t="s">
        <v>2103</v>
      </c>
      <c r="H902" t="s">
        <v>1519</v>
      </c>
      <c r="I902">
        <v>6</v>
      </c>
      <c r="J902" s="48">
        <v>0</v>
      </c>
      <c r="K902" s="48">
        <v>0</v>
      </c>
      <c r="L902" s="54">
        <v>46239</v>
      </c>
      <c r="M902" s="54">
        <v>46244</v>
      </c>
      <c r="N902" s="54">
        <v>46239</v>
      </c>
      <c r="O902" s="54">
        <v>46244</v>
      </c>
    </row>
    <row r="903" spans="2:15" x14ac:dyDescent="0.25">
      <c r="B903">
        <v>921</v>
      </c>
      <c r="C903" t="s">
        <v>18</v>
      </c>
      <c r="D903" t="s">
        <v>367</v>
      </c>
      <c r="E903">
        <v>920</v>
      </c>
      <c r="F903" t="s">
        <v>1517</v>
      </c>
      <c r="G903">
        <v>922</v>
      </c>
      <c r="H903" t="s">
        <v>1519</v>
      </c>
      <c r="I903">
        <v>4</v>
      </c>
      <c r="J903" s="48">
        <v>0</v>
      </c>
      <c r="K903" s="48">
        <v>0</v>
      </c>
      <c r="L903" s="54">
        <v>46244</v>
      </c>
      <c r="M903" s="54">
        <v>46247</v>
      </c>
      <c r="N903" s="54">
        <v>46244</v>
      </c>
      <c r="O903" s="54">
        <v>46247</v>
      </c>
    </row>
    <row r="904" spans="2:15" x14ac:dyDescent="0.25">
      <c r="B904">
        <v>922</v>
      </c>
      <c r="C904" t="s">
        <v>18</v>
      </c>
      <c r="D904" t="s">
        <v>367</v>
      </c>
      <c r="E904">
        <v>921</v>
      </c>
      <c r="F904" t="s">
        <v>1518</v>
      </c>
      <c r="G904">
        <v>923</v>
      </c>
      <c r="H904" t="s">
        <v>1519</v>
      </c>
      <c r="I904">
        <v>6</v>
      </c>
      <c r="J904" s="48">
        <v>0</v>
      </c>
      <c r="K904" s="48">
        <v>0</v>
      </c>
      <c r="L904" s="54">
        <v>46247</v>
      </c>
      <c r="M904" s="54">
        <v>46252</v>
      </c>
      <c r="N904" s="54">
        <v>46247</v>
      </c>
      <c r="O904" s="54">
        <v>46252</v>
      </c>
    </row>
    <row r="905" spans="2:15" x14ac:dyDescent="0.25">
      <c r="B905">
        <v>923</v>
      </c>
      <c r="C905" t="s">
        <v>18</v>
      </c>
      <c r="D905" t="s">
        <v>367</v>
      </c>
      <c r="E905">
        <v>922</v>
      </c>
      <c r="F905" t="s">
        <v>1520</v>
      </c>
      <c r="G905">
        <v>76</v>
      </c>
      <c r="H905" t="s">
        <v>1519</v>
      </c>
      <c r="I905">
        <v>4</v>
      </c>
      <c r="J905" s="48">
        <v>0</v>
      </c>
      <c r="K905" s="48">
        <v>0</v>
      </c>
      <c r="L905" s="54">
        <v>46252</v>
      </c>
      <c r="M905" s="54">
        <v>46255</v>
      </c>
      <c r="N905" s="54">
        <v>46252</v>
      </c>
      <c r="O905" s="54">
        <v>46255</v>
      </c>
    </row>
    <row r="906" spans="2:15" x14ac:dyDescent="0.25">
      <c r="B906">
        <v>924</v>
      </c>
      <c r="C906" t="s">
        <v>52</v>
      </c>
      <c r="D906" t="s">
        <v>528</v>
      </c>
      <c r="F906" t="s">
        <v>1754</v>
      </c>
      <c r="H906" t="s">
        <v>1559</v>
      </c>
      <c r="I906">
        <v>17</v>
      </c>
      <c r="J906" s="48">
        <v>0</v>
      </c>
      <c r="K906" s="48">
        <v>0</v>
      </c>
      <c r="L906" s="54">
        <v>46239</v>
      </c>
      <c r="M906" s="54">
        <v>46255</v>
      </c>
      <c r="N906" s="54">
        <v>46239</v>
      </c>
      <c r="O906" s="54">
        <v>46255</v>
      </c>
    </row>
    <row r="907" spans="2:15" x14ac:dyDescent="0.25">
      <c r="B907">
        <v>925</v>
      </c>
      <c r="C907" t="s">
        <v>52</v>
      </c>
      <c r="D907" t="s">
        <v>528</v>
      </c>
      <c r="E907" t="s">
        <v>2104</v>
      </c>
      <c r="F907" t="s">
        <v>1515</v>
      </c>
      <c r="G907" t="s">
        <v>2105</v>
      </c>
      <c r="H907" t="s">
        <v>1519</v>
      </c>
      <c r="I907">
        <v>6</v>
      </c>
      <c r="J907" s="48">
        <v>0</v>
      </c>
      <c r="K907" s="48">
        <v>0</v>
      </c>
      <c r="L907" s="54">
        <v>46239</v>
      </c>
      <c r="M907" s="54">
        <v>46244</v>
      </c>
      <c r="N907" s="54">
        <v>46239</v>
      </c>
      <c r="O907" s="54">
        <v>46244</v>
      </c>
    </row>
    <row r="908" spans="2:15" x14ac:dyDescent="0.25">
      <c r="B908">
        <v>926</v>
      </c>
      <c r="C908" t="s">
        <v>52</v>
      </c>
      <c r="D908" t="s">
        <v>528</v>
      </c>
      <c r="E908">
        <v>925</v>
      </c>
      <c r="F908" t="s">
        <v>1517</v>
      </c>
      <c r="G908">
        <v>927</v>
      </c>
      <c r="H908" t="s">
        <v>1519</v>
      </c>
      <c r="I908">
        <v>4</v>
      </c>
      <c r="J908" s="48">
        <v>0</v>
      </c>
      <c r="K908" s="48">
        <v>0</v>
      </c>
      <c r="L908" s="54">
        <v>46244</v>
      </c>
      <c r="M908" s="54">
        <v>46247</v>
      </c>
      <c r="N908" s="54">
        <v>46244</v>
      </c>
      <c r="O908" s="54">
        <v>46247</v>
      </c>
    </row>
    <row r="909" spans="2:15" x14ac:dyDescent="0.25">
      <c r="B909">
        <v>927</v>
      </c>
      <c r="C909" t="s">
        <v>52</v>
      </c>
      <c r="D909" t="s">
        <v>528</v>
      </c>
      <c r="E909">
        <v>926</v>
      </c>
      <c r="F909" t="s">
        <v>1518</v>
      </c>
      <c r="G909">
        <v>928</v>
      </c>
      <c r="H909" t="s">
        <v>1519</v>
      </c>
      <c r="I909">
        <v>6</v>
      </c>
      <c r="J909" s="48">
        <v>0</v>
      </c>
      <c r="K909" s="48">
        <v>0</v>
      </c>
      <c r="L909" s="54">
        <v>46247</v>
      </c>
      <c r="M909" s="54">
        <v>46252</v>
      </c>
      <c r="N909" s="54">
        <v>46247</v>
      </c>
      <c r="O909" s="54">
        <v>46252</v>
      </c>
    </row>
    <row r="910" spans="2:15" x14ac:dyDescent="0.25">
      <c r="B910">
        <v>928</v>
      </c>
      <c r="C910" t="s">
        <v>52</v>
      </c>
      <c r="D910" t="s">
        <v>528</v>
      </c>
      <c r="E910">
        <v>927</v>
      </c>
      <c r="F910" t="s">
        <v>1520</v>
      </c>
      <c r="G910">
        <v>76</v>
      </c>
      <c r="H910" t="s">
        <v>1519</v>
      </c>
      <c r="I910">
        <v>4</v>
      </c>
      <c r="J910" s="48">
        <v>0</v>
      </c>
      <c r="K910" s="48">
        <v>0</v>
      </c>
      <c r="L910" s="54">
        <v>46252</v>
      </c>
      <c r="M910" s="54">
        <v>46255</v>
      </c>
      <c r="N910" s="54">
        <v>46252</v>
      </c>
      <c r="O910" s="54">
        <v>46255</v>
      </c>
    </row>
    <row r="911" spans="2:15" x14ac:dyDescent="0.25">
      <c r="B911">
        <v>929</v>
      </c>
      <c r="C911" t="s">
        <v>21</v>
      </c>
      <c r="D911" t="s">
        <v>381</v>
      </c>
      <c r="F911" t="s">
        <v>1755</v>
      </c>
      <c r="H911" t="s">
        <v>1559</v>
      </c>
      <c r="I911">
        <v>17</v>
      </c>
      <c r="J911" s="48">
        <v>0</v>
      </c>
      <c r="K911" s="48">
        <v>0</v>
      </c>
      <c r="L911" s="54">
        <v>46244</v>
      </c>
      <c r="M911" s="54">
        <v>46260</v>
      </c>
      <c r="N911" s="54">
        <v>46244</v>
      </c>
      <c r="O911" s="54">
        <v>46260</v>
      </c>
    </row>
    <row r="912" spans="2:15" x14ac:dyDescent="0.25">
      <c r="B912">
        <v>930</v>
      </c>
      <c r="C912" t="s">
        <v>21</v>
      </c>
      <c r="D912" t="s">
        <v>381</v>
      </c>
      <c r="E912">
        <v>925</v>
      </c>
      <c r="F912" t="s">
        <v>1515</v>
      </c>
      <c r="G912" t="s">
        <v>2106</v>
      </c>
      <c r="H912" t="s">
        <v>1519</v>
      </c>
      <c r="I912">
        <v>4</v>
      </c>
      <c r="J912" s="48">
        <v>0</v>
      </c>
      <c r="K912" s="48">
        <v>0</v>
      </c>
      <c r="L912" s="54">
        <v>46244</v>
      </c>
      <c r="M912" s="54">
        <v>46247</v>
      </c>
      <c r="N912" s="54">
        <v>46244</v>
      </c>
      <c r="O912" s="54">
        <v>46247</v>
      </c>
    </row>
    <row r="913" spans="2:15" x14ac:dyDescent="0.25">
      <c r="B913">
        <v>931</v>
      </c>
      <c r="C913" t="s">
        <v>21</v>
      </c>
      <c r="D913" t="s">
        <v>381</v>
      </c>
      <c r="E913">
        <v>930</v>
      </c>
      <c r="F913" t="s">
        <v>1517</v>
      </c>
      <c r="G913">
        <v>932</v>
      </c>
      <c r="H913" t="s">
        <v>1519</v>
      </c>
      <c r="I913">
        <v>6</v>
      </c>
      <c r="J913" s="48">
        <v>0</v>
      </c>
      <c r="K913" s="48">
        <v>0</v>
      </c>
      <c r="L913" s="54">
        <v>46247</v>
      </c>
      <c r="M913" s="54">
        <v>46252</v>
      </c>
      <c r="N913" s="54">
        <v>46247</v>
      </c>
      <c r="O913" s="54">
        <v>46252</v>
      </c>
    </row>
    <row r="914" spans="2:15" x14ac:dyDescent="0.25">
      <c r="B914">
        <v>932</v>
      </c>
      <c r="C914" t="s">
        <v>21</v>
      </c>
      <c r="D914" t="s">
        <v>381</v>
      </c>
      <c r="E914">
        <v>931</v>
      </c>
      <c r="F914" t="s">
        <v>1518</v>
      </c>
      <c r="G914">
        <v>933</v>
      </c>
      <c r="H914" t="s">
        <v>1519</v>
      </c>
      <c r="I914">
        <v>4</v>
      </c>
      <c r="J914" s="48">
        <v>0</v>
      </c>
      <c r="K914" s="48">
        <v>0</v>
      </c>
      <c r="L914" s="54">
        <v>46252</v>
      </c>
      <c r="M914" s="54">
        <v>46255</v>
      </c>
      <c r="N914" s="54">
        <v>46252</v>
      </c>
      <c r="O914" s="54">
        <v>46255</v>
      </c>
    </row>
    <row r="915" spans="2:15" x14ac:dyDescent="0.25">
      <c r="B915">
        <v>933</v>
      </c>
      <c r="C915" t="s">
        <v>21</v>
      </c>
      <c r="D915" t="s">
        <v>381</v>
      </c>
      <c r="E915">
        <v>932</v>
      </c>
      <c r="F915" t="s">
        <v>1520</v>
      </c>
      <c r="G915">
        <v>76</v>
      </c>
      <c r="H915" t="s">
        <v>1519</v>
      </c>
      <c r="I915">
        <v>6</v>
      </c>
      <c r="J915" s="48">
        <v>0</v>
      </c>
      <c r="K915" s="48">
        <v>0</v>
      </c>
      <c r="L915" s="54">
        <v>46255</v>
      </c>
      <c r="M915" s="54">
        <v>46260</v>
      </c>
      <c r="N915" s="54">
        <v>46255</v>
      </c>
      <c r="O915" s="54">
        <v>46260</v>
      </c>
    </row>
    <row r="916" spans="2:15" x14ac:dyDescent="0.25">
      <c r="B916">
        <v>934</v>
      </c>
      <c r="C916" t="s">
        <v>55</v>
      </c>
      <c r="D916" t="s">
        <v>538</v>
      </c>
      <c r="F916" t="s">
        <v>1756</v>
      </c>
      <c r="H916" t="s">
        <v>1641</v>
      </c>
      <c r="I916">
        <v>16</v>
      </c>
      <c r="J916" s="48">
        <v>0</v>
      </c>
      <c r="K916" s="48">
        <v>0</v>
      </c>
      <c r="L916" s="54">
        <v>46245</v>
      </c>
      <c r="M916" s="54">
        <v>46260</v>
      </c>
      <c r="N916" s="54">
        <v>46245</v>
      </c>
      <c r="O916" s="54">
        <v>46260</v>
      </c>
    </row>
    <row r="917" spans="2:15" x14ac:dyDescent="0.25">
      <c r="B917">
        <v>935</v>
      </c>
      <c r="C917" t="s">
        <v>55</v>
      </c>
      <c r="D917" t="s">
        <v>538</v>
      </c>
      <c r="E917" t="s">
        <v>2107</v>
      </c>
      <c r="F917" t="s">
        <v>1515</v>
      </c>
      <c r="G917" t="s">
        <v>2108</v>
      </c>
      <c r="H917" t="s">
        <v>1642</v>
      </c>
      <c r="I917">
        <v>3</v>
      </c>
      <c r="J917" s="48">
        <v>0</v>
      </c>
      <c r="K917" s="48">
        <v>0</v>
      </c>
      <c r="L917" s="54">
        <v>46245</v>
      </c>
      <c r="M917" s="54">
        <v>46247</v>
      </c>
      <c r="N917" s="54">
        <v>46245</v>
      </c>
      <c r="O917" s="54">
        <v>46247</v>
      </c>
    </row>
    <row r="918" spans="2:15" x14ac:dyDescent="0.25">
      <c r="B918">
        <v>936</v>
      </c>
      <c r="C918" t="s">
        <v>55</v>
      </c>
      <c r="D918" t="s">
        <v>538</v>
      </c>
      <c r="E918">
        <v>935</v>
      </c>
      <c r="F918" t="s">
        <v>1517</v>
      </c>
      <c r="G918">
        <v>937</v>
      </c>
      <c r="H918" t="s">
        <v>1519</v>
      </c>
      <c r="I918">
        <v>6</v>
      </c>
      <c r="J918" s="48">
        <v>0</v>
      </c>
      <c r="K918" s="48">
        <v>0</v>
      </c>
      <c r="L918" s="54">
        <v>46247</v>
      </c>
      <c r="M918" s="54">
        <v>46252</v>
      </c>
      <c r="N918" s="54">
        <v>46247</v>
      </c>
      <c r="O918" s="54">
        <v>46252</v>
      </c>
    </row>
    <row r="919" spans="2:15" x14ac:dyDescent="0.25">
      <c r="B919">
        <v>937</v>
      </c>
      <c r="C919" t="s">
        <v>55</v>
      </c>
      <c r="D919" t="s">
        <v>538</v>
      </c>
      <c r="E919">
        <v>936</v>
      </c>
      <c r="F919" t="s">
        <v>1518</v>
      </c>
      <c r="G919">
        <v>938</v>
      </c>
      <c r="H919" t="s">
        <v>1519</v>
      </c>
      <c r="I919">
        <v>4</v>
      </c>
      <c r="J919" s="48">
        <v>0</v>
      </c>
      <c r="K919" s="48">
        <v>0</v>
      </c>
      <c r="L919" s="54">
        <v>46252</v>
      </c>
      <c r="M919" s="54">
        <v>46255</v>
      </c>
      <c r="N919" s="54">
        <v>46252</v>
      </c>
      <c r="O919" s="54">
        <v>46255</v>
      </c>
    </row>
    <row r="920" spans="2:15" x14ac:dyDescent="0.25">
      <c r="B920">
        <v>938</v>
      </c>
      <c r="C920" t="s">
        <v>55</v>
      </c>
      <c r="D920" t="s">
        <v>538</v>
      </c>
      <c r="E920">
        <v>937</v>
      </c>
      <c r="F920" t="s">
        <v>1520</v>
      </c>
      <c r="G920">
        <v>76</v>
      </c>
      <c r="H920" t="s">
        <v>1519</v>
      </c>
      <c r="I920">
        <v>6</v>
      </c>
      <c r="J920" s="48">
        <v>0</v>
      </c>
      <c r="K920" s="48">
        <v>0</v>
      </c>
      <c r="L920" s="54">
        <v>46255</v>
      </c>
      <c r="M920" s="54">
        <v>46260</v>
      </c>
      <c r="N920" s="54">
        <v>46255</v>
      </c>
      <c r="O920" s="54">
        <v>46260</v>
      </c>
    </row>
    <row r="921" spans="2:15" x14ac:dyDescent="0.25">
      <c r="B921">
        <v>939</v>
      </c>
      <c r="C921" t="s">
        <v>65</v>
      </c>
      <c r="D921" t="s">
        <v>554</v>
      </c>
      <c r="F921" t="s">
        <v>1757</v>
      </c>
      <c r="H921" t="s">
        <v>1641</v>
      </c>
      <c r="I921">
        <v>16</v>
      </c>
      <c r="J921" s="48">
        <v>0</v>
      </c>
      <c r="K921" s="48">
        <v>0</v>
      </c>
      <c r="L921" s="54">
        <v>46252</v>
      </c>
      <c r="M921" s="54">
        <v>46267</v>
      </c>
      <c r="N921" s="54">
        <v>46252</v>
      </c>
      <c r="O921" s="54">
        <v>46267</v>
      </c>
    </row>
    <row r="922" spans="2:15" x14ac:dyDescent="0.25">
      <c r="B922">
        <v>940</v>
      </c>
      <c r="C922" t="s">
        <v>65</v>
      </c>
      <c r="D922" t="s">
        <v>554</v>
      </c>
      <c r="E922">
        <v>879</v>
      </c>
      <c r="F922" t="s">
        <v>1515</v>
      </c>
      <c r="G922" t="s">
        <v>2109</v>
      </c>
      <c r="H922" t="s">
        <v>1642</v>
      </c>
      <c r="I922">
        <v>3</v>
      </c>
      <c r="J922" s="48">
        <v>0</v>
      </c>
      <c r="K922" s="48">
        <v>0</v>
      </c>
      <c r="L922" s="54">
        <v>46252</v>
      </c>
      <c r="M922" s="54">
        <v>46254</v>
      </c>
      <c r="N922" s="54">
        <v>46252</v>
      </c>
      <c r="O922" s="54">
        <v>46254</v>
      </c>
    </row>
    <row r="923" spans="2:15" x14ac:dyDescent="0.25">
      <c r="B923">
        <v>941</v>
      </c>
      <c r="C923" t="s">
        <v>65</v>
      </c>
      <c r="D923" t="s">
        <v>554</v>
      </c>
      <c r="E923">
        <v>940</v>
      </c>
      <c r="F923" t="s">
        <v>1517</v>
      </c>
      <c r="G923">
        <v>942</v>
      </c>
      <c r="H923" t="s">
        <v>1519</v>
      </c>
      <c r="I923">
        <v>6</v>
      </c>
      <c r="J923" s="48">
        <v>0</v>
      </c>
      <c r="K923" s="48">
        <v>0</v>
      </c>
      <c r="L923" s="54">
        <v>46254</v>
      </c>
      <c r="M923" s="54">
        <v>46259</v>
      </c>
      <c r="N923" s="54">
        <v>46254</v>
      </c>
      <c r="O923" s="54">
        <v>46259</v>
      </c>
    </row>
    <row r="924" spans="2:15" x14ac:dyDescent="0.25">
      <c r="B924">
        <v>942</v>
      </c>
      <c r="C924" t="s">
        <v>65</v>
      </c>
      <c r="D924" t="s">
        <v>554</v>
      </c>
      <c r="E924">
        <v>941</v>
      </c>
      <c r="F924" t="s">
        <v>1518</v>
      </c>
      <c r="G924">
        <v>943</v>
      </c>
      <c r="H924" t="s">
        <v>1519</v>
      </c>
      <c r="I924">
        <v>4</v>
      </c>
      <c r="J924" s="48">
        <v>0</v>
      </c>
      <c r="K924" s="48">
        <v>0</v>
      </c>
      <c r="L924" s="54">
        <v>46259</v>
      </c>
      <c r="M924" s="54">
        <v>46262</v>
      </c>
      <c r="N924" s="54">
        <v>46259</v>
      </c>
      <c r="O924" s="54">
        <v>46262</v>
      </c>
    </row>
    <row r="925" spans="2:15" x14ac:dyDescent="0.25">
      <c r="B925">
        <v>943</v>
      </c>
      <c r="C925" t="s">
        <v>65</v>
      </c>
      <c r="D925" t="s">
        <v>554</v>
      </c>
      <c r="E925">
        <v>942</v>
      </c>
      <c r="F925" t="s">
        <v>1520</v>
      </c>
      <c r="G925">
        <v>76</v>
      </c>
      <c r="H925" t="s">
        <v>1519</v>
      </c>
      <c r="I925">
        <v>6</v>
      </c>
      <c r="J925" s="48">
        <v>0</v>
      </c>
      <c r="K925" s="48">
        <v>0</v>
      </c>
      <c r="L925" s="54">
        <v>46262</v>
      </c>
      <c r="M925" s="54">
        <v>46267</v>
      </c>
      <c r="N925" s="54">
        <v>46262</v>
      </c>
      <c r="O925" s="54">
        <v>46267</v>
      </c>
    </row>
    <row r="926" spans="2:15" x14ac:dyDescent="0.25">
      <c r="B926">
        <v>944</v>
      </c>
      <c r="F926" t="s">
        <v>1474</v>
      </c>
      <c r="H926" t="s">
        <v>2110</v>
      </c>
      <c r="I926">
        <v>77</v>
      </c>
      <c r="J926" s="48">
        <v>0.53339999999999999</v>
      </c>
      <c r="K926" s="48">
        <v>0.56220000000000003</v>
      </c>
      <c r="L926" s="54">
        <v>46171</v>
      </c>
      <c r="M926" s="54">
        <v>46244</v>
      </c>
      <c r="N926" s="54">
        <v>46171</v>
      </c>
      <c r="O926" s="54">
        <v>46247</v>
      </c>
    </row>
    <row r="927" spans="2:15" x14ac:dyDescent="0.25">
      <c r="B927">
        <v>945</v>
      </c>
      <c r="F927" t="s">
        <v>1758</v>
      </c>
      <c r="H927" t="s">
        <v>2110</v>
      </c>
      <c r="I927">
        <v>77</v>
      </c>
      <c r="J927" s="48">
        <v>0.53339999999999999</v>
      </c>
      <c r="K927" s="48">
        <v>0.56220000000000003</v>
      </c>
      <c r="L927" s="54">
        <v>46171</v>
      </c>
      <c r="M927" s="54">
        <v>46244</v>
      </c>
      <c r="N927" s="54">
        <v>46171</v>
      </c>
      <c r="O927" s="54">
        <v>46247</v>
      </c>
    </row>
    <row r="928" spans="2:15" x14ac:dyDescent="0.25">
      <c r="B928">
        <v>946</v>
      </c>
      <c r="F928" t="s">
        <v>1759</v>
      </c>
      <c r="H928" t="s">
        <v>2110</v>
      </c>
      <c r="I928">
        <v>77</v>
      </c>
      <c r="J928" s="48">
        <v>0.53339999999999999</v>
      </c>
      <c r="K928" s="48">
        <v>0.56220000000000003</v>
      </c>
      <c r="L928" s="54">
        <v>46171</v>
      </c>
      <c r="M928" s="54">
        <v>46244</v>
      </c>
      <c r="N928" s="54">
        <v>46171</v>
      </c>
      <c r="O928" s="54">
        <v>46247</v>
      </c>
    </row>
    <row r="929" spans="2:15" x14ac:dyDescent="0.25">
      <c r="B929">
        <v>947</v>
      </c>
      <c r="F929" t="s">
        <v>1760</v>
      </c>
      <c r="H929" t="s">
        <v>2110</v>
      </c>
      <c r="I929">
        <v>77</v>
      </c>
      <c r="J929" s="48">
        <v>0.50460000000000005</v>
      </c>
      <c r="K929" s="48">
        <v>0.51149999999999995</v>
      </c>
      <c r="L929" s="54">
        <v>46171</v>
      </c>
      <c r="M929" s="54">
        <v>46244</v>
      </c>
      <c r="N929" s="54">
        <v>46171</v>
      </c>
      <c r="O929" s="54">
        <v>46247</v>
      </c>
    </row>
    <row r="930" spans="2:15" x14ac:dyDescent="0.25">
      <c r="B930">
        <v>948</v>
      </c>
      <c r="F930" t="s">
        <v>1555</v>
      </c>
      <c r="G930" t="s">
        <v>1990</v>
      </c>
      <c r="H930" t="s">
        <v>1522</v>
      </c>
      <c r="I930">
        <v>36</v>
      </c>
      <c r="J930" s="48">
        <v>0.82430000000000003</v>
      </c>
      <c r="K930" s="48">
        <v>1</v>
      </c>
      <c r="L930" s="54">
        <v>46171</v>
      </c>
      <c r="M930" s="54">
        <v>46217</v>
      </c>
      <c r="N930" s="54">
        <v>46171</v>
      </c>
      <c r="O930" s="54">
        <v>46206</v>
      </c>
    </row>
    <row r="931" spans="2:15" x14ac:dyDescent="0.25">
      <c r="B931">
        <v>949</v>
      </c>
      <c r="E931">
        <v>45</v>
      </c>
      <c r="F931" t="s">
        <v>1689</v>
      </c>
      <c r="G931" t="s">
        <v>2111</v>
      </c>
      <c r="H931" t="s">
        <v>1535</v>
      </c>
      <c r="I931">
        <v>22</v>
      </c>
      <c r="J931" s="48">
        <v>1</v>
      </c>
      <c r="K931" s="48">
        <v>1</v>
      </c>
      <c r="L931" s="54">
        <v>46171</v>
      </c>
      <c r="M931" s="54">
        <v>46192</v>
      </c>
      <c r="N931" s="54">
        <v>46171</v>
      </c>
      <c r="O931" s="54">
        <v>46192</v>
      </c>
    </row>
    <row r="932" spans="2:15" x14ac:dyDescent="0.25">
      <c r="B932">
        <v>950</v>
      </c>
      <c r="E932" t="s">
        <v>2112</v>
      </c>
      <c r="F932" t="s">
        <v>1572</v>
      </c>
      <c r="G932" t="s">
        <v>2113</v>
      </c>
      <c r="H932" t="s">
        <v>1509</v>
      </c>
      <c r="I932">
        <v>15</v>
      </c>
      <c r="J932" s="48">
        <v>0.38</v>
      </c>
      <c r="K932" s="48">
        <v>1</v>
      </c>
      <c r="L932" s="54">
        <v>46203</v>
      </c>
      <c r="M932" s="54">
        <v>46217</v>
      </c>
      <c r="N932" s="54">
        <v>46192</v>
      </c>
      <c r="O932" s="54">
        <v>46206</v>
      </c>
    </row>
    <row r="933" spans="2:15" x14ac:dyDescent="0.25">
      <c r="B933">
        <v>951</v>
      </c>
      <c r="E933" t="s">
        <v>2114</v>
      </c>
      <c r="F933" t="s">
        <v>1557</v>
      </c>
      <c r="G933" t="s">
        <v>2115</v>
      </c>
      <c r="H933" t="s">
        <v>1761</v>
      </c>
      <c r="I933">
        <v>12</v>
      </c>
      <c r="J933" s="48">
        <v>0.88</v>
      </c>
      <c r="K933" s="48">
        <v>1</v>
      </c>
      <c r="L933" s="54">
        <v>46196</v>
      </c>
      <c r="M933" s="54">
        <v>46210</v>
      </c>
      <c r="N933" s="54">
        <v>46192</v>
      </c>
      <c r="O933" s="54">
        <v>46203</v>
      </c>
    </row>
    <row r="934" spans="2:15" x14ac:dyDescent="0.25">
      <c r="B934">
        <v>952</v>
      </c>
      <c r="F934" t="s">
        <v>1560</v>
      </c>
      <c r="H934" t="s">
        <v>1590</v>
      </c>
      <c r="I934">
        <v>56</v>
      </c>
      <c r="J934" s="48">
        <v>0.48139999999999999</v>
      </c>
      <c r="K934" s="48">
        <v>0.47610000000000002</v>
      </c>
      <c r="L934" s="54">
        <v>46192</v>
      </c>
      <c r="M934" s="54">
        <v>46244</v>
      </c>
      <c r="N934" s="54">
        <v>46192</v>
      </c>
      <c r="O934" s="54">
        <v>46247</v>
      </c>
    </row>
    <row r="935" spans="2:15" x14ac:dyDescent="0.25">
      <c r="B935">
        <v>953</v>
      </c>
      <c r="F935" t="s">
        <v>1763</v>
      </c>
      <c r="H935" t="s">
        <v>1590</v>
      </c>
      <c r="I935">
        <v>56</v>
      </c>
      <c r="J935" s="48">
        <v>9.9500000000000005E-2</v>
      </c>
      <c r="K935" s="48">
        <v>9.0499999999999997E-2</v>
      </c>
      <c r="L935" s="54">
        <v>46192</v>
      </c>
      <c r="M935" s="54">
        <v>46244</v>
      </c>
      <c r="N935" s="54">
        <v>46192</v>
      </c>
      <c r="O935" s="54">
        <v>46247</v>
      </c>
    </row>
    <row r="936" spans="2:15" x14ac:dyDescent="0.25">
      <c r="B936">
        <v>954</v>
      </c>
      <c r="C936" t="s">
        <v>72</v>
      </c>
      <c r="D936" t="s">
        <v>571</v>
      </c>
      <c r="F936" t="s">
        <v>1765</v>
      </c>
      <c r="H936" t="s">
        <v>1578</v>
      </c>
      <c r="I936">
        <v>25</v>
      </c>
      <c r="J936" s="48">
        <v>0.74350000000000005</v>
      </c>
      <c r="K936" s="48">
        <v>0.97330000000000005</v>
      </c>
      <c r="L936" s="54">
        <v>46192</v>
      </c>
      <c r="M936" s="54">
        <v>46219</v>
      </c>
      <c r="N936" s="54">
        <v>46192</v>
      </c>
      <c r="O936" s="54">
        <v>46216</v>
      </c>
    </row>
    <row r="937" spans="2:15" x14ac:dyDescent="0.25">
      <c r="B937">
        <v>955</v>
      </c>
      <c r="C937" t="s">
        <v>72</v>
      </c>
      <c r="D937" t="s">
        <v>571</v>
      </c>
      <c r="E937">
        <v>949</v>
      </c>
      <c r="F937" t="s">
        <v>1515</v>
      </c>
      <c r="G937" t="s">
        <v>2116</v>
      </c>
      <c r="H937" t="s">
        <v>1509</v>
      </c>
      <c r="I937">
        <v>15</v>
      </c>
      <c r="J937" s="48">
        <v>1</v>
      </c>
      <c r="K937" s="48">
        <v>1</v>
      </c>
      <c r="L937" s="54">
        <v>46192</v>
      </c>
      <c r="M937" s="54">
        <v>46206</v>
      </c>
      <c r="N937" s="54">
        <v>46192</v>
      </c>
      <c r="O937" s="54">
        <v>46206</v>
      </c>
    </row>
    <row r="938" spans="2:15" x14ac:dyDescent="0.25">
      <c r="B938">
        <v>956</v>
      </c>
      <c r="C938" t="s">
        <v>72</v>
      </c>
      <c r="D938" t="s">
        <v>571</v>
      </c>
      <c r="E938" t="s">
        <v>2117</v>
      </c>
      <c r="F938" t="s">
        <v>1517</v>
      </c>
      <c r="G938">
        <v>957</v>
      </c>
      <c r="H938" t="s">
        <v>1692</v>
      </c>
      <c r="I938">
        <v>2</v>
      </c>
      <c r="J938" s="48">
        <v>0.47</v>
      </c>
      <c r="K938" s="48">
        <v>1</v>
      </c>
      <c r="L938" s="54">
        <v>46206</v>
      </c>
      <c r="M938" s="54">
        <v>46211</v>
      </c>
      <c r="N938" s="54">
        <v>46205</v>
      </c>
      <c r="O938" s="54">
        <v>46206</v>
      </c>
    </row>
    <row r="939" spans="2:15" x14ac:dyDescent="0.25">
      <c r="B939">
        <v>957</v>
      </c>
      <c r="C939" t="s">
        <v>72</v>
      </c>
      <c r="D939" t="s">
        <v>571</v>
      </c>
      <c r="E939">
        <v>956</v>
      </c>
      <c r="F939" t="s">
        <v>1518</v>
      </c>
      <c r="G939">
        <v>958</v>
      </c>
      <c r="H939" t="s">
        <v>1519</v>
      </c>
      <c r="I939">
        <v>6</v>
      </c>
      <c r="J939" s="48">
        <v>0</v>
      </c>
      <c r="K939" s="48">
        <v>1</v>
      </c>
      <c r="L939" s="54">
        <v>46211</v>
      </c>
      <c r="M939" s="54">
        <v>46216</v>
      </c>
      <c r="N939" s="54">
        <v>46206</v>
      </c>
      <c r="O939" s="54">
        <v>46211</v>
      </c>
    </row>
    <row r="940" spans="2:15" x14ac:dyDescent="0.25">
      <c r="B940">
        <v>958</v>
      </c>
      <c r="C940" t="s">
        <v>72</v>
      </c>
      <c r="D940" t="s">
        <v>571</v>
      </c>
      <c r="E940">
        <v>957</v>
      </c>
      <c r="F940" t="s">
        <v>1520</v>
      </c>
      <c r="G940">
        <v>76</v>
      </c>
      <c r="H940" t="s">
        <v>1519</v>
      </c>
      <c r="I940">
        <v>6</v>
      </c>
      <c r="J940" s="48">
        <v>0</v>
      </c>
      <c r="K940" s="48">
        <v>0</v>
      </c>
      <c r="L940" s="54">
        <v>46216</v>
      </c>
      <c r="M940" s="54">
        <v>46219</v>
      </c>
      <c r="N940" s="54">
        <v>46211</v>
      </c>
      <c r="O940" s="54">
        <v>46216</v>
      </c>
    </row>
    <row r="941" spans="2:15" x14ac:dyDescent="0.25">
      <c r="B941">
        <v>959</v>
      </c>
      <c r="C941" t="s">
        <v>82</v>
      </c>
      <c r="D941" t="s">
        <v>622</v>
      </c>
      <c r="F941" t="s">
        <v>1766</v>
      </c>
      <c r="H941" t="s">
        <v>1514</v>
      </c>
      <c r="I941">
        <v>28</v>
      </c>
      <c r="J941" s="48">
        <v>0</v>
      </c>
      <c r="K941" s="48">
        <v>0</v>
      </c>
      <c r="L941" s="54">
        <v>46192</v>
      </c>
      <c r="M941" s="54">
        <v>46219</v>
      </c>
      <c r="N941" s="54">
        <v>46220</v>
      </c>
      <c r="O941" s="54">
        <v>46247</v>
      </c>
    </row>
    <row r="942" spans="2:15" x14ac:dyDescent="0.25">
      <c r="B942">
        <v>960</v>
      </c>
      <c r="C942" t="s">
        <v>82</v>
      </c>
      <c r="D942" t="s">
        <v>622</v>
      </c>
      <c r="E942" t="s">
        <v>2118</v>
      </c>
      <c r="F942" t="s">
        <v>1515</v>
      </c>
      <c r="G942">
        <v>961</v>
      </c>
      <c r="H942" t="s">
        <v>1509</v>
      </c>
      <c r="I942">
        <v>15</v>
      </c>
      <c r="J942" s="48">
        <v>0</v>
      </c>
      <c r="K942" s="48">
        <v>0</v>
      </c>
      <c r="L942" s="54">
        <v>46192</v>
      </c>
      <c r="M942" s="54">
        <v>46206</v>
      </c>
      <c r="N942" s="54">
        <v>46220</v>
      </c>
      <c r="O942" s="54">
        <v>46234</v>
      </c>
    </row>
    <row r="943" spans="2:15" x14ac:dyDescent="0.25">
      <c r="B943">
        <v>961</v>
      </c>
      <c r="C943" t="s">
        <v>82</v>
      </c>
      <c r="D943" t="s">
        <v>622</v>
      </c>
      <c r="E943">
        <v>960</v>
      </c>
      <c r="F943" t="s">
        <v>1517</v>
      </c>
      <c r="G943">
        <v>962</v>
      </c>
      <c r="H943" t="s">
        <v>1519</v>
      </c>
      <c r="I943">
        <v>6</v>
      </c>
      <c r="J943" s="48">
        <v>0</v>
      </c>
      <c r="K943" s="48">
        <v>0</v>
      </c>
      <c r="L943" s="54">
        <v>46206</v>
      </c>
      <c r="M943" s="54">
        <v>46211</v>
      </c>
      <c r="N943" s="54">
        <v>46234</v>
      </c>
      <c r="O943" s="54">
        <v>46239</v>
      </c>
    </row>
    <row r="944" spans="2:15" x14ac:dyDescent="0.25">
      <c r="B944">
        <v>962</v>
      </c>
      <c r="C944" t="s">
        <v>82</v>
      </c>
      <c r="D944" t="s">
        <v>622</v>
      </c>
      <c r="E944">
        <v>961</v>
      </c>
      <c r="F944" t="s">
        <v>1518</v>
      </c>
      <c r="G944">
        <v>963</v>
      </c>
      <c r="H944" t="s">
        <v>1519</v>
      </c>
      <c r="I944">
        <v>6</v>
      </c>
      <c r="J944" s="48">
        <v>0</v>
      </c>
      <c r="K944" s="48">
        <v>0</v>
      </c>
      <c r="L944" s="54">
        <v>46211</v>
      </c>
      <c r="M944" s="54">
        <v>46216</v>
      </c>
      <c r="N944" s="54">
        <v>46239</v>
      </c>
      <c r="O944" s="54">
        <v>46244</v>
      </c>
    </row>
    <row r="945" spans="2:15" x14ac:dyDescent="0.25">
      <c r="B945">
        <v>963</v>
      </c>
      <c r="C945" t="s">
        <v>82</v>
      </c>
      <c r="D945" t="s">
        <v>622</v>
      </c>
      <c r="E945">
        <v>962</v>
      </c>
      <c r="F945" t="s">
        <v>1520</v>
      </c>
      <c r="G945">
        <v>76</v>
      </c>
      <c r="H945" t="s">
        <v>1519</v>
      </c>
      <c r="I945">
        <v>4</v>
      </c>
      <c r="J945" s="48">
        <v>0</v>
      </c>
      <c r="K945" s="48">
        <v>0</v>
      </c>
      <c r="L945" s="54">
        <v>46216</v>
      </c>
      <c r="M945" s="54">
        <v>46219</v>
      </c>
      <c r="N945" s="54">
        <v>46244</v>
      </c>
      <c r="O945" s="54">
        <v>46247</v>
      </c>
    </row>
    <row r="946" spans="2:15" x14ac:dyDescent="0.25">
      <c r="B946">
        <v>964</v>
      </c>
      <c r="C946" t="s">
        <v>76</v>
      </c>
      <c r="D946" t="s">
        <v>595</v>
      </c>
      <c r="F946" t="s">
        <v>1767</v>
      </c>
      <c r="H946" t="s">
        <v>1559</v>
      </c>
      <c r="I946">
        <v>17</v>
      </c>
      <c r="J946" s="48">
        <v>0.32590000000000002</v>
      </c>
      <c r="K946" s="48">
        <v>0</v>
      </c>
      <c r="L946" s="54">
        <v>46206</v>
      </c>
      <c r="M946" s="54">
        <v>46224</v>
      </c>
      <c r="N946" s="54">
        <v>46211</v>
      </c>
      <c r="O946" s="54">
        <v>46227</v>
      </c>
    </row>
    <row r="947" spans="2:15" x14ac:dyDescent="0.25">
      <c r="B947">
        <v>965</v>
      </c>
      <c r="C947" t="s">
        <v>76</v>
      </c>
      <c r="D947" t="s">
        <v>595</v>
      </c>
      <c r="E947" t="s">
        <v>2119</v>
      </c>
      <c r="F947" t="s">
        <v>1515</v>
      </c>
      <c r="G947" t="s">
        <v>2120</v>
      </c>
      <c r="H947" t="s">
        <v>1519</v>
      </c>
      <c r="I947">
        <v>6</v>
      </c>
      <c r="J947" s="48">
        <v>0.47</v>
      </c>
      <c r="K947" s="48">
        <v>0</v>
      </c>
      <c r="L947" s="54">
        <v>46206</v>
      </c>
      <c r="M947" s="54">
        <v>46211</v>
      </c>
      <c r="N947" s="54">
        <v>46211</v>
      </c>
      <c r="O947" s="54">
        <v>46216</v>
      </c>
    </row>
    <row r="948" spans="2:15" x14ac:dyDescent="0.25">
      <c r="B948">
        <v>966</v>
      </c>
      <c r="C948" t="s">
        <v>76</v>
      </c>
      <c r="D948" t="s">
        <v>595</v>
      </c>
      <c r="E948">
        <v>965</v>
      </c>
      <c r="F948" t="s">
        <v>1517</v>
      </c>
      <c r="G948">
        <v>967</v>
      </c>
      <c r="H948" t="s">
        <v>1519</v>
      </c>
      <c r="I948">
        <v>4</v>
      </c>
      <c r="J948" s="48">
        <v>0</v>
      </c>
      <c r="K948" s="48">
        <v>0</v>
      </c>
      <c r="L948" s="54">
        <v>46211</v>
      </c>
      <c r="M948" s="54">
        <v>46216</v>
      </c>
      <c r="N948" s="54">
        <v>46216</v>
      </c>
      <c r="O948" s="54">
        <v>46219</v>
      </c>
    </row>
    <row r="949" spans="2:15" x14ac:dyDescent="0.25">
      <c r="B949">
        <v>967</v>
      </c>
      <c r="C949" t="s">
        <v>76</v>
      </c>
      <c r="D949" t="s">
        <v>595</v>
      </c>
      <c r="E949">
        <v>966</v>
      </c>
      <c r="F949" t="s">
        <v>1518</v>
      </c>
      <c r="G949">
        <v>968</v>
      </c>
      <c r="H949" t="s">
        <v>1519</v>
      </c>
      <c r="I949">
        <v>6</v>
      </c>
      <c r="J949" s="48">
        <v>0</v>
      </c>
      <c r="K949" s="48">
        <v>0</v>
      </c>
      <c r="L949" s="54">
        <v>46216</v>
      </c>
      <c r="M949" s="54">
        <v>46219</v>
      </c>
      <c r="N949" s="54">
        <v>46219</v>
      </c>
      <c r="O949" s="54">
        <v>46224</v>
      </c>
    </row>
    <row r="950" spans="2:15" x14ac:dyDescent="0.25">
      <c r="B950">
        <v>968</v>
      </c>
      <c r="C950" t="s">
        <v>76</v>
      </c>
      <c r="D950" t="s">
        <v>595</v>
      </c>
      <c r="E950">
        <v>967</v>
      </c>
      <c r="F950" t="s">
        <v>1520</v>
      </c>
      <c r="G950">
        <v>76</v>
      </c>
      <c r="H950" t="s">
        <v>1519</v>
      </c>
      <c r="I950">
        <v>4</v>
      </c>
      <c r="J950" s="48">
        <v>0</v>
      </c>
      <c r="K950" s="48">
        <v>0</v>
      </c>
      <c r="L950" s="54">
        <v>46219</v>
      </c>
      <c r="M950" s="54">
        <v>46224</v>
      </c>
      <c r="N950" s="54">
        <v>46224</v>
      </c>
      <c r="O950" s="54">
        <v>46227</v>
      </c>
    </row>
    <row r="951" spans="2:15" x14ac:dyDescent="0.25">
      <c r="B951">
        <v>969</v>
      </c>
      <c r="C951" t="s">
        <v>80</v>
      </c>
      <c r="D951" t="s">
        <v>613</v>
      </c>
      <c r="F951" t="s">
        <v>1768</v>
      </c>
      <c r="H951" t="s">
        <v>1514</v>
      </c>
      <c r="I951">
        <v>26</v>
      </c>
      <c r="J951" s="48">
        <v>0</v>
      </c>
      <c r="K951" s="48">
        <v>0</v>
      </c>
      <c r="L951" s="54">
        <v>46217</v>
      </c>
      <c r="M951" s="54">
        <v>46244</v>
      </c>
      <c r="N951" s="54">
        <v>46209</v>
      </c>
      <c r="O951" s="54">
        <v>46234</v>
      </c>
    </row>
    <row r="952" spans="2:15" x14ac:dyDescent="0.25">
      <c r="B952">
        <v>970</v>
      </c>
      <c r="C952" t="s">
        <v>80</v>
      </c>
      <c r="D952" t="s">
        <v>613</v>
      </c>
      <c r="E952" t="s">
        <v>2121</v>
      </c>
      <c r="F952" t="s">
        <v>1515</v>
      </c>
      <c r="G952" t="s">
        <v>2122</v>
      </c>
      <c r="H952" t="s">
        <v>1509</v>
      </c>
      <c r="I952">
        <v>15</v>
      </c>
      <c r="J952" s="48">
        <v>0</v>
      </c>
      <c r="K952" s="48">
        <v>0</v>
      </c>
      <c r="L952" s="54">
        <v>46217</v>
      </c>
      <c r="M952" s="54">
        <v>46231</v>
      </c>
      <c r="N952" s="54">
        <v>46209</v>
      </c>
      <c r="O952" s="54">
        <v>46223</v>
      </c>
    </row>
    <row r="953" spans="2:15" x14ac:dyDescent="0.25">
      <c r="B953">
        <v>971</v>
      </c>
      <c r="C953" t="s">
        <v>80</v>
      </c>
      <c r="D953" t="s">
        <v>613</v>
      </c>
      <c r="E953">
        <v>970</v>
      </c>
      <c r="F953" t="s">
        <v>1517</v>
      </c>
      <c r="G953">
        <v>972</v>
      </c>
      <c r="H953" t="s">
        <v>1519</v>
      </c>
      <c r="I953">
        <v>4</v>
      </c>
      <c r="J953" s="48">
        <v>0</v>
      </c>
      <c r="K953" s="48">
        <v>0</v>
      </c>
      <c r="L953" s="54">
        <v>46231</v>
      </c>
      <c r="M953" s="54">
        <v>46234</v>
      </c>
      <c r="N953" s="54">
        <v>46223</v>
      </c>
      <c r="O953" s="54">
        <v>46226</v>
      </c>
    </row>
    <row r="954" spans="2:15" x14ac:dyDescent="0.25">
      <c r="B954">
        <v>972</v>
      </c>
      <c r="C954" t="s">
        <v>80</v>
      </c>
      <c r="D954" t="s">
        <v>613</v>
      </c>
      <c r="E954">
        <v>971</v>
      </c>
      <c r="F954" t="s">
        <v>1518</v>
      </c>
      <c r="G954">
        <v>973</v>
      </c>
      <c r="H954" t="s">
        <v>1519</v>
      </c>
      <c r="I954">
        <v>6</v>
      </c>
      <c r="J954" s="48">
        <v>0</v>
      </c>
      <c r="K954" s="48">
        <v>0</v>
      </c>
      <c r="L954" s="54">
        <v>46234</v>
      </c>
      <c r="M954" s="54">
        <v>46239</v>
      </c>
      <c r="N954" s="54">
        <v>46226</v>
      </c>
      <c r="O954" s="54">
        <v>46231</v>
      </c>
    </row>
    <row r="955" spans="2:15" x14ac:dyDescent="0.25">
      <c r="B955">
        <v>973</v>
      </c>
      <c r="C955" t="s">
        <v>80</v>
      </c>
      <c r="D955" t="s">
        <v>613</v>
      </c>
      <c r="E955">
        <v>972</v>
      </c>
      <c r="F955" t="s">
        <v>1520</v>
      </c>
      <c r="G955">
        <v>76</v>
      </c>
      <c r="H955" t="s">
        <v>1519</v>
      </c>
      <c r="I955">
        <v>4</v>
      </c>
      <c r="J955" s="48">
        <v>0</v>
      </c>
      <c r="K955" s="48">
        <v>0</v>
      </c>
      <c r="L955" s="54">
        <v>46239</v>
      </c>
      <c r="M955" s="54">
        <v>46244</v>
      </c>
      <c r="N955" s="54">
        <v>46231</v>
      </c>
      <c r="O955" s="54">
        <v>46234</v>
      </c>
    </row>
    <row r="956" spans="2:15" x14ac:dyDescent="0.25">
      <c r="B956">
        <v>974</v>
      </c>
      <c r="C956" t="s">
        <v>81</v>
      </c>
      <c r="D956" t="s">
        <v>617</v>
      </c>
      <c r="F956" t="s">
        <v>1769</v>
      </c>
      <c r="H956" t="s">
        <v>1514</v>
      </c>
      <c r="I956">
        <v>26</v>
      </c>
      <c r="J956" s="48">
        <v>0</v>
      </c>
      <c r="K956" s="48">
        <v>0</v>
      </c>
      <c r="L956" s="54">
        <v>46217</v>
      </c>
      <c r="M956" s="54">
        <v>46244</v>
      </c>
      <c r="N956" s="54">
        <v>46209</v>
      </c>
      <c r="O956" s="54">
        <v>46234</v>
      </c>
    </row>
    <row r="957" spans="2:15" x14ac:dyDescent="0.25">
      <c r="B957">
        <v>975</v>
      </c>
      <c r="C957" t="s">
        <v>81</v>
      </c>
      <c r="D957" t="s">
        <v>617</v>
      </c>
      <c r="E957" t="s">
        <v>2123</v>
      </c>
      <c r="F957" t="s">
        <v>1515</v>
      </c>
      <c r="G957">
        <v>976</v>
      </c>
      <c r="H957" t="s">
        <v>1509</v>
      </c>
      <c r="I957">
        <v>15</v>
      </c>
      <c r="J957" s="48">
        <v>0</v>
      </c>
      <c r="K957" s="48">
        <v>0</v>
      </c>
      <c r="L957" s="54">
        <v>46217</v>
      </c>
      <c r="M957" s="54">
        <v>46231</v>
      </c>
      <c r="N957" s="54">
        <v>46209</v>
      </c>
      <c r="O957" s="54">
        <v>46223</v>
      </c>
    </row>
    <row r="958" spans="2:15" x14ac:dyDescent="0.25">
      <c r="B958">
        <v>976</v>
      </c>
      <c r="C958" t="s">
        <v>81</v>
      </c>
      <c r="D958" t="s">
        <v>617</v>
      </c>
      <c r="E958">
        <v>975</v>
      </c>
      <c r="F958" t="s">
        <v>1517</v>
      </c>
      <c r="G958">
        <v>977</v>
      </c>
      <c r="H958" t="s">
        <v>1519</v>
      </c>
      <c r="I958">
        <v>4</v>
      </c>
      <c r="J958" s="48">
        <v>0</v>
      </c>
      <c r="K958" s="48">
        <v>0</v>
      </c>
      <c r="L958" s="54">
        <v>46231</v>
      </c>
      <c r="M958" s="54">
        <v>46234</v>
      </c>
      <c r="N958" s="54">
        <v>46223</v>
      </c>
      <c r="O958" s="54">
        <v>46226</v>
      </c>
    </row>
    <row r="959" spans="2:15" x14ac:dyDescent="0.25">
      <c r="B959">
        <v>977</v>
      </c>
      <c r="C959" t="s">
        <v>81</v>
      </c>
      <c r="D959" t="s">
        <v>617</v>
      </c>
      <c r="E959">
        <v>976</v>
      </c>
      <c r="F959" t="s">
        <v>1518</v>
      </c>
      <c r="G959">
        <v>978</v>
      </c>
      <c r="H959" t="s">
        <v>1519</v>
      </c>
      <c r="I959">
        <v>6</v>
      </c>
      <c r="J959" s="48">
        <v>0</v>
      </c>
      <c r="K959" s="48">
        <v>0</v>
      </c>
      <c r="L959" s="54">
        <v>46234</v>
      </c>
      <c r="M959" s="54">
        <v>46239</v>
      </c>
      <c r="N959" s="54">
        <v>46226</v>
      </c>
      <c r="O959" s="54">
        <v>46231</v>
      </c>
    </row>
    <row r="960" spans="2:15" x14ac:dyDescent="0.25">
      <c r="B960">
        <v>978</v>
      </c>
      <c r="C960" t="s">
        <v>81</v>
      </c>
      <c r="D960" t="s">
        <v>617</v>
      </c>
      <c r="E960">
        <v>977</v>
      </c>
      <c r="F960" t="s">
        <v>1520</v>
      </c>
      <c r="G960">
        <v>76</v>
      </c>
      <c r="H960" t="s">
        <v>1519</v>
      </c>
      <c r="I960">
        <v>4</v>
      </c>
      <c r="J960" s="48">
        <v>0</v>
      </c>
      <c r="K960" s="48">
        <v>0</v>
      </c>
      <c r="L960" s="54">
        <v>46239</v>
      </c>
      <c r="M960" s="54">
        <v>46244</v>
      </c>
      <c r="N960" s="54">
        <v>46231</v>
      </c>
      <c r="O960" s="54">
        <v>46234</v>
      </c>
    </row>
    <row r="961" spans="2:15" x14ac:dyDescent="0.25">
      <c r="B961">
        <v>979</v>
      </c>
      <c r="F961" t="s">
        <v>1572</v>
      </c>
      <c r="H961" t="s">
        <v>1591</v>
      </c>
      <c r="I961">
        <v>35</v>
      </c>
      <c r="J961" s="48">
        <v>0.54700000000000004</v>
      </c>
      <c r="K961" s="48">
        <v>0.5</v>
      </c>
      <c r="L961" s="54">
        <v>46199</v>
      </c>
      <c r="M961" s="54">
        <v>46219</v>
      </c>
      <c r="N961" s="54">
        <v>46192</v>
      </c>
      <c r="O961" s="54">
        <v>46226</v>
      </c>
    </row>
    <row r="962" spans="2:15" x14ac:dyDescent="0.25">
      <c r="B962">
        <v>995</v>
      </c>
      <c r="C962" t="s">
        <v>110</v>
      </c>
      <c r="D962" t="s">
        <v>738</v>
      </c>
      <c r="F962" t="s">
        <v>1771</v>
      </c>
      <c r="H962" t="s">
        <v>1564</v>
      </c>
      <c r="I962">
        <v>33</v>
      </c>
      <c r="J962" s="48">
        <v>0.68379999999999996</v>
      </c>
      <c r="K962" s="48">
        <v>0.625</v>
      </c>
      <c r="L962" t="s">
        <v>1506</v>
      </c>
      <c r="M962" t="s">
        <v>1506</v>
      </c>
      <c r="N962" s="54">
        <v>46192</v>
      </c>
      <c r="O962" s="54">
        <v>46224</v>
      </c>
    </row>
    <row r="963" spans="2:15" x14ac:dyDescent="0.25">
      <c r="B963">
        <v>996</v>
      </c>
      <c r="C963" t="s">
        <v>110</v>
      </c>
      <c r="D963" t="s">
        <v>738</v>
      </c>
      <c r="E963">
        <v>1033</v>
      </c>
      <c r="F963" t="s">
        <v>1515</v>
      </c>
      <c r="G963" t="s">
        <v>2124</v>
      </c>
      <c r="H963" t="s">
        <v>1535</v>
      </c>
      <c r="I963">
        <v>20</v>
      </c>
      <c r="J963" s="48">
        <v>1</v>
      </c>
      <c r="K963" s="48">
        <v>1</v>
      </c>
      <c r="L963" t="s">
        <v>1506</v>
      </c>
      <c r="M963" t="s">
        <v>1506</v>
      </c>
      <c r="N963" s="54">
        <v>46192</v>
      </c>
      <c r="O963" s="54">
        <v>46211</v>
      </c>
    </row>
    <row r="964" spans="2:15" x14ac:dyDescent="0.25">
      <c r="B964">
        <v>997</v>
      </c>
      <c r="C964" t="s">
        <v>110</v>
      </c>
      <c r="D964" t="s">
        <v>738</v>
      </c>
      <c r="E964">
        <v>996</v>
      </c>
      <c r="F964" t="s">
        <v>1517</v>
      </c>
      <c r="G964">
        <v>998</v>
      </c>
      <c r="H964" t="s">
        <v>1519</v>
      </c>
      <c r="I964">
        <v>6</v>
      </c>
      <c r="J964" s="48">
        <v>0.47</v>
      </c>
      <c r="K964" s="48">
        <v>0</v>
      </c>
      <c r="L964" t="s">
        <v>1506</v>
      </c>
      <c r="M964" t="s">
        <v>1506</v>
      </c>
      <c r="N964" s="54">
        <v>46211</v>
      </c>
      <c r="O964" s="54">
        <v>46216</v>
      </c>
    </row>
    <row r="965" spans="2:15" x14ac:dyDescent="0.25">
      <c r="B965">
        <v>998</v>
      </c>
      <c r="C965" t="s">
        <v>110</v>
      </c>
      <c r="D965" t="s">
        <v>738</v>
      </c>
      <c r="E965">
        <v>997</v>
      </c>
      <c r="F965" t="s">
        <v>1518</v>
      </c>
      <c r="G965">
        <v>999</v>
      </c>
      <c r="H965" t="s">
        <v>1519</v>
      </c>
      <c r="I965">
        <v>4</v>
      </c>
      <c r="J965" s="48">
        <v>0</v>
      </c>
      <c r="K965" s="48">
        <v>0</v>
      </c>
      <c r="L965" t="s">
        <v>1506</v>
      </c>
      <c r="M965" t="s">
        <v>1506</v>
      </c>
      <c r="N965" s="54">
        <v>46216</v>
      </c>
      <c r="O965" s="54">
        <v>46219</v>
      </c>
    </row>
    <row r="966" spans="2:15" x14ac:dyDescent="0.25">
      <c r="B966">
        <v>999</v>
      </c>
      <c r="C966" t="s">
        <v>110</v>
      </c>
      <c r="D966" t="s">
        <v>738</v>
      </c>
      <c r="E966">
        <v>998</v>
      </c>
      <c r="F966" t="s">
        <v>1520</v>
      </c>
      <c r="G966">
        <v>76</v>
      </c>
      <c r="H966" t="s">
        <v>1519</v>
      </c>
      <c r="I966">
        <v>6</v>
      </c>
      <c r="J966" s="48">
        <v>0</v>
      </c>
      <c r="K966" s="48">
        <v>0</v>
      </c>
      <c r="L966" t="s">
        <v>1506</v>
      </c>
      <c r="M966" t="s">
        <v>1506</v>
      </c>
      <c r="N966" s="54">
        <v>46219</v>
      </c>
      <c r="O966" s="54">
        <v>46224</v>
      </c>
    </row>
    <row r="967" spans="2:15" x14ac:dyDescent="0.25">
      <c r="B967">
        <v>1000</v>
      </c>
      <c r="C967" t="s">
        <v>111</v>
      </c>
      <c r="D967" t="s">
        <v>745</v>
      </c>
      <c r="F967" t="s">
        <v>1771</v>
      </c>
      <c r="H967" t="s">
        <v>1535</v>
      </c>
      <c r="I967">
        <v>20</v>
      </c>
      <c r="J967" s="48">
        <v>0.68379999999999996</v>
      </c>
      <c r="K967" s="48">
        <v>0.625</v>
      </c>
      <c r="L967" t="s">
        <v>1506</v>
      </c>
      <c r="M967" t="s">
        <v>1506</v>
      </c>
      <c r="N967" s="54">
        <v>46204</v>
      </c>
      <c r="O967" s="54">
        <v>46223</v>
      </c>
    </row>
    <row r="968" spans="2:15" x14ac:dyDescent="0.25">
      <c r="B968">
        <v>1001</v>
      </c>
      <c r="C968" t="s">
        <v>111</v>
      </c>
      <c r="D968" t="s">
        <v>745</v>
      </c>
      <c r="E968" t="s">
        <v>2125</v>
      </c>
      <c r="F968" t="s">
        <v>1515</v>
      </c>
      <c r="G968">
        <v>1002</v>
      </c>
      <c r="H968" t="s">
        <v>1525</v>
      </c>
      <c r="I968">
        <v>7</v>
      </c>
      <c r="J968" s="48">
        <v>1</v>
      </c>
      <c r="K968" s="48">
        <v>1</v>
      </c>
      <c r="L968" t="s">
        <v>1506</v>
      </c>
      <c r="M968" t="s">
        <v>1506</v>
      </c>
      <c r="N968" s="54">
        <v>46204</v>
      </c>
      <c r="O968" s="54">
        <v>46210</v>
      </c>
    </row>
    <row r="969" spans="2:15" x14ac:dyDescent="0.25">
      <c r="B969">
        <v>1002</v>
      </c>
      <c r="C969" t="s">
        <v>111</v>
      </c>
      <c r="D969" t="s">
        <v>745</v>
      </c>
      <c r="E969">
        <v>1001</v>
      </c>
      <c r="F969" t="s">
        <v>1517</v>
      </c>
      <c r="G969">
        <v>1003</v>
      </c>
      <c r="H969" t="s">
        <v>1519</v>
      </c>
      <c r="I969">
        <v>4</v>
      </c>
      <c r="J969" s="48">
        <v>0.47</v>
      </c>
      <c r="K969" s="48">
        <v>0</v>
      </c>
      <c r="L969" t="s">
        <v>1506</v>
      </c>
      <c r="M969" t="s">
        <v>1506</v>
      </c>
      <c r="N969" s="54">
        <v>46210</v>
      </c>
      <c r="O969" s="54">
        <v>46213</v>
      </c>
    </row>
    <row r="970" spans="2:15" x14ac:dyDescent="0.25">
      <c r="B970">
        <v>1003</v>
      </c>
      <c r="C970" t="s">
        <v>111</v>
      </c>
      <c r="D970" t="s">
        <v>745</v>
      </c>
      <c r="E970">
        <v>1002</v>
      </c>
      <c r="F970" t="s">
        <v>1518</v>
      </c>
      <c r="G970">
        <v>1004</v>
      </c>
      <c r="H970" t="s">
        <v>1519</v>
      </c>
      <c r="I970">
        <v>6</v>
      </c>
      <c r="J970" s="48">
        <v>0</v>
      </c>
      <c r="K970" s="48">
        <v>0</v>
      </c>
      <c r="L970" t="s">
        <v>1506</v>
      </c>
      <c r="M970" t="s">
        <v>1506</v>
      </c>
      <c r="N970" s="54">
        <v>46213</v>
      </c>
      <c r="O970" s="54">
        <v>46218</v>
      </c>
    </row>
    <row r="971" spans="2:15" x14ac:dyDescent="0.25">
      <c r="B971">
        <v>1004</v>
      </c>
      <c r="C971" t="s">
        <v>111</v>
      </c>
      <c r="D971" t="s">
        <v>745</v>
      </c>
      <c r="E971">
        <v>1003</v>
      </c>
      <c r="F971" t="s">
        <v>1520</v>
      </c>
      <c r="G971">
        <v>76</v>
      </c>
      <c r="H971" t="s">
        <v>1519</v>
      </c>
      <c r="I971">
        <v>6</v>
      </c>
      <c r="J971" s="48">
        <v>0</v>
      </c>
      <c r="K971" s="48">
        <v>0</v>
      </c>
      <c r="L971" t="s">
        <v>1506</v>
      </c>
      <c r="M971" t="s">
        <v>1506</v>
      </c>
      <c r="N971" s="54">
        <v>46218</v>
      </c>
      <c r="O971" s="54">
        <v>46223</v>
      </c>
    </row>
    <row r="972" spans="2:15" x14ac:dyDescent="0.25">
      <c r="B972">
        <v>1005</v>
      </c>
      <c r="C972" t="s">
        <v>112</v>
      </c>
      <c r="D972" t="s">
        <v>749</v>
      </c>
      <c r="F972" t="s">
        <v>1771</v>
      </c>
      <c r="H972" t="s">
        <v>1535</v>
      </c>
      <c r="I972">
        <v>20</v>
      </c>
      <c r="J972" s="48">
        <v>0.68379999999999996</v>
      </c>
      <c r="K972" s="48">
        <v>0.625</v>
      </c>
      <c r="L972" t="s">
        <v>1506</v>
      </c>
      <c r="M972" t="s">
        <v>1506</v>
      </c>
      <c r="N972" s="54">
        <v>46204</v>
      </c>
      <c r="O972" s="54">
        <v>46223</v>
      </c>
    </row>
    <row r="973" spans="2:15" x14ac:dyDescent="0.25">
      <c r="B973">
        <v>1006</v>
      </c>
      <c r="C973" t="s">
        <v>112</v>
      </c>
      <c r="D973" t="s">
        <v>749</v>
      </c>
      <c r="E973" t="s">
        <v>2125</v>
      </c>
      <c r="F973" t="s">
        <v>1515</v>
      </c>
      <c r="G973">
        <v>1007</v>
      </c>
      <c r="H973" t="s">
        <v>1525</v>
      </c>
      <c r="I973">
        <v>7</v>
      </c>
      <c r="J973" s="48">
        <v>1</v>
      </c>
      <c r="K973" s="48">
        <v>1</v>
      </c>
      <c r="L973" t="s">
        <v>1506</v>
      </c>
      <c r="M973" t="s">
        <v>1506</v>
      </c>
      <c r="N973" s="54">
        <v>46204</v>
      </c>
      <c r="O973" s="54">
        <v>46210</v>
      </c>
    </row>
    <row r="974" spans="2:15" x14ac:dyDescent="0.25">
      <c r="B974">
        <v>1007</v>
      </c>
      <c r="C974" t="s">
        <v>112</v>
      </c>
      <c r="D974" t="s">
        <v>749</v>
      </c>
      <c r="E974">
        <v>1006</v>
      </c>
      <c r="F974" t="s">
        <v>1517</v>
      </c>
      <c r="G974">
        <v>1008</v>
      </c>
      <c r="H974" t="s">
        <v>1519</v>
      </c>
      <c r="I974">
        <v>4</v>
      </c>
      <c r="J974" s="48">
        <v>0.47</v>
      </c>
      <c r="K974" s="48">
        <v>0</v>
      </c>
      <c r="L974" t="s">
        <v>1506</v>
      </c>
      <c r="M974" t="s">
        <v>1506</v>
      </c>
      <c r="N974" s="54">
        <v>46210</v>
      </c>
      <c r="O974" s="54">
        <v>46213</v>
      </c>
    </row>
    <row r="975" spans="2:15" x14ac:dyDescent="0.25">
      <c r="B975">
        <v>1008</v>
      </c>
      <c r="C975" t="s">
        <v>112</v>
      </c>
      <c r="D975" t="s">
        <v>749</v>
      </c>
      <c r="E975">
        <v>1007</v>
      </c>
      <c r="F975" t="s">
        <v>1518</v>
      </c>
      <c r="G975">
        <v>1009</v>
      </c>
      <c r="H975" t="s">
        <v>1519</v>
      </c>
      <c r="I975">
        <v>6</v>
      </c>
      <c r="J975" s="48">
        <v>0</v>
      </c>
      <c r="K975" s="48">
        <v>0</v>
      </c>
      <c r="L975" t="s">
        <v>1506</v>
      </c>
      <c r="M975" t="s">
        <v>1506</v>
      </c>
      <c r="N975" s="54">
        <v>46213</v>
      </c>
      <c r="O975" s="54">
        <v>46218</v>
      </c>
    </row>
    <row r="976" spans="2:15" x14ac:dyDescent="0.25">
      <c r="B976">
        <v>1009</v>
      </c>
      <c r="C976" t="s">
        <v>112</v>
      </c>
      <c r="D976" t="s">
        <v>749</v>
      </c>
      <c r="E976">
        <v>1008</v>
      </c>
      <c r="F976" t="s">
        <v>1520</v>
      </c>
      <c r="G976">
        <v>76</v>
      </c>
      <c r="H976" t="s">
        <v>1519</v>
      </c>
      <c r="I976">
        <v>6</v>
      </c>
      <c r="J976" s="48">
        <v>0</v>
      </c>
      <c r="K976" s="48">
        <v>0</v>
      </c>
      <c r="L976" t="s">
        <v>1506</v>
      </c>
      <c r="M976" t="s">
        <v>1506</v>
      </c>
      <c r="N976" s="54">
        <v>46218</v>
      </c>
      <c r="O976" s="54">
        <v>46223</v>
      </c>
    </row>
    <row r="977" spans="2:15" x14ac:dyDescent="0.25">
      <c r="B977">
        <v>1010</v>
      </c>
      <c r="C977" t="s">
        <v>113</v>
      </c>
      <c r="D977" t="s">
        <v>753</v>
      </c>
      <c r="F977" t="s">
        <v>1771</v>
      </c>
      <c r="H977" t="s">
        <v>1535</v>
      </c>
      <c r="I977">
        <v>20</v>
      </c>
      <c r="J977" s="48">
        <v>0.68379999999999996</v>
      </c>
      <c r="K977" s="48">
        <v>0.625</v>
      </c>
      <c r="L977" t="s">
        <v>1506</v>
      </c>
      <c r="M977" t="s">
        <v>1506</v>
      </c>
      <c r="N977" s="54">
        <v>46204</v>
      </c>
      <c r="O977" s="54">
        <v>46223</v>
      </c>
    </row>
    <row r="978" spans="2:15" x14ac:dyDescent="0.25">
      <c r="B978">
        <v>1011</v>
      </c>
      <c r="C978" t="s">
        <v>113</v>
      </c>
      <c r="D978" t="s">
        <v>753</v>
      </c>
      <c r="E978" t="s">
        <v>2125</v>
      </c>
      <c r="F978" t="s">
        <v>1515</v>
      </c>
      <c r="G978" t="s">
        <v>2126</v>
      </c>
      <c r="H978" t="s">
        <v>1525</v>
      </c>
      <c r="I978">
        <v>7</v>
      </c>
      <c r="J978" s="48">
        <v>1</v>
      </c>
      <c r="K978" s="48">
        <v>1</v>
      </c>
      <c r="L978" t="s">
        <v>1506</v>
      </c>
      <c r="M978" t="s">
        <v>1506</v>
      </c>
      <c r="N978" s="54">
        <v>46204</v>
      </c>
      <c r="O978" s="54">
        <v>46210</v>
      </c>
    </row>
    <row r="979" spans="2:15" x14ac:dyDescent="0.25">
      <c r="B979">
        <v>1012</v>
      </c>
      <c r="C979" t="s">
        <v>113</v>
      </c>
      <c r="D979" t="s">
        <v>753</v>
      </c>
      <c r="E979">
        <v>1011</v>
      </c>
      <c r="F979" t="s">
        <v>1517</v>
      </c>
      <c r="G979">
        <v>1013</v>
      </c>
      <c r="H979" t="s">
        <v>1519</v>
      </c>
      <c r="I979">
        <v>4</v>
      </c>
      <c r="J979" s="48">
        <v>0.47</v>
      </c>
      <c r="K979" s="48">
        <v>0</v>
      </c>
      <c r="L979" t="s">
        <v>1506</v>
      </c>
      <c r="M979" t="s">
        <v>1506</v>
      </c>
      <c r="N979" s="54">
        <v>46210</v>
      </c>
      <c r="O979" s="54">
        <v>46213</v>
      </c>
    </row>
    <row r="980" spans="2:15" x14ac:dyDescent="0.25">
      <c r="B980">
        <v>1013</v>
      </c>
      <c r="C980" t="s">
        <v>113</v>
      </c>
      <c r="D980" t="s">
        <v>753</v>
      </c>
      <c r="E980">
        <v>1012</v>
      </c>
      <c r="F980" t="s">
        <v>1518</v>
      </c>
      <c r="G980">
        <v>1014</v>
      </c>
      <c r="H980" t="s">
        <v>1519</v>
      </c>
      <c r="I980">
        <v>6</v>
      </c>
      <c r="J980" s="48">
        <v>0</v>
      </c>
      <c r="K980" s="48">
        <v>0</v>
      </c>
      <c r="L980" t="s">
        <v>1506</v>
      </c>
      <c r="M980" t="s">
        <v>1506</v>
      </c>
      <c r="N980" s="54">
        <v>46213</v>
      </c>
      <c r="O980" s="54">
        <v>46218</v>
      </c>
    </row>
    <row r="981" spans="2:15" x14ac:dyDescent="0.25">
      <c r="B981">
        <v>1014</v>
      </c>
      <c r="C981" t="s">
        <v>113</v>
      </c>
      <c r="D981" t="s">
        <v>753</v>
      </c>
      <c r="E981">
        <v>1013</v>
      </c>
      <c r="F981" t="s">
        <v>1520</v>
      </c>
      <c r="G981">
        <v>76</v>
      </c>
      <c r="H981" t="s">
        <v>1519</v>
      </c>
      <c r="I981">
        <v>6</v>
      </c>
      <c r="J981" s="48">
        <v>0</v>
      </c>
      <c r="K981" s="48">
        <v>0</v>
      </c>
      <c r="L981" t="s">
        <v>1506</v>
      </c>
      <c r="M981" t="s">
        <v>1506</v>
      </c>
      <c r="N981" s="54">
        <v>46218</v>
      </c>
      <c r="O981" s="54">
        <v>46223</v>
      </c>
    </row>
    <row r="982" spans="2:15" x14ac:dyDescent="0.25">
      <c r="B982">
        <v>1015</v>
      </c>
      <c r="C982" t="s">
        <v>757</v>
      </c>
      <c r="D982" t="s">
        <v>758</v>
      </c>
      <c r="F982" t="s">
        <v>1772</v>
      </c>
      <c r="H982" t="s">
        <v>1559</v>
      </c>
      <c r="I982">
        <v>17</v>
      </c>
      <c r="J982" s="48">
        <v>0</v>
      </c>
      <c r="K982" s="48">
        <v>0</v>
      </c>
      <c r="L982" t="s">
        <v>1506</v>
      </c>
      <c r="M982" t="s">
        <v>1506</v>
      </c>
      <c r="N982" s="54">
        <v>46210</v>
      </c>
      <c r="O982" s="54">
        <v>46226</v>
      </c>
    </row>
    <row r="983" spans="2:15" x14ac:dyDescent="0.25">
      <c r="B983">
        <v>1016</v>
      </c>
      <c r="C983" t="s">
        <v>757</v>
      </c>
      <c r="D983" t="s">
        <v>758</v>
      </c>
      <c r="E983">
        <v>1011</v>
      </c>
      <c r="F983" t="s">
        <v>1515</v>
      </c>
      <c r="G983">
        <v>1017</v>
      </c>
      <c r="H983" t="s">
        <v>1519</v>
      </c>
      <c r="I983">
        <v>4</v>
      </c>
      <c r="J983" s="48">
        <v>0</v>
      </c>
      <c r="K983" s="48">
        <v>0</v>
      </c>
      <c r="L983" t="s">
        <v>1506</v>
      </c>
      <c r="M983" t="s">
        <v>1506</v>
      </c>
      <c r="N983" s="54">
        <v>46210</v>
      </c>
      <c r="O983" s="54">
        <v>46213</v>
      </c>
    </row>
    <row r="984" spans="2:15" x14ac:dyDescent="0.25">
      <c r="B984">
        <v>1017</v>
      </c>
      <c r="C984" t="s">
        <v>757</v>
      </c>
      <c r="D984" t="s">
        <v>758</v>
      </c>
      <c r="E984">
        <v>1016</v>
      </c>
      <c r="F984" t="s">
        <v>1517</v>
      </c>
      <c r="G984">
        <v>1018</v>
      </c>
      <c r="H984" t="s">
        <v>1519</v>
      </c>
      <c r="I984">
        <v>6</v>
      </c>
      <c r="J984" s="48">
        <v>0</v>
      </c>
      <c r="K984" s="48">
        <v>0</v>
      </c>
      <c r="L984" t="s">
        <v>1506</v>
      </c>
      <c r="M984" t="s">
        <v>1506</v>
      </c>
      <c r="N984" s="54">
        <v>46213</v>
      </c>
      <c r="O984" s="54">
        <v>46218</v>
      </c>
    </row>
    <row r="985" spans="2:15" x14ac:dyDescent="0.25">
      <c r="B985">
        <v>1018</v>
      </c>
      <c r="C985" t="s">
        <v>757</v>
      </c>
      <c r="D985" t="s">
        <v>758</v>
      </c>
      <c r="E985">
        <v>1017</v>
      </c>
      <c r="F985" t="s">
        <v>1518</v>
      </c>
      <c r="G985">
        <v>1019</v>
      </c>
      <c r="H985" t="s">
        <v>1519</v>
      </c>
      <c r="I985">
        <v>6</v>
      </c>
      <c r="J985" s="48">
        <v>0</v>
      </c>
      <c r="K985" s="48">
        <v>0</v>
      </c>
      <c r="L985" t="s">
        <v>1506</v>
      </c>
      <c r="M985" t="s">
        <v>1506</v>
      </c>
      <c r="N985" s="54">
        <v>46218</v>
      </c>
      <c r="O985" s="54">
        <v>46223</v>
      </c>
    </row>
    <row r="986" spans="2:15" x14ac:dyDescent="0.25">
      <c r="B986">
        <v>1019</v>
      </c>
      <c r="C986" t="s">
        <v>757</v>
      </c>
      <c r="D986" t="s">
        <v>758</v>
      </c>
      <c r="E986">
        <v>1018</v>
      </c>
      <c r="F986" t="s">
        <v>1520</v>
      </c>
      <c r="G986">
        <v>76</v>
      </c>
      <c r="H986" t="s">
        <v>1519</v>
      </c>
      <c r="I986">
        <v>4</v>
      </c>
      <c r="J986" s="48">
        <v>0</v>
      </c>
      <c r="K986" s="48">
        <v>0</v>
      </c>
      <c r="L986" t="s">
        <v>1506</v>
      </c>
      <c r="M986" t="s">
        <v>1506</v>
      </c>
      <c r="N986" s="54">
        <v>46223</v>
      </c>
      <c r="O986" s="54">
        <v>46226</v>
      </c>
    </row>
    <row r="987" spans="2:15" x14ac:dyDescent="0.25">
      <c r="B987">
        <v>1020</v>
      </c>
      <c r="F987" t="s">
        <v>1624</v>
      </c>
      <c r="H987" t="s">
        <v>2127</v>
      </c>
      <c r="I987">
        <v>36</v>
      </c>
      <c r="J987" s="48">
        <v>0.61480000000000001</v>
      </c>
      <c r="K987" s="48">
        <v>0.52</v>
      </c>
      <c r="L987" s="54">
        <v>46192</v>
      </c>
      <c r="M987" s="54">
        <v>46226</v>
      </c>
      <c r="N987" s="54">
        <v>46192</v>
      </c>
      <c r="O987" s="54">
        <v>46227</v>
      </c>
    </row>
    <row r="988" spans="2:15" x14ac:dyDescent="0.25">
      <c r="B988">
        <v>1021</v>
      </c>
      <c r="C988" t="s">
        <v>286</v>
      </c>
      <c r="D988" t="s">
        <v>1414</v>
      </c>
      <c r="F988" t="s">
        <v>1773</v>
      </c>
      <c r="H988" t="s">
        <v>1687</v>
      </c>
      <c r="I988">
        <v>29</v>
      </c>
      <c r="J988" s="48">
        <v>0.74350000000000005</v>
      </c>
      <c r="K988" s="48">
        <v>0.69330000000000003</v>
      </c>
      <c r="L988" s="54">
        <v>46192</v>
      </c>
      <c r="M988" s="54">
        <v>46219</v>
      </c>
      <c r="N988" s="54">
        <v>46192</v>
      </c>
      <c r="O988" s="54">
        <v>46220</v>
      </c>
    </row>
    <row r="989" spans="2:15" x14ac:dyDescent="0.25">
      <c r="B989">
        <v>1022</v>
      </c>
      <c r="C989" t="s">
        <v>286</v>
      </c>
      <c r="D989" t="s">
        <v>1414</v>
      </c>
      <c r="E989" t="s">
        <v>2128</v>
      </c>
      <c r="F989" t="s">
        <v>1515</v>
      </c>
      <c r="G989" t="s">
        <v>2129</v>
      </c>
      <c r="H989" t="s">
        <v>1641</v>
      </c>
      <c r="I989">
        <v>18</v>
      </c>
      <c r="J989" s="48">
        <v>1</v>
      </c>
      <c r="K989" s="48">
        <v>1</v>
      </c>
      <c r="L989" s="54">
        <v>46192</v>
      </c>
      <c r="M989" s="54">
        <v>46206</v>
      </c>
      <c r="N989" s="54">
        <v>46192</v>
      </c>
      <c r="O989" s="54">
        <v>46209</v>
      </c>
    </row>
    <row r="990" spans="2:15" x14ac:dyDescent="0.25">
      <c r="B990">
        <v>1023</v>
      </c>
      <c r="C990" t="s">
        <v>286</v>
      </c>
      <c r="D990" t="s">
        <v>1414</v>
      </c>
      <c r="E990">
        <v>1022</v>
      </c>
      <c r="F990" t="s">
        <v>1517</v>
      </c>
      <c r="G990">
        <v>1024</v>
      </c>
      <c r="H990" t="s">
        <v>1519</v>
      </c>
      <c r="I990">
        <v>4</v>
      </c>
      <c r="J990" s="48">
        <v>0.47</v>
      </c>
      <c r="K990" s="48">
        <v>0</v>
      </c>
      <c r="L990" s="54">
        <v>46206</v>
      </c>
      <c r="M990" s="54">
        <v>46211</v>
      </c>
      <c r="N990" s="54">
        <v>46209</v>
      </c>
      <c r="O990" s="54">
        <v>46212</v>
      </c>
    </row>
    <row r="991" spans="2:15" x14ac:dyDescent="0.25">
      <c r="B991">
        <v>1024</v>
      </c>
      <c r="C991" t="s">
        <v>286</v>
      </c>
      <c r="D991" t="s">
        <v>1414</v>
      </c>
      <c r="E991">
        <v>1023</v>
      </c>
      <c r="F991" t="s">
        <v>1518</v>
      </c>
      <c r="G991">
        <v>1025</v>
      </c>
      <c r="H991" t="s">
        <v>1519</v>
      </c>
      <c r="I991">
        <v>6</v>
      </c>
      <c r="J991" s="48">
        <v>0</v>
      </c>
      <c r="K991" s="48">
        <v>0</v>
      </c>
      <c r="L991" s="54">
        <v>46211</v>
      </c>
      <c r="M991" s="54">
        <v>46216</v>
      </c>
      <c r="N991" s="54">
        <v>46212</v>
      </c>
      <c r="O991" s="54">
        <v>46217</v>
      </c>
    </row>
    <row r="992" spans="2:15" x14ac:dyDescent="0.25">
      <c r="B992">
        <v>1025</v>
      </c>
      <c r="C992" t="s">
        <v>286</v>
      </c>
      <c r="D992" t="s">
        <v>1414</v>
      </c>
      <c r="E992">
        <v>1024</v>
      </c>
      <c r="F992" t="s">
        <v>1520</v>
      </c>
      <c r="G992">
        <v>76</v>
      </c>
      <c r="H992" t="s">
        <v>1519</v>
      </c>
      <c r="I992">
        <v>4</v>
      </c>
      <c r="J992" s="48">
        <v>0</v>
      </c>
      <c r="K992" s="48">
        <v>0</v>
      </c>
      <c r="L992" s="54">
        <v>46216</v>
      </c>
      <c r="M992" s="54">
        <v>46219</v>
      </c>
      <c r="N992" s="54">
        <v>46217</v>
      </c>
      <c r="O992" s="54">
        <v>46220</v>
      </c>
    </row>
    <row r="993" spans="2:15" x14ac:dyDescent="0.25">
      <c r="B993">
        <v>1026</v>
      </c>
      <c r="C993" t="s">
        <v>265</v>
      </c>
      <c r="D993" t="s">
        <v>1330</v>
      </c>
      <c r="F993" t="s">
        <v>1774</v>
      </c>
      <c r="H993" t="s">
        <v>1527</v>
      </c>
      <c r="I993">
        <v>19</v>
      </c>
      <c r="J993" s="48">
        <v>0.2288</v>
      </c>
      <c r="K993" s="48">
        <v>0</v>
      </c>
      <c r="L993" s="54">
        <v>46206</v>
      </c>
      <c r="M993" s="54">
        <v>46226</v>
      </c>
      <c r="N993" s="54">
        <v>46209</v>
      </c>
      <c r="O993" s="54">
        <v>46227</v>
      </c>
    </row>
    <row r="994" spans="2:15" x14ac:dyDescent="0.25">
      <c r="B994">
        <v>1027</v>
      </c>
      <c r="C994" t="s">
        <v>265</v>
      </c>
      <c r="D994" t="s">
        <v>1330</v>
      </c>
      <c r="E994">
        <v>1022</v>
      </c>
      <c r="F994" t="s">
        <v>1515</v>
      </c>
      <c r="G994">
        <v>1028</v>
      </c>
      <c r="H994" t="s">
        <v>1528</v>
      </c>
      <c r="I994">
        <v>8</v>
      </c>
      <c r="J994" s="48">
        <v>0.33</v>
      </c>
      <c r="K994" s="48">
        <v>0</v>
      </c>
      <c r="L994" s="54">
        <v>46206</v>
      </c>
      <c r="M994" s="54">
        <v>46213</v>
      </c>
      <c r="N994" s="54">
        <v>46209</v>
      </c>
      <c r="O994" s="54">
        <v>46216</v>
      </c>
    </row>
    <row r="995" spans="2:15" x14ac:dyDescent="0.25">
      <c r="B995">
        <v>1028</v>
      </c>
      <c r="C995" t="s">
        <v>265</v>
      </c>
      <c r="D995" t="s">
        <v>1330</v>
      </c>
      <c r="E995">
        <v>1027</v>
      </c>
      <c r="F995" t="s">
        <v>1517</v>
      </c>
      <c r="G995">
        <v>1029</v>
      </c>
      <c r="H995" t="s">
        <v>1519</v>
      </c>
      <c r="I995">
        <v>4</v>
      </c>
      <c r="J995" s="48">
        <v>0</v>
      </c>
      <c r="K995" s="48">
        <v>0</v>
      </c>
      <c r="L995" s="54">
        <v>46213</v>
      </c>
      <c r="M995" s="54">
        <v>46218</v>
      </c>
      <c r="N995" s="54">
        <v>46216</v>
      </c>
      <c r="O995" s="54">
        <v>46219</v>
      </c>
    </row>
    <row r="996" spans="2:15" x14ac:dyDescent="0.25">
      <c r="B996">
        <v>1029</v>
      </c>
      <c r="C996" t="s">
        <v>265</v>
      </c>
      <c r="D996" t="s">
        <v>1330</v>
      </c>
      <c r="E996">
        <v>1028</v>
      </c>
      <c r="F996" t="s">
        <v>1518</v>
      </c>
      <c r="G996">
        <v>1030</v>
      </c>
      <c r="H996" t="s">
        <v>1519</v>
      </c>
      <c r="I996">
        <v>6</v>
      </c>
      <c r="J996" s="48">
        <v>0</v>
      </c>
      <c r="K996" s="48">
        <v>0</v>
      </c>
      <c r="L996" s="54">
        <v>46218</v>
      </c>
      <c r="M996" s="54">
        <v>46223</v>
      </c>
      <c r="N996" s="54">
        <v>46219</v>
      </c>
      <c r="O996" s="54">
        <v>46224</v>
      </c>
    </row>
    <row r="997" spans="2:15" x14ac:dyDescent="0.25">
      <c r="B997">
        <v>1030</v>
      </c>
      <c r="C997" t="s">
        <v>265</v>
      </c>
      <c r="D997" t="s">
        <v>1330</v>
      </c>
      <c r="E997">
        <v>1029</v>
      </c>
      <c r="F997" t="s">
        <v>1520</v>
      </c>
      <c r="G997">
        <v>76</v>
      </c>
      <c r="H997" t="s">
        <v>1519</v>
      </c>
      <c r="I997">
        <v>4</v>
      </c>
      <c r="J997" s="48">
        <v>0</v>
      </c>
      <c r="K997" s="48">
        <v>0</v>
      </c>
      <c r="L997" s="54">
        <v>46223</v>
      </c>
      <c r="M997" s="54">
        <v>46226</v>
      </c>
      <c r="N997" s="54">
        <v>46224</v>
      </c>
      <c r="O997" s="54">
        <v>46227</v>
      </c>
    </row>
    <row r="998" spans="2:15" x14ac:dyDescent="0.25">
      <c r="B998">
        <v>1031</v>
      </c>
      <c r="F998" t="s">
        <v>1557</v>
      </c>
      <c r="H998" t="s">
        <v>1598</v>
      </c>
      <c r="I998">
        <v>26</v>
      </c>
      <c r="J998" s="48">
        <v>0.68379999999999996</v>
      </c>
      <c r="K998" s="48">
        <v>0.75</v>
      </c>
      <c r="L998" s="54">
        <v>46192</v>
      </c>
      <c r="M998" s="54">
        <v>46212</v>
      </c>
      <c r="N998" s="54">
        <v>46192</v>
      </c>
      <c r="O998" s="54">
        <v>46217</v>
      </c>
    </row>
    <row r="999" spans="2:15" x14ac:dyDescent="0.25">
      <c r="B999">
        <v>1037</v>
      </c>
      <c r="C999" t="s">
        <v>191</v>
      </c>
      <c r="D999" t="s">
        <v>1075</v>
      </c>
      <c r="F999" t="s">
        <v>1775</v>
      </c>
      <c r="H999" t="s">
        <v>1588</v>
      </c>
      <c r="I999">
        <v>22</v>
      </c>
      <c r="J999" s="48">
        <v>0.68379999999999996</v>
      </c>
      <c r="K999" s="48">
        <v>0.75</v>
      </c>
      <c r="L999" t="s">
        <v>1506</v>
      </c>
      <c r="M999" t="s">
        <v>1506</v>
      </c>
      <c r="N999" s="54">
        <v>46192</v>
      </c>
      <c r="O999" s="54">
        <v>46213</v>
      </c>
    </row>
    <row r="1000" spans="2:15" x14ac:dyDescent="0.25">
      <c r="B1000">
        <v>1038</v>
      </c>
      <c r="C1000" t="s">
        <v>191</v>
      </c>
      <c r="D1000" t="s">
        <v>1075</v>
      </c>
      <c r="E1000">
        <v>949</v>
      </c>
      <c r="F1000" t="s">
        <v>1515</v>
      </c>
      <c r="G1000" t="s">
        <v>2130</v>
      </c>
      <c r="H1000" t="s">
        <v>1523</v>
      </c>
      <c r="I1000">
        <v>12</v>
      </c>
      <c r="J1000" s="48">
        <v>1</v>
      </c>
      <c r="K1000" s="48">
        <v>1</v>
      </c>
      <c r="L1000" t="s">
        <v>1506</v>
      </c>
      <c r="M1000" t="s">
        <v>1506</v>
      </c>
      <c r="N1000" s="54">
        <v>46192</v>
      </c>
      <c r="O1000" s="54">
        <v>46203</v>
      </c>
    </row>
    <row r="1001" spans="2:15" x14ac:dyDescent="0.25">
      <c r="B1001">
        <v>1039</v>
      </c>
      <c r="C1001" t="s">
        <v>191</v>
      </c>
      <c r="D1001" t="s">
        <v>1075</v>
      </c>
      <c r="E1001">
        <v>1038</v>
      </c>
      <c r="F1001" t="s">
        <v>1517</v>
      </c>
      <c r="G1001">
        <v>1040</v>
      </c>
      <c r="H1001" t="s">
        <v>1642</v>
      </c>
      <c r="I1001">
        <v>3</v>
      </c>
      <c r="J1001" s="48">
        <v>0.47</v>
      </c>
      <c r="K1001" s="48">
        <v>1</v>
      </c>
      <c r="L1001" t="s">
        <v>1506</v>
      </c>
      <c r="M1001" t="s">
        <v>1506</v>
      </c>
      <c r="N1001" s="54">
        <v>46203</v>
      </c>
      <c r="O1001" s="54">
        <v>46205</v>
      </c>
    </row>
    <row r="1002" spans="2:15" x14ac:dyDescent="0.25">
      <c r="B1002">
        <v>1040</v>
      </c>
      <c r="C1002" t="s">
        <v>191</v>
      </c>
      <c r="D1002" t="s">
        <v>1075</v>
      </c>
      <c r="E1002">
        <v>1039</v>
      </c>
      <c r="F1002" t="s">
        <v>1518</v>
      </c>
      <c r="G1002">
        <v>1041</v>
      </c>
      <c r="H1002" t="s">
        <v>1519</v>
      </c>
      <c r="I1002">
        <v>6</v>
      </c>
      <c r="J1002" s="48">
        <v>0</v>
      </c>
      <c r="K1002" s="48">
        <v>0</v>
      </c>
      <c r="L1002" t="s">
        <v>1506</v>
      </c>
      <c r="M1002" t="s">
        <v>1506</v>
      </c>
      <c r="N1002" s="54">
        <v>46205</v>
      </c>
      <c r="O1002" s="54">
        <v>46210</v>
      </c>
    </row>
    <row r="1003" spans="2:15" x14ac:dyDescent="0.25">
      <c r="B1003">
        <v>1041</v>
      </c>
      <c r="C1003" t="s">
        <v>191</v>
      </c>
      <c r="D1003" t="s">
        <v>1075</v>
      </c>
      <c r="E1003">
        <v>1040</v>
      </c>
      <c r="F1003" t="s">
        <v>1520</v>
      </c>
      <c r="G1003">
        <v>76</v>
      </c>
      <c r="H1003" t="s">
        <v>1519</v>
      </c>
      <c r="I1003">
        <v>4</v>
      </c>
      <c r="J1003" s="48">
        <v>0</v>
      </c>
      <c r="K1003" s="48">
        <v>0</v>
      </c>
      <c r="L1003" t="s">
        <v>1506</v>
      </c>
      <c r="M1003" t="s">
        <v>1506</v>
      </c>
      <c r="N1003" s="54">
        <v>46210</v>
      </c>
      <c r="O1003" s="54">
        <v>46213</v>
      </c>
    </row>
    <row r="1004" spans="2:15" x14ac:dyDescent="0.25">
      <c r="B1004">
        <v>1042</v>
      </c>
      <c r="C1004" t="s">
        <v>192</v>
      </c>
      <c r="D1004" t="s">
        <v>1083</v>
      </c>
      <c r="F1004" t="s">
        <v>1775</v>
      </c>
      <c r="H1004" t="s">
        <v>1535</v>
      </c>
      <c r="I1004">
        <v>20</v>
      </c>
      <c r="J1004" s="48">
        <v>0.68379999999999996</v>
      </c>
      <c r="K1004" s="48">
        <v>0.75</v>
      </c>
      <c r="L1004" t="s">
        <v>1506</v>
      </c>
      <c r="M1004" t="s">
        <v>1506</v>
      </c>
      <c r="N1004" s="54">
        <v>46197</v>
      </c>
      <c r="O1004" s="54">
        <v>46216</v>
      </c>
    </row>
    <row r="1005" spans="2:15" x14ac:dyDescent="0.25">
      <c r="B1005">
        <v>1043</v>
      </c>
      <c r="C1005" t="s">
        <v>192</v>
      </c>
      <c r="D1005" t="s">
        <v>1083</v>
      </c>
      <c r="E1005" t="s">
        <v>2131</v>
      </c>
      <c r="F1005" t="s">
        <v>1515</v>
      </c>
      <c r="G1005">
        <v>1044</v>
      </c>
      <c r="H1005" t="s">
        <v>1528</v>
      </c>
      <c r="I1005">
        <v>8</v>
      </c>
      <c r="J1005" s="48">
        <v>1</v>
      </c>
      <c r="K1005" s="48">
        <v>1</v>
      </c>
      <c r="L1005" t="s">
        <v>1506</v>
      </c>
      <c r="M1005" t="s">
        <v>1506</v>
      </c>
      <c r="N1005" s="54">
        <v>46197</v>
      </c>
      <c r="O1005" s="54">
        <v>46204</v>
      </c>
    </row>
    <row r="1006" spans="2:15" x14ac:dyDescent="0.25">
      <c r="B1006">
        <v>1044</v>
      </c>
      <c r="C1006" t="s">
        <v>192</v>
      </c>
      <c r="D1006" t="s">
        <v>1083</v>
      </c>
      <c r="E1006">
        <v>1043</v>
      </c>
      <c r="F1006" t="s">
        <v>1517</v>
      </c>
      <c r="G1006">
        <v>1045</v>
      </c>
      <c r="H1006" t="s">
        <v>1642</v>
      </c>
      <c r="I1006">
        <v>3</v>
      </c>
      <c r="J1006" s="48">
        <v>0.47</v>
      </c>
      <c r="K1006" s="48">
        <v>1</v>
      </c>
      <c r="L1006" t="s">
        <v>1506</v>
      </c>
      <c r="M1006" t="s">
        <v>1506</v>
      </c>
      <c r="N1006" s="54">
        <v>46204</v>
      </c>
      <c r="O1006" s="54">
        <v>46206</v>
      </c>
    </row>
    <row r="1007" spans="2:15" x14ac:dyDescent="0.25">
      <c r="B1007">
        <v>1045</v>
      </c>
      <c r="C1007" t="s">
        <v>192</v>
      </c>
      <c r="D1007" t="s">
        <v>1083</v>
      </c>
      <c r="E1007">
        <v>1044</v>
      </c>
      <c r="F1007" t="s">
        <v>1518</v>
      </c>
      <c r="G1007">
        <v>1046</v>
      </c>
      <c r="H1007" t="s">
        <v>1519</v>
      </c>
      <c r="I1007">
        <v>6</v>
      </c>
      <c r="J1007" s="48">
        <v>0</v>
      </c>
      <c r="K1007" s="48">
        <v>0</v>
      </c>
      <c r="L1007" t="s">
        <v>1506</v>
      </c>
      <c r="M1007" t="s">
        <v>1506</v>
      </c>
      <c r="N1007" s="54">
        <v>46206</v>
      </c>
      <c r="O1007" s="54">
        <v>46211</v>
      </c>
    </row>
    <row r="1008" spans="2:15" x14ac:dyDescent="0.25">
      <c r="B1008">
        <v>1046</v>
      </c>
      <c r="C1008" t="s">
        <v>192</v>
      </c>
      <c r="D1008" t="s">
        <v>1083</v>
      </c>
      <c r="E1008">
        <v>1045</v>
      </c>
      <c r="F1008" t="s">
        <v>1520</v>
      </c>
      <c r="G1008">
        <v>76</v>
      </c>
      <c r="H1008" t="s">
        <v>1519</v>
      </c>
      <c r="I1008">
        <v>6</v>
      </c>
      <c r="J1008" s="48">
        <v>0</v>
      </c>
      <c r="K1008" s="48">
        <v>0</v>
      </c>
      <c r="L1008" t="s">
        <v>1506</v>
      </c>
      <c r="M1008" t="s">
        <v>1506</v>
      </c>
      <c r="N1008" s="54">
        <v>46211</v>
      </c>
      <c r="O1008" s="54">
        <v>46216</v>
      </c>
    </row>
    <row r="1009" spans="2:15" x14ac:dyDescent="0.25">
      <c r="B1009">
        <v>1047</v>
      </c>
      <c r="C1009" t="s">
        <v>193</v>
      </c>
      <c r="D1009" t="s">
        <v>1087</v>
      </c>
      <c r="F1009" t="s">
        <v>1775</v>
      </c>
      <c r="H1009" t="s">
        <v>1527</v>
      </c>
      <c r="I1009">
        <v>21</v>
      </c>
      <c r="J1009" s="48">
        <v>0.68379999999999996</v>
      </c>
      <c r="K1009" s="48">
        <v>0.75</v>
      </c>
      <c r="L1009" t="s">
        <v>1506</v>
      </c>
      <c r="M1009" t="s">
        <v>1506</v>
      </c>
      <c r="N1009" s="54">
        <v>46197</v>
      </c>
      <c r="O1009" s="54">
        <v>46217</v>
      </c>
    </row>
    <row r="1010" spans="2:15" x14ac:dyDescent="0.25">
      <c r="B1010">
        <v>1048</v>
      </c>
      <c r="C1010" t="s">
        <v>193</v>
      </c>
      <c r="D1010" t="s">
        <v>1087</v>
      </c>
      <c r="E1010" t="s">
        <v>2131</v>
      </c>
      <c r="F1010" t="s">
        <v>1515</v>
      </c>
      <c r="G1010">
        <v>1049</v>
      </c>
      <c r="H1010" t="s">
        <v>1528</v>
      </c>
      <c r="I1010">
        <v>8</v>
      </c>
      <c r="J1010" s="48">
        <v>1</v>
      </c>
      <c r="K1010" s="48">
        <v>1</v>
      </c>
      <c r="L1010" t="s">
        <v>1506</v>
      </c>
      <c r="M1010" t="s">
        <v>1506</v>
      </c>
      <c r="N1010" s="54">
        <v>46197</v>
      </c>
      <c r="O1010" s="54">
        <v>46204</v>
      </c>
    </row>
    <row r="1011" spans="2:15" x14ac:dyDescent="0.25">
      <c r="B1011">
        <v>1049</v>
      </c>
      <c r="C1011" t="s">
        <v>193</v>
      </c>
      <c r="D1011" t="s">
        <v>1087</v>
      </c>
      <c r="E1011">
        <v>1048</v>
      </c>
      <c r="F1011" t="s">
        <v>1517</v>
      </c>
      <c r="G1011">
        <v>1050</v>
      </c>
      <c r="H1011" t="s">
        <v>1519</v>
      </c>
      <c r="I1011">
        <v>6</v>
      </c>
      <c r="J1011" s="48">
        <v>0.47</v>
      </c>
      <c r="K1011" s="48">
        <v>1</v>
      </c>
      <c r="L1011" t="s">
        <v>1506</v>
      </c>
      <c r="M1011" t="s">
        <v>1506</v>
      </c>
      <c r="N1011" s="54">
        <v>46204</v>
      </c>
      <c r="O1011" s="54">
        <v>46209</v>
      </c>
    </row>
    <row r="1012" spans="2:15" x14ac:dyDescent="0.25">
      <c r="B1012">
        <v>1050</v>
      </c>
      <c r="C1012" t="s">
        <v>193</v>
      </c>
      <c r="D1012" t="s">
        <v>1087</v>
      </c>
      <c r="E1012">
        <v>1049</v>
      </c>
      <c r="F1012" t="s">
        <v>1518</v>
      </c>
      <c r="G1012">
        <v>1051</v>
      </c>
      <c r="H1012" t="s">
        <v>1519</v>
      </c>
      <c r="I1012">
        <v>4</v>
      </c>
      <c r="J1012" s="48">
        <v>0</v>
      </c>
      <c r="K1012" s="48">
        <v>0</v>
      </c>
      <c r="L1012" t="s">
        <v>1506</v>
      </c>
      <c r="M1012" t="s">
        <v>1506</v>
      </c>
      <c r="N1012" s="54">
        <v>46209</v>
      </c>
      <c r="O1012" s="54">
        <v>46212</v>
      </c>
    </row>
    <row r="1013" spans="2:15" x14ac:dyDescent="0.25">
      <c r="B1013">
        <v>1051</v>
      </c>
      <c r="C1013" t="s">
        <v>193</v>
      </c>
      <c r="D1013" t="s">
        <v>1087</v>
      </c>
      <c r="E1013">
        <v>1050</v>
      </c>
      <c r="F1013" t="s">
        <v>1520</v>
      </c>
      <c r="G1013">
        <v>76</v>
      </c>
      <c r="H1013" t="s">
        <v>1519</v>
      </c>
      <c r="I1013">
        <v>6</v>
      </c>
      <c r="J1013" s="48">
        <v>0</v>
      </c>
      <c r="K1013" s="48">
        <v>0</v>
      </c>
      <c r="L1013" t="s">
        <v>1506</v>
      </c>
      <c r="M1013" t="s">
        <v>1506</v>
      </c>
      <c r="N1013" s="54">
        <v>46212</v>
      </c>
      <c r="O1013" s="54">
        <v>46217</v>
      </c>
    </row>
    <row r="1014" spans="2:15" x14ac:dyDescent="0.25">
      <c r="B1014">
        <v>1052</v>
      </c>
      <c r="C1014" t="s">
        <v>194</v>
      </c>
      <c r="D1014" t="s">
        <v>1090</v>
      </c>
      <c r="F1014" t="s">
        <v>1775</v>
      </c>
      <c r="H1014" t="s">
        <v>1527</v>
      </c>
      <c r="I1014">
        <v>21</v>
      </c>
      <c r="J1014" s="48">
        <v>0.68379999999999996</v>
      </c>
      <c r="K1014" s="48">
        <v>0.75</v>
      </c>
      <c r="L1014" t="s">
        <v>1506</v>
      </c>
      <c r="M1014" t="s">
        <v>1506</v>
      </c>
      <c r="N1014" s="54">
        <v>46197</v>
      </c>
      <c r="O1014" s="54">
        <v>46217</v>
      </c>
    </row>
    <row r="1015" spans="2:15" x14ac:dyDescent="0.25">
      <c r="B1015">
        <v>1053</v>
      </c>
      <c r="C1015" t="s">
        <v>194</v>
      </c>
      <c r="D1015" t="s">
        <v>1090</v>
      </c>
      <c r="E1015" t="s">
        <v>2131</v>
      </c>
      <c r="F1015" t="s">
        <v>1515</v>
      </c>
      <c r="G1015">
        <v>1054</v>
      </c>
      <c r="H1015" t="s">
        <v>1528</v>
      </c>
      <c r="I1015">
        <v>8</v>
      </c>
      <c r="J1015" s="48">
        <v>1</v>
      </c>
      <c r="K1015" s="48">
        <v>1</v>
      </c>
      <c r="L1015" t="s">
        <v>1506</v>
      </c>
      <c r="M1015" t="s">
        <v>1506</v>
      </c>
      <c r="N1015" s="54">
        <v>46197</v>
      </c>
      <c r="O1015" s="54">
        <v>46204</v>
      </c>
    </row>
    <row r="1016" spans="2:15" x14ac:dyDescent="0.25">
      <c r="B1016">
        <v>1054</v>
      </c>
      <c r="C1016" t="s">
        <v>194</v>
      </c>
      <c r="D1016" t="s">
        <v>1090</v>
      </c>
      <c r="E1016">
        <v>1053</v>
      </c>
      <c r="F1016" t="s">
        <v>1517</v>
      </c>
      <c r="G1016">
        <v>1055</v>
      </c>
      <c r="H1016" t="s">
        <v>1519</v>
      </c>
      <c r="I1016">
        <v>6</v>
      </c>
      <c r="J1016" s="48">
        <v>0.47</v>
      </c>
      <c r="K1016" s="48">
        <v>1</v>
      </c>
      <c r="L1016" t="s">
        <v>1506</v>
      </c>
      <c r="M1016" t="s">
        <v>1506</v>
      </c>
      <c r="N1016" s="54">
        <v>46204</v>
      </c>
      <c r="O1016" s="54">
        <v>46209</v>
      </c>
    </row>
    <row r="1017" spans="2:15" x14ac:dyDescent="0.25">
      <c r="B1017">
        <v>1055</v>
      </c>
      <c r="C1017" t="s">
        <v>194</v>
      </c>
      <c r="D1017" t="s">
        <v>1090</v>
      </c>
      <c r="E1017">
        <v>1054</v>
      </c>
      <c r="F1017" t="s">
        <v>1518</v>
      </c>
      <c r="G1017">
        <v>1056</v>
      </c>
      <c r="H1017" t="s">
        <v>1519</v>
      </c>
      <c r="I1017">
        <v>4</v>
      </c>
      <c r="J1017" s="48">
        <v>0</v>
      </c>
      <c r="K1017" s="48">
        <v>0</v>
      </c>
      <c r="L1017" t="s">
        <v>1506</v>
      </c>
      <c r="M1017" t="s">
        <v>1506</v>
      </c>
      <c r="N1017" s="54">
        <v>46209</v>
      </c>
      <c r="O1017" s="54">
        <v>46212</v>
      </c>
    </row>
    <row r="1018" spans="2:15" x14ac:dyDescent="0.25">
      <c r="B1018">
        <v>1056</v>
      </c>
      <c r="C1018" t="s">
        <v>194</v>
      </c>
      <c r="D1018" t="s">
        <v>1090</v>
      </c>
      <c r="E1018">
        <v>1055</v>
      </c>
      <c r="F1018" t="s">
        <v>1520</v>
      </c>
      <c r="G1018">
        <v>76</v>
      </c>
      <c r="H1018" t="s">
        <v>1519</v>
      </c>
      <c r="I1018">
        <v>6</v>
      </c>
      <c r="J1018" s="48">
        <v>0</v>
      </c>
      <c r="K1018" s="48">
        <v>0</v>
      </c>
      <c r="L1018" t="s">
        <v>1506</v>
      </c>
      <c r="M1018" t="s">
        <v>1506</v>
      </c>
      <c r="N1018" s="54">
        <v>46212</v>
      </c>
      <c r="O1018" s="54">
        <v>46217</v>
      </c>
    </row>
    <row r="1019" spans="2:15" x14ac:dyDescent="0.25">
      <c r="B1019">
        <v>1057</v>
      </c>
      <c r="C1019" t="s">
        <v>195</v>
      </c>
      <c r="D1019" t="s">
        <v>1095</v>
      </c>
      <c r="F1019" t="s">
        <v>1775</v>
      </c>
      <c r="H1019" t="s">
        <v>1527</v>
      </c>
      <c r="I1019">
        <v>21</v>
      </c>
      <c r="J1019" s="48">
        <v>0.68379999999999996</v>
      </c>
      <c r="K1019" s="48">
        <v>0.75</v>
      </c>
      <c r="L1019" t="s">
        <v>1506</v>
      </c>
      <c r="M1019" t="s">
        <v>1506</v>
      </c>
      <c r="N1019" s="54">
        <v>46197</v>
      </c>
      <c r="O1019" s="54">
        <v>46217</v>
      </c>
    </row>
    <row r="1020" spans="2:15" x14ac:dyDescent="0.25">
      <c r="B1020">
        <v>1058</v>
      </c>
      <c r="C1020" t="s">
        <v>195</v>
      </c>
      <c r="D1020" t="s">
        <v>1095</v>
      </c>
      <c r="E1020" t="s">
        <v>2131</v>
      </c>
      <c r="F1020" t="s">
        <v>1515</v>
      </c>
      <c r="G1020">
        <v>1059</v>
      </c>
      <c r="H1020" t="s">
        <v>1528</v>
      </c>
      <c r="I1020">
        <v>8</v>
      </c>
      <c r="J1020" s="48">
        <v>1</v>
      </c>
      <c r="K1020" s="48">
        <v>1</v>
      </c>
      <c r="L1020" t="s">
        <v>1506</v>
      </c>
      <c r="M1020" t="s">
        <v>1506</v>
      </c>
      <c r="N1020" s="54">
        <v>46197</v>
      </c>
      <c r="O1020" s="54">
        <v>46204</v>
      </c>
    </row>
    <row r="1021" spans="2:15" x14ac:dyDescent="0.25">
      <c r="B1021">
        <v>1059</v>
      </c>
      <c r="C1021" t="s">
        <v>195</v>
      </c>
      <c r="D1021" t="s">
        <v>1095</v>
      </c>
      <c r="E1021">
        <v>1058</v>
      </c>
      <c r="F1021" t="s">
        <v>1517</v>
      </c>
      <c r="G1021">
        <v>1060</v>
      </c>
      <c r="H1021" t="s">
        <v>1519</v>
      </c>
      <c r="I1021">
        <v>6</v>
      </c>
      <c r="J1021" s="48">
        <v>0.47</v>
      </c>
      <c r="K1021" s="48">
        <v>1</v>
      </c>
      <c r="L1021" t="s">
        <v>1506</v>
      </c>
      <c r="M1021" t="s">
        <v>1506</v>
      </c>
      <c r="N1021" s="54">
        <v>46204</v>
      </c>
      <c r="O1021" s="54">
        <v>46209</v>
      </c>
    </row>
    <row r="1022" spans="2:15" x14ac:dyDescent="0.25">
      <c r="B1022">
        <v>1060</v>
      </c>
      <c r="C1022" t="s">
        <v>195</v>
      </c>
      <c r="D1022" t="s">
        <v>1095</v>
      </c>
      <c r="E1022">
        <v>1059</v>
      </c>
      <c r="F1022" t="s">
        <v>1518</v>
      </c>
      <c r="G1022">
        <v>1061</v>
      </c>
      <c r="H1022" t="s">
        <v>1519</v>
      </c>
      <c r="I1022">
        <v>4</v>
      </c>
      <c r="J1022" s="48">
        <v>0</v>
      </c>
      <c r="K1022" s="48">
        <v>0</v>
      </c>
      <c r="L1022" t="s">
        <v>1506</v>
      </c>
      <c r="M1022" t="s">
        <v>1506</v>
      </c>
      <c r="N1022" s="54">
        <v>46209</v>
      </c>
      <c r="O1022" s="54">
        <v>46212</v>
      </c>
    </row>
    <row r="1023" spans="2:15" x14ac:dyDescent="0.25">
      <c r="B1023">
        <v>1061</v>
      </c>
      <c r="C1023" t="s">
        <v>195</v>
      </c>
      <c r="D1023" t="s">
        <v>1095</v>
      </c>
      <c r="E1023">
        <v>1060</v>
      </c>
      <c r="F1023" t="s">
        <v>1520</v>
      </c>
      <c r="G1023">
        <v>76</v>
      </c>
      <c r="H1023" t="s">
        <v>1519</v>
      </c>
      <c r="I1023">
        <v>6</v>
      </c>
      <c r="J1023" s="48">
        <v>0</v>
      </c>
      <c r="K1023" s="48">
        <v>0</v>
      </c>
      <c r="L1023" t="s">
        <v>1506</v>
      </c>
      <c r="M1023" t="s">
        <v>1506</v>
      </c>
      <c r="N1023" s="54">
        <v>46212</v>
      </c>
      <c r="O1023" s="54">
        <v>46217</v>
      </c>
    </row>
    <row r="1024" spans="2:15" x14ac:dyDescent="0.25">
      <c r="B1024">
        <v>1062</v>
      </c>
      <c r="F1024" t="s">
        <v>1776</v>
      </c>
      <c r="H1024" t="s">
        <v>1702</v>
      </c>
      <c r="I1024">
        <v>62</v>
      </c>
      <c r="J1024" s="48">
        <v>0.64029999999999998</v>
      </c>
      <c r="K1024" s="48">
        <v>0.75</v>
      </c>
      <c r="L1024" s="54">
        <v>46171</v>
      </c>
      <c r="M1024" s="54">
        <v>46227</v>
      </c>
      <c r="N1024" s="54">
        <v>46171</v>
      </c>
      <c r="O1024" s="54">
        <v>46232</v>
      </c>
    </row>
    <row r="1025" spans="2:15" x14ac:dyDescent="0.25">
      <c r="B1025">
        <v>1063</v>
      </c>
      <c r="F1025" t="s">
        <v>1555</v>
      </c>
      <c r="G1025" t="s">
        <v>1990</v>
      </c>
      <c r="H1025" t="s">
        <v>1591</v>
      </c>
      <c r="I1025">
        <v>39</v>
      </c>
      <c r="J1025" s="48">
        <v>0.85370000000000001</v>
      </c>
      <c r="K1025" s="48">
        <v>1</v>
      </c>
      <c r="L1025" s="54">
        <v>46171</v>
      </c>
      <c r="M1025" s="54">
        <v>46217</v>
      </c>
      <c r="N1025" s="54">
        <v>46171</v>
      </c>
      <c r="O1025" s="54">
        <v>46209</v>
      </c>
    </row>
    <row r="1026" spans="2:15" x14ac:dyDescent="0.25">
      <c r="B1026">
        <v>1064</v>
      </c>
      <c r="E1026" t="s">
        <v>2132</v>
      </c>
      <c r="F1026" t="s">
        <v>1689</v>
      </c>
      <c r="G1026" t="s">
        <v>2133</v>
      </c>
      <c r="H1026" t="s">
        <v>1535</v>
      </c>
      <c r="I1026">
        <v>22</v>
      </c>
      <c r="J1026" s="48">
        <v>1</v>
      </c>
      <c r="K1026" s="48">
        <v>1</v>
      </c>
      <c r="L1026" s="54">
        <v>46171</v>
      </c>
      <c r="M1026" s="54">
        <v>46192</v>
      </c>
      <c r="N1026" s="54">
        <v>46171</v>
      </c>
      <c r="O1026" s="54">
        <v>46192</v>
      </c>
    </row>
    <row r="1027" spans="2:15" x14ac:dyDescent="0.25">
      <c r="B1027">
        <v>1065</v>
      </c>
      <c r="E1027" t="s">
        <v>2134</v>
      </c>
      <c r="F1027" t="s">
        <v>1572</v>
      </c>
      <c r="G1027">
        <v>970</v>
      </c>
      <c r="H1027" t="s">
        <v>1588</v>
      </c>
      <c r="I1027">
        <v>22</v>
      </c>
      <c r="J1027" s="48">
        <v>0.57999999999999996</v>
      </c>
      <c r="K1027" s="48">
        <v>1</v>
      </c>
      <c r="L1027" s="54">
        <v>46196</v>
      </c>
      <c r="M1027" s="54">
        <v>46217</v>
      </c>
      <c r="N1027" s="54">
        <v>46185</v>
      </c>
      <c r="O1027" s="54">
        <v>46206</v>
      </c>
    </row>
    <row r="1028" spans="2:15" x14ac:dyDescent="0.25">
      <c r="B1028">
        <v>1066</v>
      </c>
      <c r="E1028" t="s">
        <v>2135</v>
      </c>
      <c r="F1028" t="s">
        <v>1557</v>
      </c>
      <c r="G1028">
        <v>970</v>
      </c>
      <c r="H1028" t="s">
        <v>1525</v>
      </c>
      <c r="I1028">
        <v>7</v>
      </c>
      <c r="J1028" s="48">
        <v>0.76</v>
      </c>
      <c r="K1028" s="48">
        <v>1</v>
      </c>
      <c r="L1028" s="54">
        <v>46203</v>
      </c>
      <c r="M1028" s="54">
        <v>46210</v>
      </c>
      <c r="N1028" s="54">
        <v>46203</v>
      </c>
      <c r="O1028" s="54">
        <v>46209</v>
      </c>
    </row>
    <row r="1029" spans="2:15" x14ac:dyDescent="0.25">
      <c r="B1029">
        <v>1067</v>
      </c>
      <c r="F1029" t="s">
        <v>1560</v>
      </c>
      <c r="H1029" t="s">
        <v>1559</v>
      </c>
      <c r="I1029">
        <v>17</v>
      </c>
      <c r="J1029" s="48">
        <v>0</v>
      </c>
      <c r="K1029" s="48">
        <v>0</v>
      </c>
      <c r="L1029" s="54">
        <v>46211</v>
      </c>
      <c r="M1029" s="54">
        <v>46227</v>
      </c>
      <c r="N1029" s="54">
        <v>46216</v>
      </c>
      <c r="O1029" s="54">
        <v>46232</v>
      </c>
    </row>
    <row r="1030" spans="2:15" x14ac:dyDescent="0.25">
      <c r="B1030">
        <v>1068</v>
      </c>
      <c r="F1030" t="s">
        <v>1763</v>
      </c>
      <c r="H1030" t="s">
        <v>1559</v>
      </c>
      <c r="I1030">
        <v>17</v>
      </c>
      <c r="J1030" s="48">
        <v>0</v>
      </c>
      <c r="K1030" s="48">
        <v>0</v>
      </c>
      <c r="L1030" s="54">
        <v>46211</v>
      </c>
      <c r="M1030" s="54">
        <v>46227</v>
      </c>
      <c r="N1030" s="54">
        <v>46216</v>
      </c>
      <c r="O1030" s="54">
        <v>46232</v>
      </c>
    </row>
    <row r="1031" spans="2:15" x14ac:dyDescent="0.25">
      <c r="B1031">
        <v>1069</v>
      </c>
      <c r="C1031" t="s">
        <v>77</v>
      </c>
      <c r="D1031" t="s">
        <v>599</v>
      </c>
      <c r="F1031" t="s">
        <v>1779</v>
      </c>
      <c r="H1031" t="s">
        <v>1559</v>
      </c>
      <c r="I1031">
        <v>17</v>
      </c>
      <c r="J1031" s="48">
        <v>0</v>
      </c>
      <c r="K1031" s="48">
        <v>0</v>
      </c>
      <c r="L1031" s="54">
        <v>46211</v>
      </c>
      <c r="M1031" s="54">
        <v>46227</v>
      </c>
      <c r="N1031" s="54">
        <v>46216</v>
      </c>
      <c r="O1031" s="54">
        <v>46232</v>
      </c>
    </row>
    <row r="1032" spans="2:15" x14ac:dyDescent="0.25">
      <c r="B1032">
        <v>1070</v>
      </c>
      <c r="C1032" t="s">
        <v>77</v>
      </c>
      <c r="D1032" t="s">
        <v>599</v>
      </c>
      <c r="E1032">
        <v>965</v>
      </c>
      <c r="F1032" t="s">
        <v>1515</v>
      </c>
      <c r="G1032" t="s">
        <v>2136</v>
      </c>
      <c r="H1032" t="s">
        <v>1519</v>
      </c>
      <c r="I1032">
        <v>4</v>
      </c>
      <c r="J1032" s="48">
        <v>0</v>
      </c>
      <c r="K1032" s="48">
        <v>0</v>
      </c>
      <c r="L1032" s="54">
        <v>46211</v>
      </c>
      <c r="M1032" s="54">
        <v>46216</v>
      </c>
      <c r="N1032" s="54">
        <v>46216</v>
      </c>
      <c r="O1032" s="54">
        <v>46219</v>
      </c>
    </row>
    <row r="1033" spans="2:15" x14ac:dyDescent="0.25">
      <c r="B1033">
        <v>1071</v>
      </c>
      <c r="C1033" t="s">
        <v>77</v>
      </c>
      <c r="D1033" t="s">
        <v>599</v>
      </c>
      <c r="E1033">
        <v>1070</v>
      </c>
      <c r="F1033" t="s">
        <v>1517</v>
      </c>
      <c r="G1033">
        <v>1072</v>
      </c>
      <c r="H1033" t="s">
        <v>1519</v>
      </c>
      <c r="I1033">
        <v>6</v>
      </c>
      <c r="J1033" s="48">
        <v>0</v>
      </c>
      <c r="K1033" s="48">
        <v>0</v>
      </c>
      <c r="L1033" s="54">
        <v>46216</v>
      </c>
      <c r="M1033" s="54">
        <v>46219</v>
      </c>
      <c r="N1033" s="54">
        <v>46219</v>
      </c>
      <c r="O1033" s="54">
        <v>46224</v>
      </c>
    </row>
    <row r="1034" spans="2:15" x14ac:dyDescent="0.25">
      <c r="B1034">
        <v>1072</v>
      </c>
      <c r="C1034" t="s">
        <v>77</v>
      </c>
      <c r="D1034" t="s">
        <v>599</v>
      </c>
      <c r="E1034">
        <v>1071</v>
      </c>
      <c r="F1034" t="s">
        <v>1518</v>
      </c>
      <c r="G1034">
        <v>1073</v>
      </c>
      <c r="H1034" t="s">
        <v>1519</v>
      </c>
      <c r="I1034">
        <v>4</v>
      </c>
      <c r="J1034" s="48">
        <v>0</v>
      </c>
      <c r="K1034" s="48">
        <v>0</v>
      </c>
      <c r="L1034" s="54">
        <v>46219</v>
      </c>
      <c r="M1034" s="54">
        <v>46224</v>
      </c>
      <c r="N1034" s="54">
        <v>46224</v>
      </c>
      <c r="O1034" s="54">
        <v>46227</v>
      </c>
    </row>
    <row r="1035" spans="2:15" x14ac:dyDescent="0.25">
      <c r="B1035">
        <v>1073</v>
      </c>
      <c r="C1035" t="s">
        <v>77</v>
      </c>
      <c r="D1035" t="s">
        <v>599</v>
      </c>
      <c r="E1035">
        <v>1072</v>
      </c>
      <c r="F1035" t="s">
        <v>1520</v>
      </c>
      <c r="G1035">
        <v>76</v>
      </c>
      <c r="H1035" t="s">
        <v>1519</v>
      </c>
      <c r="I1035">
        <v>6</v>
      </c>
      <c r="J1035" s="48">
        <v>0</v>
      </c>
      <c r="K1035" s="48">
        <v>0</v>
      </c>
      <c r="L1035" s="54">
        <v>46224</v>
      </c>
      <c r="M1035" s="54">
        <v>46227</v>
      </c>
      <c r="N1035" s="54">
        <v>46227</v>
      </c>
      <c r="O1035" s="54">
        <v>46232</v>
      </c>
    </row>
    <row r="1036" spans="2:15" x14ac:dyDescent="0.25">
      <c r="B1036">
        <v>1074</v>
      </c>
      <c r="F1036" t="s">
        <v>1780</v>
      </c>
      <c r="H1036" t="s">
        <v>1781</v>
      </c>
      <c r="I1036">
        <v>67</v>
      </c>
      <c r="J1036" s="48">
        <v>0.64029999999999998</v>
      </c>
      <c r="K1036" s="48">
        <v>0.75</v>
      </c>
      <c r="L1036" s="54">
        <v>46171</v>
      </c>
      <c r="M1036" s="54">
        <v>46232</v>
      </c>
      <c r="N1036" s="54">
        <v>46171</v>
      </c>
      <c r="O1036" s="54">
        <v>46237</v>
      </c>
    </row>
    <row r="1037" spans="2:15" x14ac:dyDescent="0.25">
      <c r="B1037">
        <v>1075</v>
      </c>
      <c r="F1037" t="s">
        <v>1555</v>
      </c>
      <c r="G1037" t="s">
        <v>1990</v>
      </c>
      <c r="H1037" t="s">
        <v>1591</v>
      </c>
      <c r="I1037">
        <v>39</v>
      </c>
      <c r="J1037" s="48">
        <v>0.85370000000000001</v>
      </c>
      <c r="K1037" s="48">
        <v>1</v>
      </c>
      <c r="L1037" s="54">
        <v>46171</v>
      </c>
      <c r="M1037" s="54">
        <v>46217</v>
      </c>
      <c r="N1037" s="54">
        <v>46171</v>
      </c>
      <c r="O1037" s="54">
        <v>46209</v>
      </c>
    </row>
    <row r="1038" spans="2:15" x14ac:dyDescent="0.25">
      <c r="B1038">
        <v>1076</v>
      </c>
      <c r="E1038" t="s">
        <v>2132</v>
      </c>
      <c r="F1038" t="s">
        <v>1689</v>
      </c>
      <c r="G1038" t="s">
        <v>2133</v>
      </c>
      <c r="H1038" t="s">
        <v>1535</v>
      </c>
      <c r="I1038">
        <v>22</v>
      </c>
      <c r="J1038" s="48">
        <v>1</v>
      </c>
      <c r="K1038" s="48">
        <v>1</v>
      </c>
      <c r="L1038" s="54">
        <v>46171</v>
      </c>
      <c r="M1038" s="54">
        <v>46192</v>
      </c>
      <c r="N1038" s="54">
        <v>46171</v>
      </c>
      <c r="O1038" s="54">
        <v>46192</v>
      </c>
    </row>
    <row r="1039" spans="2:15" x14ac:dyDescent="0.25">
      <c r="B1039">
        <v>1077</v>
      </c>
      <c r="E1039" t="s">
        <v>2134</v>
      </c>
      <c r="F1039" t="s">
        <v>1572</v>
      </c>
      <c r="G1039">
        <v>970</v>
      </c>
      <c r="H1039" t="s">
        <v>1588</v>
      </c>
      <c r="I1039">
        <v>22</v>
      </c>
      <c r="J1039" s="48">
        <v>0.57999999999999996</v>
      </c>
      <c r="K1039" s="48">
        <v>1</v>
      </c>
      <c r="L1039" s="54">
        <v>46196</v>
      </c>
      <c r="M1039" s="54">
        <v>46217</v>
      </c>
      <c r="N1039" s="54">
        <v>46185</v>
      </c>
      <c r="O1039" s="54">
        <v>46206</v>
      </c>
    </row>
    <row r="1040" spans="2:15" x14ac:dyDescent="0.25">
      <c r="B1040">
        <v>1078</v>
      </c>
      <c r="E1040" t="s">
        <v>2135</v>
      </c>
      <c r="F1040" t="s">
        <v>1557</v>
      </c>
      <c r="G1040">
        <v>970</v>
      </c>
      <c r="H1040" t="s">
        <v>1528</v>
      </c>
      <c r="I1040">
        <v>8</v>
      </c>
      <c r="J1040" s="48">
        <v>0.76</v>
      </c>
      <c r="K1040" s="48">
        <v>1</v>
      </c>
      <c r="L1040" s="54">
        <v>46203</v>
      </c>
      <c r="M1040" s="54">
        <v>46210</v>
      </c>
      <c r="N1040" s="54">
        <v>46202</v>
      </c>
      <c r="O1040" s="54">
        <v>46209</v>
      </c>
    </row>
    <row r="1041" spans="2:15" x14ac:dyDescent="0.25">
      <c r="B1041">
        <v>1079</v>
      </c>
      <c r="F1041" t="s">
        <v>1560</v>
      </c>
      <c r="H1041" t="s">
        <v>1559</v>
      </c>
      <c r="I1041">
        <v>19</v>
      </c>
      <c r="J1041" s="48">
        <v>0</v>
      </c>
      <c r="K1041" s="48">
        <v>0</v>
      </c>
      <c r="L1041" s="54">
        <v>46216</v>
      </c>
      <c r="M1041" s="54">
        <v>46232</v>
      </c>
      <c r="N1041" s="54">
        <v>46219</v>
      </c>
      <c r="O1041" s="54">
        <v>46237</v>
      </c>
    </row>
    <row r="1042" spans="2:15" x14ac:dyDescent="0.25">
      <c r="B1042">
        <v>1080</v>
      </c>
      <c r="F1042" t="s">
        <v>1763</v>
      </c>
      <c r="H1042" t="s">
        <v>1559</v>
      </c>
      <c r="I1042">
        <v>19</v>
      </c>
      <c r="J1042" s="48">
        <v>0</v>
      </c>
      <c r="K1042" s="48">
        <v>0</v>
      </c>
      <c r="L1042" s="54">
        <v>46216</v>
      </c>
      <c r="M1042" s="54">
        <v>46232</v>
      </c>
      <c r="N1042" s="54">
        <v>46219</v>
      </c>
      <c r="O1042" s="54">
        <v>46237</v>
      </c>
    </row>
    <row r="1043" spans="2:15" x14ac:dyDescent="0.25">
      <c r="B1043">
        <v>1081</v>
      </c>
      <c r="C1043" t="s">
        <v>78</v>
      </c>
      <c r="D1043" t="s">
        <v>603</v>
      </c>
      <c r="F1043" t="s">
        <v>1782</v>
      </c>
      <c r="H1043" t="s">
        <v>1559</v>
      </c>
      <c r="I1043">
        <v>19</v>
      </c>
      <c r="J1043" s="48">
        <v>0</v>
      </c>
      <c r="K1043" s="48">
        <v>0</v>
      </c>
      <c r="L1043" s="54">
        <v>46216</v>
      </c>
      <c r="M1043" s="54">
        <v>46232</v>
      </c>
      <c r="N1043" s="54">
        <v>46219</v>
      </c>
      <c r="O1043" s="54">
        <v>46237</v>
      </c>
    </row>
    <row r="1044" spans="2:15" x14ac:dyDescent="0.25">
      <c r="B1044">
        <v>1082</v>
      </c>
      <c r="C1044" t="s">
        <v>78</v>
      </c>
      <c r="D1044" t="s">
        <v>603</v>
      </c>
      <c r="E1044">
        <v>1070</v>
      </c>
      <c r="F1044" t="s">
        <v>1515</v>
      </c>
      <c r="G1044" t="s">
        <v>2137</v>
      </c>
      <c r="H1044" t="s">
        <v>1519</v>
      </c>
      <c r="I1044">
        <v>6</v>
      </c>
      <c r="J1044" s="48">
        <v>0</v>
      </c>
      <c r="K1044" s="48">
        <v>0</v>
      </c>
      <c r="L1044" s="54">
        <v>46216</v>
      </c>
      <c r="M1044" s="54">
        <v>46219</v>
      </c>
      <c r="N1044" s="54">
        <v>46219</v>
      </c>
      <c r="O1044" s="54">
        <v>46224</v>
      </c>
    </row>
    <row r="1045" spans="2:15" x14ac:dyDescent="0.25">
      <c r="B1045">
        <v>1083</v>
      </c>
      <c r="C1045" t="s">
        <v>78</v>
      </c>
      <c r="D1045" t="s">
        <v>603</v>
      </c>
      <c r="E1045">
        <v>1082</v>
      </c>
      <c r="F1045" t="s">
        <v>1517</v>
      </c>
      <c r="G1045">
        <v>1084</v>
      </c>
      <c r="H1045" t="s">
        <v>1519</v>
      </c>
      <c r="I1045">
        <v>4</v>
      </c>
      <c r="J1045" s="48">
        <v>0</v>
      </c>
      <c r="K1045" s="48">
        <v>0</v>
      </c>
      <c r="L1045" s="54">
        <v>46219</v>
      </c>
      <c r="M1045" s="54">
        <v>46224</v>
      </c>
      <c r="N1045" s="54">
        <v>46224</v>
      </c>
      <c r="O1045" s="54">
        <v>46227</v>
      </c>
    </row>
    <row r="1046" spans="2:15" x14ac:dyDescent="0.25">
      <c r="B1046">
        <v>1084</v>
      </c>
      <c r="C1046" t="s">
        <v>78</v>
      </c>
      <c r="D1046" t="s">
        <v>603</v>
      </c>
      <c r="E1046">
        <v>1083</v>
      </c>
      <c r="F1046" t="s">
        <v>1518</v>
      </c>
      <c r="G1046">
        <v>1085</v>
      </c>
      <c r="H1046" t="s">
        <v>1519</v>
      </c>
      <c r="I1046">
        <v>6</v>
      </c>
      <c r="J1046" s="48">
        <v>0</v>
      </c>
      <c r="K1046" s="48">
        <v>0</v>
      </c>
      <c r="L1046" s="54">
        <v>46224</v>
      </c>
      <c r="M1046" s="54">
        <v>46227</v>
      </c>
      <c r="N1046" s="54">
        <v>46227</v>
      </c>
      <c r="O1046" s="54">
        <v>46232</v>
      </c>
    </row>
    <row r="1047" spans="2:15" x14ac:dyDescent="0.25">
      <c r="B1047">
        <v>1085</v>
      </c>
      <c r="C1047" t="s">
        <v>78</v>
      </c>
      <c r="D1047" t="s">
        <v>603</v>
      </c>
      <c r="E1047">
        <v>1084</v>
      </c>
      <c r="F1047" t="s">
        <v>1520</v>
      </c>
      <c r="G1047">
        <v>76</v>
      </c>
      <c r="H1047" t="s">
        <v>1519</v>
      </c>
      <c r="I1047">
        <v>6</v>
      </c>
      <c r="J1047" s="48">
        <v>0</v>
      </c>
      <c r="K1047" s="48">
        <v>0</v>
      </c>
      <c r="L1047" s="54">
        <v>46227</v>
      </c>
      <c r="M1047" s="54">
        <v>46232</v>
      </c>
      <c r="N1047" s="54">
        <v>46232</v>
      </c>
      <c r="O1047" s="54">
        <v>46237</v>
      </c>
    </row>
    <row r="1048" spans="2:15" x14ac:dyDescent="0.25">
      <c r="B1048">
        <v>1086</v>
      </c>
      <c r="F1048" t="s">
        <v>1783</v>
      </c>
      <c r="H1048" t="s">
        <v>1762</v>
      </c>
      <c r="I1048">
        <v>70</v>
      </c>
      <c r="J1048" s="48">
        <v>0.64029999999999998</v>
      </c>
      <c r="K1048" s="48">
        <v>0.75</v>
      </c>
      <c r="L1048" s="54">
        <v>46171</v>
      </c>
      <c r="M1048" s="54">
        <v>46237</v>
      </c>
      <c r="N1048" s="54">
        <v>46171</v>
      </c>
      <c r="O1048" s="54">
        <v>46240</v>
      </c>
    </row>
    <row r="1049" spans="2:15" x14ac:dyDescent="0.25">
      <c r="B1049">
        <v>1087</v>
      </c>
      <c r="F1049" t="s">
        <v>1555</v>
      </c>
      <c r="G1049" t="s">
        <v>1990</v>
      </c>
      <c r="H1049" t="s">
        <v>1591</v>
      </c>
      <c r="I1049">
        <v>39</v>
      </c>
      <c r="J1049" s="48">
        <v>0.85370000000000001</v>
      </c>
      <c r="K1049" s="48">
        <v>1</v>
      </c>
      <c r="L1049" s="54">
        <v>46171</v>
      </c>
      <c r="M1049" s="54">
        <v>46217</v>
      </c>
      <c r="N1049" s="54">
        <v>46171</v>
      </c>
      <c r="O1049" s="54">
        <v>46209</v>
      </c>
    </row>
    <row r="1050" spans="2:15" x14ac:dyDescent="0.25">
      <c r="B1050">
        <v>1088</v>
      </c>
      <c r="E1050" t="s">
        <v>2132</v>
      </c>
      <c r="F1050" t="s">
        <v>1689</v>
      </c>
      <c r="G1050" t="s">
        <v>2133</v>
      </c>
      <c r="H1050" t="s">
        <v>1535</v>
      </c>
      <c r="I1050">
        <v>22</v>
      </c>
      <c r="J1050" s="48">
        <v>1</v>
      </c>
      <c r="K1050" s="48">
        <v>1</v>
      </c>
      <c r="L1050" s="54">
        <v>46171</v>
      </c>
      <c r="M1050" s="54">
        <v>46192</v>
      </c>
      <c r="N1050" s="54">
        <v>46171</v>
      </c>
      <c r="O1050" s="54">
        <v>46192</v>
      </c>
    </row>
    <row r="1051" spans="2:15" x14ac:dyDescent="0.25">
      <c r="B1051">
        <v>1089</v>
      </c>
      <c r="E1051" t="s">
        <v>2134</v>
      </c>
      <c r="F1051" t="s">
        <v>1572</v>
      </c>
      <c r="G1051">
        <v>970</v>
      </c>
      <c r="H1051" t="s">
        <v>1588</v>
      </c>
      <c r="I1051">
        <v>22</v>
      </c>
      <c r="J1051" s="48">
        <v>0.57999999999999996</v>
      </c>
      <c r="K1051" s="48">
        <v>1</v>
      </c>
      <c r="L1051" s="54">
        <v>46196</v>
      </c>
      <c r="M1051" s="54">
        <v>46217</v>
      </c>
      <c r="N1051" s="54">
        <v>46185</v>
      </c>
      <c r="O1051" s="54">
        <v>46206</v>
      </c>
    </row>
    <row r="1052" spans="2:15" x14ac:dyDescent="0.25">
      <c r="B1052">
        <v>1090</v>
      </c>
      <c r="E1052" t="s">
        <v>2135</v>
      </c>
      <c r="F1052" t="s">
        <v>1557</v>
      </c>
      <c r="G1052">
        <v>970</v>
      </c>
      <c r="H1052" t="s">
        <v>1525</v>
      </c>
      <c r="I1052">
        <v>7</v>
      </c>
      <c r="J1052" s="48">
        <v>0.76</v>
      </c>
      <c r="K1052" s="48">
        <v>1</v>
      </c>
      <c r="L1052" s="54">
        <v>46203</v>
      </c>
      <c r="M1052" s="54">
        <v>46210</v>
      </c>
      <c r="N1052" s="54">
        <v>46203</v>
      </c>
      <c r="O1052" s="54">
        <v>46209</v>
      </c>
    </row>
    <row r="1053" spans="2:15" x14ac:dyDescent="0.25">
      <c r="B1053">
        <v>1091</v>
      </c>
      <c r="F1053" t="s">
        <v>1560</v>
      </c>
      <c r="H1053" t="s">
        <v>1559</v>
      </c>
      <c r="I1053">
        <v>17</v>
      </c>
      <c r="J1053" s="48">
        <v>0</v>
      </c>
      <c r="K1053" s="48">
        <v>0</v>
      </c>
      <c r="L1053" s="54">
        <v>46219</v>
      </c>
      <c r="M1053" s="54">
        <v>46237</v>
      </c>
      <c r="N1053" s="54">
        <v>46224</v>
      </c>
      <c r="O1053" s="54">
        <v>46240</v>
      </c>
    </row>
    <row r="1054" spans="2:15" x14ac:dyDescent="0.25">
      <c r="B1054">
        <v>1092</v>
      </c>
      <c r="F1054" t="s">
        <v>1763</v>
      </c>
      <c r="H1054" t="s">
        <v>1559</v>
      </c>
      <c r="I1054">
        <v>17</v>
      </c>
      <c r="J1054" s="48">
        <v>0</v>
      </c>
      <c r="K1054" s="48">
        <v>0</v>
      </c>
      <c r="L1054" s="54">
        <v>46219</v>
      </c>
      <c r="M1054" s="54">
        <v>46237</v>
      </c>
      <c r="N1054" s="54">
        <v>46224</v>
      </c>
      <c r="O1054" s="54">
        <v>46240</v>
      </c>
    </row>
    <row r="1055" spans="2:15" x14ac:dyDescent="0.25">
      <c r="B1055">
        <v>1093</v>
      </c>
      <c r="C1055" t="s">
        <v>79</v>
      </c>
      <c r="D1055" t="s">
        <v>607</v>
      </c>
      <c r="F1055" t="s">
        <v>1784</v>
      </c>
      <c r="H1055" t="s">
        <v>1559</v>
      </c>
      <c r="I1055">
        <v>17</v>
      </c>
      <c r="J1055" s="48">
        <v>0</v>
      </c>
      <c r="K1055" s="48">
        <v>0</v>
      </c>
      <c r="L1055" s="54">
        <v>46219</v>
      </c>
      <c r="M1055" s="54">
        <v>46237</v>
      </c>
      <c r="N1055" s="54">
        <v>46224</v>
      </c>
      <c r="O1055" s="54">
        <v>46240</v>
      </c>
    </row>
    <row r="1056" spans="2:15" x14ac:dyDescent="0.25">
      <c r="B1056">
        <v>1094</v>
      </c>
      <c r="C1056" t="s">
        <v>79</v>
      </c>
      <c r="D1056" t="s">
        <v>607</v>
      </c>
      <c r="E1056">
        <v>1082</v>
      </c>
      <c r="F1056" t="s">
        <v>1515</v>
      </c>
      <c r="G1056">
        <v>1095</v>
      </c>
      <c r="H1056" t="s">
        <v>1519</v>
      </c>
      <c r="I1056">
        <v>4</v>
      </c>
      <c r="J1056" s="48">
        <v>0</v>
      </c>
      <c r="K1056" s="48">
        <v>0</v>
      </c>
      <c r="L1056" s="54">
        <v>46219</v>
      </c>
      <c r="M1056" s="54">
        <v>46224</v>
      </c>
      <c r="N1056" s="54">
        <v>46224</v>
      </c>
      <c r="O1056" s="54">
        <v>46227</v>
      </c>
    </row>
    <row r="1057" spans="2:15" x14ac:dyDescent="0.25">
      <c r="B1057">
        <v>1095</v>
      </c>
      <c r="C1057" t="s">
        <v>79</v>
      </c>
      <c r="D1057" t="s">
        <v>607</v>
      </c>
      <c r="E1057">
        <v>1094</v>
      </c>
      <c r="F1057" t="s">
        <v>1517</v>
      </c>
      <c r="G1057">
        <v>1096</v>
      </c>
      <c r="H1057" t="s">
        <v>1519</v>
      </c>
      <c r="I1057">
        <v>6</v>
      </c>
      <c r="J1057" s="48">
        <v>0</v>
      </c>
      <c r="K1057" s="48">
        <v>0</v>
      </c>
      <c r="L1057" s="54">
        <v>46224</v>
      </c>
      <c r="M1057" s="54">
        <v>46227</v>
      </c>
      <c r="N1057" s="54">
        <v>46227</v>
      </c>
      <c r="O1057" s="54">
        <v>46232</v>
      </c>
    </row>
    <row r="1058" spans="2:15" x14ac:dyDescent="0.25">
      <c r="B1058">
        <v>1096</v>
      </c>
      <c r="C1058" t="s">
        <v>79</v>
      </c>
      <c r="D1058" t="s">
        <v>607</v>
      </c>
      <c r="E1058">
        <v>1095</v>
      </c>
      <c r="F1058" t="s">
        <v>1518</v>
      </c>
      <c r="G1058">
        <v>1097</v>
      </c>
      <c r="H1058" t="s">
        <v>1519</v>
      </c>
      <c r="I1058">
        <v>6</v>
      </c>
      <c r="J1058" s="48">
        <v>0</v>
      </c>
      <c r="K1058" s="48">
        <v>0</v>
      </c>
      <c r="L1058" s="54">
        <v>46227</v>
      </c>
      <c r="M1058" s="54">
        <v>46232</v>
      </c>
      <c r="N1058" s="54">
        <v>46232</v>
      </c>
      <c r="O1058" s="54">
        <v>46237</v>
      </c>
    </row>
    <row r="1059" spans="2:15" x14ac:dyDescent="0.25">
      <c r="B1059">
        <v>1097</v>
      </c>
      <c r="C1059" t="s">
        <v>79</v>
      </c>
      <c r="D1059" t="s">
        <v>607</v>
      </c>
      <c r="E1059">
        <v>1096</v>
      </c>
      <c r="F1059" t="s">
        <v>1520</v>
      </c>
      <c r="G1059">
        <v>76</v>
      </c>
      <c r="H1059" t="s">
        <v>1519</v>
      </c>
      <c r="I1059">
        <v>4</v>
      </c>
      <c r="J1059" s="48">
        <v>0</v>
      </c>
      <c r="K1059" s="48">
        <v>0</v>
      </c>
      <c r="L1059" s="54">
        <v>46232</v>
      </c>
      <c r="M1059" s="54">
        <v>46237</v>
      </c>
      <c r="N1059" s="54">
        <v>46237</v>
      </c>
      <c r="O1059" s="54">
        <v>46240</v>
      </c>
    </row>
    <row r="1060" spans="2:15" x14ac:dyDescent="0.25">
      <c r="B1060">
        <v>1098</v>
      </c>
      <c r="F1060" t="s">
        <v>1476</v>
      </c>
      <c r="H1060" t="s">
        <v>2138</v>
      </c>
      <c r="I1060">
        <v>96</v>
      </c>
      <c r="J1060" s="48">
        <v>0</v>
      </c>
      <c r="K1060" s="48">
        <v>0</v>
      </c>
      <c r="L1060" s="54">
        <v>46230</v>
      </c>
      <c r="M1060" s="54">
        <v>46266</v>
      </c>
      <c r="N1060" s="54">
        <v>46164</v>
      </c>
      <c r="O1060" s="54">
        <v>46259</v>
      </c>
    </row>
    <row r="1061" spans="2:15" x14ac:dyDescent="0.25">
      <c r="B1061">
        <v>1099</v>
      </c>
      <c r="F1061" t="s">
        <v>1785</v>
      </c>
      <c r="H1061" t="s">
        <v>2138</v>
      </c>
      <c r="I1061">
        <v>96</v>
      </c>
      <c r="J1061" s="48">
        <v>0</v>
      </c>
      <c r="K1061" s="48">
        <v>0</v>
      </c>
      <c r="L1061" s="54">
        <v>46246</v>
      </c>
      <c r="M1061" s="54">
        <v>46266</v>
      </c>
      <c r="N1061" s="54">
        <v>46164</v>
      </c>
      <c r="O1061" s="54">
        <v>46259</v>
      </c>
    </row>
    <row r="1062" spans="2:15" x14ac:dyDescent="0.25">
      <c r="B1062">
        <v>1100</v>
      </c>
      <c r="F1062" t="s">
        <v>1786</v>
      </c>
      <c r="H1062" t="s">
        <v>2138</v>
      </c>
      <c r="I1062">
        <v>96</v>
      </c>
      <c r="J1062" s="48">
        <v>0</v>
      </c>
      <c r="K1062" s="48">
        <v>0</v>
      </c>
      <c r="L1062" s="54">
        <v>46246</v>
      </c>
      <c r="M1062" s="54">
        <v>46266</v>
      </c>
      <c r="N1062" s="54">
        <v>46164</v>
      </c>
      <c r="O1062" s="54">
        <v>46259</v>
      </c>
    </row>
    <row r="1063" spans="2:15" x14ac:dyDescent="0.25">
      <c r="B1063">
        <v>1101</v>
      </c>
      <c r="F1063" t="s">
        <v>1787</v>
      </c>
      <c r="H1063" t="s">
        <v>2138</v>
      </c>
      <c r="I1063">
        <v>96</v>
      </c>
      <c r="J1063" s="48">
        <v>0</v>
      </c>
      <c r="K1063" s="48">
        <v>0</v>
      </c>
      <c r="L1063" s="54">
        <v>46246</v>
      </c>
      <c r="M1063" s="54">
        <v>46266</v>
      </c>
      <c r="N1063" s="54">
        <v>46164</v>
      </c>
      <c r="O1063" s="54">
        <v>46259</v>
      </c>
    </row>
    <row r="1064" spans="2:15" x14ac:dyDescent="0.25">
      <c r="B1064">
        <v>1102</v>
      </c>
      <c r="F1064" t="s">
        <v>1555</v>
      </c>
      <c r="G1064" t="s">
        <v>1990</v>
      </c>
      <c r="H1064" t="s">
        <v>2127</v>
      </c>
      <c r="I1064">
        <v>36</v>
      </c>
      <c r="J1064" s="48">
        <v>0</v>
      </c>
      <c r="K1064" s="48">
        <v>0</v>
      </c>
      <c r="L1064" s="54">
        <v>46248</v>
      </c>
      <c r="M1064" s="54">
        <v>46259</v>
      </c>
      <c r="N1064" s="54">
        <v>46224</v>
      </c>
      <c r="O1064" s="54">
        <v>46259</v>
      </c>
    </row>
    <row r="1065" spans="2:15" x14ac:dyDescent="0.25">
      <c r="B1065">
        <v>1103</v>
      </c>
      <c r="E1065" t="s">
        <v>2139</v>
      </c>
      <c r="F1065" t="s">
        <v>1572</v>
      </c>
      <c r="G1065">
        <v>76</v>
      </c>
      <c r="H1065" t="s">
        <v>1525</v>
      </c>
      <c r="I1065">
        <v>7</v>
      </c>
      <c r="J1065" s="48">
        <v>0</v>
      </c>
      <c r="K1065" s="48">
        <v>0</v>
      </c>
      <c r="L1065" s="54">
        <v>46251</v>
      </c>
      <c r="M1065" s="54">
        <v>46255</v>
      </c>
      <c r="N1065" s="54">
        <v>46224</v>
      </c>
      <c r="O1065" s="54">
        <v>46230</v>
      </c>
    </row>
    <row r="1066" spans="2:15" x14ac:dyDescent="0.25">
      <c r="B1066">
        <v>1104</v>
      </c>
      <c r="E1066" t="s">
        <v>2140</v>
      </c>
      <c r="F1066" t="s">
        <v>1557</v>
      </c>
      <c r="G1066">
        <v>76</v>
      </c>
      <c r="H1066" t="s">
        <v>1523</v>
      </c>
      <c r="I1066">
        <v>12</v>
      </c>
      <c r="J1066" s="48">
        <v>0</v>
      </c>
      <c r="K1066" s="48">
        <v>0</v>
      </c>
      <c r="L1066" s="54">
        <v>46248</v>
      </c>
      <c r="M1066" s="54">
        <v>46259</v>
      </c>
      <c r="N1066" s="54">
        <v>46248</v>
      </c>
      <c r="O1066" s="54">
        <v>46259</v>
      </c>
    </row>
    <row r="1067" spans="2:15" x14ac:dyDescent="0.25">
      <c r="B1067">
        <v>1105</v>
      </c>
      <c r="F1067" t="s">
        <v>1560</v>
      </c>
      <c r="H1067" t="s">
        <v>1494</v>
      </c>
      <c r="I1067">
        <v>1</v>
      </c>
      <c r="J1067" s="48">
        <v>0</v>
      </c>
      <c r="K1067" s="48">
        <v>1</v>
      </c>
      <c r="L1067" s="54">
        <v>46246</v>
      </c>
      <c r="M1067" s="54">
        <v>46266</v>
      </c>
      <c r="N1067" s="54">
        <v>46164</v>
      </c>
      <c r="O1067" s="54">
        <v>46164</v>
      </c>
    </row>
    <row r="1068" spans="2:15" x14ac:dyDescent="0.25">
      <c r="B1068">
        <v>1106</v>
      </c>
      <c r="F1068" t="s">
        <v>1557</v>
      </c>
      <c r="H1068" t="s">
        <v>1494</v>
      </c>
      <c r="I1068">
        <v>1</v>
      </c>
      <c r="J1068" s="48">
        <v>0</v>
      </c>
      <c r="K1068" s="48">
        <v>1</v>
      </c>
      <c r="L1068" s="54">
        <v>46246</v>
      </c>
      <c r="M1068" s="54">
        <v>46266</v>
      </c>
      <c r="N1068" s="54">
        <v>46164</v>
      </c>
      <c r="O1068" s="54">
        <v>46164</v>
      </c>
    </row>
    <row r="1069" spans="2:15" x14ac:dyDescent="0.25">
      <c r="B1069">
        <v>1112</v>
      </c>
      <c r="F1069" t="s">
        <v>1788</v>
      </c>
      <c r="H1069" t="s">
        <v>1591</v>
      </c>
      <c r="I1069">
        <v>35</v>
      </c>
      <c r="J1069" s="48">
        <v>0</v>
      </c>
      <c r="K1069" s="48">
        <v>0</v>
      </c>
      <c r="L1069" s="54">
        <v>46230</v>
      </c>
      <c r="M1069" s="54">
        <v>46265</v>
      </c>
      <c r="N1069" s="54">
        <v>46224</v>
      </c>
      <c r="O1069" s="54">
        <v>46258</v>
      </c>
    </row>
    <row r="1070" spans="2:15" x14ac:dyDescent="0.25">
      <c r="B1070">
        <v>1113</v>
      </c>
      <c r="F1070" t="s">
        <v>1786</v>
      </c>
      <c r="H1070" t="s">
        <v>1591</v>
      </c>
      <c r="I1070">
        <v>35</v>
      </c>
      <c r="J1070" s="48">
        <v>0</v>
      </c>
      <c r="K1070" s="48">
        <v>0</v>
      </c>
      <c r="L1070" s="54">
        <v>46230</v>
      </c>
      <c r="M1070" s="54">
        <v>46265</v>
      </c>
      <c r="N1070" s="54">
        <v>46224</v>
      </c>
      <c r="O1070" s="54">
        <v>46258</v>
      </c>
    </row>
    <row r="1071" spans="2:15" x14ac:dyDescent="0.25">
      <c r="B1071">
        <v>1114</v>
      </c>
      <c r="F1071" t="s">
        <v>1790</v>
      </c>
      <c r="H1071" t="s">
        <v>1591</v>
      </c>
      <c r="I1071">
        <v>35</v>
      </c>
      <c r="J1071" s="48">
        <v>0</v>
      </c>
      <c r="K1071" s="48">
        <v>0</v>
      </c>
      <c r="L1071" s="54">
        <v>46230</v>
      </c>
      <c r="M1071" s="54">
        <v>46265</v>
      </c>
      <c r="N1071" s="54">
        <v>46224</v>
      </c>
      <c r="O1071" s="54">
        <v>46258</v>
      </c>
    </row>
    <row r="1072" spans="2:15" x14ac:dyDescent="0.25">
      <c r="B1072">
        <v>1115</v>
      </c>
      <c r="F1072" t="s">
        <v>1555</v>
      </c>
      <c r="G1072" t="s">
        <v>1990</v>
      </c>
      <c r="H1072" t="s">
        <v>1591</v>
      </c>
      <c r="I1072">
        <v>35</v>
      </c>
      <c r="J1072" s="48">
        <v>0</v>
      </c>
      <c r="K1072" s="48">
        <v>0</v>
      </c>
      <c r="L1072" s="54">
        <v>46230</v>
      </c>
      <c r="M1072" s="54">
        <v>46262</v>
      </c>
      <c r="N1072" s="54">
        <v>46224</v>
      </c>
      <c r="O1072" s="54">
        <v>46258</v>
      </c>
    </row>
    <row r="1073" spans="2:15" x14ac:dyDescent="0.25">
      <c r="B1073">
        <v>1116</v>
      </c>
      <c r="E1073" t="s">
        <v>2139</v>
      </c>
      <c r="F1073" t="s">
        <v>1572</v>
      </c>
      <c r="G1073">
        <v>76</v>
      </c>
      <c r="H1073" t="s">
        <v>1594</v>
      </c>
      <c r="I1073">
        <v>14</v>
      </c>
      <c r="J1073" s="48">
        <v>0</v>
      </c>
      <c r="K1073" s="48">
        <v>0</v>
      </c>
      <c r="L1073" s="54">
        <v>46251</v>
      </c>
      <c r="M1073" s="54">
        <v>46262</v>
      </c>
      <c r="N1073" s="54">
        <v>46224</v>
      </c>
      <c r="O1073" s="54">
        <v>46237</v>
      </c>
    </row>
    <row r="1074" spans="2:15" x14ac:dyDescent="0.25">
      <c r="B1074">
        <v>1117</v>
      </c>
      <c r="E1074">
        <v>1122</v>
      </c>
      <c r="F1074" t="s">
        <v>1557</v>
      </c>
      <c r="G1074">
        <v>76</v>
      </c>
      <c r="H1074" t="s">
        <v>1641</v>
      </c>
      <c r="I1074">
        <v>18</v>
      </c>
      <c r="J1074" s="48">
        <v>0</v>
      </c>
      <c r="K1074" s="48">
        <v>0</v>
      </c>
      <c r="L1074" s="54">
        <v>46247</v>
      </c>
      <c r="M1074" s="54">
        <v>46262</v>
      </c>
      <c r="N1074" s="54">
        <v>46241</v>
      </c>
      <c r="O1074" s="54">
        <v>46258</v>
      </c>
    </row>
    <row r="1075" spans="2:15" x14ac:dyDescent="0.25">
      <c r="B1075">
        <v>1118</v>
      </c>
      <c r="E1075" t="s">
        <v>2141</v>
      </c>
      <c r="F1075" t="s">
        <v>1558</v>
      </c>
      <c r="G1075">
        <v>1128</v>
      </c>
      <c r="H1075" t="s">
        <v>1528</v>
      </c>
      <c r="I1075">
        <v>8</v>
      </c>
      <c r="J1075" s="48">
        <v>0</v>
      </c>
      <c r="K1075" s="48">
        <v>0</v>
      </c>
      <c r="L1075" s="54">
        <v>46230</v>
      </c>
      <c r="M1075" s="54">
        <v>46237</v>
      </c>
      <c r="N1075" s="54">
        <v>46230</v>
      </c>
      <c r="O1075" s="54">
        <v>46237</v>
      </c>
    </row>
    <row r="1076" spans="2:15" x14ac:dyDescent="0.25">
      <c r="B1076">
        <v>1119</v>
      </c>
      <c r="F1076" t="s">
        <v>1560</v>
      </c>
      <c r="H1076" t="s">
        <v>1535</v>
      </c>
      <c r="I1076">
        <v>18</v>
      </c>
      <c r="J1076" s="48">
        <v>0</v>
      </c>
      <c r="K1076" s="48">
        <v>0</v>
      </c>
      <c r="L1076" s="54">
        <v>46237</v>
      </c>
      <c r="M1076" s="54">
        <v>46265</v>
      </c>
      <c r="N1076" s="54">
        <v>46237</v>
      </c>
      <c r="O1076" s="54">
        <v>46254</v>
      </c>
    </row>
    <row r="1077" spans="2:15" x14ac:dyDescent="0.25">
      <c r="B1077">
        <v>1120</v>
      </c>
      <c r="F1077" t="s">
        <v>1557</v>
      </c>
      <c r="H1077" t="s">
        <v>1535</v>
      </c>
      <c r="I1077">
        <v>18</v>
      </c>
      <c r="J1077" s="48">
        <v>0</v>
      </c>
      <c r="K1077" s="48">
        <v>0</v>
      </c>
      <c r="L1077" s="54">
        <v>46241</v>
      </c>
      <c r="M1077" s="54">
        <v>46260</v>
      </c>
      <c r="N1077" s="54">
        <v>46237</v>
      </c>
      <c r="O1077" s="54">
        <v>46254</v>
      </c>
    </row>
    <row r="1078" spans="2:15" x14ac:dyDescent="0.25">
      <c r="B1078">
        <v>1121</v>
      </c>
      <c r="C1078" t="s">
        <v>186</v>
      </c>
      <c r="D1078" t="s">
        <v>1059</v>
      </c>
      <c r="F1078" t="s">
        <v>1793</v>
      </c>
      <c r="H1078" t="s">
        <v>1535</v>
      </c>
      <c r="I1078">
        <v>18</v>
      </c>
      <c r="J1078" s="48">
        <v>0</v>
      </c>
      <c r="K1078" s="48">
        <v>0</v>
      </c>
      <c r="L1078" s="54">
        <v>46241</v>
      </c>
      <c r="M1078" s="54">
        <v>46260</v>
      </c>
      <c r="N1078" s="54">
        <v>46237</v>
      </c>
      <c r="O1078" s="54">
        <v>46254</v>
      </c>
    </row>
    <row r="1079" spans="2:15" x14ac:dyDescent="0.25">
      <c r="B1079">
        <v>1122</v>
      </c>
      <c r="C1079" t="s">
        <v>186</v>
      </c>
      <c r="D1079" t="s">
        <v>1059</v>
      </c>
      <c r="E1079">
        <v>1128</v>
      </c>
      <c r="F1079" t="s">
        <v>1515</v>
      </c>
      <c r="G1079" t="s">
        <v>2142</v>
      </c>
      <c r="H1079" t="s">
        <v>1525</v>
      </c>
      <c r="I1079">
        <v>5</v>
      </c>
      <c r="J1079" s="48">
        <v>0</v>
      </c>
      <c r="K1079" s="48">
        <v>0</v>
      </c>
      <c r="L1079" s="54">
        <v>46241</v>
      </c>
      <c r="M1079" s="54">
        <v>46247</v>
      </c>
      <c r="N1079" s="54">
        <v>46237</v>
      </c>
      <c r="O1079" s="54">
        <v>46241</v>
      </c>
    </row>
    <row r="1080" spans="2:15" x14ac:dyDescent="0.25">
      <c r="B1080">
        <v>1123</v>
      </c>
      <c r="C1080" t="s">
        <v>186</v>
      </c>
      <c r="D1080" t="s">
        <v>1059</v>
      </c>
      <c r="E1080">
        <v>1122</v>
      </c>
      <c r="F1080" t="s">
        <v>1517</v>
      </c>
      <c r="G1080">
        <v>1124</v>
      </c>
      <c r="H1080" t="s">
        <v>1519</v>
      </c>
      <c r="I1080">
        <v>6</v>
      </c>
      <c r="J1080" s="48">
        <v>0</v>
      </c>
      <c r="K1080" s="48">
        <v>0</v>
      </c>
      <c r="L1080" s="54">
        <v>46247</v>
      </c>
      <c r="M1080" s="54">
        <v>46252</v>
      </c>
      <c r="N1080" s="54">
        <v>46241</v>
      </c>
      <c r="O1080" s="54">
        <v>46246</v>
      </c>
    </row>
    <row r="1081" spans="2:15" x14ac:dyDescent="0.25">
      <c r="B1081">
        <v>1124</v>
      </c>
      <c r="C1081" t="s">
        <v>186</v>
      </c>
      <c r="D1081" t="s">
        <v>1059</v>
      </c>
      <c r="E1081">
        <v>1123</v>
      </c>
      <c r="F1081" t="s">
        <v>1518</v>
      </c>
      <c r="G1081">
        <v>1125</v>
      </c>
      <c r="H1081" t="s">
        <v>1519</v>
      </c>
      <c r="I1081">
        <v>6</v>
      </c>
      <c r="J1081" s="48">
        <v>0</v>
      </c>
      <c r="K1081" s="48">
        <v>0</v>
      </c>
      <c r="L1081" s="54">
        <v>46252</v>
      </c>
      <c r="M1081" s="54">
        <v>46255</v>
      </c>
      <c r="N1081" s="54">
        <v>46246</v>
      </c>
      <c r="O1081" s="54">
        <v>46251</v>
      </c>
    </row>
    <row r="1082" spans="2:15" x14ac:dyDescent="0.25">
      <c r="B1082">
        <v>1125</v>
      </c>
      <c r="C1082" t="s">
        <v>186</v>
      </c>
      <c r="D1082" t="s">
        <v>1059</v>
      </c>
      <c r="E1082">
        <v>1124</v>
      </c>
      <c r="F1082" t="s">
        <v>1520</v>
      </c>
      <c r="G1082">
        <v>76</v>
      </c>
      <c r="H1082" t="s">
        <v>1519</v>
      </c>
      <c r="I1082">
        <v>4</v>
      </c>
      <c r="J1082" s="48">
        <v>0</v>
      </c>
      <c r="K1082" s="48">
        <v>0</v>
      </c>
      <c r="L1082" s="54">
        <v>46255</v>
      </c>
      <c r="M1082" s="54">
        <v>46260</v>
      </c>
      <c r="N1082" s="54">
        <v>46251</v>
      </c>
      <c r="O1082" s="54">
        <v>46254</v>
      </c>
    </row>
    <row r="1083" spans="2:15" x14ac:dyDescent="0.25">
      <c r="B1083">
        <v>1126</v>
      </c>
      <c r="F1083" t="s">
        <v>1558</v>
      </c>
      <c r="H1083" t="s">
        <v>1535</v>
      </c>
      <c r="I1083">
        <v>18</v>
      </c>
      <c r="J1083" s="48">
        <v>0</v>
      </c>
      <c r="K1083" s="48">
        <v>0</v>
      </c>
      <c r="L1083" s="54">
        <v>46237</v>
      </c>
      <c r="M1083" s="54">
        <v>46265</v>
      </c>
      <c r="N1083" s="54">
        <v>46237</v>
      </c>
      <c r="O1083" s="54">
        <v>46254</v>
      </c>
    </row>
    <row r="1084" spans="2:15" x14ac:dyDescent="0.25">
      <c r="B1084">
        <v>1137</v>
      </c>
      <c r="C1084" t="s">
        <v>252</v>
      </c>
      <c r="D1084" t="s">
        <v>1269</v>
      </c>
      <c r="F1084" t="s">
        <v>1794</v>
      </c>
      <c r="H1084" t="s">
        <v>1535</v>
      </c>
      <c r="I1084">
        <v>18</v>
      </c>
      <c r="J1084" s="48">
        <v>0</v>
      </c>
      <c r="K1084" s="48">
        <v>0</v>
      </c>
      <c r="L1084" s="54">
        <v>46246</v>
      </c>
      <c r="M1084" s="54">
        <v>46265</v>
      </c>
      <c r="N1084" s="54">
        <v>46237</v>
      </c>
      <c r="O1084" s="54">
        <v>46254</v>
      </c>
    </row>
    <row r="1085" spans="2:15" x14ac:dyDescent="0.25">
      <c r="B1085">
        <v>1138</v>
      </c>
      <c r="C1085" t="s">
        <v>252</v>
      </c>
      <c r="D1085" t="s">
        <v>1269</v>
      </c>
      <c r="E1085">
        <v>1133</v>
      </c>
      <c r="F1085" t="s">
        <v>1515</v>
      </c>
      <c r="G1085" t="s">
        <v>2143</v>
      </c>
      <c r="H1085" t="s">
        <v>1525</v>
      </c>
      <c r="I1085">
        <v>5</v>
      </c>
      <c r="J1085" s="48">
        <v>0</v>
      </c>
      <c r="K1085" s="48">
        <v>0</v>
      </c>
      <c r="L1085" s="54">
        <v>46246</v>
      </c>
      <c r="M1085" s="54">
        <v>46252</v>
      </c>
      <c r="N1085" s="54">
        <v>46237</v>
      </c>
      <c r="O1085" s="54">
        <v>46241</v>
      </c>
    </row>
    <row r="1086" spans="2:15" x14ac:dyDescent="0.25">
      <c r="B1086">
        <v>1139</v>
      </c>
      <c r="C1086" t="s">
        <v>252</v>
      </c>
      <c r="D1086" t="s">
        <v>1269</v>
      </c>
      <c r="E1086">
        <v>1138</v>
      </c>
      <c r="F1086" t="s">
        <v>1517</v>
      </c>
      <c r="G1086">
        <v>1140</v>
      </c>
      <c r="H1086" t="s">
        <v>1519</v>
      </c>
      <c r="I1086">
        <v>6</v>
      </c>
      <c r="J1086" s="48">
        <v>0</v>
      </c>
      <c r="K1086" s="48">
        <v>0</v>
      </c>
      <c r="L1086" s="54">
        <v>46252</v>
      </c>
      <c r="M1086" s="54">
        <v>46255</v>
      </c>
      <c r="N1086" s="54">
        <v>46241</v>
      </c>
      <c r="O1086" s="54">
        <v>46246</v>
      </c>
    </row>
    <row r="1087" spans="2:15" x14ac:dyDescent="0.25">
      <c r="B1087">
        <v>1140</v>
      </c>
      <c r="C1087" t="s">
        <v>252</v>
      </c>
      <c r="D1087" t="s">
        <v>1269</v>
      </c>
      <c r="E1087">
        <v>1139</v>
      </c>
      <c r="F1087" t="s">
        <v>1518</v>
      </c>
      <c r="G1087">
        <v>1141</v>
      </c>
      <c r="H1087" t="s">
        <v>1519</v>
      </c>
      <c r="I1087">
        <v>6</v>
      </c>
      <c r="J1087" s="48">
        <v>0</v>
      </c>
      <c r="K1087" s="48">
        <v>0</v>
      </c>
      <c r="L1087" s="54">
        <v>46255</v>
      </c>
      <c r="M1087" s="54">
        <v>46260</v>
      </c>
      <c r="N1087" s="54">
        <v>46246</v>
      </c>
      <c r="O1087" s="54">
        <v>46251</v>
      </c>
    </row>
    <row r="1088" spans="2:15" x14ac:dyDescent="0.25">
      <c r="B1088">
        <v>1141</v>
      </c>
      <c r="C1088" t="s">
        <v>252</v>
      </c>
      <c r="D1088" t="s">
        <v>1269</v>
      </c>
      <c r="E1088">
        <v>1140</v>
      </c>
      <c r="F1088" t="s">
        <v>1520</v>
      </c>
      <c r="G1088">
        <v>76</v>
      </c>
      <c r="H1088" t="s">
        <v>1519</v>
      </c>
      <c r="I1088">
        <v>4</v>
      </c>
      <c r="J1088" s="48">
        <v>0</v>
      </c>
      <c r="K1088" s="48">
        <v>0</v>
      </c>
      <c r="L1088" s="54">
        <v>46260</v>
      </c>
      <c r="M1088" s="54">
        <v>46265</v>
      </c>
      <c r="N1088" s="54">
        <v>46251</v>
      </c>
      <c r="O1088" s="54">
        <v>46254</v>
      </c>
    </row>
    <row r="1089" spans="2:15" x14ac:dyDescent="0.25">
      <c r="B1089">
        <v>1142</v>
      </c>
      <c r="F1089" t="s">
        <v>1478</v>
      </c>
      <c r="H1089" t="s">
        <v>1632</v>
      </c>
      <c r="I1089">
        <v>50</v>
      </c>
      <c r="J1089" s="48">
        <v>0</v>
      </c>
      <c r="K1089" s="48">
        <v>0</v>
      </c>
      <c r="L1089" s="54">
        <v>46232</v>
      </c>
      <c r="M1089" s="54">
        <v>46283</v>
      </c>
      <c r="N1089" s="54">
        <v>46232</v>
      </c>
      <c r="O1089" s="54">
        <v>46281</v>
      </c>
    </row>
    <row r="1090" spans="2:15" x14ac:dyDescent="0.25">
      <c r="B1090">
        <v>1143</v>
      </c>
      <c r="F1090" t="s">
        <v>1795</v>
      </c>
      <c r="H1090" t="s">
        <v>1632</v>
      </c>
      <c r="I1090">
        <v>50</v>
      </c>
      <c r="J1090" s="48">
        <v>0</v>
      </c>
      <c r="K1090" s="48">
        <v>0</v>
      </c>
      <c r="L1090" s="54">
        <v>46232</v>
      </c>
      <c r="M1090" s="54">
        <v>46283</v>
      </c>
      <c r="N1090" s="54">
        <v>46232</v>
      </c>
      <c r="O1090" s="54">
        <v>46281</v>
      </c>
    </row>
    <row r="1091" spans="2:15" x14ac:dyDescent="0.25">
      <c r="B1091">
        <v>1144</v>
      </c>
      <c r="F1091" t="s">
        <v>1796</v>
      </c>
      <c r="H1091" t="s">
        <v>1632</v>
      </c>
      <c r="I1091">
        <v>50</v>
      </c>
      <c r="J1091" s="48">
        <v>0</v>
      </c>
      <c r="K1091" s="48">
        <v>0</v>
      </c>
      <c r="L1091" s="54">
        <v>46232</v>
      </c>
      <c r="M1091" s="54">
        <v>46283</v>
      </c>
      <c r="N1091" s="54">
        <v>46232</v>
      </c>
      <c r="O1091" s="54">
        <v>46281</v>
      </c>
    </row>
    <row r="1092" spans="2:15" x14ac:dyDescent="0.25">
      <c r="B1092">
        <v>1145</v>
      </c>
      <c r="F1092" t="s">
        <v>1797</v>
      </c>
      <c r="H1092" t="s">
        <v>1645</v>
      </c>
      <c r="I1092">
        <v>44</v>
      </c>
      <c r="J1092" s="48">
        <v>0</v>
      </c>
      <c r="K1092" s="48">
        <v>0</v>
      </c>
      <c r="L1092" s="54">
        <v>46232</v>
      </c>
      <c r="M1092" s="54">
        <v>46275</v>
      </c>
      <c r="N1092" s="54">
        <v>46232</v>
      </c>
      <c r="O1092" s="54">
        <v>46275</v>
      </c>
    </row>
    <row r="1093" spans="2:15" x14ac:dyDescent="0.25">
      <c r="B1093">
        <v>1146</v>
      </c>
      <c r="F1093" t="s">
        <v>1555</v>
      </c>
      <c r="G1093" t="s">
        <v>1990</v>
      </c>
      <c r="H1093" t="s">
        <v>1528</v>
      </c>
      <c r="I1093">
        <v>8</v>
      </c>
      <c r="J1093" s="48">
        <v>0</v>
      </c>
      <c r="K1093" s="48">
        <v>0</v>
      </c>
      <c r="L1093" s="54">
        <v>46232</v>
      </c>
      <c r="M1093" s="54">
        <v>46239</v>
      </c>
      <c r="N1093" s="54">
        <v>46232</v>
      </c>
      <c r="O1093" s="54">
        <v>46239</v>
      </c>
    </row>
    <row r="1094" spans="2:15" x14ac:dyDescent="0.25">
      <c r="B1094">
        <v>1147</v>
      </c>
      <c r="E1094">
        <v>220</v>
      </c>
      <c r="F1094" t="s">
        <v>1589</v>
      </c>
      <c r="G1094" t="s">
        <v>2144</v>
      </c>
      <c r="H1094" t="s">
        <v>1528</v>
      </c>
      <c r="I1094">
        <v>8</v>
      </c>
      <c r="J1094" s="48">
        <v>0</v>
      </c>
      <c r="K1094" s="48">
        <v>0</v>
      </c>
      <c r="L1094" s="54">
        <v>46232</v>
      </c>
      <c r="M1094" s="54">
        <v>46239</v>
      </c>
      <c r="N1094" s="54">
        <v>46232</v>
      </c>
      <c r="O1094" s="54">
        <v>46239</v>
      </c>
    </row>
    <row r="1095" spans="2:15" x14ac:dyDescent="0.25">
      <c r="B1095">
        <v>1148</v>
      </c>
      <c r="F1095" t="s">
        <v>1560</v>
      </c>
      <c r="H1095" t="s">
        <v>1687</v>
      </c>
      <c r="I1095">
        <v>30</v>
      </c>
      <c r="J1095" s="48">
        <v>0</v>
      </c>
      <c r="K1095" s="48">
        <v>0</v>
      </c>
      <c r="L1095" s="54">
        <v>46246</v>
      </c>
      <c r="M1095" s="54">
        <v>46275</v>
      </c>
      <c r="N1095" s="54">
        <v>46246</v>
      </c>
      <c r="O1095" s="54">
        <v>46275</v>
      </c>
    </row>
    <row r="1096" spans="2:15" x14ac:dyDescent="0.25">
      <c r="B1096">
        <v>1149</v>
      </c>
      <c r="F1096" t="s">
        <v>1798</v>
      </c>
      <c r="H1096" t="s">
        <v>1687</v>
      </c>
      <c r="I1096">
        <v>30</v>
      </c>
      <c r="J1096" s="48">
        <v>0</v>
      </c>
      <c r="K1096" s="48">
        <v>0</v>
      </c>
      <c r="L1096" s="54">
        <v>46246</v>
      </c>
      <c r="M1096" s="54">
        <v>46275</v>
      </c>
      <c r="N1096" s="54">
        <v>46246</v>
      </c>
      <c r="O1096" s="54">
        <v>46275</v>
      </c>
    </row>
    <row r="1097" spans="2:15" x14ac:dyDescent="0.25">
      <c r="B1097">
        <v>1150</v>
      </c>
      <c r="C1097" t="s">
        <v>123</v>
      </c>
      <c r="D1097" t="s">
        <v>802</v>
      </c>
      <c r="F1097" t="s">
        <v>1799</v>
      </c>
      <c r="H1097" t="s">
        <v>1527</v>
      </c>
      <c r="I1097">
        <v>21</v>
      </c>
      <c r="J1097" s="48">
        <v>0</v>
      </c>
      <c r="K1097" s="48">
        <v>0</v>
      </c>
      <c r="L1097" s="54">
        <v>46246</v>
      </c>
      <c r="M1097" s="54">
        <v>46266</v>
      </c>
      <c r="N1097" s="54">
        <v>46246</v>
      </c>
      <c r="O1097" s="54">
        <v>46266</v>
      </c>
    </row>
    <row r="1098" spans="2:15" x14ac:dyDescent="0.25">
      <c r="B1098">
        <v>1151</v>
      </c>
      <c r="C1098" t="s">
        <v>123</v>
      </c>
      <c r="D1098" t="s">
        <v>802</v>
      </c>
      <c r="E1098">
        <v>1176</v>
      </c>
      <c r="F1098" t="s">
        <v>1515</v>
      </c>
      <c r="G1098" t="s">
        <v>2145</v>
      </c>
      <c r="H1098" t="s">
        <v>1528</v>
      </c>
      <c r="I1098">
        <v>8</v>
      </c>
      <c r="J1098" s="48">
        <v>0</v>
      </c>
      <c r="K1098" s="48">
        <v>0</v>
      </c>
      <c r="L1098" s="54">
        <v>46246</v>
      </c>
      <c r="M1098" s="54">
        <v>46253</v>
      </c>
      <c r="N1098" s="54">
        <v>46246</v>
      </c>
      <c r="O1098" s="54">
        <v>46253</v>
      </c>
    </row>
    <row r="1099" spans="2:15" x14ac:dyDescent="0.25">
      <c r="B1099">
        <v>1152</v>
      </c>
      <c r="C1099" t="s">
        <v>123</v>
      </c>
      <c r="D1099" t="s">
        <v>802</v>
      </c>
      <c r="E1099">
        <v>1151</v>
      </c>
      <c r="F1099" t="s">
        <v>1517</v>
      </c>
      <c r="G1099">
        <v>1153</v>
      </c>
      <c r="H1099" t="s">
        <v>1519</v>
      </c>
      <c r="I1099">
        <v>6</v>
      </c>
      <c r="J1099" s="48">
        <v>0</v>
      </c>
      <c r="K1099" s="48">
        <v>0</v>
      </c>
      <c r="L1099" s="54">
        <v>46253</v>
      </c>
      <c r="M1099" s="54">
        <v>46258</v>
      </c>
      <c r="N1099" s="54">
        <v>46253</v>
      </c>
      <c r="O1099" s="54">
        <v>46258</v>
      </c>
    </row>
    <row r="1100" spans="2:15" x14ac:dyDescent="0.25">
      <c r="B1100">
        <v>1153</v>
      </c>
      <c r="C1100" t="s">
        <v>123</v>
      </c>
      <c r="D1100" t="s">
        <v>802</v>
      </c>
      <c r="E1100">
        <v>1152</v>
      </c>
      <c r="F1100" t="s">
        <v>1518</v>
      </c>
      <c r="G1100">
        <v>1154</v>
      </c>
      <c r="H1100" t="s">
        <v>1519</v>
      </c>
      <c r="I1100">
        <v>4</v>
      </c>
      <c r="J1100" s="48">
        <v>0</v>
      </c>
      <c r="K1100" s="48">
        <v>0</v>
      </c>
      <c r="L1100" s="54">
        <v>46258</v>
      </c>
      <c r="M1100" s="54">
        <v>46261</v>
      </c>
      <c r="N1100" s="54">
        <v>46258</v>
      </c>
      <c r="O1100" s="54">
        <v>46261</v>
      </c>
    </row>
    <row r="1101" spans="2:15" x14ac:dyDescent="0.25">
      <c r="B1101">
        <v>1154</v>
      </c>
      <c r="C1101" t="s">
        <v>123</v>
      </c>
      <c r="D1101" t="s">
        <v>802</v>
      </c>
      <c r="E1101">
        <v>1153</v>
      </c>
      <c r="F1101" t="s">
        <v>1520</v>
      </c>
      <c r="G1101">
        <v>76</v>
      </c>
      <c r="H1101" t="s">
        <v>1519</v>
      </c>
      <c r="I1101">
        <v>6</v>
      </c>
      <c r="J1101" s="48">
        <v>0</v>
      </c>
      <c r="K1101" s="48">
        <v>0</v>
      </c>
      <c r="L1101" s="54">
        <v>46261</v>
      </c>
      <c r="M1101" s="54">
        <v>46266</v>
      </c>
      <c r="N1101" s="54">
        <v>46261</v>
      </c>
      <c r="O1101" s="54">
        <v>46266</v>
      </c>
    </row>
    <row r="1102" spans="2:15" x14ac:dyDescent="0.25">
      <c r="B1102">
        <v>1155</v>
      </c>
      <c r="C1102" t="s">
        <v>125</v>
      </c>
      <c r="D1102" t="s">
        <v>812</v>
      </c>
      <c r="F1102" t="s">
        <v>1800</v>
      </c>
      <c r="H1102" t="s">
        <v>1559</v>
      </c>
      <c r="I1102">
        <v>17</v>
      </c>
      <c r="J1102" s="48">
        <v>0</v>
      </c>
      <c r="K1102" s="48">
        <v>0</v>
      </c>
      <c r="L1102" s="54">
        <v>46253</v>
      </c>
      <c r="M1102" s="54">
        <v>46269</v>
      </c>
      <c r="N1102" s="54">
        <v>46253</v>
      </c>
      <c r="O1102" s="54">
        <v>46269</v>
      </c>
    </row>
    <row r="1103" spans="2:15" x14ac:dyDescent="0.25">
      <c r="B1103">
        <v>1156</v>
      </c>
      <c r="C1103" t="s">
        <v>125</v>
      </c>
      <c r="D1103" t="s">
        <v>812</v>
      </c>
      <c r="E1103">
        <v>1151</v>
      </c>
      <c r="F1103" t="s">
        <v>1515</v>
      </c>
      <c r="G1103" t="s">
        <v>2146</v>
      </c>
      <c r="H1103" t="s">
        <v>1519</v>
      </c>
      <c r="I1103">
        <v>6</v>
      </c>
      <c r="J1103" s="48">
        <v>0</v>
      </c>
      <c r="K1103" s="48">
        <v>0</v>
      </c>
      <c r="L1103" s="54">
        <v>46253</v>
      </c>
      <c r="M1103" s="54">
        <v>46258</v>
      </c>
      <c r="N1103" s="54">
        <v>46253</v>
      </c>
      <c r="O1103" s="54">
        <v>46258</v>
      </c>
    </row>
    <row r="1104" spans="2:15" x14ac:dyDescent="0.25">
      <c r="B1104">
        <v>1157</v>
      </c>
      <c r="C1104" t="s">
        <v>125</v>
      </c>
      <c r="D1104" t="s">
        <v>812</v>
      </c>
      <c r="E1104">
        <v>1156</v>
      </c>
      <c r="F1104" t="s">
        <v>1517</v>
      </c>
      <c r="G1104">
        <v>1158</v>
      </c>
      <c r="H1104" t="s">
        <v>1519</v>
      </c>
      <c r="I1104">
        <v>4</v>
      </c>
      <c r="J1104" s="48">
        <v>0</v>
      </c>
      <c r="K1104" s="48">
        <v>0</v>
      </c>
      <c r="L1104" s="54">
        <v>46258</v>
      </c>
      <c r="M1104" s="54">
        <v>46261</v>
      </c>
      <c r="N1104" s="54">
        <v>46258</v>
      </c>
      <c r="O1104" s="54">
        <v>46261</v>
      </c>
    </row>
    <row r="1105" spans="2:15" x14ac:dyDescent="0.25">
      <c r="B1105">
        <v>1158</v>
      </c>
      <c r="C1105" t="s">
        <v>125</v>
      </c>
      <c r="D1105" t="s">
        <v>812</v>
      </c>
      <c r="E1105">
        <v>1157</v>
      </c>
      <c r="F1105" t="s">
        <v>1518</v>
      </c>
      <c r="G1105">
        <v>1159</v>
      </c>
      <c r="H1105" t="s">
        <v>1519</v>
      </c>
      <c r="I1105">
        <v>6</v>
      </c>
      <c r="J1105" s="48">
        <v>0</v>
      </c>
      <c r="K1105" s="48">
        <v>0</v>
      </c>
      <c r="L1105" s="54">
        <v>46261</v>
      </c>
      <c r="M1105" s="54">
        <v>46266</v>
      </c>
      <c r="N1105" s="54">
        <v>46261</v>
      </c>
      <c r="O1105" s="54">
        <v>46266</v>
      </c>
    </row>
    <row r="1106" spans="2:15" x14ac:dyDescent="0.25">
      <c r="B1106">
        <v>1159</v>
      </c>
      <c r="C1106" t="s">
        <v>125</v>
      </c>
      <c r="D1106" t="s">
        <v>812</v>
      </c>
      <c r="E1106">
        <v>1158</v>
      </c>
      <c r="F1106" t="s">
        <v>1520</v>
      </c>
      <c r="G1106">
        <v>76</v>
      </c>
      <c r="H1106" t="s">
        <v>1519</v>
      </c>
      <c r="I1106">
        <v>4</v>
      </c>
      <c r="J1106" s="48">
        <v>0</v>
      </c>
      <c r="K1106" s="48">
        <v>0</v>
      </c>
      <c r="L1106" s="54">
        <v>46266</v>
      </c>
      <c r="M1106" s="54">
        <v>46269</v>
      </c>
      <c r="N1106" s="54">
        <v>46266</v>
      </c>
      <c r="O1106" s="54">
        <v>46269</v>
      </c>
    </row>
    <row r="1107" spans="2:15" x14ac:dyDescent="0.25">
      <c r="B1107">
        <v>1160</v>
      </c>
      <c r="C1107" t="s">
        <v>126</v>
      </c>
      <c r="D1107" t="s">
        <v>816</v>
      </c>
      <c r="F1107" t="s">
        <v>1801</v>
      </c>
      <c r="H1107" t="s">
        <v>1559</v>
      </c>
      <c r="I1107">
        <v>18</v>
      </c>
      <c r="J1107" s="48">
        <v>0</v>
      </c>
      <c r="K1107" s="48">
        <v>0</v>
      </c>
      <c r="L1107" s="54">
        <v>46258</v>
      </c>
      <c r="M1107" s="54">
        <v>46275</v>
      </c>
      <c r="N1107" s="54">
        <v>46258</v>
      </c>
      <c r="O1107" s="54">
        <v>46275</v>
      </c>
    </row>
    <row r="1108" spans="2:15" x14ac:dyDescent="0.25">
      <c r="B1108">
        <v>1161</v>
      </c>
      <c r="C1108" t="s">
        <v>126</v>
      </c>
      <c r="D1108" t="s">
        <v>816</v>
      </c>
      <c r="E1108">
        <v>1156</v>
      </c>
      <c r="F1108" t="s">
        <v>1515</v>
      </c>
      <c r="G1108">
        <v>1162</v>
      </c>
      <c r="H1108" t="s">
        <v>1519</v>
      </c>
      <c r="I1108">
        <v>4</v>
      </c>
      <c r="J1108" s="48">
        <v>0</v>
      </c>
      <c r="K1108" s="48">
        <v>0</v>
      </c>
      <c r="L1108" s="54">
        <v>46258</v>
      </c>
      <c r="M1108" s="54">
        <v>46261</v>
      </c>
      <c r="N1108" s="54">
        <v>46258</v>
      </c>
      <c r="O1108" s="54">
        <v>46261</v>
      </c>
    </row>
    <row r="1109" spans="2:15" x14ac:dyDescent="0.25">
      <c r="B1109">
        <v>1162</v>
      </c>
      <c r="C1109" t="s">
        <v>126</v>
      </c>
      <c r="D1109" t="s">
        <v>816</v>
      </c>
      <c r="E1109">
        <v>1161</v>
      </c>
      <c r="F1109" t="s">
        <v>1517</v>
      </c>
      <c r="G1109">
        <v>1163</v>
      </c>
      <c r="H1109" t="s">
        <v>1519</v>
      </c>
      <c r="I1109">
        <v>6</v>
      </c>
      <c r="J1109" s="48">
        <v>0</v>
      </c>
      <c r="K1109" s="48">
        <v>0</v>
      </c>
      <c r="L1109" s="54">
        <v>46261</v>
      </c>
      <c r="M1109" s="54">
        <v>46266</v>
      </c>
      <c r="N1109" s="54">
        <v>46261</v>
      </c>
      <c r="O1109" s="54">
        <v>46266</v>
      </c>
    </row>
    <row r="1110" spans="2:15" x14ac:dyDescent="0.25">
      <c r="B1110">
        <v>1163</v>
      </c>
      <c r="C1110" t="s">
        <v>126</v>
      </c>
      <c r="D1110" t="s">
        <v>816</v>
      </c>
      <c r="E1110">
        <v>1162</v>
      </c>
      <c r="F1110" t="s">
        <v>1518</v>
      </c>
      <c r="G1110">
        <v>1164</v>
      </c>
      <c r="H1110" t="s">
        <v>1519</v>
      </c>
      <c r="I1110">
        <v>4</v>
      </c>
      <c r="J1110" s="48">
        <v>0</v>
      </c>
      <c r="K1110" s="48">
        <v>0</v>
      </c>
      <c r="L1110" s="54">
        <v>46266</v>
      </c>
      <c r="M1110" s="54">
        <v>46269</v>
      </c>
      <c r="N1110" s="54">
        <v>46266</v>
      </c>
      <c r="O1110" s="54">
        <v>46269</v>
      </c>
    </row>
    <row r="1111" spans="2:15" x14ac:dyDescent="0.25">
      <c r="B1111">
        <v>1164</v>
      </c>
      <c r="C1111" t="s">
        <v>126</v>
      </c>
      <c r="D1111" t="s">
        <v>816</v>
      </c>
      <c r="E1111">
        <v>1163</v>
      </c>
      <c r="F1111" t="s">
        <v>1520</v>
      </c>
      <c r="G1111">
        <v>76</v>
      </c>
      <c r="H1111" t="s">
        <v>1519</v>
      </c>
      <c r="I1111">
        <v>7</v>
      </c>
      <c r="J1111" s="48">
        <v>0</v>
      </c>
      <c r="K1111" s="48">
        <v>0</v>
      </c>
      <c r="L1111" s="54">
        <v>46269</v>
      </c>
      <c r="M1111" s="54">
        <v>46275</v>
      </c>
      <c r="N1111" s="54">
        <v>46269</v>
      </c>
      <c r="O1111" s="54">
        <v>46275</v>
      </c>
    </row>
    <row r="1112" spans="2:15" x14ac:dyDescent="0.25">
      <c r="B1112">
        <v>1165</v>
      </c>
      <c r="C1112" t="s">
        <v>123</v>
      </c>
      <c r="D1112" t="s">
        <v>802</v>
      </c>
      <c r="F1112" t="s">
        <v>1799</v>
      </c>
      <c r="H1112" t="s">
        <v>1559</v>
      </c>
      <c r="I1112">
        <v>18</v>
      </c>
      <c r="J1112" s="48">
        <v>0</v>
      </c>
      <c r="K1112" s="48">
        <v>0</v>
      </c>
      <c r="L1112" s="54">
        <v>46258</v>
      </c>
      <c r="M1112" s="54">
        <v>46275</v>
      </c>
      <c r="N1112" s="54">
        <v>46258</v>
      </c>
      <c r="O1112" s="54">
        <v>46275</v>
      </c>
    </row>
    <row r="1113" spans="2:15" x14ac:dyDescent="0.25">
      <c r="B1113">
        <v>1166</v>
      </c>
      <c r="C1113" t="s">
        <v>123</v>
      </c>
      <c r="D1113" t="s">
        <v>802</v>
      </c>
      <c r="E1113">
        <v>1156</v>
      </c>
      <c r="F1113" t="s">
        <v>1515</v>
      </c>
      <c r="G1113">
        <v>1167</v>
      </c>
      <c r="H1113" t="s">
        <v>1519</v>
      </c>
      <c r="I1113">
        <v>4</v>
      </c>
      <c r="J1113" s="48">
        <v>0</v>
      </c>
      <c r="K1113" s="48">
        <v>0</v>
      </c>
      <c r="L1113" s="54">
        <v>46258</v>
      </c>
      <c r="M1113" s="54">
        <v>46261</v>
      </c>
      <c r="N1113" s="54">
        <v>46258</v>
      </c>
      <c r="O1113" s="54">
        <v>46261</v>
      </c>
    </row>
    <row r="1114" spans="2:15" x14ac:dyDescent="0.25">
      <c r="B1114">
        <v>1167</v>
      </c>
      <c r="C1114" t="s">
        <v>123</v>
      </c>
      <c r="D1114" t="s">
        <v>802</v>
      </c>
      <c r="E1114">
        <v>1166</v>
      </c>
      <c r="F1114" t="s">
        <v>1517</v>
      </c>
      <c r="G1114">
        <v>1168</v>
      </c>
      <c r="H1114" t="s">
        <v>1519</v>
      </c>
      <c r="I1114">
        <v>6</v>
      </c>
      <c r="J1114" s="48">
        <v>0</v>
      </c>
      <c r="K1114" s="48">
        <v>0</v>
      </c>
      <c r="L1114" s="54">
        <v>46261</v>
      </c>
      <c r="M1114" s="54">
        <v>46266</v>
      </c>
      <c r="N1114" s="54">
        <v>46261</v>
      </c>
      <c r="O1114" s="54">
        <v>46266</v>
      </c>
    </row>
    <row r="1115" spans="2:15" x14ac:dyDescent="0.25">
      <c r="B1115">
        <v>1168</v>
      </c>
      <c r="C1115" t="s">
        <v>123</v>
      </c>
      <c r="D1115" t="s">
        <v>802</v>
      </c>
      <c r="E1115">
        <v>1167</v>
      </c>
      <c r="F1115" t="s">
        <v>1518</v>
      </c>
      <c r="G1115">
        <v>1169</v>
      </c>
      <c r="H1115" t="s">
        <v>1519</v>
      </c>
      <c r="I1115">
        <v>4</v>
      </c>
      <c r="J1115" s="48">
        <v>0</v>
      </c>
      <c r="K1115" s="48">
        <v>0</v>
      </c>
      <c r="L1115" s="54">
        <v>46266</v>
      </c>
      <c r="M1115" s="54">
        <v>46269</v>
      </c>
      <c r="N1115" s="54">
        <v>46266</v>
      </c>
      <c r="O1115" s="54">
        <v>46269</v>
      </c>
    </row>
    <row r="1116" spans="2:15" x14ac:dyDescent="0.25">
      <c r="B1116">
        <v>1169</v>
      </c>
      <c r="C1116" t="s">
        <v>123</v>
      </c>
      <c r="D1116" t="s">
        <v>802</v>
      </c>
      <c r="E1116">
        <v>1168</v>
      </c>
      <c r="F1116" t="s">
        <v>1520</v>
      </c>
      <c r="G1116">
        <v>76</v>
      </c>
      <c r="H1116" t="s">
        <v>1519</v>
      </c>
      <c r="I1116">
        <v>7</v>
      </c>
      <c r="J1116" s="48">
        <v>0</v>
      </c>
      <c r="K1116" s="48">
        <v>0</v>
      </c>
      <c r="L1116" s="54">
        <v>46269</v>
      </c>
      <c r="M1116" s="54">
        <v>46275</v>
      </c>
      <c r="N1116" s="54">
        <v>46269</v>
      </c>
      <c r="O1116" s="54">
        <v>46275</v>
      </c>
    </row>
    <row r="1117" spans="2:15" x14ac:dyDescent="0.25">
      <c r="B1117">
        <v>1170</v>
      </c>
      <c r="F1117" t="s">
        <v>1802</v>
      </c>
      <c r="H1117" t="s">
        <v>1527</v>
      </c>
      <c r="I1117">
        <v>21</v>
      </c>
      <c r="J1117" s="48">
        <v>0</v>
      </c>
      <c r="K1117" s="48">
        <v>0</v>
      </c>
      <c r="L1117" s="54">
        <v>46239</v>
      </c>
      <c r="M1117" s="54">
        <v>46259</v>
      </c>
      <c r="N1117" s="54">
        <v>46239</v>
      </c>
      <c r="O1117" s="54">
        <v>46259</v>
      </c>
    </row>
    <row r="1118" spans="2:15" x14ac:dyDescent="0.25">
      <c r="B1118">
        <v>1171</v>
      </c>
      <c r="F1118" t="s">
        <v>1555</v>
      </c>
      <c r="G1118" t="s">
        <v>1990</v>
      </c>
      <c r="H1118" t="s">
        <v>1605</v>
      </c>
      <c r="I1118">
        <v>9</v>
      </c>
      <c r="J1118" s="48">
        <v>0</v>
      </c>
      <c r="K1118" s="48">
        <v>0</v>
      </c>
      <c r="L1118" s="54">
        <v>46239</v>
      </c>
      <c r="M1118" s="54">
        <v>46259</v>
      </c>
      <c r="N1118" s="54">
        <v>46239</v>
      </c>
      <c r="O1118" s="54">
        <v>46247</v>
      </c>
    </row>
    <row r="1119" spans="2:15" x14ac:dyDescent="0.25">
      <c r="B1119">
        <v>1172</v>
      </c>
      <c r="E1119">
        <v>1147</v>
      </c>
      <c r="F1119" t="s">
        <v>1589</v>
      </c>
      <c r="G1119">
        <v>1182</v>
      </c>
      <c r="H1119" t="s">
        <v>1605</v>
      </c>
      <c r="I1119">
        <v>9</v>
      </c>
      <c r="J1119" s="48">
        <v>0</v>
      </c>
      <c r="K1119" s="48">
        <v>0</v>
      </c>
      <c r="L1119" s="54">
        <v>46239</v>
      </c>
      <c r="M1119" s="54">
        <v>46247</v>
      </c>
      <c r="N1119" s="54">
        <v>46239</v>
      </c>
      <c r="O1119" s="54">
        <v>46247</v>
      </c>
    </row>
    <row r="1120" spans="2:15" x14ac:dyDescent="0.25">
      <c r="B1120">
        <v>1173</v>
      </c>
      <c r="F1120" t="s">
        <v>1560</v>
      </c>
      <c r="H1120" t="s">
        <v>1527</v>
      </c>
      <c r="I1120">
        <v>21</v>
      </c>
      <c r="J1120" s="48">
        <v>0</v>
      </c>
      <c r="K1120" s="48">
        <v>0</v>
      </c>
      <c r="L1120" s="54">
        <v>46239</v>
      </c>
      <c r="M1120" s="54">
        <v>46259</v>
      </c>
      <c r="N1120" s="54">
        <v>46239</v>
      </c>
      <c r="O1120" s="54">
        <v>46259</v>
      </c>
    </row>
    <row r="1121" spans="2:15" x14ac:dyDescent="0.25">
      <c r="B1121">
        <v>1174</v>
      </c>
      <c r="F1121" t="s">
        <v>1798</v>
      </c>
      <c r="H1121" t="s">
        <v>1527</v>
      </c>
      <c r="I1121">
        <v>21</v>
      </c>
      <c r="J1121" s="48">
        <v>0</v>
      </c>
      <c r="K1121" s="48">
        <v>0</v>
      </c>
      <c r="L1121" s="54">
        <v>46239</v>
      </c>
      <c r="M1121" s="54">
        <v>46259</v>
      </c>
      <c r="N1121" s="54">
        <v>46239</v>
      </c>
      <c r="O1121" s="54">
        <v>46259</v>
      </c>
    </row>
    <row r="1122" spans="2:15" x14ac:dyDescent="0.25">
      <c r="B1122">
        <v>1175</v>
      </c>
      <c r="C1122" t="s">
        <v>122</v>
      </c>
      <c r="D1122" t="s">
        <v>799</v>
      </c>
      <c r="F1122" t="s">
        <v>1803</v>
      </c>
      <c r="H1122" t="s">
        <v>1527</v>
      </c>
      <c r="I1122">
        <v>21</v>
      </c>
      <c r="J1122" s="48">
        <v>0</v>
      </c>
      <c r="K1122" s="48">
        <v>0</v>
      </c>
      <c r="L1122" s="54">
        <v>46239</v>
      </c>
      <c r="M1122" s="54">
        <v>46259</v>
      </c>
      <c r="N1122" s="54">
        <v>46239</v>
      </c>
      <c r="O1122" s="54">
        <v>46259</v>
      </c>
    </row>
    <row r="1123" spans="2:15" x14ac:dyDescent="0.25">
      <c r="B1123">
        <v>1176</v>
      </c>
      <c r="C1123" t="s">
        <v>122</v>
      </c>
      <c r="D1123" t="s">
        <v>799</v>
      </c>
      <c r="E1123">
        <v>1147</v>
      </c>
      <c r="F1123" t="s">
        <v>1515</v>
      </c>
      <c r="G1123" t="s">
        <v>2147</v>
      </c>
      <c r="H1123" t="s">
        <v>1528</v>
      </c>
      <c r="I1123">
        <v>8</v>
      </c>
      <c r="J1123" s="48">
        <v>0</v>
      </c>
      <c r="K1123" s="48">
        <v>0</v>
      </c>
      <c r="L1123" s="54">
        <v>46239</v>
      </c>
      <c r="M1123" s="54">
        <v>46246</v>
      </c>
      <c r="N1123" s="54">
        <v>46239</v>
      </c>
      <c r="O1123" s="54">
        <v>46246</v>
      </c>
    </row>
    <row r="1124" spans="2:15" x14ac:dyDescent="0.25">
      <c r="B1124">
        <v>1177</v>
      </c>
      <c r="C1124" t="s">
        <v>122</v>
      </c>
      <c r="D1124" t="s">
        <v>799</v>
      </c>
      <c r="E1124">
        <v>1176</v>
      </c>
      <c r="F1124" t="s">
        <v>1517</v>
      </c>
      <c r="G1124">
        <v>1178</v>
      </c>
      <c r="H1124" t="s">
        <v>1519</v>
      </c>
      <c r="I1124">
        <v>6</v>
      </c>
      <c r="J1124" s="48">
        <v>0</v>
      </c>
      <c r="K1124" s="48">
        <v>0</v>
      </c>
      <c r="L1124" s="54">
        <v>46246</v>
      </c>
      <c r="M1124" s="54">
        <v>46251</v>
      </c>
      <c r="N1124" s="54">
        <v>46246</v>
      </c>
      <c r="O1124" s="54">
        <v>46251</v>
      </c>
    </row>
    <row r="1125" spans="2:15" x14ac:dyDescent="0.25">
      <c r="B1125">
        <v>1178</v>
      </c>
      <c r="C1125" t="s">
        <v>122</v>
      </c>
      <c r="D1125" t="s">
        <v>799</v>
      </c>
      <c r="E1125">
        <v>1177</v>
      </c>
      <c r="F1125" t="s">
        <v>1518</v>
      </c>
      <c r="G1125">
        <v>1179</v>
      </c>
      <c r="H1125" t="s">
        <v>1519</v>
      </c>
      <c r="I1125">
        <v>4</v>
      </c>
      <c r="J1125" s="48">
        <v>0</v>
      </c>
      <c r="K1125" s="48">
        <v>0</v>
      </c>
      <c r="L1125" s="54">
        <v>46251</v>
      </c>
      <c r="M1125" s="54">
        <v>46254</v>
      </c>
      <c r="N1125" s="54">
        <v>46251</v>
      </c>
      <c r="O1125" s="54">
        <v>46254</v>
      </c>
    </row>
    <row r="1126" spans="2:15" x14ac:dyDescent="0.25">
      <c r="B1126">
        <v>1179</v>
      </c>
      <c r="C1126" t="s">
        <v>122</v>
      </c>
      <c r="D1126" t="s">
        <v>799</v>
      </c>
      <c r="E1126">
        <v>1178</v>
      </c>
      <c r="F1126" t="s">
        <v>1520</v>
      </c>
      <c r="G1126">
        <v>76</v>
      </c>
      <c r="H1126" t="s">
        <v>1519</v>
      </c>
      <c r="I1126">
        <v>6</v>
      </c>
      <c r="J1126" s="48">
        <v>0</v>
      </c>
      <c r="K1126" s="48">
        <v>0</v>
      </c>
      <c r="L1126" s="54">
        <v>46254</v>
      </c>
      <c r="M1126" s="54">
        <v>46259</v>
      </c>
      <c r="N1126" s="54">
        <v>46254</v>
      </c>
      <c r="O1126" s="54">
        <v>46259</v>
      </c>
    </row>
    <row r="1127" spans="2:15" x14ac:dyDescent="0.25">
      <c r="B1127">
        <v>1180</v>
      </c>
      <c r="F1127" t="s">
        <v>1804</v>
      </c>
      <c r="H1127" t="s">
        <v>1538</v>
      </c>
      <c r="I1127">
        <v>28</v>
      </c>
      <c r="J1127" s="48">
        <v>0</v>
      </c>
      <c r="K1127" s="48">
        <v>0</v>
      </c>
      <c r="L1127" s="54">
        <v>46247</v>
      </c>
      <c r="M1127" s="54">
        <v>46283</v>
      </c>
      <c r="N1127" s="54">
        <v>46247</v>
      </c>
      <c r="O1127" s="54">
        <v>46274</v>
      </c>
    </row>
    <row r="1128" spans="2:15" x14ac:dyDescent="0.25">
      <c r="B1128">
        <v>1181</v>
      </c>
      <c r="F1128" t="s">
        <v>1555</v>
      </c>
      <c r="G1128" t="s">
        <v>1990</v>
      </c>
      <c r="H1128" t="s">
        <v>1525</v>
      </c>
      <c r="I1128">
        <v>7</v>
      </c>
      <c r="J1128" s="48">
        <v>0</v>
      </c>
      <c r="K1128" s="48">
        <v>0</v>
      </c>
      <c r="L1128" s="54">
        <v>46247</v>
      </c>
      <c r="M1128" s="54">
        <v>46253</v>
      </c>
      <c r="N1128" s="54">
        <v>46247</v>
      </c>
      <c r="O1128" s="54">
        <v>46253</v>
      </c>
    </row>
    <row r="1129" spans="2:15" x14ac:dyDescent="0.25">
      <c r="B1129">
        <v>1182</v>
      </c>
      <c r="E1129">
        <v>1172</v>
      </c>
      <c r="F1129" t="s">
        <v>1589</v>
      </c>
      <c r="G1129" t="s">
        <v>2148</v>
      </c>
      <c r="H1129" t="s">
        <v>1525</v>
      </c>
      <c r="I1129">
        <v>7</v>
      </c>
      <c r="J1129" s="48">
        <v>0</v>
      </c>
      <c r="K1129" s="48">
        <v>0</v>
      </c>
      <c r="L1129" s="54">
        <v>46247</v>
      </c>
      <c r="M1129" s="54">
        <v>46253</v>
      </c>
      <c r="N1129" s="54">
        <v>46247</v>
      </c>
      <c r="O1129" s="54">
        <v>46253</v>
      </c>
    </row>
    <row r="1130" spans="2:15" x14ac:dyDescent="0.25">
      <c r="B1130">
        <v>1183</v>
      </c>
      <c r="F1130" t="s">
        <v>1560</v>
      </c>
      <c r="H1130" t="s">
        <v>1527</v>
      </c>
      <c r="I1130">
        <v>22</v>
      </c>
      <c r="J1130" s="48">
        <v>0</v>
      </c>
      <c r="K1130" s="48">
        <v>0</v>
      </c>
      <c r="L1130" s="54">
        <v>46253</v>
      </c>
      <c r="M1130" s="54">
        <v>46283</v>
      </c>
      <c r="N1130" s="54">
        <v>46253</v>
      </c>
      <c r="O1130" s="54">
        <v>46274</v>
      </c>
    </row>
    <row r="1131" spans="2:15" x14ac:dyDescent="0.25">
      <c r="B1131">
        <v>1184</v>
      </c>
      <c r="F1131" t="s">
        <v>1589</v>
      </c>
      <c r="H1131" t="s">
        <v>1527</v>
      </c>
      <c r="I1131">
        <v>22</v>
      </c>
      <c r="J1131" s="48">
        <v>0</v>
      </c>
      <c r="K1131" s="48">
        <v>0</v>
      </c>
      <c r="L1131" s="54">
        <v>46253</v>
      </c>
      <c r="M1131" s="54">
        <v>46283</v>
      </c>
      <c r="N1131" s="54">
        <v>46253</v>
      </c>
      <c r="O1131" s="54">
        <v>46274</v>
      </c>
    </row>
    <row r="1132" spans="2:15" x14ac:dyDescent="0.25">
      <c r="B1132">
        <v>1185</v>
      </c>
      <c r="C1132" t="s">
        <v>121</v>
      </c>
      <c r="D1132" t="s">
        <v>796</v>
      </c>
      <c r="F1132" t="s">
        <v>1805</v>
      </c>
      <c r="H1132" t="s">
        <v>1527</v>
      </c>
      <c r="I1132">
        <v>22</v>
      </c>
      <c r="J1132" s="48">
        <v>0</v>
      </c>
      <c r="K1132" s="48">
        <v>0</v>
      </c>
      <c r="L1132" s="54">
        <v>46253</v>
      </c>
      <c r="M1132" s="54">
        <v>46274</v>
      </c>
      <c r="N1132" s="54">
        <v>46253</v>
      </c>
      <c r="O1132" s="54">
        <v>46274</v>
      </c>
    </row>
    <row r="1133" spans="2:15" x14ac:dyDescent="0.25">
      <c r="B1133">
        <v>1186</v>
      </c>
      <c r="C1133" t="s">
        <v>121</v>
      </c>
      <c r="D1133" t="s">
        <v>796</v>
      </c>
      <c r="E1133">
        <v>1182</v>
      </c>
      <c r="F1133" t="s">
        <v>1515</v>
      </c>
      <c r="G1133" t="s">
        <v>2149</v>
      </c>
      <c r="H1133" t="s">
        <v>1528</v>
      </c>
      <c r="I1133">
        <v>8</v>
      </c>
      <c r="J1133" s="48">
        <v>0</v>
      </c>
      <c r="K1133" s="48">
        <v>0</v>
      </c>
      <c r="L1133" s="54">
        <v>46253</v>
      </c>
      <c r="M1133" s="54">
        <v>46260</v>
      </c>
      <c r="N1133" s="54">
        <v>46253</v>
      </c>
      <c r="O1133" s="54">
        <v>46260</v>
      </c>
    </row>
    <row r="1134" spans="2:15" x14ac:dyDescent="0.25">
      <c r="B1134">
        <v>1187</v>
      </c>
      <c r="C1134" t="s">
        <v>121</v>
      </c>
      <c r="D1134" t="s">
        <v>796</v>
      </c>
      <c r="E1134">
        <v>1186</v>
      </c>
      <c r="F1134" t="s">
        <v>1517</v>
      </c>
      <c r="G1134">
        <v>1188</v>
      </c>
      <c r="H1134" t="s">
        <v>1519</v>
      </c>
      <c r="I1134">
        <v>6</v>
      </c>
      <c r="J1134" s="48">
        <v>0</v>
      </c>
      <c r="K1134" s="48">
        <v>0</v>
      </c>
      <c r="L1134" s="54">
        <v>46260</v>
      </c>
      <c r="M1134" s="54">
        <v>46265</v>
      </c>
      <c r="N1134" s="54">
        <v>46260</v>
      </c>
      <c r="O1134" s="54">
        <v>46265</v>
      </c>
    </row>
    <row r="1135" spans="2:15" x14ac:dyDescent="0.25">
      <c r="B1135">
        <v>1188</v>
      </c>
      <c r="C1135" t="s">
        <v>121</v>
      </c>
      <c r="D1135" t="s">
        <v>796</v>
      </c>
      <c r="E1135">
        <v>1187</v>
      </c>
      <c r="F1135" t="s">
        <v>1518</v>
      </c>
      <c r="G1135">
        <v>1189</v>
      </c>
      <c r="H1135" t="s">
        <v>1519</v>
      </c>
      <c r="I1135">
        <v>4</v>
      </c>
      <c r="J1135" s="48">
        <v>0</v>
      </c>
      <c r="K1135" s="48">
        <v>0</v>
      </c>
      <c r="L1135" s="54">
        <v>46265</v>
      </c>
      <c r="M1135" s="54">
        <v>46268</v>
      </c>
      <c r="N1135" s="54">
        <v>46265</v>
      </c>
      <c r="O1135" s="54">
        <v>46268</v>
      </c>
    </row>
    <row r="1136" spans="2:15" x14ac:dyDescent="0.25">
      <c r="B1136">
        <v>1189</v>
      </c>
      <c r="C1136" t="s">
        <v>121</v>
      </c>
      <c r="D1136" t="s">
        <v>796</v>
      </c>
      <c r="E1136">
        <v>1188</v>
      </c>
      <c r="F1136" t="s">
        <v>1520</v>
      </c>
      <c r="G1136">
        <v>76</v>
      </c>
      <c r="H1136" t="s">
        <v>1519</v>
      </c>
      <c r="I1136">
        <v>7</v>
      </c>
      <c r="J1136" s="48">
        <v>0</v>
      </c>
      <c r="K1136" s="48">
        <v>0</v>
      </c>
      <c r="L1136" s="54">
        <v>46268</v>
      </c>
      <c r="M1136" s="54">
        <v>46274</v>
      </c>
      <c r="N1136" s="54">
        <v>46268</v>
      </c>
      <c r="O1136" s="54">
        <v>46274</v>
      </c>
    </row>
    <row r="1137" spans="2:15" x14ac:dyDescent="0.25">
      <c r="B1137">
        <v>1195</v>
      </c>
      <c r="F1137" t="s">
        <v>1806</v>
      </c>
      <c r="H1137" t="s">
        <v>1514</v>
      </c>
      <c r="I1137">
        <v>29</v>
      </c>
      <c r="J1137" s="48">
        <v>0</v>
      </c>
      <c r="K1137" s="48">
        <v>0</v>
      </c>
      <c r="L1137" s="54">
        <v>46253</v>
      </c>
      <c r="M1137" s="54">
        <v>46281</v>
      </c>
      <c r="N1137" s="54">
        <v>46253</v>
      </c>
      <c r="O1137" s="54">
        <v>46281</v>
      </c>
    </row>
    <row r="1138" spans="2:15" x14ac:dyDescent="0.25">
      <c r="B1138">
        <v>1196</v>
      </c>
      <c r="F1138" t="s">
        <v>1555</v>
      </c>
      <c r="G1138" t="s">
        <v>1990</v>
      </c>
      <c r="H1138" t="s">
        <v>1514</v>
      </c>
      <c r="I1138">
        <v>29</v>
      </c>
      <c r="J1138" s="48">
        <v>0</v>
      </c>
      <c r="K1138" s="48">
        <v>0</v>
      </c>
      <c r="L1138" s="54">
        <v>46253</v>
      </c>
      <c r="M1138" s="54">
        <v>46281</v>
      </c>
      <c r="N1138" s="54">
        <v>46253</v>
      </c>
      <c r="O1138" s="54">
        <v>46281</v>
      </c>
    </row>
    <row r="1139" spans="2:15" x14ac:dyDescent="0.25">
      <c r="B1139">
        <v>1197</v>
      </c>
      <c r="E1139">
        <v>1182</v>
      </c>
      <c r="F1139" t="s">
        <v>1589</v>
      </c>
      <c r="G1139">
        <v>76</v>
      </c>
      <c r="H1139" t="s">
        <v>1528</v>
      </c>
      <c r="I1139">
        <v>8</v>
      </c>
      <c r="J1139" s="48">
        <v>0</v>
      </c>
      <c r="K1139" s="48">
        <v>0</v>
      </c>
      <c r="L1139" s="54">
        <v>46253</v>
      </c>
      <c r="M1139" s="54">
        <v>46260</v>
      </c>
      <c r="N1139" s="54">
        <v>46253</v>
      </c>
      <c r="O1139" s="54">
        <v>46260</v>
      </c>
    </row>
    <row r="1140" spans="2:15" x14ac:dyDescent="0.25">
      <c r="B1140">
        <v>1198</v>
      </c>
      <c r="E1140">
        <v>1208</v>
      </c>
      <c r="F1140" t="s">
        <v>1557</v>
      </c>
      <c r="G1140">
        <v>76</v>
      </c>
      <c r="H1140" t="s">
        <v>1528</v>
      </c>
      <c r="I1140">
        <v>8</v>
      </c>
      <c r="J1140" s="48">
        <v>0</v>
      </c>
      <c r="K1140" s="48">
        <v>0</v>
      </c>
      <c r="L1140" s="54">
        <v>46274</v>
      </c>
      <c r="M1140" s="54">
        <v>46281</v>
      </c>
      <c r="N1140" s="54">
        <v>46274</v>
      </c>
      <c r="O1140" s="54">
        <v>46281</v>
      </c>
    </row>
    <row r="1141" spans="2:15" x14ac:dyDescent="0.25">
      <c r="B1141">
        <v>1199</v>
      </c>
      <c r="E1141">
        <v>1203</v>
      </c>
      <c r="F1141" t="s">
        <v>1572</v>
      </c>
      <c r="G1141">
        <v>76</v>
      </c>
      <c r="H1141" t="s">
        <v>1528</v>
      </c>
      <c r="I1141">
        <v>9</v>
      </c>
      <c r="J1141" s="48">
        <v>0</v>
      </c>
      <c r="K1141" s="48">
        <v>0</v>
      </c>
      <c r="L1141" s="54">
        <v>46267</v>
      </c>
      <c r="M1141" s="54">
        <v>46275</v>
      </c>
      <c r="N1141" s="54">
        <v>46267</v>
      </c>
      <c r="O1141" s="54">
        <v>46275</v>
      </c>
    </row>
    <row r="1142" spans="2:15" x14ac:dyDescent="0.25">
      <c r="B1142">
        <v>1200</v>
      </c>
      <c r="F1142" t="s">
        <v>1560</v>
      </c>
      <c r="H1142" t="s">
        <v>1514</v>
      </c>
      <c r="I1142">
        <v>29</v>
      </c>
      <c r="J1142" s="48">
        <v>0</v>
      </c>
      <c r="K1142" s="48">
        <v>0</v>
      </c>
      <c r="L1142" s="54">
        <v>46253</v>
      </c>
      <c r="M1142" s="54">
        <v>46281</v>
      </c>
      <c r="N1142" s="54">
        <v>46253</v>
      </c>
      <c r="O1142" s="54">
        <v>46281</v>
      </c>
    </row>
    <row r="1143" spans="2:15" x14ac:dyDescent="0.25">
      <c r="B1143">
        <v>1201</v>
      </c>
      <c r="F1143" t="s">
        <v>1572</v>
      </c>
      <c r="H1143" t="s">
        <v>1527</v>
      </c>
      <c r="I1143">
        <v>22</v>
      </c>
      <c r="J1143" s="48">
        <v>0</v>
      </c>
      <c r="K1143" s="48">
        <v>0</v>
      </c>
      <c r="L1143" s="54">
        <v>46260</v>
      </c>
      <c r="M1143" s="54">
        <v>46281</v>
      </c>
      <c r="N1143" s="54">
        <v>46260</v>
      </c>
      <c r="O1143" s="54">
        <v>46281</v>
      </c>
    </row>
    <row r="1144" spans="2:15" x14ac:dyDescent="0.25">
      <c r="B1144">
        <v>1202</v>
      </c>
      <c r="C1144" t="s">
        <v>104</v>
      </c>
      <c r="D1144" t="s">
        <v>711</v>
      </c>
      <c r="F1144" t="s">
        <v>1807</v>
      </c>
      <c r="H1144" t="s">
        <v>1527</v>
      </c>
      <c r="I1144">
        <v>22</v>
      </c>
      <c r="J1144" s="48">
        <v>0</v>
      </c>
      <c r="K1144" s="48">
        <v>0</v>
      </c>
      <c r="L1144" s="54">
        <v>46260</v>
      </c>
      <c r="M1144" s="54">
        <v>46281</v>
      </c>
      <c r="N1144" s="54">
        <v>46260</v>
      </c>
      <c r="O1144" s="54">
        <v>46281</v>
      </c>
    </row>
    <row r="1145" spans="2:15" x14ac:dyDescent="0.25">
      <c r="B1145">
        <v>1203</v>
      </c>
      <c r="C1145" t="s">
        <v>104</v>
      </c>
      <c r="D1145" t="s">
        <v>711</v>
      </c>
      <c r="E1145">
        <v>1209</v>
      </c>
      <c r="F1145" t="s">
        <v>1515</v>
      </c>
      <c r="G1145" t="s">
        <v>2150</v>
      </c>
      <c r="H1145" t="s">
        <v>1528</v>
      </c>
      <c r="I1145">
        <v>8</v>
      </c>
      <c r="J1145" s="48">
        <v>0</v>
      </c>
      <c r="K1145" s="48">
        <v>0</v>
      </c>
      <c r="L1145" s="54">
        <v>46260</v>
      </c>
      <c r="M1145" s="54">
        <v>46267</v>
      </c>
      <c r="N1145" s="54">
        <v>46260</v>
      </c>
      <c r="O1145" s="54">
        <v>46267</v>
      </c>
    </row>
    <row r="1146" spans="2:15" x14ac:dyDescent="0.25">
      <c r="B1146">
        <v>1204</v>
      </c>
      <c r="C1146" t="s">
        <v>104</v>
      </c>
      <c r="D1146" t="s">
        <v>711</v>
      </c>
      <c r="E1146">
        <v>1203</v>
      </c>
      <c r="F1146" t="s">
        <v>1517</v>
      </c>
      <c r="G1146">
        <v>1205</v>
      </c>
      <c r="H1146" t="s">
        <v>1519</v>
      </c>
      <c r="I1146">
        <v>7</v>
      </c>
      <c r="J1146" s="48">
        <v>0</v>
      </c>
      <c r="K1146" s="48">
        <v>0</v>
      </c>
      <c r="L1146" s="54">
        <v>46267</v>
      </c>
      <c r="M1146" s="54">
        <v>46273</v>
      </c>
      <c r="N1146" s="54">
        <v>46267</v>
      </c>
      <c r="O1146" s="54">
        <v>46273</v>
      </c>
    </row>
    <row r="1147" spans="2:15" x14ac:dyDescent="0.25">
      <c r="B1147">
        <v>1205</v>
      </c>
      <c r="C1147" t="s">
        <v>104</v>
      </c>
      <c r="D1147" t="s">
        <v>711</v>
      </c>
      <c r="E1147">
        <v>1204</v>
      </c>
      <c r="F1147" t="s">
        <v>1518</v>
      </c>
      <c r="G1147">
        <v>1206</v>
      </c>
      <c r="H1147" t="s">
        <v>1519</v>
      </c>
      <c r="I1147">
        <v>4</v>
      </c>
      <c r="J1147" s="48">
        <v>0</v>
      </c>
      <c r="K1147" s="48">
        <v>0</v>
      </c>
      <c r="L1147" s="54">
        <v>46273</v>
      </c>
      <c r="M1147" s="54">
        <v>46276</v>
      </c>
      <c r="N1147" s="54">
        <v>46273</v>
      </c>
      <c r="O1147" s="54">
        <v>46276</v>
      </c>
    </row>
    <row r="1148" spans="2:15" x14ac:dyDescent="0.25">
      <c r="B1148">
        <v>1206</v>
      </c>
      <c r="C1148" t="s">
        <v>104</v>
      </c>
      <c r="D1148" t="s">
        <v>711</v>
      </c>
      <c r="E1148">
        <v>1205</v>
      </c>
      <c r="F1148" t="s">
        <v>1520</v>
      </c>
      <c r="G1148">
        <v>76</v>
      </c>
      <c r="H1148" t="s">
        <v>1519</v>
      </c>
      <c r="I1148">
        <v>6</v>
      </c>
      <c r="J1148" s="48">
        <v>0</v>
      </c>
      <c r="K1148" s="48">
        <v>0</v>
      </c>
      <c r="L1148" s="54">
        <v>46276</v>
      </c>
      <c r="M1148" s="54">
        <v>46281</v>
      </c>
      <c r="N1148" s="54">
        <v>46276</v>
      </c>
      <c r="O1148" s="54">
        <v>46281</v>
      </c>
    </row>
    <row r="1149" spans="2:15" x14ac:dyDescent="0.25">
      <c r="B1149">
        <v>1207</v>
      </c>
      <c r="F1149" t="s">
        <v>1557</v>
      </c>
      <c r="H1149" t="s">
        <v>1527</v>
      </c>
      <c r="I1149">
        <v>22</v>
      </c>
      <c r="J1149" s="48">
        <v>0</v>
      </c>
      <c r="K1149" s="48">
        <v>0</v>
      </c>
      <c r="L1149" s="54">
        <v>46253</v>
      </c>
      <c r="M1149" s="54">
        <v>46274</v>
      </c>
      <c r="N1149" s="54">
        <v>46253</v>
      </c>
      <c r="O1149" s="54">
        <v>46274</v>
      </c>
    </row>
    <row r="1150" spans="2:15" x14ac:dyDescent="0.25">
      <c r="B1150">
        <v>1208</v>
      </c>
      <c r="C1150" t="s">
        <v>189</v>
      </c>
      <c r="D1150" t="s">
        <v>1064</v>
      </c>
      <c r="F1150" t="s">
        <v>1807</v>
      </c>
      <c r="G1150">
        <v>1198</v>
      </c>
      <c r="H1150" t="s">
        <v>1527</v>
      </c>
      <c r="I1150">
        <v>22</v>
      </c>
      <c r="J1150" s="48">
        <v>0</v>
      </c>
      <c r="K1150" s="48">
        <v>0</v>
      </c>
      <c r="L1150" s="54">
        <v>46253</v>
      </c>
      <c r="M1150" s="54">
        <v>46274</v>
      </c>
      <c r="N1150" s="54">
        <v>46253</v>
      </c>
      <c r="O1150" s="54">
        <v>46274</v>
      </c>
    </row>
    <row r="1151" spans="2:15" x14ac:dyDescent="0.25">
      <c r="B1151">
        <v>1209</v>
      </c>
      <c r="C1151" t="s">
        <v>189</v>
      </c>
      <c r="D1151" t="s">
        <v>1064</v>
      </c>
      <c r="E1151">
        <v>1182</v>
      </c>
      <c r="F1151" t="s">
        <v>1515</v>
      </c>
      <c r="G1151" t="s">
        <v>2151</v>
      </c>
      <c r="H1151" t="s">
        <v>1528</v>
      </c>
      <c r="I1151">
        <v>8</v>
      </c>
      <c r="J1151" s="48">
        <v>0</v>
      </c>
      <c r="K1151" s="48">
        <v>0</v>
      </c>
      <c r="L1151" s="54">
        <v>46253</v>
      </c>
      <c r="M1151" s="54">
        <v>46260</v>
      </c>
      <c r="N1151" s="54">
        <v>46253</v>
      </c>
      <c r="O1151" s="54">
        <v>46260</v>
      </c>
    </row>
    <row r="1152" spans="2:15" x14ac:dyDescent="0.25">
      <c r="B1152">
        <v>1210</v>
      </c>
      <c r="C1152" t="s">
        <v>189</v>
      </c>
      <c r="D1152" t="s">
        <v>1064</v>
      </c>
      <c r="E1152">
        <v>1209</v>
      </c>
      <c r="F1152" t="s">
        <v>1517</v>
      </c>
      <c r="G1152">
        <v>1211</v>
      </c>
      <c r="H1152" t="s">
        <v>1519</v>
      </c>
      <c r="I1152">
        <v>6</v>
      </c>
      <c r="J1152" s="48">
        <v>0</v>
      </c>
      <c r="K1152" s="48">
        <v>0</v>
      </c>
      <c r="L1152" s="54">
        <v>46260</v>
      </c>
      <c r="M1152" s="54">
        <v>46265</v>
      </c>
      <c r="N1152" s="54">
        <v>46260</v>
      </c>
      <c r="O1152" s="54">
        <v>46265</v>
      </c>
    </row>
    <row r="1153" spans="2:15" x14ac:dyDescent="0.25">
      <c r="B1153">
        <v>1211</v>
      </c>
      <c r="C1153" t="s">
        <v>189</v>
      </c>
      <c r="D1153" t="s">
        <v>1064</v>
      </c>
      <c r="E1153">
        <v>1210</v>
      </c>
      <c r="F1153" t="s">
        <v>1518</v>
      </c>
      <c r="G1153">
        <v>1212</v>
      </c>
      <c r="H1153" t="s">
        <v>1519</v>
      </c>
      <c r="I1153">
        <v>4</v>
      </c>
      <c r="J1153" s="48">
        <v>0</v>
      </c>
      <c r="K1153" s="48">
        <v>0</v>
      </c>
      <c r="L1153" s="54">
        <v>46265</v>
      </c>
      <c r="M1153" s="54">
        <v>46268</v>
      </c>
      <c r="N1153" s="54">
        <v>46265</v>
      </c>
      <c r="O1153" s="54">
        <v>46268</v>
      </c>
    </row>
    <row r="1154" spans="2:15" x14ac:dyDescent="0.25">
      <c r="B1154">
        <v>1212</v>
      </c>
      <c r="C1154" t="s">
        <v>189</v>
      </c>
      <c r="D1154" t="s">
        <v>1064</v>
      </c>
      <c r="E1154">
        <v>1211</v>
      </c>
      <c r="F1154" t="s">
        <v>1520</v>
      </c>
      <c r="G1154">
        <v>76</v>
      </c>
      <c r="H1154" t="s">
        <v>1519</v>
      </c>
      <c r="I1154">
        <v>7</v>
      </c>
      <c r="J1154" s="48">
        <v>0</v>
      </c>
      <c r="K1154" s="48">
        <v>0</v>
      </c>
      <c r="L1154" s="54">
        <v>46268</v>
      </c>
      <c r="M1154" s="54">
        <v>46274</v>
      </c>
      <c r="N1154" s="54">
        <v>46268</v>
      </c>
      <c r="O1154" s="54">
        <v>46274</v>
      </c>
    </row>
    <row r="1155" spans="2:15" x14ac:dyDescent="0.25">
      <c r="B1155">
        <v>1213</v>
      </c>
      <c r="F1155" t="s">
        <v>1808</v>
      </c>
      <c r="H1155" t="s">
        <v>1514</v>
      </c>
      <c r="I1155">
        <v>28</v>
      </c>
      <c r="J1155" s="48">
        <v>0</v>
      </c>
      <c r="K1155" s="48">
        <v>0</v>
      </c>
      <c r="L1155" s="54">
        <v>46232</v>
      </c>
      <c r="M1155" s="54">
        <v>46259</v>
      </c>
      <c r="N1155" s="54">
        <v>46232</v>
      </c>
      <c r="O1155" s="54">
        <v>46259</v>
      </c>
    </row>
    <row r="1156" spans="2:15" x14ac:dyDescent="0.25">
      <c r="B1156">
        <v>1214</v>
      </c>
      <c r="F1156" t="s">
        <v>1796</v>
      </c>
      <c r="H1156" t="s">
        <v>1514</v>
      </c>
      <c r="I1156">
        <v>28</v>
      </c>
      <c r="J1156" s="48">
        <v>0</v>
      </c>
      <c r="K1156" s="48">
        <v>0</v>
      </c>
      <c r="L1156" s="54">
        <v>46232</v>
      </c>
      <c r="M1156" s="54">
        <v>46259</v>
      </c>
      <c r="N1156" s="54">
        <v>46232</v>
      </c>
      <c r="O1156" s="54">
        <v>46259</v>
      </c>
    </row>
    <row r="1157" spans="2:15" x14ac:dyDescent="0.25">
      <c r="B1157">
        <v>1215</v>
      </c>
      <c r="F1157" t="s">
        <v>1809</v>
      </c>
      <c r="H1157" t="s">
        <v>1514</v>
      </c>
      <c r="I1157">
        <v>28</v>
      </c>
      <c r="J1157" s="48">
        <v>0</v>
      </c>
      <c r="K1157" s="48">
        <v>0</v>
      </c>
      <c r="L1157" s="54">
        <v>46232</v>
      </c>
      <c r="M1157" s="54">
        <v>46259</v>
      </c>
      <c r="N1157" s="54">
        <v>46232</v>
      </c>
      <c r="O1157" s="54">
        <v>46259</v>
      </c>
    </row>
    <row r="1158" spans="2:15" x14ac:dyDescent="0.25">
      <c r="B1158">
        <v>1216</v>
      </c>
      <c r="F1158" t="s">
        <v>1555</v>
      </c>
      <c r="H1158" t="s">
        <v>1516</v>
      </c>
      <c r="I1158">
        <v>13</v>
      </c>
      <c r="J1158" s="48">
        <v>0</v>
      </c>
      <c r="K1158" s="48">
        <v>0</v>
      </c>
      <c r="L1158" s="54">
        <v>46232</v>
      </c>
      <c r="M1158" s="54">
        <v>46244</v>
      </c>
      <c r="N1158" s="54">
        <v>46232</v>
      </c>
      <c r="O1158" s="54">
        <v>46244</v>
      </c>
    </row>
    <row r="1159" spans="2:15" x14ac:dyDescent="0.25">
      <c r="B1159">
        <v>1217</v>
      </c>
      <c r="E1159">
        <v>220</v>
      </c>
      <c r="F1159" t="s">
        <v>1589</v>
      </c>
      <c r="G1159" t="s">
        <v>2152</v>
      </c>
      <c r="H1159" t="s">
        <v>1516</v>
      </c>
      <c r="I1159">
        <v>13</v>
      </c>
      <c r="J1159" s="48">
        <v>0</v>
      </c>
      <c r="K1159" s="48">
        <v>0</v>
      </c>
      <c r="L1159" s="54">
        <v>46232</v>
      </c>
      <c r="M1159" s="54">
        <v>46244</v>
      </c>
      <c r="N1159" s="54">
        <v>46232</v>
      </c>
      <c r="O1159" s="54">
        <v>46244</v>
      </c>
    </row>
    <row r="1160" spans="2:15" x14ac:dyDescent="0.25">
      <c r="B1160">
        <v>1218</v>
      </c>
      <c r="F1160" t="s">
        <v>1560</v>
      </c>
      <c r="H1160" t="s">
        <v>1641</v>
      </c>
      <c r="I1160">
        <v>16</v>
      </c>
      <c r="J1160" s="48">
        <v>0</v>
      </c>
      <c r="K1160" s="48">
        <v>0</v>
      </c>
      <c r="L1160" s="54">
        <v>46244</v>
      </c>
      <c r="M1160" s="54">
        <v>46259</v>
      </c>
      <c r="N1160" s="54">
        <v>46244</v>
      </c>
      <c r="O1160" s="54">
        <v>46259</v>
      </c>
    </row>
    <row r="1161" spans="2:15" x14ac:dyDescent="0.25">
      <c r="B1161">
        <v>1219</v>
      </c>
      <c r="F1161" t="s">
        <v>1572</v>
      </c>
      <c r="H1161" t="s">
        <v>1641</v>
      </c>
      <c r="I1161">
        <v>16</v>
      </c>
      <c r="J1161" s="48">
        <v>0</v>
      </c>
      <c r="K1161" s="48">
        <v>0</v>
      </c>
      <c r="L1161" s="54">
        <v>46244</v>
      </c>
      <c r="M1161" s="54">
        <v>46259</v>
      </c>
      <c r="N1161" s="54">
        <v>46244</v>
      </c>
      <c r="O1161" s="54">
        <v>46259</v>
      </c>
    </row>
    <row r="1162" spans="2:15" x14ac:dyDescent="0.25">
      <c r="B1162">
        <v>1220</v>
      </c>
      <c r="C1162" t="s">
        <v>83</v>
      </c>
      <c r="D1162" t="s">
        <v>628</v>
      </c>
      <c r="F1162" t="s">
        <v>1810</v>
      </c>
      <c r="H1162" t="s">
        <v>1641</v>
      </c>
      <c r="I1162">
        <v>16</v>
      </c>
      <c r="J1162" s="48">
        <v>0</v>
      </c>
      <c r="K1162" s="48">
        <v>0</v>
      </c>
      <c r="L1162" s="54">
        <v>46244</v>
      </c>
      <c r="M1162" s="54">
        <v>46259</v>
      </c>
      <c r="N1162" s="54">
        <v>46244</v>
      </c>
      <c r="O1162" s="54">
        <v>46259</v>
      </c>
    </row>
    <row r="1163" spans="2:15" x14ac:dyDescent="0.25">
      <c r="B1163">
        <v>1221</v>
      </c>
      <c r="C1163" t="s">
        <v>83</v>
      </c>
      <c r="D1163" t="s">
        <v>628</v>
      </c>
      <c r="E1163">
        <v>1217</v>
      </c>
      <c r="F1163" t="s">
        <v>1515</v>
      </c>
      <c r="G1163">
        <v>1222</v>
      </c>
      <c r="H1163" t="s">
        <v>1642</v>
      </c>
      <c r="I1163">
        <v>3</v>
      </c>
      <c r="J1163" s="48">
        <v>0</v>
      </c>
      <c r="K1163" s="48">
        <v>0</v>
      </c>
      <c r="L1163" s="54">
        <v>46244</v>
      </c>
      <c r="M1163" s="54">
        <v>46246</v>
      </c>
      <c r="N1163" s="54">
        <v>46244</v>
      </c>
      <c r="O1163" s="54">
        <v>46246</v>
      </c>
    </row>
    <row r="1164" spans="2:15" x14ac:dyDescent="0.25">
      <c r="B1164">
        <v>1222</v>
      </c>
      <c r="C1164" t="s">
        <v>83</v>
      </c>
      <c r="D1164" t="s">
        <v>628</v>
      </c>
      <c r="E1164">
        <v>1221</v>
      </c>
      <c r="F1164" t="s">
        <v>1517</v>
      </c>
      <c r="G1164">
        <v>1223</v>
      </c>
      <c r="H1164" t="s">
        <v>1519</v>
      </c>
      <c r="I1164">
        <v>6</v>
      </c>
      <c r="J1164" s="48">
        <v>0</v>
      </c>
      <c r="K1164" s="48">
        <v>0</v>
      </c>
      <c r="L1164" s="54">
        <v>46246</v>
      </c>
      <c r="M1164" s="54">
        <v>46251</v>
      </c>
      <c r="N1164" s="54">
        <v>46246</v>
      </c>
      <c r="O1164" s="54">
        <v>46251</v>
      </c>
    </row>
    <row r="1165" spans="2:15" x14ac:dyDescent="0.25">
      <c r="B1165">
        <v>1223</v>
      </c>
      <c r="C1165" t="s">
        <v>83</v>
      </c>
      <c r="D1165" t="s">
        <v>628</v>
      </c>
      <c r="E1165">
        <v>1222</v>
      </c>
      <c r="F1165" t="s">
        <v>1518</v>
      </c>
      <c r="G1165">
        <v>1224</v>
      </c>
      <c r="H1165" t="s">
        <v>1519</v>
      </c>
      <c r="I1165">
        <v>4</v>
      </c>
      <c r="J1165" s="48">
        <v>0</v>
      </c>
      <c r="K1165" s="48">
        <v>0</v>
      </c>
      <c r="L1165" s="54">
        <v>46251</v>
      </c>
      <c r="M1165" s="54">
        <v>46254</v>
      </c>
      <c r="N1165" s="54">
        <v>46251</v>
      </c>
      <c r="O1165" s="54">
        <v>46254</v>
      </c>
    </row>
    <row r="1166" spans="2:15" x14ac:dyDescent="0.25">
      <c r="B1166">
        <v>1224</v>
      </c>
      <c r="C1166" t="s">
        <v>83</v>
      </c>
      <c r="D1166" t="s">
        <v>628</v>
      </c>
      <c r="E1166">
        <v>1223</v>
      </c>
      <c r="F1166" t="s">
        <v>1520</v>
      </c>
      <c r="G1166">
        <v>76</v>
      </c>
      <c r="H1166" t="s">
        <v>1519</v>
      </c>
      <c r="I1166">
        <v>6</v>
      </c>
      <c r="J1166" s="48">
        <v>0</v>
      </c>
      <c r="K1166" s="48">
        <v>0</v>
      </c>
      <c r="L1166" s="54">
        <v>46254</v>
      </c>
      <c r="M1166" s="54">
        <v>46259</v>
      </c>
      <c r="N1166" s="54">
        <v>46254</v>
      </c>
      <c r="O1166" s="54">
        <v>46259</v>
      </c>
    </row>
    <row r="1167" spans="2:15" x14ac:dyDescent="0.25">
      <c r="B1167">
        <v>1225</v>
      </c>
      <c r="C1167" t="s">
        <v>84</v>
      </c>
      <c r="D1167" t="s">
        <v>634</v>
      </c>
      <c r="F1167" t="s">
        <v>1811</v>
      </c>
      <c r="H1167" t="s">
        <v>1641</v>
      </c>
      <c r="I1167">
        <v>16</v>
      </c>
      <c r="J1167" s="48">
        <v>0</v>
      </c>
      <c r="K1167" s="48">
        <v>0</v>
      </c>
      <c r="L1167" s="54">
        <v>46244</v>
      </c>
      <c r="M1167" s="54">
        <v>46259</v>
      </c>
      <c r="N1167" s="54">
        <v>46244</v>
      </c>
      <c r="O1167" s="54">
        <v>46259</v>
      </c>
    </row>
    <row r="1168" spans="2:15" x14ac:dyDescent="0.25">
      <c r="B1168">
        <v>1226</v>
      </c>
      <c r="C1168" t="s">
        <v>84</v>
      </c>
      <c r="D1168" t="s">
        <v>634</v>
      </c>
      <c r="E1168">
        <v>1217</v>
      </c>
      <c r="F1168" t="s">
        <v>1515</v>
      </c>
      <c r="G1168">
        <v>1227</v>
      </c>
      <c r="H1168" t="s">
        <v>1642</v>
      </c>
      <c r="I1168">
        <v>3</v>
      </c>
      <c r="J1168" s="48">
        <v>0</v>
      </c>
      <c r="K1168" s="48">
        <v>0</v>
      </c>
      <c r="L1168" s="54">
        <v>46244</v>
      </c>
      <c r="M1168" s="54">
        <v>46246</v>
      </c>
      <c r="N1168" s="54">
        <v>46244</v>
      </c>
      <c r="O1168" s="54">
        <v>46246</v>
      </c>
    </row>
    <row r="1169" spans="2:15" x14ac:dyDescent="0.25">
      <c r="B1169">
        <v>1227</v>
      </c>
      <c r="C1169" t="s">
        <v>84</v>
      </c>
      <c r="D1169" t="s">
        <v>634</v>
      </c>
      <c r="E1169">
        <v>1226</v>
      </c>
      <c r="F1169" t="s">
        <v>1517</v>
      </c>
      <c r="G1169">
        <v>1228</v>
      </c>
      <c r="H1169" t="s">
        <v>1519</v>
      </c>
      <c r="I1169">
        <v>6</v>
      </c>
      <c r="J1169" s="48">
        <v>0</v>
      </c>
      <c r="K1169" s="48">
        <v>0</v>
      </c>
      <c r="L1169" s="54">
        <v>46246</v>
      </c>
      <c r="M1169" s="54">
        <v>46251</v>
      </c>
      <c r="N1169" s="54">
        <v>46246</v>
      </c>
      <c r="O1169" s="54">
        <v>46251</v>
      </c>
    </row>
    <row r="1170" spans="2:15" x14ac:dyDescent="0.25">
      <c r="B1170">
        <v>1228</v>
      </c>
      <c r="C1170" t="s">
        <v>84</v>
      </c>
      <c r="D1170" t="s">
        <v>634</v>
      </c>
      <c r="E1170">
        <v>1227</v>
      </c>
      <c r="F1170" t="s">
        <v>1518</v>
      </c>
      <c r="G1170">
        <v>1229</v>
      </c>
      <c r="H1170" t="s">
        <v>1519</v>
      </c>
      <c r="I1170">
        <v>4</v>
      </c>
      <c r="J1170" s="48">
        <v>0</v>
      </c>
      <c r="K1170" s="48">
        <v>0</v>
      </c>
      <c r="L1170" s="54">
        <v>46251</v>
      </c>
      <c r="M1170" s="54">
        <v>46254</v>
      </c>
      <c r="N1170" s="54">
        <v>46251</v>
      </c>
      <c r="O1170" s="54">
        <v>46254</v>
      </c>
    </row>
    <row r="1171" spans="2:15" x14ac:dyDescent="0.25">
      <c r="B1171">
        <v>1229</v>
      </c>
      <c r="C1171" t="s">
        <v>84</v>
      </c>
      <c r="D1171" t="s">
        <v>634</v>
      </c>
      <c r="E1171">
        <v>1228</v>
      </c>
      <c r="F1171" t="s">
        <v>1520</v>
      </c>
      <c r="G1171">
        <v>76</v>
      </c>
      <c r="H1171" t="s">
        <v>1519</v>
      </c>
      <c r="I1171">
        <v>6</v>
      </c>
      <c r="J1171" s="48">
        <v>0</v>
      </c>
      <c r="K1171" s="48">
        <v>0</v>
      </c>
      <c r="L1171" s="54">
        <v>46254</v>
      </c>
      <c r="M1171" s="54">
        <v>46259</v>
      </c>
      <c r="N1171" s="54">
        <v>46254</v>
      </c>
      <c r="O1171" s="54">
        <v>46259</v>
      </c>
    </row>
    <row r="1172" spans="2:15" x14ac:dyDescent="0.25">
      <c r="B1172">
        <v>1230</v>
      </c>
      <c r="C1172" t="s">
        <v>85</v>
      </c>
      <c r="D1172" t="s">
        <v>638</v>
      </c>
      <c r="F1172" t="s">
        <v>1812</v>
      </c>
      <c r="H1172" t="s">
        <v>1641</v>
      </c>
      <c r="I1172">
        <v>16</v>
      </c>
      <c r="J1172" s="48">
        <v>0</v>
      </c>
      <c r="K1172" s="48">
        <v>0</v>
      </c>
      <c r="L1172" s="54">
        <v>46244</v>
      </c>
      <c r="M1172" s="54">
        <v>46259</v>
      </c>
      <c r="N1172" s="54">
        <v>46244</v>
      </c>
      <c r="O1172" s="54">
        <v>46259</v>
      </c>
    </row>
    <row r="1173" spans="2:15" x14ac:dyDescent="0.25">
      <c r="B1173">
        <v>1231</v>
      </c>
      <c r="C1173" t="s">
        <v>85</v>
      </c>
      <c r="D1173" t="s">
        <v>638</v>
      </c>
      <c r="E1173">
        <v>1217</v>
      </c>
      <c r="F1173" t="s">
        <v>1515</v>
      </c>
      <c r="G1173">
        <v>1232</v>
      </c>
      <c r="H1173" t="s">
        <v>1642</v>
      </c>
      <c r="I1173">
        <v>3</v>
      </c>
      <c r="J1173" s="48">
        <v>0</v>
      </c>
      <c r="K1173" s="48">
        <v>0</v>
      </c>
      <c r="L1173" s="54">
        <v>46244</v>
      </c>
      <c r="M1173" s="54">
        <v>46246</v>
      </c>
      <c r="N1173" s="54">
        <v>46244</v>
      </c>
      <c r="O1173" s="54">
        <v>46246</v>
      </c>
    </row>
    <row r="1174" spans="2:15" x14ac:dyDescent="0.25">
      <c r="B1174">
        <v>1232</v>
      </c>
      <c r="C1174" t="s">
        <v>85</v>
      </c>
      <c r="D1174" t="s">
        <v>638</v>
      </c>
      <c r="E1174">
        <v>1231</v>
      </c>
      <c r="F1174" t="s">
        <v>1517</v>
      </c>
      <c r="G1174">
        <v>1233</v>
      </c>
      <c r="H1174" t="s">
        <v>1519</v>
      </c>
      <c r="I1174">
        <v>6</v>
      </c>
      <c r="J1174" s="48">
        <v>0</v>
      </c>
      <c r="K1174" s="48">
        <v>0</v>
      </c>
      <c r="L1174" s="54">
        <v>46246</v>
      </c>
      <c r="M1174" s="54">
        <v>46251</v>
      </c>
      <c r="N1174" s="54">
        <v>46246</v>
      </c>
      <c r="O1174" s="54">
        <v>46251</v>
      </c>
    </row>
    <row r="1175" spans="2:15" x14ac:dyDescent="0.25">
      <c r="B1175">
        <v>1233</v>
      </c>
      <c r="C1175" t="s">
        <v>85</v>
      </c>
      <c r="D1175" t="s">
        <v>638</v>
      </c>
      <c r="E1175">
        <v>1232</v>
      </c>
      <c r="F1175" t="s">
        <v>1518</v>
      </c>
      <c r="G1175">
        <v>1234</v>
      </c>
      <c r="H1175" t="s">
        <v>1519</v>
      </c>
      <c r="I1175">
        <v>4</v>
      </c>
      <c r="J1175" s="48">
        <v>0</v>
      </c>
      <c r="K1175" s="48">
        <v>0</v>
      </c>
      <c r="L1175" s="54">
        <v>46251</v>
      </c>
      <c r="M1175" s="54">
        <v>46254</v>
      </c>
      <c r="N1175" s="54">
        <v>46251</v>
      </c>
      <c r="O1175" s="54">
        <v>46254</v>
      </c>
    </row>
    <row r="1176" spans="2:15" x14ac:dyDescent="0.25">
      <c r="B1176">
        <v>1234</v>
      </c>
      <c r="C1176" t="s">
        <v>85</v>
      </c>
      <c r="D1176" t="s">
        <v>638</v>
      </c>
      <c r="E1176">
        <v>1233</v>
      </c>
      <c r="F1176" t="s">
        <v>1520</v>
      </c>
      <c r="G1176">
        <v>76</v>
      </c>
      <c r="H1176" t="s">
        <v>1519</v>
      </c>
      <c r="I1176">
        <v>6</v>
      </c>
      <c r="J1176" s="48">
        <v>0</v>
      </c>
      <c r="K1176" s="48">
        <v>0</v>
      </c>
      <c r="L1176" s="54">
        <v>46254</v>
      </c>
      <c r="M1176" s="54">
        <v>46259</v>
      </c>
      <c r="N1176" s="54">
        <v>46254</v>
      </c>
      <c r="O1176" s="54">
        <v>46259</v>
      </c>
    </row>
    <row r="1177" spans="2:15" x14ac:dyDescent="0.25">
      <c r="B1177">
        <v>1235</v>
      </c>
      <c r="C1177" t="s">
        <v>86</v>
      </c>
      <c r="D1177" t="s">
        <v>642</v>
      </c>
      <c r="F1177" t="s">
        <v>1813</v>
      </c>
      <c r="H1177" t="s">
        <v>1641</v>
      </c>
      <c r="I1177">
        <v>16</v>
      </c>
      <c r="J1177" s="48">
        <v>0</v>
      </c>
      <c r="K1177" s="48">
        <v>0</v>
      </c>
      <c r="L1177" s="54">
        <v>46244</v>
      </c>
      <c r="M1177" s="54">
        <v>46259</v>
      </c>
      <c r="N1177" s="54">
        <v>46244</v>
      </c>
      <c r="O1177" s="54">
        <v>46259</v>
      </c>
    </row>
    <row r="1178" spans="2:15" x14ac:dyDescent="0.25">
      <c r="B1178">
        <v>1236</v>
      </c>
      <c r="C1178" t="s">
        <v>86</v>
      </c>
      <c r="D1178" t="s">
        <v>642</v>
      </c>
      <c r="E1178">
        <v>1217</v>
      </c>
      <c r="F1178" t="s">
        <v>1515</v>
      </c>
      <c r="G1178">
        <v>1237</v>
      </c>
      <c r="H1178" t="s">
        <v>1642</v>
      </c>
      <c r="I1178">
        <v>3</v>
      </c>
      <c r="J1178" s="48">
        <v>0</v>
      </c>
      <c r="K1178" s="48">
        <v>0</v>
      </c>
      <c r="L1178" s="54">
        <v>46244</v>
      </c>
      <c r="M1178" s="54">
        <v>46246</v>
      </c>
      <c r="N1178" s="54">
        <v>46244</v>
      </c>
      <c r="O1178" s="54">
        <v>46246</v>
      </c>
    </row>
    <row r="1179" spans="2:15" x14ac:dyDescent="0.25">
      <c r="B1179">
        <v>1237</v>
      </c>
      <c r="C1179" t="s">
        <v>86</v>
      </c>
      <c r="D1179" t="s">
        <v>642</v>
      </c>
      <c r="E1179">
        <v>1236</v>
      </c>
      <c r="F1179" t="s">
        <v>1517</v>
      </c>
      <c r="G1179">
        <v>1238</v>
      </c>
      <c r="H1179" t="s">
        <v>1519</v>
      </c>
      <c r="I1179">
        <v>6</v>
      </c>
      <c r="J1179" s="48">
        <v>0</v>
      </c>
      <c r="K1179" s="48">
        <v>0</v>
      </c>
      <c r="L1179" s="54">
        <v>46246</v>
      </c>
      <c r="M1179" s="54">
        <v>46251</v>
      </c>
      <c r="N1179" s="54">
        <v>46246</v>
      </c>
      <c r="O1179" s="54">
        <v>46251</v>
      </c>
    </row>
    <row r="1180" spans="2:15" x14ac:dyDescent="0.25">
      <c r="B1180">
        <v>1238</v>
      </c>
      <c r="C1180" t="s">
        <v>86</v>
      </c>
      <c r="D1180" t="s">
        <v>642</v>
      </c>
      <c r="E1180">
        <v>1237</v>
      </c>
      <c r="F1180" t="s">
        <v>1518</v>
      </c>
      <c r="G1180">
        <v>1239</v>
      </c>
      <c r="H1180" t="s">
        <v>1519</v>
      </c>
      <c r="I1180">
        <v>4</v>
      </c>
      <c r="J1180" s="48">
        <v>0</v>
      </c>
      <c r="K1180" s="48">
        <v>0</v>
      </c>
      <c r="L1180" s="54">
        <v>46251</v>
      </c>
      <c r="M1180" s="54">
        <v>46254</v>
      </c>
      <c r="N1180" s="54">
        <v>46251</v>
      </c>
      <c r="O1180" s="54">
        <v>46254</v>
      </c>
    </row>
    <row r="1181" spans="2:15" x14ac:dyDescent="0.25">
      <c r="B1181">
        <v>1239</v>
      </c>
      <c r="C1181" t="s">
        <v>86</v>
      </c>
      <c r="D1181" t="s">
        <v>642</v>
      </c>
      <c r="E1181">
        <v>1238</v>
      </c>
      <c r="F1181" t="s">
        <v>1520</v>
      </c>
      <c r="G1181">
        <v>76</v>
      </c>
      <c r="H1181" t="s">
        <v>1519</v>
      </c>
      <c r="I1181">
        <v>6</v>
      </c>
      <c r="J1181" s="48">
        <v>0</v>
      </c>
      <c r="K1181" s="48">
        <v>0</v>
      </c>
      <c r="L1181" s="54">
        <v>46254</v>
      </c>
      <c r="M1181" s="54">
        <v>46259</v>
      </c>
      <c r="N1181" s="54">
        <v>46254</v>
      </c>
      <c r="O1181" s="54">
        <v>46259</v>
      </c>
    </row>
    <row r="1182" spans="2:15" x14ac:dyDescent="0.25">
      <c r="B1182">
        <v>1240</v>
      </c>
      <c r="C1182" t="s">
        <v>87</v>
      </c>
      <c r="D1182" t="s">
        <v>646</v>
      </c>
      <c r="F1182" t="s">
        <v>1814</v>
      </c>
      <c r="H1182" t="s">
        <v>1641</v>
      </c>
      <c r="I1182">
        <v>16</v>
      </c>
      <c r="J1182" s="48">
        <v>0</v>
      </c>
      <c r="K1182" s="48">
        <v>0</v>
      </c>
      <c r="L1182" s="54">
        <v>46244</v>
      </c>
      <c r="M1182" s="54">
        <v>46259</v>
      </c>
      <c r="N1182" s="54">
        <v>46244</v>
      </c>
      <c r="O1182" s="54">
        <v>46259</v>
      </c>
    </row>
    <row r="1183" spans="2:15" x14ac:dyDescent="0.25">
      <c r="B1183">
        <v>1241</v>
      </c>
      <c r="C1183" t="s">
        <v>87</v>
      </c>
      <c r="D1183" t="s">
        <v>646</v>
      </c>
      <c r="E1183">
        <v>1217</v>
      </c>
      <c r="F1183" t="s">
        <v>1515</v>
      </c>
      <c r="G1183">
        <v>1242</v>
      </c>
      <c r="H1183" t="s">
        <v>1642</v>
      </c>
      <c r="I1183">
        <v>3</v>
      </c>
      <c r="J1183" s="48">
        <v>0</v>
      </c>
      <c r="K1183" s="48">
        <v>0</v>
      </c>
      <c r="L1183" s="54">
        <v>46244</v>
      </c>
      <c r="M1183" s="54">
        <v>46246</v>
      </c>
      <c r="N1183" s="54">
        <v>46244</v>
      </c>
      <c r="O1183" s="54">
        <v>46246</v>
      </c>
    </row>
    <row r="1184" spans="2:15" x14ac:dyDescent="0.25">
      <c r="B1184">
        <v>1242</v>
      </c>
      <c r="C1184" t="s">
        <v>87</v>
      </c>
      <c r="D1184" t="s">
        <v>646</v>
      </c>
      <c r="E1184">
        <v>1241</v>
      </c>
      <c r="F1184" t="s">
        <v>1517</v>
      </c>
      <c r="G1184">
        <v>1243</v>
      </c>
      <c r="H1184" t="s">
        <v>1519</v>
      </c>
      <c r="I1184">
        <v>6</v>
      </c>
      <c r="J1184" s="48">
        <v>0</v>
      </c>
      <c r="K1184" s="48">
        <v>0</v>
      </c>
      <c r="L1184" s="54">
        <v>46246</v>
      </c>
      <c r="M1184" s="54">
        <v>46251</v>
      </c>
      <c r="N1184" s="54">
        <v>46246</v>
      </c>
      <c r="O1184" s="54">
        <v>46251</v>
      </c>
    </row>
    <row r="1185" spans="2:15" x14ac:dyDescent="0.25">
      <c r="B1185">
        <v>1243</v>
      </c>
      <c r="C1185" t="s">
        <v>87</v>
      </c>
      <c r="D1185" t="s">
        <v>646</v>
      </c>
      <c r="E1185">
        <v>1242</v>
      </c>
      <c r="F1185" t="s">
        <v>1518</v>
      </c>
      <c r="G1185">
        <v>1244</v>
      </c>
      <c r="H1185" t="s">
        <v>1519</v>
      </c>
      <c r="I1185">
        <v>4</v>
      </c>
      <c r="J1185" s="48">
        <v>0</v>
      </c>
      <c r="K1185" s="48">
        <v>0</v>
      </c>
      <c r="L1185" s="54">
        <v>46251</v>
      </c>
      <c r="M1185" s="54">
        <v>46254</v>
      </c>
      <c r="N1185" s="54">
        <v>46251</v>
      </c>
      <c r="O1185" s="54">
        <v>46254</v>
      </c>
    </row>
    <row r="1186" spans="2:15" x14ac:dyDescent="0.25">
      <c r="B1186">
        <v>1244</v>
      </c>
      <c r="C1186" t="s">
        <v>87</v>
      </c>
      <c r="D1186" t="s">
        <v>646</v>
      </c>
      <c r="E1186">
        <v>1243</v>
      </c>
      <c r="F1186" t="s">
        <v>1520</v>
      </c>
      <c r="G1186">
        <v>76</v>
      </c>
      <c r="H1186" t="s">
        <v>1519</v>
      </c>
      <c r="I1186">
        <v>6</v>
      </c>
      <c r="J1186" s="48">
        <v>0</v>
      </c>
      <c r="K1186" s="48">
        <v>0</v>
      </c>
      <c r="L1186" s="54">
        <v>46254</v>
      </c>
      <c r="M1186" s="54">
        <v>46259</v>
      </c>
      <c r="N1186" s="54">
        <v>46254</v>
      </c>
      <c r="O1186" s="54">
        <v>46259</v>
      </c>
    </row>
    <row r="1187" spans="2:15" x14ac:dyDescent="0.25">
      <c r="B1187">
        <v>1245</v>
      </c>
      <c r="C1187" t="s">
        <v>88</v>
      </c>
      <c r="D1187" t="s">
        <v>651</v>
      </c>
      <c r="F1187" t="s">
        <v>1815</v>
      </c>
      <c r="H1187" t="s">
        <v>1641</v>
      </c>
      <c r="I1187">
        <v>16</v>
      </c>
      <c r="J1187" s="48">
        <v>0</v>
      </c>
      <c r="K1187" s="48">
        <v>0</v>
      </c>
      <c r="L1187" s="54">
        <v>46244</v>
      </c>
      <c r="M1187" s="54">
        <v>46259</v>
      </c>
      <c r="N1187" s="54">
        <v>46244</v>
      </c>
      <c r="O1187" s="54">
        <v>46259</v>
      </c>
    </row>
    <row r="1188" spans="2:15" x14ac:dyDescent="0.25">
      <c r="B1188">
        <v>1246</v>
      </c>
      <c r="C1188" t="s">
        <v>88</v>
      </c>
      <c r="D1188" t="s">
        <v>651</v>
      </c>
      <c r="E1188">
        <v>1217</v>
      </c>
      <c r="F1188" t="s">
        <v>1515</v>
      </c>
      <c r="G1188">
        <v>1247</v>
      </c>
      <c r="H1188" t="s">
        <v>1642</v>
      </c>
      <c r="I1188">
        <v>3</v>
      </c>
      <c r="J1188" s="48">
        <v>0</v>
      </c>
      <c r="K1188" s="48">
        <v>0</v>
      </c>
      <c r="L1188" s="54">
        <v>46244</v>
      </c>
      <c r="M1188" s="54">
        <v>46246</v>
      </c>
      <c r="N1188" s="54">
        <v>46244</v>
      </c>
      <c r="O1188" s="54">
        <v>46246</v>
      </c>
    </row>
    <row r="1189" spans="2:15" x14ac:dyDescent="0.25">
      <c r="B1189">
        <v>1247</v>
      </c>
      <c r="C1189" t="s">
        <v>88</v>
      </c>
      <c r="D1189" t="s">
        <v>651</v>
      </c>
      <c r="E1189">
        <v>1246</v>
      </c>
      <c r="F1189" t="s">
        <v>1517</v>
      </c>
      <c r="G1189">
        <v>1248</v>
      </c>
      <c r="H1189" t="s">
        <v>1519</v>
      </c>
      <c r="I1189">
        <v>6</v>
      </c>
      <c r="J1189" s="48">
        <v>0</v>
      </c>
      <c r="K1189" s="48">
        <v>0</v>
      </c>
      <c r="L1189" s="54">
        <v>46246</v>
      </c>
      <c r="M1189" s="54">
        <v>46251</v>
      </c>
      <c r="N1189" s="54">
        <v>46246</v>
      </c>
      <c r="O1189" s="54">
        <v>46251</v>
      </c>
    </row>
    <row r="1190" spans="2:15" x14ac:dyDescent="0.25">
      <c r="B1190">
        <v>1248</v>
      </c>
      <c r="C1190" t="s">
        <v>88</v>
      </c>
      <c r="D1190" t="s">
        <v>651</v>
      </c>
      <c r="E1190">
        <v>1247</v>
      </c>
      <c r="F1190" t="s">
        <v>1518</v>
      </c>
      <c r="G1190">
        <v>1249</v>
      </c>
      <c r="H1190" t="s">
        <v>1519</v>
      </c>
      <c r="I1190">
        <v>4</v>
      </c>
      <c r="J1190" s="48">
        <v>0</v>
      </c>
      <c r="K1190" s="48">
        <v>0</v>
      </c>
      <c r="L1190" s="54">
        <v>46251</v>
      </c>
      <c r="M1190" s="54">
        <v>46254</v>
      </c>
      <c r="N1190" s="54">
        <v>46251</v>
      </c>
      <c r="O1190" s="54">
        <v>46254</v>
      </c>
    </row>
    <row r="1191" spans="2:15" x14ac:dyDescent="0.25">
      <c r="B1191">
        <v>1249</v>
      </c>
      <c r="C1191" t="s">
        <v>88</v>
      </c>
      <c r="D1191" t="s">
        <v>651</v>
      </c>
      <c r="E1191">
        <v>1248</v>
      </c>
      <c r="F1191" t="s">
        <v>1520</v>
      </c>
      <c r="G1191">
        <v>76</v>
      </c>
      <c r="H1191" t="s">
        <v>1519</v>
      </c>
      <c r="I1191">
        <v>6</v>
      </c>
      <c r="J1191" s="48">
        <v>0</v>
      </c>
      <c r="K1191" s="48">
        <v>0</v>
      </c>
      <c r="L1191" s="54">
        <v>46254</v>
      </c>
      <c r="M1191" s="54">
        <v>46259</v>
      </c>
      <c r="N1191" s="54">
        <v>46254</v>
      </c>
      <c r="O1191" s="54">
        <v>46259</v>
      </c>
    </row>
    <row r="1192" spans="2:15" x14ac:dyDescent="0.25">
      <c r="B1192">
        <v>1250</v>
      </c>
      <c r="C1192" t="s">
        <v>89</v>
      </c>
      <c r="D1192" t="s">
        <v>655</v>
      </c>
      <c r="F1192" t="s">
        <v>1816</v>
      </c>
      <c r="H1192" t="s">
        <v>1641</v>
      </c>
      <c r="I1192">
        <v>16</v>
      </c>
      <c r="J1192" s="48">
        <v>0</v>
      </c>
      <c r="K1192" s="48">
        <v>0</v>
      </c>
      <c r="L1192" s="54">
        <v>46244</v>
      </c>
      <c r="M1192" s="54">
        <v>46259</v>
      </c>
      <c r="N1192" s="54">
        <v>46244</v>
      </c>
      <c r="O1192" s="54">
        <v>46259</v>
      </c>
    </row>
    <row r="1193" spans="2:15" x14ac:dyDescent="0.25">
      <c r="B1193">
        <v>1251</v>
      </c>
      <c r="C1193" t="s">
        <v>89</v>
      </c>
      <c r="D1193" t="s">
        <v>655</v>
      </c>
      <c r="E1193">
        <v>1217</v>
      </c>
      <c r="F1193" t="s">
        <v>1515</v>
      </c>
      <c r="G1193">
        <v>1252</v>
      </c>
      <c r="H1193" t="s">
        <v>1642</v>
      </c>
      <c r="I1193">
        <v>3</v>
      </c>
      <c r="J1193" s="48">
        <v>0</v>
      </c>
      <c r="K1193" s="48">
        <v>0</v>
      </c>
      <c r="L1193" s="54">
        <v>46244</v>
      </c>
      <c r="M1193" s="54">
        <v>46246</v>
      </c>
      <c r="N1193" s="54">
        <v>46244</v>
      </c>
      <c r="O1193" s="54">
        <v>46246</v>
      </c>
    </row>
    <row r="1194" spans="2:15" x14ac:dyDescent="0.25">
      <c r="B1194">
        <v>1252</v>
      </c>
      <c r="C1194" t="s">
        <v>89</v>
      </c>
      <c r="D1194" t="s">
        <v>655</v>
      </c>
      <c r="E1194">
        <v>1251</v>
      </c>
      <c r="F1194" t="s">
        <v>1517</v>
      </c>
      <c r="G1194">
        <v>1253</v>
      </c>
      <c r="H1194" t="s">
        <v>1519</v>
      </c>
      <c r="I1194">
        <v>6</v>
      </c>
      <c r="J1194" s="48">
        <v>0</v>
      </c>
      <c r="K1194" s="48">
        <v>0</v>
      </c>
      <c r="L1194" s="54">
        <v>46246</v>
      </c>
      <c r="M1194" s="54">
        <v>46251</v>
      </c>
      <c r="N1194" s="54">
        <v>46246</v>
      </c>
      <c r="O1194" s="54">
        <v>46251</v>
      </c>
    </row>
    <row r="1195" spans="2:15" x14ac:dyDescent="0.25">
      <c r="B1195">
        <v>1253</v>
      </c>
      <c r="C1195" t="s">
        <v>89</v>
      </c>
      <c r="D1195" t="s">
        <v>655</v>
      </c>
      <c r="E1195">
        <v>1252</v>
      </c>
      <c r="F1195" t="s">
        <v>1518</v>
      </c>
      <c r="G1195">
        <v>1254</v>
      </c>
      <c r="H1195" t="s">
        <v>1519</v>
      </c>
      <c r="I1195">
        <v>4</v>
      </c>
      <c r="J1195" s="48">
        <v>0</v>
      </c>
      <c r="K1195" s="48">
        <v>0</v>
      </c>
      <c r="L1195" s="54">
        <v>46251</v>
      </c>
      <c r="M1195" s="54">
        <v>46254</v>
      </c>
      <c r="N1195" s="54">
        <v>46251</v>
      </c>
      <c r="O1195" s="54">
        <v>46254</v>
      </c>
    </row>
    <row r="1196" spans="2:15" x14ac:dyDescent="0.25">
      <c r="B1196">
        <v>1254</v>
      </c>
      <c r="C1196" t="s">
        <v>89</v>
      </c>
      <c r="D1196" t="s">
        <v>655</v>
      </c>
      <c r="E1196">
        <v>1253</v>
      </c>
      <c r="F1196" t="s">
        <v>1520</v>
      </c>
      <c r="G1196">
        <v>76</v>
      </c>
      <c r="H1196" t="s">
        <v>1519</v>
      </c>
      <c r="I1196">
        <v>6</v>
      </c>
      <c r="J1196" s="48">
        <v>0</v>
      </c>
      <c r="K1196" s="48">
        <v>0</v>
      </c>
      <c r="L1196" s="54">
        <v>46254</v>
      </c>
      <c r="M1196" s="54">
        <v>46259</v>
      </c>
      <c r="N1196" s="54">
        <v>46254</v>
      </c>
      <c r="O1196" s="54">
        <v>46259</v>
      </c>
    </row>
    <row r="1197" spans="2:15" x14ac:dyDescent="0.25">
      <c r="B1197">
        <v>1255</v>
      </c>
      <c r="C1197" t="s">
        <v>100</v>
      </c>
      <c r="D1197" t="s">
        <v>691</v>
      </c>
      <c r="F1197" t="s">
        <v>1817</v>
      </c>
      <c r="H1197" t="s">
        <v>1641</v>
      </c>
      <c r="I1197">
        <v>16</v>
      </c>
      <c r="J1197" s="48">
        <v>0</v>
      </c>
      <c r="K1197" s="48">
        <v>0</v>
      </c>
      <c r="L1197" s="54">
        <v>46244</v>
      </c>
      <c r="M1197" s="54">
        <v>46259</v>
      </c>
      <c r="N1197" s="54">
        <v>46244</v>
      </c>
      <c r="O1197" s="54">
        <v>46259</v>
      </c>
    </row>
    <row r="1198" spans="2:15" x14ac:dyDescent="0.25">
      <c r="B1198">
        <v>1256</v>
      </c>
      <c r="C1198" t="s">
        <v>100</v>
      </c>
      <c r="D1198" t="s">
        <v>691</v>
      </c>
      <c r="E1198">
        <v>1217</v>
      </c>
      <c r="F1198" t="s">
        <v>1515</v>
      </c>
      <c r="G1198">
        <v>1257</v>
      </c>
      <c r="H1198" t="s">
        <v>1642</v>
      </c>
      <c r="I1198">
        <v>3</v>
      </c>
      <c r="J1198" s="48">
        <v>0</v>
      </c>
      <c r="K1198" s="48">
        <v>0</v>
      </c>
      <c r="L1198" s="54">
        <v>46244</v>
      </c>
      <c r="M1198" s="54">
        <v>46246</v>
      </c>
      <c r="N1198" s="54">
        <v>46244</v>
      </c>
      <c r="O1198" s="54">
        <v>46246</v>
      </c>
    </row>
    <row r="1199" spans="2:15" x14ac:dyDescent="0.25">
      <c r="B1199">
        <v>1257</v>
      </c>
      <c r="C1199" t="s">
        <v>100</v>
      </c>
      <c r="D1199" t="s">
        <v>691</v>
      </c>
      <c r="E1199">
        <v>1256</v>
      </c>
      <c r="F1199" t="s">
        <v>1517</v>
      </c>
      <c r="G1199">
        <v>1258</v>
      </c>
      <c r="H1199" t="s">
        <v>1519</v>
      </c>
      <c r="I1199">
        <v>6</v>
      </c>
      <c r="J1199" s="48">
        <v>0</v>
      </c>
      <c r="K1199" s="48">
        <v>0</v>
      </c>
      <c r="L1199" s="54">
        <v>46246</v>
      </c>
      <c r="M1199" s="54">
        <v>46251</v>
      </c>
      <c r="N1199" s="54">
        <v>46246</v>
      </c>
      <c r="O1199" s="54">
        <v>46251</v>
      </c>
    </row>
    <row r="1200" spans="2:15" x14ac:dyDescent="0.25">
      <c r="B1200">
        <v>1258</v>
      </c>
      <c r="C1200" t="s">
        <v>100</v>
      </c>
      <c r="D1200" t="s">
        <v>691</v>
      </c>
      <c r="E1200">
        <v>1257</v>
      </c>
      <c r="F1200" t="s">
        <v>1518</v>
      </c>
      <c r="G1200">
        <v>1259</v>
      </c>
      <c r="H1200" t="s">
        <v>1519</v>
      </c>
      <c r="I1200">
        <v>4</v>
      </c>
      <c r="J1200" s="48">
        <v>0</v>
      </c>
      <c r="K1200" s="48">
        <v>0</v>
      </c>
      <c r="L1200" s="54">
        <v>46251</v>
      </c>
      <c r="M1200" s="54">
        <v>46254</v>
      </c>
      <c r="N1200" s="54">
        <v>46251</v>
      </c>
      <c r="O1200" s="54">
        <v>46254</v>
      </c>
    </row>
    <row r="1201" spans="2:15" x14ac:dyDescent="0.25">
      <c r="B1201">
        <v>1259</v>
      </c>
      <c r="C1201" t="s">
        <v>100</v>
      </c>
      <c r="D1201" t="s">
        <v>691</v>
      </c>
      <c r="E1201">
        <v>1258</v>
      </c>
      <c r="F1201" t="s">
        <v>1520</v>
      </c>
      <c r="G1201">
        <v>76</v>
      </c>
      <c r="H1201" t="s">
        <v>1519</v>
      </c>
      <c r="I1201">
        <v>6</v>
      </c>
      <c r="J1201" s="48">
        <v>0</v>
      </c>
      <c r="K1201" s="48">
        <v>0</v>
      </c>
      <c r="L1201" s="54">
        <v>46254</v>
      </c>
      <c r="M1201" s="54">
        <v>46259</v>
      </c>
      <c r="N1201" s="54">
        <v>46254</v>
      </c>
      <c r="O1201" s="54">
        <v>46259</v>
      </c>
    </row>
    <row r="1202" spans="2:15" x14ac:dyDescent="0.25">
      <c r="B1202">
        <v>1260</v>
      </c>
      <c r="F1202" t="s">
        <v>1480</v>
      </c>
      <c r="H1202" t="s">
        <v>2153</v>
      </c>
      <c r="I1202">
        <v>84</v>
      </c>
      <c r="J1202" s="48">
        <v>4.9399999999999999E-2</v>
      </c>
      <c r="K1202" s="48">
        <v>0.11650000000000001</v>
      </c>
      <c r="L1202" s="54">
        <v>46182</v>
      </c>
      <c r="M1202" s="54">
        <v>46288</v>
      </c>
      <c r="N1202" s="54">
        <v>46182</v>
      </c>
      <c r="O1202" s="54">
        <v>46265</v>
      </c>
    </row>
    <row r="1203" spans="2:15" x14ac:dyDescent="0.25">
      <c r="B1203">
        <v>1261</v>
      </c>
      <c r="F1203" t="s">
        <v>1818</v>
      </c>
      <c r="H1203" t="s">
        <v>2153</v>
      </c>
      <c r="I1203">
        <v>84</v>
      </c>
      <c r="J1203" s="48">
        <v>4.9399999999999999E-2</v>
      </c>
      <c r="K1203" s="48">
        <v>0.11650000000000001</v>
      </c>
      <c r="L1203" s="54">
        <v>46182</v>
      </c>
      <c r="M1203" s="54">
        <v>46288</v>
      </c>
      <c r="N1203" s="54">
        <v>46182</v>
      </c>
      <c r="O1203" s="54">
        <v>46265</v>
      </c>
    </row>
    <row r="1204" spans="2:15" x14ac:dyDescent="0.25">
      <c r="B1204">
        <v>1262</v>
      </c>
      <c r="F1204" t="s">
        <v>1819</v>
      </c>
      <c r="H1204" t="s">
        <v>2153</v>
      </c>
      <c r="I1204">
        <v>84</v>
      </c>
      <c r="J1204" s="48">
        <v>4.9399999999999999E-2</v>
      </c>
      <c r="K1204" s="48">
        <v>0.11650000000000001</v>
      </c>
      <c r="L1204" s="54">
        <v>46182</v>
      </c>
      <c r="M1204" s="54">
        <v>46288</v>
      </c>
      <c r="N1204" s="54">
        <v>46182</v>
      </c>
      <c r="O1204" s="54">
        <v>46265</v>
      </c>
    </row>
    <row r="1205" spans="2:15" x14ac:dyDescent="0.25">
      <c r="B1205">
        <v>1263</v>
      </c>
      <c r="F1205" t="s">
        <v>1820</v>
      </c>
      <c r="H1205" t="s">
        <v>2153</v>
      </c>
      <c r="I1205">
        <v>84</v>
      </c>
      <c r="J1205" s="48">
        <v>4.9399999999999999E-2</v>
      </c>
      <c r="K1205" s="48">
        <v>0.11650000000000001</v>
      </c>
      <c r="L1205" s="54">
        <v>46182</v>
      </c>
      <c r="M1205" s="54">
        <v>46288</v>
      </c>
      <c r="N1205" s="54">
        <v>46182</v>
      </c>
      <c r="O1205" s="54">
        <v>46265</v>
      </c>
    </row>
    <row r="1206" spans="2:15" x14ac:dyDescent="0.25">
      <c r="B1206">
        <v>1264</v>
      </c>
      <c r="F1206" t="s">
        <v>1560</v>
      </c>
      <c r="H1206" t="s">
        <v>2153</v>
      </c>
      <c r="I1206">
        <v>84</v>
      </c>
      <c r="J1206" s="48">
        <v>4.9399999999999999E-2</v>
      </c>
      <c r="K1206" s="48">
        <v>0.11650000000000001</v>
      </c>
      <c r="L1206" s="54">
        <v>46182</v>
      </c>
      <c r="M1206" s="54">
        <v>46288</v>
      </c>
      <c r="N1206" s="54">
        <v>46182</v>
      </c>
      <c r="O1206" s="54">
        <v>46265</v>
      </c>
    </row>
    <row r="1207" spans="2:15" x14ac:dyDescent="0.25">
      <c r="B1207">
        <v>1265</v>
      </c>
      <c r="F1207" t="s">
        <v>1821</v>
      </c>
      <c r="H1207" t="s">
        <v>1709</v>
      </c>
      <c r="I1207">
        <v>40</v>
      </c>
      <c r="J1207" s="48">
        <v>0</v>
      </c>
      <c r="K1207" s="48">
        <v>0</v>
      </c>
      <c r="L1207" s="54">
        <v>46239</v>
      </c>
      <c r="M1207" s="54">
        <v>46279</v>
      </c>
      <c r="N1207" s="54">
        <v>46226</v>
      </c>
      <c r="O1207" s="54">
        <v>46265</v>
      </c>
    </row>
    <row r="1208" spans="2:15" x14ac:dyDescent="0.25">
      <c r="B1208">
        <v>1266</v>
      </c>
      <c r="C1208" t="s">
        <v>260</v>
      </c>
      <c r="D1208" t="s">
        <v>1306</v>
      </c>
      <c r="F1208" t="s">
        <v>1822</v>
      </c>
      <c r="H1208" t="s">
        <v>1578</v>
      </c>
      <c r="I1208">
        <v>23</v>
      </c>
      <c r="J1208" s="48">
        <v>0</v>
      </c>
      <c r="K1208" s="48">
        <v>0</v>
      </c>
      <c r="L1208" s="54">
        <v>46239</v>
      </c>
      <c r="M1208" s="54">
        <v>46261</v>
      </c>
      <c r="N1208" s="54">
        <v>46226</v>
      </c>
      <c r="O1208" s="54">
        <v>46248</v>
      </c>
    </row>
    <row r="1209" spans="2:15" x14ac:dyDescent="0.25">
      <c r="B1209">
        <v>1267</v>
      </c>
      <c r="C1209" t="s">
        <v>260</v>
      </c>
      <c r="D1209" t="s">
        <v>1306</v>
      </c>
      <c r="E1209">
        <v>1305</v>
      </c>
      <c r="F1209" t="s">
        <v>1515</v>
      </c>
      <c r="G1209" t="s">
        <v>2154</v>
      </c>
      <c r="H1209" t="s">
        <v>1523</v>
      </c>
      <c r="I1209">
        <v>12</v>
      </c>
      <c r="J1209" s="48">
        <v>0</v>
      </c>
      <c r="K1209" s="48">
        <v>0</v>
      </c>
      <c r="L1209" s="54">
        <v>46239</v>
      </c>
      <c r="M1209" s="54">
        <v>46248</v>
      </c>
      <c r="N1209" s="54">
        <v>46226</v>
      </c>
      <c r="O1209" s="54">
        <v>46237</v>
      </c>
    </row>
    <row r="1210" spans="2:15" x14ac:dyDescent="0.25">
      <c r="B1210">
        <v>1268</v>
      </c>
      <c r="C1210" t="s">
        <v>260</v>
      </c>
      <c r="D1210" t="s">
        <v>1306</v>
      </c>
      <c r="E1210">
        <v>1267</v>
      </c>
      <c r="F1210" t="s">
        <v>1517</v>
      </c>
      <c r="G1210">
        <v>1269</v>
      </c>
      <c r="H1210" t="s">
        <v>1519</v>
      </c>
      <c r="I1210">
        <v>4</v>
      </c>
      <c r="J1210" s="48">
        <v>0</v>
      </c>
      <c r="K1210" s="48">
        <v>0</v>
      </c>
      <c r="L1210" s="54">
        <v>46248</v>
      </c>
      <c r="M1210" s="54">
        <v>46253</v>
      </c>
      <c r="N1210" s="54">
        <v>46237</v>
      </c>
      <c r="O1210" s="54">
        <v>46240</v>
      </c>
    </row>
    <row r="1211" spans="2:15" x14ac:dyDescent="0.25">
      <c r="B1211">
        <v>1269</v>
      </c>
      <c r="C1211" t="s">
        <v>260</v>
      </c>
      <c r="D1211" t="s">
        <v>1306</v>
      </c>
      <c r="E1211">
        <v>1268</v>
      </c>
      <c r="F1211" t="s">
        <v>1518</v>
      </c>
      <c r="G1211">
        <v>1270</v>
      </c>
      <c r="H1211" t="s">
        <v>1519</v>
      </c>
      <c r="I1211">
        <v>6</v>
      </c>
      <c r="J1211" s="48">
        <v>0</v>
      </c>
      <c r="K1211" s="48">
        <v>0</v>
      </c>
      <c r="L1211" s="54">
        <v>46253</v>
      </c>
      <c r="M1211" s="54">
        <v>46258</v>
      </c>
      <c r="N1211" s="54">
        <v>46240</v>
      </c>
      <c r="O1211" s="54">
        <v>46245</v>
      </c>
    </row>
    <row r="1212" spans="2:15" x14ac:dyDescent="0.25">
      <c r="B1212">
        <v>1270</v>
      </c>
      <c r="C1212" t="s">
        <v>260</v>
      </c>
      <c r="D1212" t="s">
        <v>1306</v>
      </c>
      <c r="E1212">
        <v>1269</v>
      </c>
      <c r="F1212" t="s">
        <v>1520</v>
      </c>
      <c r="G1212">
        <v>76</v>
      </c>
      <c r="H1212" t="s">
        <v>1519</v>
      </c>
      <c r="I1212">
        <v>4</v>
      </c>
      <c r="J1212" s="48">
        <v>0</v>
      </c>
      <c r="K1212" s="48">
        <v>0</v>
      </c>
      <c r="L1212" s="54">
        <v>46258</v>
      </c>
      <c r="M1212" s="54">
        <v>46261</v>
      </c>
      <c r="N1212" s="54">
        <v>46245</v>
      </c>
      <c r="O1212" s="54">
        <v>46248</v>
      </c>
    </row>
    <row r="1213" spans="2:15" x14ac:dyDescent="0.25">
      <c r="B1213">
        <v>1271</v>
      </c>
      <c r="C1213" t="s">
        <v>258</v>
      </c>
      <c r="D1213" t="s">
        <v>1300</v>
      </c>
      <c r="F1213" t="s">
        <v>1823</v>
      </c>
      <c r="H1213" t="s">
        <v>1527</v>
      </c>
      <c r="I1213">
        <v>19</v>
      </c>
      <c r="J1213" s="48">
        <v>0</v>
      </c>
      <c r="K1213" s="48">
        <v>0</v>
      </c>
      <c r="L1213" s="54">
        <v>46248</v>
      </c>
      <c r="M1213" s="54">
        <v>46268</v>
      </c>
      <c r="N1213" s="54">
        <v>46237</v>
      </c>
      <c r="O1213" s="54">
        <v>46255</v>
      </c>
    </row>
    <row r="1214" spans="2:15" x14ac:dyDescent="0.25">
      <c r="B1214">
        <v>1272</v>
      </c>
      <c r="C1214" t="s">
        <v>258</v>
      </c>
      <c r="D1214" t="s">
        <v>1300</v>
      </c>
      <c r="E1214">
        <v>1267</v>
      </c>
      <c r="F1214" t="s">
        <v>1515</v>
      </c>
      <c r="G1214" t="s">
        <v>2155</v>
      </c>
      <c r="H1214" t="s">
        <v>1528</v>
      </c>
      <c r="I1214">
        <v>8</v>
      </c>
      <c r="J1214" s="48">
        <v>0</v>
      </c>
      <c r="K1214" s="48">
        <v>0</v>
      </c>
      <c r="L1214" s="54">
        <v>46248</v>
      </c>
      <c r="M1214" s="54">
        <v>46255</v>
      </c>
      <c r="N1214" s="54">
        <v>46237</v>
      </c>
      <c r="O1214" s="54">
        <v>46244</v>
      </c>
    </row>
    <row r="1215" spans="2:15" x14ac:dyDescent="0.25">
      <c r="B1215">
        <v>1273</v>
      </c>
      <c r="C1215" t="s">
        <v>258</v>
      </c>
      <c r="D1215" t="s">
        <v>1300</v>
      </c>
      <c r="E1215">
        <v>1272</v>
      </c>
      <c r="F1215" t="s">
        <v>1517</v>
      </c>
      <c r="G1215">
        <v>1274</v>
      </c>
      <c r="H1215" t="s">
        <v>1519</v>
      </c>
      <c r="I1215">
        <v>4</v>
      </c>
      <c r="J1215" s="48">
        <v>0</v>
      </c>
      <c r="K1215" s="48">
        <v>0</v>
      </c>
      <c r="L1215" s="54">
        <v>46255</v>
      </c>
      <c r="M1215" s="54">
        <v>46260</v>
      </c>
      <c r="N1215" s="54">
        <v>46244</v>
      </c>
      <c r="O1215" s="54">
        <v>46247</v>
      </c>
    </row>
    <row r="1216" spans="2:15" x14ac:dyDescent="0.25">
      <c r="B1216">
        <v>1274</v>
      </c>
      <c r="C1216" t="s">
        <v>258</v>
      </c>
      <c r="D1216" t="s">
        <v>1300</v>
      </c>
      <c r="E1216">
        <v>1273</v>
      </c>
      <c r="F1216" t="s">
        <v>1518</v>
      </c>
      <c r="G1216">
        <v>1275</v>
      </c>
      <c r="H1216" t="s">
        <v>1519</v>
      </c>
      <c r="I1216">
        <v>6</v>
      </c>
      <c r="J1216" s="48">
        <v>0</v>
      </c>
      <c r="K1216" s="48">
        <v>0</v>
      </c>
      <c r="L1216" s="54">
        <v>46260</v>
      </c>
      <c r="M1216" s="54">
        <v>46265</v>
      </c>
      <c r="N1216" s="54">
        <v>46247</v>
      </c>
      <c r="O1216" s="54">
        <v>46252</v>
      </c>
    </row>
    <row r="1217" spans="2:15" x14ac:dyDescent="0.25">
      <c r="B1217">
        <v>1275</v>
      </c>
      <c r="C1217" t="s">
        <v>258</v>
      </c>
      <c r="D1217" t="s">
        <v>1300</v>
      </c>
      <c r="E1217">
        <v>1274</v>
      </c>
      <c r="F1217" t="s">
        <v>1520</v>
      </c>
      <c r="G1217">
        <v>76</v>
      </c>
      <c r="H1217" t="s">
        <v>1519</v>
      </c>
      <c r="I1217">
        <v>4</v>
      </c>
      <c r="J1217" s="48">
        <v>0</v>
      </c>
      <c r="K1217" s="48">
        <v>0</v>
      </c>
      <c r="L1217" s="54">
        <v>46265</v>
      </c>
      <c r="M1217" s="54">
        <v>46268</v>
      </c>
      <c r="N1217" s="54">
        <v>46252</v>
      </c>
      <c r="O1217" s="54">
        <v>46255</v>
      </c>
    </row>
    <row r="1218" spans="2:15" x14ac:dyDescent="0.25">
      <c r="B1218">
        <v>1276</v>
      </c>
      <c r="C1218" t="s">
        <v>261</v>
      </c>
      <c r="D1218" t="s">
        <v>1310</v>
      </c>
      <c r="F1218" t="s">
        <v>1824</v>
      </c>
      <c r="H1218" t="s">
        <v>1588</v>
      </c>
      <c r="I1218">
        <v>22</v>
      </c>
      <c r="J1218" s="48">
        <v>0</v>
      </c>
      <c r="K1218" s="48">
        <v>0</v>
      </c>
      <c r="L1218" s="54">
        <v>46255</v>
      </c>
      <c r="M1218" s="54">
        <v>46279</v>
      </c>
      <c r="N1218" s="54">
        <v>46244</v>
      </c>
      <c r="O1218" s="54">
        <v>46265</v>
      </c>
    </row>
    <row r="1219" spans="2:15" x14ac:dyDescent="0.25">
      <c r="B1219">
        <v>1277</v>
      </c>
      <c r="C1219" t="s">
        <v>261</v>
      </c>
      <c r="D1219" t="s">
        <v>1310</v>
      </c>
      <c r="E1219">
        <v>1272</v>
      </c>
      <c r="F1219" t="s">
        <v>1515</v>
      </c>
      <c r="G1219">
        <v>1278</v>
      </c>
      <c r="H1219" t="s">
        <v>1605</v>
      </c>
      <c r="I1219">
        <v>9</v>
      </c>
      <c r="J1219" s="48">
        <v>0</v>
      </c>
      <c r="K1219" s="48">
        <v>0</v>
      </c>
      <c r="L1219" s="54">
        <v>46255</v>
      </c>
      <c r="M1219" s="54">
        <v>46265</v>
      </c>
      <c r="N1219" s="54">
        <v>46244</v>
      </c>
      <c r="O1219" s="54">
        <v>46252</v>
      </c>
    </row>
    <row r="1220" spans="2:15" x14ac:dyDescent="0.25">
      <c r="B1220">
        <v>1278</v>
      </c>
      <c r="C1220" t="s">
        <v>261</v>
      </c>
      <c r="D1220" t="s">
        <v>1310</v>
      </c>
      <c r="E1220">
        <v>1277</v>
      </c>
      <c r="F1220" t="s">
        <v>1517</v>
      </c>
      <c r="G1220">
        <v>1279</v>
      </c>
      <c r="H1220" t="s">
        <v>1519</v>
      </c>
      <c r="I1220">
        <v>4</v>
      </c>
      <c r="J1220" s="48">
        <v>0</v>
      </c>
      <c r="K1220" s="48">
        <v>0</v>
      </c>
      <c r="L1220" s="54">
        <v>46265</v>
      </c>
      <c r="M1220" s="54">
        <v>46268</v>
      </c>
      <c r="N1220" s="54">
        <v>46252</v>
      </c>
      <c r="O1220" s="54">
        <v>46255</v>
      </c>
    </row>
    <row r="1221" spans="2:15" x14ac:dyDescent="0.25">
      <c r="B1221">
        <v>1279</v>
      </c>
      <c r="C1221" t="s">
        <v>261</v>
      </c>
      <c r="D1221" t="s">
        <v>1310</v>
      </c>
      <c r="E1221">
        <v>1278</v>
      </c>
      <c r="F1221" t="s">
        <v>1518</v>
      </c>
      <c r="G1221">
        <v>1280</v>
      </c>
      <c r="H1221" t="s">
        <v>1519</v>
      </c>
      <c r="I1221">
        <v>6</v>
      </c>
      <c r="J1221" s="48">
        <v>0</v>
      </c>
      <c r="K1221" s="48">
        <v>0</v>
      </c>
      <c r="L1221" s="54">
        <v>46268</v>
      </c>
      <c r="M1221" s="54">
        <v>46274</v>
      </c>
      <c r="N1221" s="54">
        <v>46255</v>
      </c>
      <c r="O1221" s="54">
        <v>46260</v>
      </c>
    </row>
    <row r="1222" spans="2:15" x14ac:dyDescent="0.25">
      <c r="B1222">
        <v>1280</v>
      </c>
      <c r="C1222" t="s">
        <v>261</v>
      </c>
      <c r="D1222" t="s">
        <v>1310</v>
      </c>
      <c r="E1222">
        <v>1279</v>
      </c>
      <c r="F1222" t="s">
        <v>1520</v>
      </c>
      <c r="G1222">
        <v>76</v>
      </c>
      <c r="H1222" t="s">
        <v>1519</v>
      </c>
      <c r="I1222">
        <v>6</v>
      </c>
      <c r="J1222" s="48">
        <v>0</v>
      </c>
      <c r="K1222" s="48">
        <v>0</v>
      </c>
      <c r="L1222" s="54">
        <v>46274</v>
      </c>
      <c r="M1222" s="54">
        <v>46279</v>
      </c>
      <c r="N1222" s="54">
        <v>46260</v>
      </c>
      <c r="O1222" s="54">
        <v>46265</v>
      </c>
    </row>
    <row r="1223" spans="2:15" x14ac:dyDescent="0.25">
      <c r="B1223">
        <v>1281</v>
      </c>
      <c r="F1223" t="s">
        <v>1572</v>
      </c>
      <c r="H1223" t="s">
        <v>1538</v>
      </c>
      <c r="I1223">
        <v>27</v>
      </c>
      <c r="J1223" s="48">
        <v>0</v>
      </c>
      <c r="K1223" s="48">
        <v>0</v>
      </c>
      <c r="L1223" s="54">
        <v>46244</v>
      </c>
      <c r="M1223" s="54">
        <v>46261</v>
      </c>
      <c r="N1223" s="54">
        <v>46225</v>
      </c>
      <c r="O1223" s="54">
        <v>46251</v>
      </c>
    </row>
    <row r="1224" spans="2:15" x14ac:dyDescent="0.25">
      <c r="B1224">
        <v>1282</v>
      </c>
      <c r="C1224" t="s">
        <v>105</v>
      </c>
      <c r="D1224" t="s">
        <v>716</v>
      </c>
      <c r="F1224" t="s">
        <v>1825</v>
      </c>
      <c r="H1224" t="s">
        <v>1535</v>
      </c>
      <c r="I1224">
        <v>20</v>
      </c>
      <c r="J1224" s="48">
        <v>0</v>
      </c>
      <c r="K1224" s="48">
        <v>0</v>
      </c>
      <c r="L1224" s="54">
        <v>46244</v>
      </c>
      <c r="M1224" s="54">
        <v>46261</v>
      </c>
      <c r="N1224" s="54">
        <v>46225</v>
      </c>
      <c r="O1224" s="54">
        <v>46244</v>
      </c>
    </row>
    <row r="1225" spans="2:15" x14ac:dyDescent="0.25">
      <c r="B1225">
        <v>1283</v>
      </c>
      <c r="C1225" t="s">
        <v>105</v>
      </c>
      <c r="D1225" t="s">
        <v>716</v>
      </c>
      <c r="E1225">
        <v>398</v>
      </c>
      <c r="F1225" t="s">
        <v>1515</v>
      </c>
      <c r="G1225" t="s">
        <v>2156</v>
      </c>
      <c r="H1225" t="s">
        <v>1525</v>
      </c>
      <c r="I1225">
        <v>7</v>
      </c>
      <c r="J1225" s="48">
        <v>0</v>
      </c>
      <c r="K1225" s="48">
        <v>0</v>
      </c>
      <c r="L1225" s="54">
        <v>46244</v>
      </c>
      <c r="M1225" s="54">
        <v>46248</v>
      </c>
      <c r="N1225" s="54">
        <v>46225</v>
      </c>
      <c r="O1225" s="54">
        <v>46231</v>
      </c>
    </row>
    <row r="1226" spans="2:15" x14ac:dyDescent="0.25">
      <c r="B1226">
        <v>1284</v>
      </c>
      <c r="C1226" t="s">
        <v>105</v>
      </c>
      <c r="D1226" t="s">
        <v>716</v>
      </c>
      <c r="E1226">
        <v>1283</v>
      </c>
      <c r="F1226" t="s">
        <v>1517</v>
      </c>
      <c r="G1226">
        <v>1285</v>
      </c>
      <c r="H1226" t="s">
        <v>1519</v>
      </c>
      <c r="I1226">
        <v>4</v>
      </c>
      <c r="J1226" s="48">
        <v>0</v>
      </c>
      <c r="K1226" s="48">
        <v>0</v>
      </c>
      <c r="L1226" s="54">
        <v>46248</v>
      </c>
      <c r="M1226" s="54">
        <v>46253</v>
      </c>
      <c r="N1226" s="54">
        <v>46231</v>
      </c>
      <c r="O1226" s="54">
        <v>46234</v>
      </c>
    </row>
    <row r="1227" spans="2:15" x14ac:dyDescent="0.25">
      <c r="B1227">
        <v>1285</v>
      </c>
      <c r="C1227" t="s">
        <v>105</v>
      </c>
      <c r="D1227" t="s">
        <v>716</v>
      </c>
      <c r="E1227">
        <v>1284</v>
      </c>
      <c r="F1227" t="s">
        <v>1518</v>
      </c>
      <c r="G1227">
        <v>1286</v>
      </c>
      <c r="H1227" t="s">
        <v>1519</v>
      </c>
      <c r="I1227">
        <v>6</v>
      </c>
      <c r="J1227" s="48">
        <v>0</v>
      </c>
      <c r="K1227" s="48">
        <v>0</v>
      </c>
      <c r="L1227" s="54">
        <v>46253</v>
      </c>
      <c r="M1227" s="54">
        <v>46258</v>
      </c>
      <c r="N1227" s="54">
        <v>46234</v>
      </c>
      <c r="O1227" s="54">
        <v>46239</v>
      </c>
    </row>
    <row r="1228" spans="2:15" x14ac:dyDescent="0.25">
      <c r="B1228">
        <v>1286</v>
      </c>
      <c r="C1228" t="s">
        <v>105</v>
      </c>
      <c r="D1228" t="s">
        <v>716</v>
      </c>
      <c r="E1228">
        <v>1285</v>
      </c>
      <c r="F1228" t="s">
        <v>1520</v>
      </c>
      <c r="G1228">
        <v>76</v>
      </c>
      <c r="H1228" t="s">
        <v>1519</v>
      </c>
      <c r="I1228">
        <v>6</v>
      </c>
      <c r="J1228" s="48">
        <v>0</v>
      </c>
      <c r="K1228" s="48">
        <v>0</v>
      </c>
      <c r="L1228" s="54">
        <v>46258</v>
      </c>
      <c r="M1228" s="54">
        <v>46261</v>
      </c>
      <c r="N1228" s="54">
        <v>46239</v>
      </c>
      <c r="O1228" s="54">
        <v>46244</v>
      </c>
    </row>
    <row r="1229" spans="2:15" x14ac:dyDescent="0.25">
      <c r="B1229">
        <v>1287</v>
      </c>
      <c r="C1229" t="s">
        <v>106</v>
      </c>
      <c r="D1229" t="s">
        <v>720</v>
      </c>
      <c r="F1229" t="s">
        <v>1826</v>
      </c>
      <c r="H1229" t="s">
        <v>1527</v>
      </c>
      <c r="I1229">
        <v>21</v>
      </c>
      <c r="J1229" s="48">
        <v>0</v>
      </c>
      <c r="K1229" s="48">
        <v>0</v>
      </c>
      <c r="L1229" t="s">
        <v>1506</v>
      </c>
      <c r="M1229" t="s">
        <v>1506</v>
      </c>
      <c r="N1229" s="54">
        <v>46231</v>
      </c>
      <c r="O1229" s="54">
        <v>46251</v>
      </c>
    </row>
    <row r="1230" spans="2:15" x14ac:dyDescent="0.25">
      <c r="B1230">
        <v>1288</v>
      </c>
      <c r="C1230" t="s">
        <v>106</v>
      </c>
      <c r="D1230" t="s">
        <v>720</v>
      </c>
      <c r="E1230">
        <v>1283</v>
      </c>
      <c r="F1230" t="s">
        <v>1515</v>
      </c>
      <c r="G1230">
        <v>1289</v>
      </c>
      <c r="H1230" t="s">
        <v>1528</v>
      </c>
      <c r="I1230">
        <v>8</v>
      </c>
      <c r="J1230" s="48">
        <v>0</v>
      </c>
      <c r="K1230" s="48">
        <v>0</v>
      </c>
      <c r="L1230" t="s">
        <v>1506</v>
      </c>
      <c r="M1230" t="s">
        <v>1506</v>
      </c>
      <c r="N1230" s="54">
        <v>46231</v>
      </c>
      <c r="O1230" s="54">
        <v>46238</v>
      </c>
    </row>
    <row r="1231" spans="2:15" x14ac:dyDescent="0.25">
      <c r="B1231">
        <v>1289</v>
      </c>
      <c r="C1231" t="s">
        <v>106</v>
      </c>
      <c r="D1231" t="s">
        <v>720</v>
      </c>
      <c r="E1231">
        <v>1288</v>
      </c>
      <c r="F1231" t="s">
        <v>1517</v>
      </c>
      <c r="G1231">
        <v>1290</v>
      </c>
      <c r="H1231" t="s">
        <v>1519</v>
      </c>
      <c r="I1231">
        <v>4</v>
      </c>
      <c r="J1231" s="48">
        <v>0</v>
      </c>
      <c r="K1231" s="48">
        <v>0</v>
      </c>
      <c r="L1231" t="s">
        <v>1506</v>
      </c>
      <c r="M1231" t="s">
        <v>1506</v>
      </c>
      <c r="N1231" s="54">
        <v>46238</v>
      </c>
      <c r="O1231" s="54">
        <v>46241</v>
      </c>
    </row>
    <row r="1232" spans="2:15" x14ac:dyDescent="0.25">
      <c r="B1232">
        <v>1290</v>
      </c>
      <c r="C1232" t="s">
        <v>106</v>
      </c>
      <c r="D1232" t="s">
        <v>720</v>
      </c>
      <c r="E1232">
        <v>1289</v>
      </c>
      <c r="F1232" t="s">
        <v>1518</v>
      </c>
      <c r="G1232">
        <v>1291</v>
      </c>
      <c r="H1232" t="s">
        <v>1519</v>
      </c>
      <c r="I1232">
        <v>6</v>
      </c>
      <c r="J1232" s="48">
        <v>0</v>
      </c>
      <c r="K1232" s="48">
        <v>0</v>
      </c>
      <c r="L1232" t="s">
        <v>1506</v>
      </c>
      <c r="M1232" t="s">
        <v>1506</v>
      </c>
      <c r="N1232" s="54">
        <v>46241</v>
      </c>
      <c r="O1232" s="54">
        <v>46246</v>
      </c>
    </row>
    <row r="1233" spans="2:15" x14ac:dyDescent="0.25">
      <c r="B1233">
        <v>1291</v>
      </c>
      <c r="C1233" t="s">
        <v>106</v>
      </c>
      <c r="D1233" t="s">
        <v>720</v>
      </c>
      <c r="E1233">
        <v>1290</v>
      </c>
      <c r="F1233" t="s">
        <v>1520</v>
      </c>
      <c r="G1233">
        <v>76</v>
      </c>
      <c r="H1233" t="s">
        <v>1519</v>
      </c>
      <c r="I1233">
        <v>6</v>
      </c>
      <c r="J1233" s="48">
        <v>0</v>
      </c>
      <c r="K1233" s="48">
        <v>0</v>
      </c>
      <c r="L1233" t="s">
        <v>1506</v>
      </c>
      <c r="M1233" t="s">
        <v>1506</v>
      </c>
      <c r="N1233" s="54">
        <v>46246</v>
      </c>
      <c r="O1233" s="54">
        <v>46251</v>
      </c>
    </row>
    <row r="1234" spans="2:15" x14ac:dyDescent="0.25">
      <c r="B1234">
        <v>1292</v>
      </c>
      <c r="F1234" t="s">
        <v>1557</v>
      </c>
      <c r="H1234" t="s">
        <v>1519</v>
      </c>
      <c r="I1234">
        <v>4</v>
      </c>
      <c r="J1234" s="48">
        <v>0</v>
      </c>
      <c r="K1234" s="48">
        <v>0</v>
      </c>
      <c r="L1234" s="54">
        <v>46238</v>
      </c>
      <c r="M1234" s="54">
        <v>46260</v>
      </c>
      <c r="N1234" s="54">
        <v>46238</v>
      </c>
      <c r="O1234" s="54">
        <v>46241</v>
      </c>
    </row>
    <row r="1235" spans="2:15" x14ac:dyDescent="0.25">
      <c r="B1235">
        <v>1293</v>
      </c>
      <c r="C1235" t="s">
        <v>198</v>
      </c>
      <c r="D1235" t="s">
        <v>1104</v>
      </c>
      <c r="F1235" t="s">
        <v>1568</v>
      </c>
      <c r="H1235" t="s">
        <v>1578</v>
      </c>
      <c r="I1235">
        <v>23</v>
      </c>
      <c r="J1235" s="48">
        <v>0</v>
      </c>
      <c r="K1235" s="48">
        <v>0</v>
      </c>
      <c r="L1235" s="54">
        <v>46238</v>
      </c>
      <c r="M1235" s="54">
        <v>46260</v>
      </c>
      <c r="N1235" s="54">
        <v>46238</v>
      </c>
      <c r="O1235" s="54">
        <v>46260</v>
      </c>
    </row>
    <row r="1236" spans="2:15" x14ac:dyDescent="0.25">
      <c r="B1236">
        <v>1294</v>
      </c>
      <c r="C1236" t="s">
        <v>198</v>
      </c>
      <c r="D1236" t="s">
        <v>1104</v>
      </c>
      <c r="E1236">
        <v>404</v>
      </c>
      <c r="F1236" t="s">
        <v>1515</v>
      </c>
      <c r="G1236">
        <v>1295</v>
      </c>
      <c r="H1236" t="s">
        <v>1523</v>
      </c>
      <c r="I1236">
        <v>10</v>
      </c>
      <c r="J1236" s="48">
        <v>0</v>
      </c>
      <c r="K1236" s="48">
        <v>0</v>
      </c>
      <c r="L1236" s="54">
        <v>46238</v>
      </c>
      <c r="M1236" s="54">
        <v>46247</v>
      </c>
      <c r="N1236" s="54">
        <v>46238</v>
      </c>
      <c r="O1236" s="54">
        <v>46247</v>
      </c>
    </row>
    <row r="1237" spans="2:15" x14ac:dyDescent="0.25">
      <c r="B1237">
        <v>1295</v>
      </c>
      <c r="C1237" t="s">
        <v>198</v>
      </c>
      <c r="D1237" t="s">
        <v>1104</v>
      </c>
      <c r="E1237">
        <v>1294</v>
      </c>
      <c r="F1237" t="s">
        <v>1517</v>
      </c>
      <c r="G1237">
        <v>1296</v>
      </c>
      <c r="H1237" t="s">
        <v>1519</v>
      </c>
      <c r="I1237">
        <v>6</v>
      </c>
      <c r="J1237" s="48">
        <v>0</v>
      </c>
      <c r="K1237" s="48">
        <v>0</v>
      </c>
      <c r="L1237" s="54">
        <v>46247</v>
      </c>
      <c r="M1237" s="54">
        <v>46252</v>
      </c>
      <c r="N1237" s="54">
        <v>46247</v>
      </c>
      <c r="O1237" s="54">
        <v>46252</v>
      </c>
    </row>
    <row r="1238" spans="2:15" x14ac:dyDescent="0.25">
      <c r="B1238">
        <v>1296</v>
      </c>
      <c r="C1238" t="s">
        <v>198</v>
      </c>
      <c r="D1238" t="s">
        <v>1104</v>
      </c>
      <c r="E1238">
        <v>1295</v>
      </c>
      <c r="F1238" t="s">
        <v>1518</v>
      </c>
      <c r="G1238">
        <v>1297</v>
      </c>
      <c r="H1238" t="s">
        <v>1519</v>
      </c>
      <c r="I1238">
        <v>4</v>
      </c>
      <c r="J1238" s="48">
        <v>0</v>
      </c>
      <c r="K1238" s="48">
        <v>0</v>
      </c>
      <c r="L1238" s="54">
        <v>46252</v>
      </c>
      <c r="M1238" s="54">
        <v>46255</v>
      </c>
      <c r="N1238" s="54">
        <v>46252</v>
      </c>
      <c r="O1238" s="54">
        <v>46255</v>
      </c>
    </row>
    <row r="1239" spans="2:15" x14ac:dyDescent="0.25">
      <c r="B1239">
        <v>1297</v>
      </c>
      <c r="C1239" t="s">
        <v>198</v>
      </c>
      <c r="D1239" t="s">
        <v>1104</v>
      </c>
      <c r="E1239">
        <v>1296</v>
      </c>
      <c r="F1239" t="s">
        <v>1520</v>
      </c>
      <c r="G1239">
        <v>76</v>
      </c>
      <c r="H1239" t="s">
        <v>1519</v>
      </c>
      <c r="I1239">
        <v>6</v>
      </c>
      <c r="J1239" s="48">
        <v>0</v>
      </c>
      <c r="K1239" s="48">
        <v>0</v>
      </c>
      <c r="L1239" s="54">
        <v>46255</v>
      </c>
      <c r="M1239" s="54">
        <v>46260</v>
      </c>
      <c r="N1239" s="54">
        <v>46255</v>
      </c>
      <c r="O1239" s="54">
        <v>46260</v>
      </c>
    </row>
    <row r="1240" spans="2:15" x14ac:dyDescent="0.25">
      <c r="B1240">
        <v>1298</v>
      </c>
      <c r="F1240" t="s">
        <v>1558</v>
      </c>
      <c r="H1240" t="s">
        <v>1585</v>
      </c>
      <c r="I1240">
        <v>79</v>
      </c>
      <c r="J1240" s="48">
        <v>7.4099999999999999E-2</v>
      </c>
      <c r="K1240" s="48">
        <v>0.17480000000000001</v>
      </c>
      <c r="L1240" s="54">
        <v>46182</v>
      </c>
      <c r="M1240" s="54">
        <v>46288</v>
      </c>
      <c r="N1240" s="54">
        <v>46182</v>
      </c>
      <c r="O1240" s="54">
        <v>46260</v>
      </c>
    </row>
    <row r="1241" spans="2:15" x14ac:dyDescent="0.25">
      <c r="B1241">
        <v>1299</v>
      </c>
      <c r="C1241" t="s">
        <v>238</v>
      </c>
      <c r="D1241" t="s">
        <v>1227</v>
      </c>
      <c r="F1241" t="s">
        <v>1827</v>
      </c>
      <c r="H1241" t="s">
        <v>1770</v>
      </c>
      <c r="I1241">
        <v>37</v>
      </c>
      <c r="J1241" s="48">
        <v>1</v>
      </c>
      <c r="K1241" s="48">
        <v>0.8</v>
      </c>
      <c r="L1241" s="54">
        <v>46182</v>
      </c>
      <c r="M1241" s="54">
        <v>46205</v>
      </c>
      <c r="N1241" s="54">
        <v>46182</v>
      </c>
      <c r="O1241" s="54">
        <v>46218</v>
      </c>
    </row>
    <row r="1242" spans="2:15" x14ac:dyDescent="0.25">
      <c r="B1242">
        <v>1300</v>
      </c>
      <c r="C1242" t="s">
        <v>238</v>
      </c>
      <c r="D1242" t="s">
        <v>1227</v>
      </c>
      <c r="E1242">
        <v>21</v>
      </c>
      <c r="F1242" t="s">
        <v>1515</v>
      </c>
      <c r="G1242" t="s">
        <v>2157</v>
      </c>
      <c r="H1242" t="s">
        <v>1516</v>
      </c>
      <c r="I1242">
        <v>11</v>
      </c>
      <c r="J1242" s="48">
        <v>1</v>
      </c>
      <c r="K1242" s="48">
        <v>1</v>
      </c>
      <c r="L1242" s="54">
        <v>46182</v>
      </c>
      <c r="M1242" s="54">
        <v>46192</v>
      </c>
      <c r="N1242" s="54">
        <v>46182</v>
      </c>
      <c r="O1242" s="54">
        <v>46192</v>
      </c>
    </row>
    <row r="1243" spans="2:15" x14ac:dyDescent="0.25">
      <c r="B1243">
        <v>1301</v>
      </c>
      <c r="C1243" t="s">
        <v>238</v>
      </c>
      <c r="D1243" t="s">
        <v>1227</v>
      </c>
      <c r="E1243">
        <v>1300</v>
      </c>
      <c r="F1243" t="s">
        <v>1517</v>
      </c>
      <c r="G1243">
        <v>1302</v>
      </c>
      <c r="H1243" t="s">
        <v>1516</v>
      </c>
      <c r="I1243">
        <v>13</v>
      </c>
      <c r="J1243" s="48">
        <v>1</v>
      </c>
      <c r="K1243" s="48">
        <v>1</v>
      </c>
      <c r="L1243" s="54">
        <v>46192</v>
      </c>
      <c r="M1243" s="54">
        <v>46197</v>
      </c>
      <c r="N1243" s="54">
        <v>46192</v>
      </c>
      <c r="O1243" s="54">
        <v>46204</v>
      </c>
    </row>
    <row r="1244" spans="2:15" x14ac:dyDescent="0.25">
      <c r="B1244">
        <v>1302</v>
      </c>
      <c r="C1244" t="s">
        <v>238</v>
      </c>
      <c r="D1244" t="s">
        <v>1227</v>
      </c>
      <c r="E1244">
        <v>1301</v>
      </c>
      <c r="F1244" t="s">
        <v>1518</v>
      </c>
      <c r="G1244">
        <v>1303</v>
      </c>
      <c r="H1244" t="s">
        <v>1523</v>
      </c>
      <c r="I1244">
        <v>10</v>
      </c>
      <c r="J1244" s="48">
        <v>1</v>
      </c>
      <c r="K1244" s="48">
        <v>0</v>
      </c>
      <c r="L1244" s="54">
        <v>46197</v>
      </c>
      <c r="M1244" s="54">
        <v>46202</v>
      </c>
      <c r="N1244" s="54">
        <v>46204</v>
      </c>
      <c r="O1244" s="54">
        <v>46213</v>
      </c>
    </row>
    <row r="1245" spans="2:15" x14ac:dyDescent="0.25">
      <c r="B1245">
        <v>1303</v>
      </c>
      <c r="C1245" t="s">
        <v>238</v>
      </c>
      <c r="D1245" t="s">
        <v>1227</v>
      </c>
      <c r="E1245">
        <v>1302</v>
      </c>
      <c r="F1245" t="s">
        <v>1520</v>
      </c>
      <c r="G1245">
        <v>76</v>
      </c>
      <c r="H1245" t="s">
        <v>1519</v>
      </c>
      <c r="I1245">
        <v>6</v>
      </c>
      <c r="J1245" s="48">
        <v>1</v>
      </c>
      <c r="K1245" s="48">
        <v>0</v>
      </c>
      <c r="L1245" s="54">
        <v>46202</v>
      </c>
      <c r="M1245" s="54">
        <v>46205</v>
      </c>
      <c r="N1245" s="54">
        <v>46213</v>
      </c>
      <c r="O1245" s="54">
        <v>46218</v>
      </c>
    </row>
    <row r="1246" spans="2:15" x14ac:dyDescent="0.25">
      <c r="B1246">
        <v>1304</v>
      </c>
      <c r="C1246" t="s">
        <v>240</v>
      </c>
      <c r="D1246" t="s">
        <v>1231</v>
      </c>
      <c r="F1246" t="s">
        <v>1828</v>
      </c>
      <c r="H1246" t="s">
        <v>1527</v>
      </c>
      <c r="I1246">
        <v>21</v>
      </c>
      <c r="J1246" s="48">
        <v>0</v>
      </c>
      <c r="K1246" s="48">
        <v>0</v>
      </c>
      <c r="L1246" s="54">
        <v>46232</v>
      </c>
      <c r="M1246" s="54">
        <v>46252</v>
      </c>
      <c r="N1246" s="54">
        <v>46219</v>
      </c>
      <c r="O1246" s="54">
        <v>46239</v>
      </c>
    </row>
    <row r="1247" spans="2:15" x14ac:dyDescent="0.25">
      <c r="B1247">
        <v>1305</v>
      </c>
      <c r="C1247" t="s">
        <v>240</v>
      </c>
      <c r="D1247" t="s">
        <v>1231</v>
      </c>
      <c r="E1247">
        <v>392</v>
      </c>
      <c r="F1247" t="s">
        <v>1515</v>
      </c>
      <c r="G1247" t="s">
        <v>2158</v>
      </c>
      <c r="H1247" t="s">
        <v>1528</v>
      </c>
      <c r="I1247">
        <v>8</v>
      </c>
      <c r="J1247" s="48">
        <v>0</v>
      </c>
      <c r="K1247" s="48">
        <v>0</v>
      </c>
      <c r="L1247" s="54">
        <v>46232</v>
      </c>
      <c r="M1247" s="54">
        <v>46239</v>
      </c>
      <c r="N1247" s="54">
        <v>46219</v>
      </c>
      <c r="O1247" s="54">
        <v>46226</v>
      </c>
    </row>
    <row r="1248" spans="2:15" x14ac:dyDescent="0.25">
      <c r="B1248">
        <v>1306</v>
      </c>
      <c r="C1248" t="s">
        <v>240</v>
      </c>
      <c r="D1248" t="s">
        <v>1231</v>
      </c>
      <c r="E1248">
        <v>1305</v>
      </c>
      <c r="F1248" t="s">
        <v>1517</v>
      </c>
      <c r="G1248">
        <v>1307</v>
      </c>
      <c r="H1248" t="s">
        <v>1519</v>
      </c>
      <c r="I1248">
        <v>6</v>
      </c>
      <c r="J1248" s="48">
        <v>0</v>
      </c>
      <c r="K1248" s="48">
        <v>0</v>
      </c>
      <c r="L1248" s="54">
        <v>46239</v>
      </c>
      <c r="M1248" s="54">
        <v>46244</v>
      </c>
      <c r="N1248" s="54">
        <v>46226</v>
      </c>
      <c r="O1248" s="54">
        <v>46231</v>
      </c>
    </row>
    <row r="1249" spans="2:15" x14ac:dyDescent="0.25">
      <c r="B1249">
        <v>1307</v>
      </c>
      <c r="C1249" t="s">
        <v>240</v>
      </c>
      <c r="D1249" t="s">
        <v>1231</v>
      </c>
      <c r="E1249">
        <v>1306</v>
      </c>
      <c r="F1249" t="s">
        <v>1518</v>
      </c>
      <c r="G1249">
        <v>1308</v>
      </c>
      <c r="H1249" t="s">
        <v>1519</v>
      </c>
      <c r="I1249">
        <v>4</v>
      </c>
      <c r="J1249" s="48">
        <v>0</v>
      </c>
      <c r="K1249" s="48">
        <v>0</v>
      </c>
      <c r="L1249" s="54">
        <v>46244</v>
      </c>
      <c r="M1249" s="54">
        <v>46247</v>
      </c>
      <c r="N1249" s="54">
        <v>46231</v>
      </c>
      <c r="O1249" s="54">
        <v>46234</v>
      </c>
    </row>
    <row r="1250" spans="2:15" x14ac:dyDescent="0.25">
      <c r="B1250">
        <v>1308</v>
      </c>
      <c r="C1250" t="s">
        <v>240</v>
      </c>
      <c r="D1250" t="s">
        <v>1231</v>
      </c>
      <c r="E1250">
        <v>1307</v>
      </c>
      <c r="F1250" t="s">
        <v>1520</v>
      </c>
      <c r="G1250">
        <v>76</v>
      </c>
      <c r="H1250" t="s">
        <v>1519</v>
      </c>
      <c r="I1250">
        <v>6</v>
      </c>
      <c r="J1250" s="48">
        <v>0</v>
      </c>
      <c r="K1250" s="48">
        <v>0</v>
      </c>
      <c r="L1250" s="54">
        <v>46247</v>
      </c>
      <c r="M1250" s="54">
        <v>46252</v>
      </c>
      <c r="N1250" s="54">
        <v>46234</v>
      </c>
      <c r="O1250" s="54">
        <v>46239</v>
      </c>
    </row>
    <row r="1251" spans="2:15" x14ac:dyDescent="0.25">
      <c r="B1251">
        <v>1309</v>
      </c>
      <c r="C1251" t="s">
        <v>241</v>
      </c>
      <c r="D1251" t="s">
        <v>1235</v>
      </c>
      <c r="F1251" t="s">
        <v>1829</v>
      </c>
      <c r="H1251" t="s">
        <v>1527</v>
      </c>
      <c r="I1251">
        <v>21</v>
      </c>
      <c r="J1251" s="48">
        <v>0</v>
      </c>
      <c r="K1251" s="48">
        <v>0</v>
      </c>
      <c r="L1251" s="54">
        <v>46239</v>
      </c>
      <c r="M1251" s="54">
        <v>46259</v>
      </c>
      <c r="N1251" s="54">
        <v>46226</v>
      </c>
      <c r="O1251" s="54">
        <v>46246</v>
      </c>
    </row>
    <row r="1252" spans="2:15" x14ac:dyDescent="0.25">
      <c r="B1252">
        <v>1310</v>
      </c>
      <c r="C1252" t="s">
        <v>241</v>
      </c>
      <c r="D1252" t="s">
        <v>1235</v>
      </c>
      <c r="E1252">
        <v>1305</v>
      </c>
      <c r="F1252" t="s">
        <v>1515</v>
      </c>
      <c r="G1252" t="s">
        <v>2159</v>
      </c>
      <c r="H1252" t="s">
        <v>1528</v>
      </c>
      <c r="I1252">
        <v>8</v>
      </c>
      <c r="J1252" s="48">
        <v>0</v>
      </c>
      <c r="K1252" s="48">
        <v>0</v>
      </c>
      <c r="L1252" s="54">
        <v>46239</v>
      </c>
      <c r="M1252" s="54">
        <v>46246</v>
      </c>
      <c r="N1252" s="54">
        <v>46226</v>
      </c>
      <c r="O1252" s="54">
        <v>46233</v>
      </c>
    </row>
    <row r="1253" spans="2:15" x14ac:dyDescent="0.25">
      <c r="B1253">
        <v>1311</v>
      </c>
      <c r="C1253" t="s">
        <v>241</v>
      </c>
      <c r="D1253" t="s">
        <v>1235</v>
      </c>
      <c r="E1253">
        <v>1310</v>
      </c>
      <c r="F1253" t="s">
        <v>1517</v>
      </c>
      <c r="G1253">
        <v>1312</v>
      </c>
      <c r="H1253" t="s">
        <v>1519</v>
      </c>
      <c r="I1253">
        <v>6</v>
      </c>
      <c r="J1253" s="48">
        <v>0</v>
      </c>
      <c r="K1253" s="48">
        <v>0</v>
      </c>
      <c r="L1253" s="54">
        <v>46246</v>
      </c>
      <c r="M1253" s="54">
        <v>46251</v>
      </c>
      <c r="N1253" s="54">
        <v>46233</v>
      </c>
      <c r="O1253" s="54">
        <v>46238</v>
      </c>
    </row>
    <row r="1254" spans="2:15" x14ac:dyDescent="0.25">
      <c r="B1254">
        <v>1312</v>
      </c>
      <c r="C1254" t="s">
        <v>241</v>
      </c>
      <c r="D1254" t="s">
        <v>1235</v>
      </c>
      <c r="E1254">
        <v>1311</v>
      </c>
      <c r="F1254" t="s">
        <v>1518</v>
      </c>
      <c r="G1254">
        <v>1313</v>
      </c>
      <c r="H1254" t="s">
        <v>1519</v>
      </c>
      <c r="I1254">
        <v>4</v>
      </c>
      <c r="J1254" s="48">
        <v>0</v>
      </c>
      <c r="K1254" s="48">
        <v>0</v>
      </c>
      <c r="L1254" s="54">
        <v>46251</v>
      </c>
      <c r="M1254" s="54">
        <v>46254</v>
      </c>
      <c r="N1254" s="54">
        <v>46238</v>
      </c>
      <c r="O1254" s="54">
        <v>46241</v>
      </c>
    </row>
    <row r="1255" spans="2:15" x14ac:dyDescent="0.25">
      <c r="B1255">
        <v>1313</v>
      </c>
      <c r="C1255" t="s">
        <v>241</v>
      </c>
      <c r="D1255" t="s">
        <v>1235</v>
      </c>
      <c r="E1255">
        <v>1312</v>
      </c>
      <c r="F1255" t="s">
        <v>1520</v>
      </c>
      <c r="G1255">
        <v>76</v>
      </c>
      <c r="H1255" t="s">
        <v>1519</v>
      </c>
      <c r="I1255">
        <v>6</v>
      </c>
      <c r="J1255" s="48">
        <v>0</v>
      </c>
      <c r="K1255" s="48">
        <v>0</v>
      </c>
      <c r="L1255" s="54">
        <v>46254</v>
      </c>
      <c r="M1255" s="54">
        <v>46259</v>
      </c>
      <c r="N1255" s="54">
        <v>46241</v>
      </c>
      <c r="O1255" s="54">
        <v>46246</v>
      </c>
    </row>
    <row r="1256" spans="2:15" x14ac:dyDescent="0.25">
      <c r="B1256">
        <v>1314</v>
      </c>
      <c r="C1256" t="s">
        <v>251</v>
      </c>
      <c r="D1256" t="s">
        <v>1265</v>
      </c>
      <c r="F1256" t="s">
        <v>1830</v>
      </c>
      <c r="H1256" t="s">
        <v>1641</v>
      </c>
      <c r="I1256">
        <v>16</v>
      </c>
      <c r="J1256" s="48">
        <v>0</v>
      </c>
      <c r="K1256" s="48">
        <v>0.69330000000000003</v>
      </c>
      <c r="L1256" s="54">
        <v>46246</v>
      </c>
      <c r="M1256" s="54">
        <v>46266</v>
      </c>
      <c r="N1256" s="54">
        <v>46209</v>
      </c>
      <c r="O1256" s="54">
        <v>46224</v>
      </c>
    </row>
    <row r="1257" spans="2:15" x14ac:dyDescent="0.25">
      <c r="B1257">
        <v>1315</v>
      </c>
      <c r="C1257" t="s">
        <v>251</v>
      </c>
      <c r="D1257" t="s">
        <v>1265</v>
      </c>
      <c r="E1257">
        <v>126</v>
      </c>
      <c r="F1257" t="s">
        <v>1515</v>
      </c>
      <c r="G1257" t="s">
        <v>2160</v>
      </c>
      <c r="H1257" t="s">
        <v>1642</v>
      </c>
      <c r="I1257">
        <v>3</v>
      </c>
      <c r="J1257" s="48">
        <v>0</v>
      </c>
      <c r="K1257" s="48">
        <v>1</v>
      </c>
      <c r="L1257" s="54">
        <v>46246</v>
      </c>
      <c r="M1257" s="54">
        <v>46253</v>
      </c>
      <c r="N1257" s="54">
        <v>46209</v>
      </c>
      <c r="O1257" s="54">
        <v>46211</v>
      </c>
    </row>
    <row r="1258" spans="2:15" x14ac:dyDescent="0.25">
      <c r="B1258">
        <v>1316</v>
      </c>
      <c r="C1258" t="s">
        <v>251</v>
      </c>
      <c r="D1258" t="s">
        <v>1265</v>
      </c>
      <c r="E1258">
        <v>1315</v>
      </c>
      <c r="F1258" t="s">
        <v>1517</v>
      </c>
      <c r="G1258">
        <v>1317</v>
      </c>
      <c r="H1258" t="s">
        <v>1519</v>
      </c>
      <c r="I1258">
        <v>6</v>
      </c>
      <c r="J1258" s="48">
        <v>0</v>
      </c>
      <c r="K1258" s="48">
        <v>0</v>
      </c>
      <c r="L1258" s="54">
        <v>46253</v>
      </c>
      <c r="M1258" s="54">
        <v>46258</v>
      </c>
      <c r="N1258" s="54">
        <v>46211</v>
      </c>
      <c r="O1258" s="54">
        <v>46216</v>
      </c>
    </row>
    <row r="1259" spans="2:15" x14ac:dyDescent="0.25">
      <c r="B1259">
        <v>1317</v>
      </c>
      <c r="C1259" t="s">
        <v>251</v>
      </c>
      <c r="D1259" t="s">
        <v>1265</v>
      </c>
      <c r="E1259">
        <v>1316</v>
      </c>
      <c r="F1259" t="s">
        <v>1518</v>
      </c>
      <c r="G1259">
        <v>1318</v>
      </c>
      <c r="H1259" t="s">
        <v>1519</v>
      </c>
      <c r="I1259">
        <v>4</v>
      </c>
      <c r="J1259" s="48">
        <v>0</v>
      </c>
      <c r="K1259" s="48">
        <v>0</v>
      </c>
      <c r="L1259" s="54">
        <v>46258</v>
      </c>
      <c r="M1259" s="54">
        <v>46261</v>
      </c>
      <c r="N1259" s="54">
        <v>46216</v>
      </c>
      <c r="O1259" s="54">
        <v>46219</v>
      </c>
    </row>
    <row r="1260" spans="2:15" x14ac:dyDescent="0.25">
      <c r="B1260">
        <v>1318</v>
      </c>
      <c r="C1260" t="s">
        <v>251</v>
      </c>
      <c r="D1260" t="s">
        <v>1265</v>
      </c>
      <c r="E1260">
        <v>1317</v>
      </c>
      <c r="F1260" t="s">
        <v>1520</v>
      </c>
      <c r="G1260">
        <v>76</v>
      </c>
      <c r="H1260" t="s">
        <v>1519</v>
      </c>
      <c r="I1260">
        <v>6</v>
      </c>
      <c r="J1260" s="48">
        <v>0</v>
      </c>
      <c r="K1260" s="48">
        <v>0</v>
      </c>
      <c r="L1260" s="54">
        <v>46261</v>
      </c>
      <c r="M1260" s="54">
        <v>46266</v>
      </c>
      <c r="N1260" s="54">
        <v>46219</v>
      </c>
      <c r="O1260" s="54">
        <v>46224</v>
      </c>
    </row>
    <row r="1261" spans="2:15" x14ac:dyDescent="0.25">
      <c r="B1261">
        <v>1319</v>
      </c>
      <c r="C1261" t="s">
        <v>225</v>
      </c>
      <c r="D1261" t="s">
        <v>1173</v>
      </c>
      <c r="F1261" t="s">
        <v>1831</v>
      </c>
      <c r="H1261" t="s">
        <v>1527</v>
      </c>
      <c r="I1261">
        <v>21</v>
      </c>
      <c r="J1261" s="48">
        <v>0</v>
      </c>
      <c r="K1261" s="48">
        <v>0.69330000000000003</v>
      </c>
      <c r="L1261" s="54">
        <v>46253</v>
      </c>
      <c r="M1261" s="54">
        <v>46274</v>
      </c>
      <c r="N1261" s="54">
        <v>46204</v>
      </c>
      <c r="O1261" s="54">
        <v>46224</v>
      </c>
    </row>
    <row r="1262" spans="2:15" x14ac:dyDescent="0.25">
      <c r="B1262">
        <v>1320</v>
      </c>
      <c r="C1262" t="s">
        <v>225</v>
      </c>
      <c r="D1262" t="s">
        <v>1173</v>
      </c>
      <c r="E1262" t="s">
        <v>2161</v>
      </c>
      <c r="F1262" t="s">
        <v>1515</v>
      </c>
      <c r="G1262" t="s">
        <v>2162</v>
      </c>
      <c r="H1262" t="s">
        <v>1528</v>
      </c>
      <c r="I1262">
        <v>8</v>
      </c>
      <c r="J1262" s="48">
        <v>0</v>
      </c>
      <c r="K1262" s="48">
        <v>1</v>
      </c>
      <c r="L1262" s="54">
        <v>46253</v>
      </c>
      <c r="M1262" s="54">
        <v>46260</v>
      </c>
      <c r="N1262" s="54">
        <v>46204</v>
      </c>
      <c r="O1262" s="54">
        <v>46211</v>
      </c>
    </row>
    <row r="1263" spans="2:15" x14ac:dyDescent="0.25">
      <c r="B1263">
        <v>1321</v>
      </c>
      <c r="C1263" t="s">
        <v>225</v>
      </c>
      <c r="D1263" t="s">
        <v>1173</v>
      </c>
      <c r="E1263">
        <v>1320</v>
      </c>
      <c r="F1263" t="s">
        <v>1517</v>
      </c>
      <c r="G1263">
        <v>1322</v>
      </c>
      <c r="H1263" t="s">
        <v>1519</v>
      </c>
      <c r="I1263">
        <v>6</v>
      </c>
      <c r="J1263" s="48">
        <v>0</v>
      </c>
      <c r="K1263" s="48">
        <v>0</v>
      </c>
      <c r="L1263" s="54">
        <v>46260</v>
      </c>
      <c r="M1263" s="54">
        <v>46265</v>
      </c>
      <c r="N1263" s="54">
        <v>46211</v>
      </c>
      <c r="O1263" s="54">
        <v>46216</v>
      </c>
    </row>
    <row r="1264" spans="2:15" x14ac:dyDescent="0.25">
      <c r="B1264">
        <v>1322</v>
      </c>
      <c r="C1264" t="s">
        <v>225</v>
      </c>
      <c r="D1264" t="s">
        <v>1173</v>
      </c>
      <c r="E1264">
        <v>1321</v>
      </c>
      <c r="F1264" t="s">
        <v>1518</v>
      </c>
      <c r="G1264">
        <v>1323</v>
      </c>
      <c r="H1264" t="s">
        <v>1519</v>
      </c>
      <c r="I1264">
        <v>4</v>
      </c>
      <c r="J1264" s="48">
        <v>0</v>
      </c>
      <c r="K1264" s="48">
        <v>0</v>
      </c>
      <c r="L1264" s="54">
        <v>46265</v>
      </c>
      <c r="M1264" s="54">
        <v>46268</v>
      </c>
      <c r="N1264" s="54">
        <v>46216</v>
      </c>
      <c r="O1264" s="54">
        <v>46219</v>
      </c>
    </row>
    <row r="1265" spans="2:15" x14ac:dyDescent="0.25">
      <c r="B1265">
        <v>1323</v>
      </c>
      <c r="C1265" t="s">
        <v>225</v>
      </c>
      <c r="D1265" t="s">
        <v>1173</v>
      </c>
      <c r="E1265">
        <v>1322</v>
      </c>
      <c r="F1265" t="s">
        <v>1520</v>
      </c>
      <c r="G1265">
        <v>76</v>
      </c>
      <c r="H1265" t="s">
        <v>1519</v>
      </c>
      <c r="I1265">
        <v>6</v>
      </c>
      <c r="J1265" s="48">
        <v>0</v>
      </c>
      <c r="K1265" s="48">
        <v>0</v>
      </c>
      <c r="L1265" s="54">
        <v>46268</v>
      </c>
      <c r="M1265" s="54">
        <v>46274</v>
      </c>
      <c r="N1265" s="54">
        <v>46219</v>
      </c>
      <c r="O1265" s="54">
        <v>46224</v>
      </c>
    </row>
    <row r="1266" spans="2:15" x14ac:dyDescent="0.25">
      <c r="B1266">
        <v>1324</v>
      </c>
      <c r="C1266" t="s">
        <v>232</v>
      </c>
      <c r="D1266" t="s">
        <v>1204</v>
      </c>
      <c r="F1266" t="s">
        <v>1832</v>
      </c>
      <c r="H1266" t="s">
        <v>1559</v>
      </c>
      <c r="I1266">
        <v>19</v>
      </c>
      <c r="J1266" s="48">
        <v>0</v>
      </c>
      <c r="K1266" s="48">
        <v>0</v>
      </c>
      <c r="L1266" s="54">
        <v>46260</v>
      </c>
      <c r="M1266" s="54">
        <v>46279</v>
      </c>
      <c r="N1266" s="54">
        <v>46233</v>
      </c>
      <c r="O1266" s="54">
        <v>46251</v>
      </c>
    </row>
    <row r="1267" spans="2:15" x14ac:dyDescent="0.25">
      <c r="B1267">
        <v>1325</v>
      </c>
      <c r="C1267" t="s">
        <v>232</v>
      </c>
      <c r="D1267" t="s">
        <v>1204</v>
      </c>
      <c r="E1267">
        <v>1310</v>
      </c>
      <c r="F1267" t="s">
        <v>1515</v>
      </c>
      <c r="G1267" t="s">
        <v>2163</v>
      </c>
      <c r="H1267" t="s">
        <v>1519</v>
      </c>
      <c r="I1267">
        <v>6</v>
      </c>
      <c r="J1267" s="48">
        <v>0</v>
      </c>
      <c r="K1267" s="48">
        <v>0</v>
      </c>
      <c r="L1267" s="54">
        <v>46260</v>
      </c>
      <c r="M1267" s="54">
        <v>46265</v>
      </c>
      <c r="N1267" s="54">
        <v>46233</v>
      </c>
      <c r="O1267" s="54">
        <v>46238</v>
      </c>
    </row>
    <row r="1268" spans="2:15" x14ac:dyDescent="0.25">
      <c r="B1268">
        <v>1326</v>
      </c>
      <c r="C1268" t="s">
        <v>232</v>
      </c>
      <c r="D1268" t="s">
        <v>1204</v>
      </c>
      <c r="E1268">
        <v>1325</v>
      </c>
      <c r="F1268" t="s">
        <v>1517</v>
      </c>
      <c r="G1268">
        <v>1327</v>
      </c>
      <c r="H1268" t="s">
        <v>1519</v>
      </c>
      <c r="I1268">
        <v>4</v>
      </c>
      <c r="J1268" s="48">
        <v>0</v>
      </c>
      <c r="K1268" s="48">
        <v>0</v>
      </c>
      <c r="L1268" s="54">
        <v>46265</v>
      </c>
      <c r="M1268" s="54">
        <v>46268</v>
      </c>
      <c r="N1268" s="54">
        <v>46238</v>
      </c>
      <c r="O1268" s="54">
        <v>46241</v>
      </c>
    </row>
    <row r="1269" spans="2:15" x14ac:dyDescent="0.25">
      <c r="B1269">
        <v>1327</v>
      </c>
      <c r="C1269" t="s">
        <v>232</v>
      </c>
      <c r="D1269" t="s">
        <v>1204</v>
      </c>
      <c r="E1269">
        <v>1326</v>
      </c>
      <c r="F1269" t="s">
        <v>1518</v>
      </c>
      <c r="G1269">
        <v>1328</v>
      </c>
      <c r="H1269" t="s">
        <v>1519</v>
      </c>
      <c r="I1269">
        <v>6</v>
      </c>
      <c r="J1269" s="48">
        <v>0</v>
      </c>
      <c r="K1269" s="48">
        <v>0</v>
      </c>
      <c r="L1269" s="54">
        <v>46268</v>
      </c>
      <c r="M1269" s="54">
        <v>46274</v>
      </c>
      <c r="N1269" s="54">
        <v>46241</v>
      </c>
      <c r="O1269" s="54">
        <v>46246</v>
      </c>
    </row>
    <row r="1270" spans="2:15" x14ac:dyDescent="0.25">
      <c r="B1270">
        <v>1328</v>
      </c>
      <c r="C1270" t="s">
        <v>232</v>
      </c>
      <c r="D1270" t="s">
        <v>1204</v>
      </c>
      <c r="E1270">
        <v>1327</v>
      </c>
      <c r="F1270" t="s">
        <v>1520</v>
      </c>
      <c r="G1270">
        <v>76</v>
      </c>
      <c r="H1270" t="s">
        <v>1519</v>
      </c>
      <c r="I1270">
        <v>6</v>
      </c>
      <c r="J1270" s="48">
        <v>0</v>
      </c>
      <c r="K1270" s="48">
        <v>0</v>
      </c>
      <c r="L1270" s="54">
        <v>46274</v>
      </c>
      <c r="M1270" s="54">
        <v>46279</v>
      </c>
      <c r="N1270" s="54">
        <v>46246</v>
      </c>
      <c r="O1270" s="54">
        <v>46251</v>
      </c>
    </row>
    <row r="1271" spans="2:15" x14ac:dyDescent="0.25">
      <c r="B1271">
        <v>1329</v>
      </c>
      <c r="C1271" t="s">
        <v>254</v>
      </c>
      <c r="D1271" t="s">
        <v>1279</v>
      </c>
      <c r="F1271" t="s">
        <v>1833</v>
      </c>
      <c r="H1271" t="s">
        <v>1559</v>
      </c>
      <c r="I1271">
        <v>19</v>
      </c>
      <c r="J1271" s="48">
        <v>0</v>
      </c>
      <c r="K1271" s="48">
        <v>0</v>
      </c>
      <c r="L1271" s="54">
        <v>46260</v>
      </c>
      <c r="M1271" s="54">
        <v>46279</v>
      </c>
      <c r="N1271" s="54">
        <v>46233</v>
      </c>
      <c r="O1271" s="54">
        <v>46251</v>
      </c>
    </row>
    <row r="1272" spans="2:15" x14ac:dyDescent="0.25">
      <c r="B1272">
        <v>1330</v>
      </c>
      <c r="C1272" t="s">
        <v>254</v>
      </c>
      <c r="D1272" t="s">
        <v>1279</v>
      </c>
      <c r="E1272" t="s">
        <v>2164</v>
      </c>
      <c r="F1272" t="s">
        <v>1515</v>
      </c>
      <c r="G1272" t="s">
        <v>2165</v>
      </c>
      <c r="H1272" t="s">
        <v>1519</v>
      </c>
      <c r="I1272">
        <v>6</v>
      </c>
      <c r="J1272" s="48">
        <v>0</v>
      </c>
      <c r="K1272" s="48">
        <v>0</v>
      </c>
      <c r="L1272" s="54">
        <v>46260</v>
      </c>
      <c r="M1272" s="54">
        <v>46265</v>
      </c>
      <c r="N1272" s="54">
        <v>46233</v>
      </c>
      <c r="O1272" s="54">
        <v>46238</v>
      </c>
    </row>
    <row r="1273" spans="2:15" x14ac:dyDescent="0.25">
      <c r="B1273">
        <v>1331</v>
      </c>
      <c r="C1273" t="s">
        <v>254</v>
      </c>
      <c r="D1273" t="s">
        <v>1279</v>
      </c>
      <c r="E1273">
        <v>1330</v>
      </c>
      <c r="F1273" t="s">
        <v>1517</v>
      </c>
      <c r="G1273">
        <v>1332</v>
      </c>
      <c r="H1273" t="s">
        <v>1519</v>
      </c>
      <c r="I1273">
        <v>4</v>
      </c>
      <c r="J1273" s="48">
        <v>0</v>
      </c>
      <c r="K1273" s="48">
        <v>0</v>
      </c>
      <c r="L1273" s="54">
        <v>46265</v>
      </c>
      <c r="M1273" s="54">
        <v>46268</v>
      </c>
      <c r="N1273" s="54">
        <v>46238</v>
      </c>
      <c r="O1273" s="54">
        <v>46241</v>
      </c>
    </row>
    <row r="1274" spans="2:15" x14ac:dyDescent="0.25">
      <c r="B1274">
        <v>1332</v>
      </c>
      <c r="C1274" t="s">
        <v>254</v>
      </c>
      <c r="D1274" t="s">
        <v>1279</v>
      </c>
      <c r="E1274">
        <v>1331</v>
      </c>
      <c r="F1274" t="s">
        <v>1518</v>
      </c>
      <c r="G1274">
        <v>1333</v>
      </c>
      <c r="H1274" t="s">
        <v>1519</v>
      </c>
      <c r="I1274">
        <v>6</v>
      </c>
      <c r="J1274" s="48">
        <v>0</v>
      </c>
      <c r="K1274" s="48">
        <v>0</v>
      </c>
      <c r="L1274" s="54">
        <v>46268</v>
      </c>
      <c r="M1274" s="54">
        <v>46274</v>
      </c>
      <c r="N1274" s="54">
        <v>46241</v>
      </c>
      <c r="O1274" s="54">
        <v>46246</v>
      </c>
    </row>
    <row r="1275" spans="2:15" x14ac:dyDescent="0.25">
      <c r="B1275">
        <v>1333</v>
      </c>
      <c r="C1275" t="s">
        <v>254</v>
      </c>
      <c r="D1275" t="s">
        <v>1279</v>
      </c>
      <c r="E1275">
        <v>1332</v>
      </c>
      <c r="F1275" t="s">
        <v>1520</v>
      </c>
      <c r="G1275">
        <v>76</v>
      </c>
      <c r="H1275" t="s">
        <v>1519</v>
      </c>
      <c r="I1275">
        <v>6</v>
      </c>
      <c r="J1275" s="48">
        <v>0</v>
      </c>
      <c r="K1275" s="48">
        <v>0</v>
      </c>
      <c r="L1275" s="54">
        <v>46274</v>
      </c>
      <c r="M1275" s="54">
        <v>46279</v>
      </c>
      <c r="N1275" s="54">
        <v>46246</v>
      </c>
      <c r="O1275" s="54">
        <v>46251</v>
      </c>
    </row>
    <row r="1276" spans="2:15" x14ac:dyDescent="0.25">
      <c r="B1276">
        <v>1334</v>
      </c>
      <c r="C1276" t="s">
        <v>255</v>
      </c>
      <c r="D1276" t="s">
        <v>1283</v>
      </c>
      <c r="F1276" t="s">
        <v>1834</v>
      </c>
      <c r="H1276" t="s">
        <v>1559</v>
      </c>
      <c r="I1276">
        <v>19</v>
      </c>
      <c r="J1276" s="48">
        <v>0</v>
      </c>
      <c r="K1276" s="48">
        <v>0</v>
      </c>
      <c r="L1276" s="54">
        <v>46260</v>
      </c>
      <c r="M1276" s="54">
        <v>46279</v>
      </c>
      <c r="N1276" s="54">
        <v>46233</v>
      </c>
      <c r="O1276" s="54">
        <v>46251</v>
      </c>
    </row>
    <row r="1277" spans="2:15" x14ac:dyDescent="0.25">
      <c r="B1277">
        <v>1335</v>
      </c>
      <c r="C1277" t="s">
        <v>255</v>
      </c>
      <c r="D1277" t="s">
        <v>1283</v>
      </c>
      <c r="E1277" t="s">
        <v>2166</v>
      </c>
      <c r="F1277" t="s">
        <v>1515</v>
      </c>
      <c r="G1277" t="s">
        <v>2167</v>
      </c>
      <c r="H1277" t="s">
        <v>1519</v>
      </c>
      <c r="I1277">
        <v>6</v>
      </c>
      <c r="J1277" s="48">
        <v>0</v>
      </c>
      <c r="K1277" s="48">
        <v>0</v>
      </c>
      <c r="L1277" s="54">
        <v>46260</v>
      </c>
      <c r="M1277" s="54">
        <v>46265</v>
      </c>
      <c r="N1277" s="54">
        <v>46233</v>
      </c>
      <c r="O1277" s="54">
        <v>46238</v>
      </c>
    </row>
    <row r="1278" spans="2:15" x14ac:dyDescent="0.25">
      <c r="B1278">
        <v>1336</v>
      </c>
      <c r="C1278" t="s">
        <v>255</v>
      </c>
      <c r="D1278" t="s">
        <v>1283</v>
      </c>
      <c r="E1278">
        <v>1335</v>
      </c>
      <c r="F1278" t="s">
        <v>1517</v>
      </c>
      <c r="G1278">
        <v>1337</v>
      </c>
      <c r="H1278" t="s">
        <v>1519</v>
      </c>
      <c r="I1278">
        <v>4</v>
      </c>
      <c r="J1278" s="48">
        <v>0</v>
      </c>
      <c r="K1278" s="48">
        <v>0</v>
      </c>
      <c r="L1278" s="54">
        <v>46265</v>
      </c>
      <c r="M1278" s="54">
        <v>46268</v>
      </c>
      <c r="N1278" s="54">
        <v>46238</v>
      </c>
      <c r="O1278" s="54">
        <v>46241</v>
      </c>
    </row>
    <row r="1279" spans="2:15" x14ac:dyDescent="0.25">
      <c r="B1279">
        <v>1337</v>
      </c>
      <c r="C1279" t="s">
        <v>255</v>
      </c>
      <c r="D1279" t="s">
        <v>1283</v>
      </c>
      <c r="E1279">
        <v>1336</v>
      </c>
      <c r="F1279" t="s">
        <v>1518</v>
      </c>
      <c r="G1279">
        <v>1338</v>
      </c>
      <c r="H1279" t="s">
        <v>1519</v>
      </c>
      <c r="I1279">
        <v>6</v>
      </c>
      <c r="J1279" s="48">
        <v>0</v>
      </c>
      <c r="K1279" s="48">
        <v>0</v>
      </c>
      <c r="L1279" s="54">
        <v>46268</v>
      </c>
      <c r="M1279" s="54">
        <v>46274</v>
      </c>
      <c r="N1279" s="54">
        <v>46241</v>
      </c>
      <c r="O1279" s="54">
        <v>46246</v>
      </c>
    </row>
    <row r="1280" spans="2:15" x14ac:dyDescent="0.25">
      <c r="B1280">
        <v>1338</v>
      </c>
      <c r="C1280" t="s">
        <v>255</v>
      </c>
      <c r="D1280" t="s">
        <v>1283</v>
      </c>
      <c r="E1280">
        <v>1337</v>
      </c>
      <c r="F1280" t="s">
        <v>1520</v>
      </c>
      <c r="G1280">
        <v>76</v>
      </c>
      <c r="H1280" t="s">
        <v>1519</v>
      </c>
      <c r="I1280">
        <v>6</v>
      </c>
      <c r="J1280" s="48">
        <v>0</v>
      </c>
      <c r="K1280" s="48">
        <v>0</v>
      </c>
      <c r="L1280" s="54">
        <v>46274</v>
      </c>
      <c r="M1280" s="54">
        <v>46279</v>
      </c>
      <c r="N1280" s="54">
        <v>46246</v>
      </c>
      <c r="O1280" s="54">
        <v>46251</v>
      </c>
    </row>
    <row r="1281" spans="2:15" x14ac:dyDescent="0.25">
      <c r="B1281">
        <v>1339</v>
      </c>
      <c r="C1281" t="s">
        <v>256</v>
      </c>
      <c r="D1281" t="s">
        <v>1287</v>
      </c>
      <c r="F1281" t="s">
        <v>1835</v>
      </c>
      <c r="H1281" t="s">
        <v>1559</v>
      </c>
      <c r="I1281">
        <v>19</v>
      </c>
      <c r="J1281" s="48">
        <v>0</v>
      </c>
      <c r="K1281" s="48">
        <v>0</v>
      </c>
      <c r="L1281" s="54">
        <v>46260</v>
      </c>
      <c r="M1281" s="54">
        <v>46279</v>
      </c>
      <c r="N1281" s="54">
        <v>46233</v>
      </c>
      <c r="O1281" s="54">
        <v>46251</v>
      </c>
    </row>
    <row r="1282" spans="2:15" x14ac:dyDescent="0.25">
      <c r="B1282">
        <v>1340</v>
      </c>
      <c r="C1282" t="s">
        <v>256</v>
      </c>
      <c r="D1282" t="s">
        <v>1287</v>
      </c>
      <c r="E1282" t="s">
        <v>2168</v>
      </c>
      <c r="F1282" t="s">
        <v>1515</v>
      </c>
      <c r="G1282" t="s">
        <v>2169</v>
      </c>
      <c r="H1282" t="s">
        <v>1519</v>
      </c>
      <c r="I1282">
        <v>6</v>
      </c>
      <c r="J1282" s="48">
        <v>0</v>
      </c>
      <c r="K1282" s="48">
        <v>0</v>
      </c>
      <c r="L1282" s="54">
        <v>46260</v>
      </c>
      <c r="M1282" s="54">
        <v>46265</v>
      </c>
      <c r="N1282" s="54">
        <v>46233</v>
      </c>
      <c r="O1282" s="54">
        <v>46238</v>
      </c>
    </row>
    <row r="1283" spans="2:15" x14ac:dyDescent="0.25">
      <c r="B1283">
        <v>1341</v>
      </c>
      <c r="C1283" t="s">
        <v>256</v>
      </c>
      <c r="D1283" t="s">
        <v>1287</v>
      </c>
      <c r="E1283">
        <v>1340</v>
      </c>
      <c r="F1283" t="s">
        <v>1517</v>
      </c>
      <c r="G1283">
        <v>1342</v>
      </c>
      <c r="H1283" t="s">
        <v>1519</v>
      </c>
      <c r="I1283">
        <v>4</v>
      </c>
      <c r="J1283" s="48">
        <v>0</v>
      </c>
      <c r="K1283" s="48">
        <v>0</v>
      </c>
      <c r="L1283" s="54">
        <v>46265</v>
      </c>
      <c r="M1283" s="54">
        <v>46268</v>
      </c>
      <c r="N1283" s="54">
        <v>46238</v>
      </c>
      <c r="O1283" s="54">
        <v>46241</v>
      </c>
    </row>
    <row r="1284" spans="2:15" x14ac:dyDescent="0.25">
      <c r="B1284">
        <v>1342</v>
      </c>
      <c r="C1284" t="s">
        <v>256</v>
      </c>
      <c r="D1284" t="s">
        <v>1287</v>
      </c>
      <c r="E1284">
        <v>1341</v>
      </c>
      <c r="F1284" t="s">
        <v>1518</v>
      </c>
      <c r="G1284">
        <v>1343</v>
      </c>
      <c r="H1284" t="s">
        <v>1519</v>
      </c>
      <c r="I1284">
        <v>6</v>
      </c>
      <c r="J1284" s="48">
        <v>0</v>
      </c>
      <c r="K1284" s="48">
        <v>0</v>
      </c>
      <c r="L1284" s="54">
        <v>46268</v>
      </c>
      <c r="M1284" s="54">
        <v>46274</v>
      </c>
      <c r="N1284" s="54">
        <v>46241</v>
      </c>
      <c r="O1284" s="54">
        <v>46246</v>
      </c>
    </row>
    <row r="1285" spans="2:15" x14ac:dyDescent="0.25">
      <c r="B1285">
        <v>1343</v>
      </c>
      <c r="C1285" t="s">
        <v>256</v>
      </c>
      <c r="D1285" t="s">
        <v>1287</v>
      </c>
      <c r="E1285">
        <v>1342</v>
      </c>
      <c r="F1285" t="s">
        <v>1520</v>
      </c>
      <c r="G1285">
        <v>76</v>
      </c>
      <c r="H1285" t="s">
        <v>1519</v>
      </c>
      <c r="I1285">
        <v>6</v>
      </c>
      <c r="J1285" s="48">
        <v>0</v>
      </c>
      <c r="K1285" s="48">
        <v>0</v>
      </c>
      <c r="L1285" s="54">
        <v>46274</v>
      </c>
      <c r="M1285" s="54">
        <v>46279</v>
      </c>
      <c r="N1285" s="54">
        <v>46246</v>
      </c>
      <c r="O1285" s="54">
        <v>46251</v>
      </c>
    </row>
    <row r="1286" spans="2:15" x14ac:dyDescent="0.25">
      <c r="B1286">
        <v>1344</v>
      </c>
      <c r="C1286" t="s">
        <v>229</v>
      </c>
      <c r="D1286" t="s">
        <v>1195</v>
      </c>
      <c r="F1286" t="s">
        <v>1836</v>
      </c>
      <c r="H1286" t="s">
        <v>1641</v>
      </c>
      <c r="I1286">
        <v>16</v>
      </c>
      <c r="J1286" s="48">
        <v>0</v>
      </c>
      <c r="K1286" s="48">
        <v>0</v>
      </c>
      <c r="L1286" s="54">
        <v>46265</v>
      </c>
      <c r="M1286" s="54">
        <v>46281</v>
      </c>
      <c r="N1286" s="54">
        <v>46238</v>
      </c>
      <c r="O1286" s="54">
        <v>46253</v>
      </c>
    </row>
    <row r="1287" spans="2:15" x14ac:dyDescent="0.25">
      <c r="B1287">
        <v>1345</v>
      </c>
      <c r="C1287" t="s">
        <v>229</v>
      </c>
      <c r="D1287" t="s">
        <v>1195</v>
      </c>
      <c r="E1287">
        <v>1340</v>
      </c>
      <c r="F1287" t="s">
        <v>1515</v>
      </c>
      <c r="G1287" t="s">
        <v>2170</v>
      </c>
      <c r="H1287" t="s">
        <v>1642</v>
      </c>
      <c r="I1287">
        <v>3</v>
      </c>
      <c r="J1287" s="48">
        <v>0</v>
      </c>
      <c r="K1287" s="48">
        <v>0</v>
      </c>
      <c r="L1287" s="54">
        <v>46265</v>
      </c>
      <c r="M1287" s="54">
        <v>46267</v>
      </c>
      <c r="N1287" s="54">
        <v>46238</v>
      </c>
      <c r="O1287" s="54">
        <v>46240</v>
      </c>
    </row>
    <row r="1288" spans="2:15" x14ac:dyDescent="0.25">
      <c r="B1288">
        <v>1346</v>
      </c>
      <c r="C1288" t="s">
        <v>229</v>
      </c>
      <c r="D1288" t="s">
        <v>1195</v>
      </c>
      <c r="E1288">
        <v>1345</v>
      </c>
      <c r="F1288" t="s">
        <v>1517</v>
      </c>
      <c r="G1288">
        <v>1347</v>
      </c>
      <c r="H1288" t="s">
        <v>1519</v>
      </c>
      <c r="I1288">
        <v>6</v>
      </c>
      <c r="J1288" s="48">
        <v>0</v>
      </c>
      <c r="K1288" s="48">
        <v>0</v>
      </c>
      <c r="L1288" s="54">
        <v>46267</v>
      </c>
      <c r="M1288" s="54">
        <v>46273</v>
      </c>
      <c r="N1288" s="54">
        <v>46240</v>
      </c>
      <c r="O1288" s="54">
        <v>46245</v>
      </c>
    </row>
    <row r="1289" spans="2:15" x14ac:dyDescent="0.25">
      <c r="B1289">
        <v>1347</v>
      </c>
      <c r="C1289" t="s">
        <v>229</v>
      </c>
      <c r="D1289" t="s">
        <v>1195</v>
      </c>
      <c r="E1289">
        <v>1346</v>
      </c>
      <c r="F1289" t="s">
        <v>1518</v>
      </c>
      <c r="G1289">
        <v>1348</v>
      </c>
      <c r="H1289" t="s">
        <v>1519</v>
      </c>
      <c r="I1289">
        <v>4</v>
      </c>
      <c r="J1289" s="48">
        <v>0</v>
      </c>
      <c r="K1289" s="48">
        <v>0</v>
      </c>
      <c r="L1289" s="54">
        <v>46273</v>
      </c>
      <c r="M1289" s="54">
        <v>46276</v>
      </c>
      <c r="N1289" s="54">
        <v>46245</v>
      </c>
      <c r="O1289" s="54">
        <v>46248</v>
      </c>
    </row>
    <row r="1290" spans="2:15" x14ac:dyDescent="0.25">
      <c r="B1290">
        <v>1348</v>
      </c>
      <c r="C1290" t="s">
        <v>229</v>
      </c>
      <c r="D1290" t="s">
        <v>1195</v>
      </c>
      <c r="E1290">
        <v>1347</v>
      </c>
      <c r="F1290" t="s">
        <v>1520</v>
      </c>
      <c r="G1290">
        <v>76</v>
      </c>
      <c r="H1290" t="s">
        <v>1519</v>
      </c>
      <c r="I1290">
        <v>6</v>
      </c>
      <c r="J1290" s="48">
        <v>0</v>
      </c>
      <c r="K1290" s="48">
        <v>0</v>
      </c>
      <c r="L1290" s="54">
        <v>46276</v>
      </c>
      <c r="M1290" s="54">
        <v>46281</v>
      </c>
      <c r="N1290" s="54">
        <v>46248</v>
      </c>
      <c r="O1290" s="54">
        <v>46253</v>
      </c>
    </row>
    <row r="1291" spans="2:15" x14ac:dyDescent="0.25">
      <c r="B1291">
        <v>1349</v>
      </c>
      <c r="C1291" t="s">
        <v>226</v>
      </c>
      <c r="D1291" t="s">
        <v>1180</v>
      </c>
      <c r="F1291" t="s">
        <v>1837</v>
      </c>
      <c r="H1291" t="s">
        <v>1527</v>
      </c>
      <c r="I1291">
        <v>21</v>
      </c>
      <c r="J1291" s="48">
        <v>0</v>
      </c>
      <c r="K1291" s="48">
        <v>0</v>
      </c>
      <c r="L1291" s="54">
        <v>46267</v>
      </c>
      <c r="M1291" s="54">
        <v>46288</v>
      </c>
      <c r="N1291" s="54">
        <v>46240</v>
      </c>
      <c r="O1291" s="54">
        <v>46260</v>
      </c>
    </row>
    <row r="1292" spans="2:15" x14ac:dyDescent="0.25">
      <c r="B1292">
        <v>1350</v>
      </c>
      <c r="C1292" t="s">
        <v>226</v>
      </c>
      <c r="D1292" t="s">
        <v>1180</v>
      </c>
      <c r="E1292">
        <v>1345</v>
      </c>
      <c r="F1292" t="s">
        <v>1515</v>
      </c>
      <c r="G1292">
        <v>1351</v>
      </c>
      <c r="H1292" t="s">
        <v>1528</v>
      </c>
      <c r="I1292">
        <v>8</v>
      </c>
      <c r="J1292" s="48">
        <v>0</v>
      </c>
      <c r="K1292" s="48">
        <v>0</v>
      </c>
      <c r="L1292" s="54">
        <v>46267</v>
      </c>
      <c r="M1292" s="54">
        <v>46275</v>
      </c>
      <c r="N1292" s="54">
        <v>46240</v>
      </c>
      <c r="O1292" s="54">
        <v>46247</v>
      </c>
    </row>
    <row r="1293" spans="2:15" x14ac:dyDescent="0.25">
      <c r="B1293">
        <v>1351</v>
      </c>
      <c r="C1293" t="s">
        <v>226</v>
      </c>
      <c r="D1293" t="s">
        <v>1180</v>
      </c>
      <c r="E1293">
        <v>1350</v>
      </c>
      <c r="F1293" t="s">
        <v>1517</v>
      </c>
      <c r="G1293">
        <v>1352</v>
      </c>
      <c r="H1293" t="s">
        <v>1519</v>
      </c>
      <c r="I1293">
        <v>6</v>
      </c>
      <c r="J1293" s="48">
        <v>0</v>
      </c>
      <c r="K1293" s="48">
        <v>0</v>
      </c>
      <c r="L1293" s="54">
        <v>46275</v>
      </c>
      <c r="M1293" s="54">
        <v>46280</v>
      </c>
      <c r="N1293" s="54">
        <v>46247</v>
      </c>
      <c r="O1293" s="54">
        <v>46252</v>
      </c>
    </row>
    <row r="1294" spans="2:15" x14ac:dyDescent="0.25">
      <c r="B1294">
        <v>1352</v>
      </c>
      <c r="C1294" t="s">
        <v>226</v>
      </c>
      <c r="D1294" t="s">
        <v>1180</v>
      </c>
      <c r="E1294">
        <v>1351</v>
      </c>
      <c r="F1294" t="s">
        <v>1518</v>
      </c>
      <c r="G1294">
        <v>1353</v>
      </c>
      <c r="H1294" t="s">
        <v>1519</v>
      </c>
      <c r="I1294">
        <v>4</v>
      </c>
      <c r="J1294" s="48">
        <v>0</v>
      </c>
      <c r="K1294" s="48">
        <v>0</v>
      </c>
      <c r="L1294" s="54">
        <v>46280</v>
      </c>
      <c r="M1294" s="54">
        <v>46283</v>
      </c>
      <c r="N1294" s="54">
        <v>46252</v>
      </c>
      <c r="O1294" s="54">
        <v>46255</v>
      </c>
    </row>
    <row r="1295" spans="2:15" x14ac:dyDescent="0.25">
      <c r="B1295">
        <v>1353</v>
      </c>
      <c r="C1295" t="s">
        <v>226</v>
      </c>
      <c r="D1295" t="s">
        <v>1180</v>
      </c>
      <c r="E1295">
        <v>1352</v>
      </c>
      <c r="F1295" t="s">
        <v>1520</v>
      </c>
      <c r="G1295">
        <v>76</v>
      </c>
      <c r="H1295" t="s">
        <v>1519</v>
      </c>
      <c r="I1295">
        <v>6</v>
      </c>
      <c r="J1295" s="48">
        <v>0</v>
      </c>
      <c r="K1295" s="48">
        <v>0</v>
      </c>
      <c r="L1295" s="54">
        <v>46283</v>
      </c>
      <c r="M1295" s="54">
        <v>46288</v>
      </c>
      <c r="N1295" s="54">
        <v>46255</v>
      </c>
      <c r="O1295" s="54">
        <v>46260</v>
      </c>
    </row>
    <row r="1296" spans="2:15" x14ac:dyDescent="0.25">
      <c r="B1296">
        <v>1354</v>
      </c>
      <c r="C1296" t="s">
        <v>1222</v>
      </c>
      <c r="D1296" t="s">
        <v>1223</v>
      </c>
      <c r="F1296" t="s">
        <v>1838</v>
      </c>
      <c r="H1296" t="s">
        <v>1527</v>
      </c>
      <c r="I1296">
        <v>21</v>
      </c>
      <c r="J1296" s="48">
        <v>0</v>
      </c>
      <c r="K1296" s="48">
        <v>0</v>
      </c>
      <c r="L1296" t="s">
        <v>1506</v>
      </c>
      <c r="M1296" t="s">
        <v>1506</v>
      </c>
      <c r="N1296" s="54">
        <v>46211</v>
      </c>
      <c r="O1296" s="54">
        <v>46231</v>
      </c>
    </row>
    <row r="1297" spans="2:15" x14ac:dyDescent="0.25">
      <c r="B1297">
        <v>1355</v>
      </c>
      <c r="C1297" t="s">
        <v>1222</v>
      </c>
      <c r="D1297" t="s">
        <v>1223</v>
      </c>
      <c r="E1297">
        <v>1320</v>
      </c>
      <c r="F1297" t="s">
        <v>1515</v>
      </c>
      <c r="G1297">
        <v>1356</v>
      </c>
      <c r="H1297" t="s">
        <v>1528</v>
      </c>
      <c r="I1297">
        <v>8</v>
      </c>
      <c r="J1297" s="48">
        <v>0</v>
      </c>
      <c r="K1297" s="48">
        <v>0</v>
      </c>
      <c r="L1297" t="s">
        <v>1506</v>
      </c>
      <c r="M1297" t="s">
        <v>1506</v>
      </c>
      <c r="N1297" s="54">
        <v>46211</v>
      </c>
      <c r="O1297" s="54">
        <v>46218</v>
      </c>
    </row>
    <row r="1298" spans="2:15" x14ac:dyDescent="0.25">
      <c r="B1298">
        <v>1356</v>
      </c>
      <c r="C1298" t="s">
        <v>1222</v>
      </c>
      <c r="D1298" t="s">
        <v>1223</v>
      </c>
      <c r="E1298">
        <v>1355</v>
      </c>
      <c r="F1298" t="s">
        <v>1517</v>
      </c>
      <c r="G1298">
        <v>1357</v>
      </c>
      <c r="H1298" t="s">
        <v>1519</v>
      </c>
      <c r="I1298">
        <v>6</v>
      </c>
      <c r="J1298" s="48">
        <v>0</v>
      </c>
      <c r="K1298" s="48">
        <v>0</v>
      </c>
      <c r="L1298" t="s">
        <v>1506</v>
      </c>
      <c r="M1298" t="s">
        <v>1506</v>
      </c>
      <c r="N1298" s="54">
        <v>46218</v>
      </c>
      <c r="O1298" s="54">
        <v>46223</v>
      </c>
    </row>
    <row r="1299" spans="2:15" x14ac:dyDescent="0.25">
      <c r="B1299">
        <v>1357</v>
      </c>
      <c r="C1299" t="s">
        <v>1222</v>
      </c>
      <c r="D1299" t="s">
        <v>1223</v>
      </c>
      <c r="E1299">
        <v>1356</v>
      </c>
      <c r="F1299" t="s">
        <v>1518</v>
      </c>
      <c r="G1299">
        <v>1358</v>
      </c>
      <c r="H1299" t="s">
        <v>1519</v>
      </c>
      <c r="I1299">
        <v>4</v>
      </c>
      <c r="J1299" s="48">
        <v>0</v>
      </c>
      <c r="K1299" s="48">
        <v>0</v>
      </c>
      <c r="L1299" t="s">
        <v>1506</v>
      </c>
      <c r="M1299" t="s">
        <v>1506</v>
      </c>
      <c r="N1299" s="54">
        <v>46223</v>
      </c>
      <c r="O1299" s="54">
        <v>46226</v>
      </c>
    </row>
    <row r="1300" spans="2:15" x14ac:dyDescent="0.25">
      <c r="B1300">
        <v>1358</v>
      </c>
      <c r="C1300" t="s">
        <v>1222</v>
      </c>
      <c r="D1300" t="s">
        <v>1223</v>
      </c>
      <c r="E1300">
        <v>1357</v>
      </c>
      <c r="F1300" t="s">
        <v>1520</v>
      </c>
      <c r="G1300">
        <v>76</v>
      </c>
      <c r="H1300" t="s">
        <v>1519</v>
      </c>
      <c r="I1300">
        <v>6</v>
      </c>
      <c r="J1300" s="48">
        <v>0</v>
      </c>
      <c r="K1300" s="48">
        <v>0</v>
      </c>
      <c r="L1300" t="s">
        <v>1506</v>
      </c>
      <c r="M1300" t="s">
        <v>1506</v>
      </c>
      <c r="N1300" s="54">
        <v>46226</v>
      </c>
      <c r="O1300" s="54">
        <v>46231</v>
      </c>
    </row>
    <row r="1301" spans="2:15" x14ac:dyDescent="0.25">
      <c r="B1301">
        <v>1359</v>
      </c>
      <c r="F1301" t="s">
        <v>1481</v>
      </c>
      <c r="H1301" t="s">
        <v>1471</v>
      </c>
      <c r="I1301">
        <v>99</v>
      </c>
      <c r="J1301" s="48">
        <v>0.1187</v>
      </c>
      <c r="K1301" s="48">
        <v>8.0100000000000005E-2</v>
      </c>
      <c r="L1301" s="54">
        <v>46190</v>
      </c>
      <c r="M1301" s="54">
        <v>46282</v>
      </c>
      <c r="N1301" s="54">
        <v>46190</v>
      </c>
      <c r="O1301" s="54">
        <v>46288</v>
      </c>
    </row>
    <row r="1302" spans="2:15" x14ac:dyDescent="0.25">
      <c r="B1302">
        <v>1360</v>
      </c>
      <c r="F1302" t="s">
        <v>1839</v>
      </c>
      <c r="H1302" t="s">
        <v>1471</v>
      </c>
      <c r="I1302">
        <v>99</v>
      </c>
      <c r="J1302" s="48">
        <v>0.1187</v>
      </c>
      <c r="K1302" s="48">
        <v>8.0100000000000005E-2</v>
      </c>
      <c r="L1302" s="54">
        <v>46190</v>
      </c>
      <c r="M1302" s="54">
        <v>46282</v>
      </c>
      <c r="N1302" s="54">
        <v>46190</v>
      </c>
      <c r="O1302" s="54">
        <v>46288</v>
      </c>
    </row>
    <row r="1303" spans="2:15" x14ac:dyDescent="0.25">
      <c r="B1303">
        <v>1361</v>
      </c>
      <c r="F1303" t="s">
        <v>1840</v>
      </c>
      <c r="H1303" t="s">
        <v>1471</v>
      </c>
      <c r="I1303">
        <v>99</v>
      </c>
      <c r="J1303" s="48">
        <v>0.1187</v>
      </c>
      <c r="K1303" s="48">
        <v>8.0100000000000005E-2</v>
      </c>
      <c r="L1303" s="54">
        <v>46190</v>
      </c>
      <c r="M1303" s="54">
        <v>46282</v>
      </c>
      <c r="N1303" s="54">
        <v>46190</v>
      </c>
      <c r="O1303" s="54">
        <v>46288</v>
      </c>
    </row>
    <row r="1304" spans="2:15" x14ac:dyDescent="0.25">
      <c r="B1304">
        <v>1362</v>
      </c>
      <c r="F1304" t="s">
        <v>1841</v>
      </c>
      <c r="H1304" t="s">
        <v>1770</v>
      </c>
      <c r="I1304">
        <v>37</v>
      </c>
      <c r="J1304" s="48">
        <v>0.89390000000000003</v>
      </c>
      <c r="K1304" s="48">
        <v>0.73280000000000001</v>
      </c>
      <c r="L1304" s="54">
        <v>46190</v>
      </c>
      <c r="M1304" s="54">
        <v>46218</v>
      </c>
      <c r="N1304" s="54">
        <v>46190</v>
      </c>
      <c r="O1304" s="54">
        <v>46226</v>
      </c>
    </row>
    <row r="1305" spans="2:15" x14ac:dyDescent="0.25">
      <c r="B1305">
        <v>1363</v>
      </c>
      <c r="F1305" t="s">
        <v>1555</v>
      </c>
      <c r="H1305" t="s">
        <v>1523</v>
      </c>
      <c r="I1305">
        <v>10</v>
      </c>
      <c r="J1305" s="48">
        <v>1</v>
      </c>
      <c r="K1305" s="48">
        <v>1</v>
      </c>
      <c r="L1305" s="54">
        <v>46190</v>
      </c>
      <c r="M1305" s="54">
        <v>46199</v>
      </c>
      <c r="N1305" s="54">
        <v>46190</v>
      </c>
      <c r="O1305" s="54">
        <v>46199</v>
      </c>
    </row>
    <row r="1306" spans="2:15" x14ac:dyDescent="0.25">
      <c r="B1306">
        <v>1364</v>
      </c>
      <c r="E1306" t="s">
        <v>2171</v>
      </c>
      <c r="F1306" t="s">
        <v>1589</v>
      </c>
      <c r="G1306" t="s">
        <v>2172</v>
      </c>
      <c r="H1306" t="s">
        <v>1523</v>
      </c>
      <c r="I1306">
        <v>10</v>
      </c>
      <c r="J1306" s="48">
        <v>1</v>
      </c>
      <c r="K1306" s="48">
        <v>1</v>
      </c>
      <c r="L1306" s="54">
        <v>46190</v>
      </c>
      <c r="M1306" s="54">
        <v>46199</v>
      </c>
      <c r="N1306" s="54">
        <v>46190</v>
      </c>
      <c r="O1306" s="54">
        <v>46199</v>
      </c>
    </row>
    <row r="1307" spans="2:15" x14ac:dyDescent="0.25">
      <c r="B1307">
        <v>1365</v>
      </c>
      <c r="F1307" t="s">
        <v>1560</v>
      </c>
      <c r="H1307" t="s">
        <v>1578</v>
      </c>
      <c r="I1307">
        <v>23</v>
      </c>
      <c r="J1307" s="48">
        <v>0.82310000000000005</v>
      </c>
      <c r="K1307" s="48">
        <v>0.55469999999999997</v>
      </c>
      <c r="L1307" s="54">
        <v>46199</v>
      </c>
      <c r="M1307" s="54">
        <v>46218</v>
      </c>
      <c r="N1307" s="54">
        <v>46204</v>
      </c>
      <c r="O1307" s="54">
        <v>46226</v>
      </c>
    </row>
    <row r="1308" spans="2:15" x14ac:dyDescent="0.25">
      <c r="B1308">
        <v>1366</v>
      </c>
      <c r="F1308" t="s">
        <v>1589</v>
      </c>
      <c r="H1308" t="s">
        <v>1578</v>
      </c>
      <c r="I1308">
        <v>23</v>
      </c>
      <c r="J1308" s="48">
        <v>0.82310000000000005</v>
      </c>
      <c r="K1308" s="48">
        <v>0.55469999999999997</v>
      </c>
      <c r="L1308" s="54">
        <v>46199</v>
      </c>
      <c r="M1308" s="54">
        <v>46218</v>
      </c>
      <c r="N1308" s="54">
        <v>46204</v>
      </c>
      <c r="O1308" s="54">
        <v>46226</v>
      </c>
    </row>
    <row r="1309" spans="2:15" x14ac:dyDescent="0.25">
      <c r="B1309">
        <v>1367</v>
      </c>
      <c r="C1309" t="s">
        <v>117</v>
      </c>
      <c r="D1309" t="s">
        <v>777</v>
      </c>
      <c r="F1309" t="s">
        <v>1842</v>
      </c>
      <c r="H1309" t="s">
        <v>1578</v>
      </c>
      <c r="I1309">
        <v>23</v>
      </c>
      <c r="J1309" s="48">
        <v>0.88149999999999995</v>
      </c>
      <c r="K1309" s="48">
        <v>0.55469999999999997</v>
      </c>
      <c r="L1309" s="54">
        <v>46199</v>
      </c>
      <c r="M1309" s="54">
        <v>46216</v>
      </c>
      <c r="N1309" s="54">
        <v>46204</v>
      </c>
      <c r="O1309" s="54">
        <v>46226</v>
      </c>
    </row>
    <row r="1310" spans="2:15" x14ac:dyDescent="0.25">
      <c r="B1310">
        <v>1368</v>
      </c>
      <c r="C1310" t="s">
        <v>117</v>
      </c>
      <c r="D1310" t="s">
        <v>777</v>
      </c>
      <c r="E1310" t="s">
        <v>2173</v>
      </c>
      <c r="F1310" t="s">
        <v>1515</v>
      </c>
      <c r="G1310" t="s">
        <v>2174</v>
      </c>
      <c r="H1310" t="s">
        <v>1523</v>
      </c>
      <c r="I1310">
        <v>10</v>
      </c>
      <c r="J1310" s="48">
        <v>1</v>
      </c>
      <c r="K1310" s="48">
        <v>0.8</v>
      </c>
      <c r="L1310" s="54">
        <v>46199</v>
      </c>
      <c r="M1310" s="54">
        <v>46203</v>
      </c>
      <c r="N1310" s="54">
        <v>46204</v>
      </c>
      <c r="O1310" s="54">
        <v>46213</v>
      </c>
    </row>
    <row r="1311" spans="2:15" x14ac:dyDescent="0.25">
      <c r="B1311">
        <v>1369</v>
      </c>
      <c r="C1311" t="s">
        <v>117</v>
      </c>
      <c r="D1311" t="s">
        <v>777</v>
      </c>
      <c r="E1311">
        <v>1368</v>
      </c>
      <c r="F1311" t="s">
        <v>1517</v>
      </c>
      <c r="G1311">
        <v>1370</v>
      </c>
      <c r="H1311" t="s">
        <v>1519</v>
      </c>
      <c r="I1311">
        <v>6</v>
      </c>
      <c r="J1311" s="48">
        <v>1</v>
      </c>
      <c r="K1311" s="48">
        <v>0</v>
      </c>
      <c r="L1311" s="54">
        <v>46203</v>
      </c>
      <c r="M1311" s="54">
        <v>46206</v>
      </c>
      <c r="N1311" s="54">
        <v>46213</v>
      </c>
      <c r="O1311" s="54">
        <v>46218</v>
      </c>
    </row>
    <row r="1312" spans="2:15" x14ac:dyDescent="0.25">
      <c r="B1312">
        <v>1370</v>
      </c>
      <c r="C1312" t="s">
        <v>117</v>
      </c>
      <c r="D1312" t="s">
        <v>777</v>
      </c>
      <c r="E1312">
        <v>1369</v>
      </c>
      <c r="F1312" t="s">
        <v>1518</v>
      </c>
      <c r="G1312">
        <v>1371</v>
      </c>
      <c r="H1312" t="s">
        <v>1519</v>
      </c>
      <c r="I1312">
        <v>6</v>
      </c>
      <c r="J1312" s="48">
        <v>0.47</v>
      </c>
      <c r="K1312" s="48">
        <v>0</v>
      </c>
      <c r="L1312" s="54">
        <v>46206</v>
      </c>
      <c r="M1312" s="54">
        <v>46211</v>
      </c>
      <c r="N1312" s="54">
        <v>46218</v>
      </c>
      <c r="O1312" s="54">
        <v>46223</v>
      </c>
    </row>
    <row r="1313" spans="2:15" x14ac:dyDescent="0.25">
      <c r="B1313">
        <v>1371</v>
      </c>
      <c r="C1313" t="s">
        <v>117</v>
      </c>
      <c r="D1313" t="s">
        <v>777</v>
      </c>
      <c r="E1313">
        <v>1370</v>
      </c>
      <c r="F1313" t="s">
        <v>1520</v>
      </c>
      <c r="G1313">
        <v>76</v>
      </c>
      <c r="H1313" t="s">
        <v>1519</v>
      </c>
      <c r="I1313">
        <v>4</v>
      </c>
      <c r="J1313" s="48">
        <v>0</v>
      </c>
      <c r="K1313" s="48">
        <v>0</v>
      </c>
      <c r="L1313" s="54">
        <v>46211</v>
      </c>
      <c r="M1313" s="54">
        <v>46216</v>
      </c>
      <c r="N1313" s="54">
        <v>46223</v>
      </c>
      <c r="O1313" s="54">
        <v>46226</v>
      </c>
    </row>
    <row r="1314" spans="2:15" x14ac:dyDescent="0.25">
      <c r="B1314">
        <v>1372</v>
      </c>
      <c r="C1314" t="s">
        <v>118</v>
      </c>
      <c r="D1314" t="s">
        <v>782</v>
      </c>
      <c r="F1314" t="s">
        <v>1843</v>
      </c>
      <c r="H1314" t="s">
        <v>1578</v>
      </c>
      <c r="I1314">
        <v>23</v>
      </c>
      <c r="J1314" s="48">
        <v>0.76480000000000004</v>
      </c>
      <c r="K1314" s="48">
        <v>0.55469999999999997</v>
      </c>
      <c r="L1314" s="54">
        <v>46203</v>
      </c>
      <c r="M1314" s="54">
        <v>46218</v>
      </c>
      <c r="N1314" s="54">
        <v>46204</v>
      </c>
      <c r="O1314" s="54">
        <v>46226</v>
      </c>
    </row>
    <row r="1315" spans="2:15" x14ac:dyDescent="0.25">
      <c r="B1315">
        <v>1373</v>
      </c>
      <c r="C1315" t="s">
        <v>118</v>
      </c>
      <c r="D1315" t="s">
        <v>782</v>
      </c>
      <c r="E1315" t="s">
        <v>2175</v>
      </c>
      <c r="F1315" t="s">
        <v>1515</v>
      </c>
      <c r="G1315" t="s">
        <v>2176</v>
      </c>
      <c r="H1315" t="s">
        <v>1523</v>
      </c>
      <c r="I1315">
        <v>10</v>
      </c>
      <c r="J1315" s="48">
        <v>1</v>
      </c>
      <c r="K1315" s="48">
        <v>0.8</v>
      </c>
      <c r="L1315" s="54">
        <v>46203</v>
      </c>
      <c r="M1315" s="54">
        <v>46205</v>
      </c>
      <c r="N1315" s="54">
        <v>46204</v>
      </c>
      <c r="O1315" s="54">
        <v>46213</v>
      </c>
    </row>
    <row r="1316" spans="2:15" x14ac:dyDescent="0.25">
      <c r="B1316">
        <v>1374</v>
      </c>
      <c r="C1316" t="s">
        <v>118</v>
      </c>
      <c r="D1316" t="s">
        <v>782</v>
      </c>
      <c r="E1316">
        <v>1373</v>
      </c>
      <c r="F1316" t="s">
        <v>1517</v>
      </c>
      <c r="G1316">
        <v>1375</v>
      </c>
      <c r="H1316" t="s">
        <v>1519</v>
      </c>
      <c r="I1316">
        <v>6</v>
      </c>
      <c r="J1316" s="48">
        <v>0.67</v>
      </c>
      <c r="K1316" s="48">
        <v>0</v>
      </c>
      <c r="L1316" s="54">
        <v>46205</v>
      </c>
      <c r="M1316" s="54">
        <v>46210</v>
      </c>
      <c r="N1316" s="54">
        <v>46213</v>
      </c>
      <c r="O1316" s="54">
        <v>46218</v>
      </c>
    </row>
    <row r="1317" spans="2:15" x14ac:dyDescent="0.25">
      <c r="B1317">
        <v>1375</v>
      </c>
      <c r="C1317" t="s">
        <v>118</v>
      </c>
      <c r="D1317" t="s">
        <v>782</v>
      </c>
      <c r="E1317">
        <v>1374</v>
      </c>
      <c r="F1317" t="s">
        <v>1518</v>
      </c>
      <c r="G1317">
        <v>1376</v>
      </c>
      <c r="H1317" t="s">
        <v>1519</v>
      </c>
      <c r="I1317">
        <v>6</v>
      </c>
      <c r="J1317" s="48">
        <v>0</v>
      </c>
      <c r="K1317" s="48">
        <v>0</v>
      </c>
      <c r="L1317" s="54">
        <v>46210</v>
      </c>
      <c r="M1317" s="54">
        <v>46213</v>
      </c>
      <c r="N1317" s="54">
        <v>46218</v>
      </c>
      <c r="O1317" s="54">
        <v>46223</v>
      </c>
    </row>
    <row r="1318" spans="2:15" x14ac:dyDescent="0.25">
      <c r="B1318">
        <v>1376</v>
      </c>
      <c r="C1318" t="s">
        <v>118</v>
      </c>
      <c r="D1318" t="s">
        <v>782</v>
      </c>
      <c r="E1318">
        <v>1375</v>
      </c>
      <c r="F1318" t="s">
        <v>1520</v>
      </c>
      <c r="G1318">
        <v>76</v>
      </c>
      <c r="H1318" t="s">
        <v>1519</v>
      </c>
      <c r="I1318">
        <v>4</v>
      </c>
      <c r="J1318" s="48">
        <v>0</v>
      </c>
      <c r="K1318" s="48">
        <v>0</v>
      </c>
      <c r="L1318" s="54">
        <v>46213</v>
      </c>
      <c r="M1318" s="54">
        <v>46218</v>
      </c>
      <c r="N1318" s="54">
        <v>46223</v>
      </c>
      <c r="O1318" s="54">
        <v>46226</v>
      </c>
    </row>
    <row r="1319" spans="2:15" x14ac:dyDescent="0.25">
      <c r="B1319">
        <v>1377</v>
      </c>
      <c r="F1319" t="s">
        <v>1844</v>
      </c>
      <c r="H1319" t="s">
        <v>2110</v>
      </c>
      <c r="I1319">
        <v>76</v>
      </c>
      <c r="J1319" s="48">
        <v>2.3599999999999999E-2</v>
      </c>
      <c r="K1319" s="48">
        <v>0</v>
      </c>
      <c r="L1319" s="54">
        <v>46205</v>
      </c>
      <c r="M1319" s="54">
        <v>46282</v>
      </c>
      <c r="N1319" s="54">
        <v>46213</v>
      </c>
      <c r="O1319" s="54">
        <v>46288</v>
      </c>
    </row>
    <row r="1320" spans="2:15" x14ac:dyDescent="0.25">
      <c r="B1320">
        <v>1378</v>
      </c>
      <c r="F1320" t="s">
        <v>1555</v>
      </c>
      <c r="H1320" t="s">
        <v>1543</v>
      </c>
      <c r="I1320">
        <v>41</v>
      </c>
      <c r="J1320" s="48">
        <v>9.6000000000000002E-2</v>
      </c>
      <c r="K1320" s="48">
        <v>0</v>
      </c>
      <c r="L1320" s="54">
        <v>46205</v>
      </c>
      <c r="M1320" s="54">
        <v>46245</v>
      </c>
      <c r="N1320" s="54">
        <v>46213</v>
      </c>
      <c r="O1320" s="54">
        <v>46253</v>
      </c>
    </row>
    <row r="1321" spans="2:15" x14ac:dyDescent="0.25">
      <c r="B1321">
        <v>1379</v>
      </c>
      <c r="E1321" t="s">
        <v>2177</v>
      </c>
      <c r="F1321" t="s">
        <v>1688</v>
      </c>
      <c r="G1321">
        <v>1387</v>
      </c>
      <c r="H1321" t="s">
        <v>1516</v>
      </c>
      <c r="I1321">
        <v>11</v>
      </c>
      <c r="J1321" s="48">
        <v>0</v>
      </c>
      <c r="K1321" s="48">
        <v>0</v>
      </c>
      <c r="L1321" s="54">
        <v>46227</v>
      </c>
      <c r="M1321" s="54">
        <v>46239</v>
      </c>
      <c r="N1321" s="54">
        <v>46237</v>
      </c>
      <c r="O1321" s="54">
        <v>46247</v>
      </c>
    </row>
    <row r="1322" spans="2:15" x14ac:dyDescent="0.25">
      <c r="B1322">
        <v>1380</v>
      </c>
      <c r="E1322">
        <v>1381</v>
      </c>
      <c r="F1322" t="s">
        <v>1558</v>
      </c>
      <c r="G1322" t="s">
        <v>2178</v>
      </c>
      <c r="H1322" t="s">
        <v>1605</v>
      </c>
      <c r="I1322">
        <v>11</v>
      </c>
      <c r="J1322" s="48">
        <v>0</v>
      </c>
      <c r="K1322" s="48">
        <v>0</v>
      </c>
      <c r="L1322" s="54">
        <v>46212</v>
      </c>
      <c r="M1322" s="54">
        <v>46220</v>
      </c>
      <c r="N1322" s="54">
        <v>46220</v>
      </c>
      <c r="O1322" s="54">
        <v>46230</v>
      </c>
    </row>
    <row r="1323" spans="2:15" x14ac:dyDescent="0.25">
      <c r="B1323">
        <v>1381</v>
      </c>
      <c r="E1323" t="s">
        <v>2179</v>
      </c>
      <c r="F1323" t="s">
        <v>1589</v>
      </c>
      <c r="G1323" t="s">
        <v>2180</v>
      </c>
      <c r="H1323" t="s">
        <v>1528</v>
      </c>
      <c r="I1323">
        <v>8</v>
      </c>
      <c r="J1323" s="48">
        <v>0.48</v>
      </c>
      <c r="K1323" s="48">
        <v>0</v>
      </c>
      <c r="L1323" s="54">
        <v>46205</v>
      </c>
      <c r="M1323" s="54">
        <v>46212</v>
      </c>
      <c r="N1323" s="54">
        <v>46213</v>
      </c>
      <c r="O1323" s="54">
        <v>46220</v>
      </c>
    </row>
    <row r="1324" spans="2:15" x14ac:dyDescent="0.25">
      <c r="B1324">
        <v>1382</v>
      </c>
      <c r="E1324">
        <v>1429</v>
      </c>
      <c r="F1324" t="s">
        <v>1572</v>
      </c>
      <c r="G1324" t="s">
        <v>2181</v>
      </c>
      <c r="H1324" t="s">
        <v>1516</v>
      </c>
      <c r="I1324">
        <v>13</v>
      </c>
      <c r="J1324" s="48">
        <v>0</v>
      </c>
      <c r="K1324" s="48">
        <v>0</v>
      </c>
      <c r="L1324" s="54">
        <v>46233</v>
      </c>
      <c r="M1324" s="54">
        <v>46245</v>
      </c>
      <c r="N1324" s="54">
        <v>46241</v>
      </c>
      <c r="O1324" s="54">
        <v>46253</v>
      </c>
    </row>
    <row r="1325" spans="2:15" x14ac:dyDescent="0.25">
      <c r="B1325">
        <v>1383</v>
      </c>
      <c r="E1325" t="s">
        <v>2182</v>
      </c>
      <c r="F1325" t="s">
        <v>1689</v>
      </c>
      <c r="G1325">
        <v>1379</v>
      </c>
      <c r="H1325" t="s">
        <v>1528</v>
      </c>
      <c r="I1325">
        <v>8</v>
      </c>
      <c r="J1325" s="48">
        <v>0</v>
      </c>
      <c r="K1325" s="48">
        <v>0</v>
      </c>
      <c r="L1325" s="54">
        <v>46220</v>
      </c>
      <c r="M1325" s="54">
        <v>46227</v>
      </c>
      <c r="N1325" s="54">
        <v>46230</v>
      </c>
      <c r="O1325" s="54">
        <v>46237</v>
      </c>
    </row>
    <row r="1326" spans="2:15" x14ac:dyDescent="0.25">
      <c r="B1326">
        <v>1384</v>
      </c>
      <c r="F1326" t="s">
        <v>1560</v>
      </c>
      <c r="H1326" t="s">
        <v>1762</v>
      </c>
      <c r="I1326">
        <v>69</v>
      </c>
      <c r="J1326" s="48">
        <v>0</v>
      </c>
      <c r="K1326" s="48">
        <v>0</v>
      </c>
      <c r="L1326" s="54">
        <v>46212</v>
      </c>
      <c r="M1326" s="54">
        <v>46282</v>
      </c>
      <c r="N1326" s="54">
        <v>46220</v>
      </c>
      <c r="O1326" s="54">
        <v>46288</v>
      </c>
    </row>
    <row r="1327" spans="2:15" x14ac:dyDescent="0.25">
      <c r="B1327">
        <v>1385</v>
      </c>
      <c r="F1327" t="s">
        <v>1688</v>
      </c>
      <c r="H1327" t="s">
        <v>1543</v>
      </c>
      <c r="I1327">
        <v>42</v>
      </c>
      <c r="J1327" s="48">
        <v>0</v>
      </c>
      <c r="K1327" s="48">
        <v>0</v>
      </c>
      <c r="L1327" s="54">
        <v>46239</v>
      </c>
      <c r="M1327" s="54">
        <v>46282</v>
      </c>
      <c r="N1327" s="54">
        <v>46247</v>
      </c>
      <c r="O1327" s="54">
        <v>46288</v>
      </c>
    </row>
    <row r="1328" spans="2:15" x14ac:dyDescent="0.25">
      <c r="B1328">
        <v>1386</v>
      </c>
      <c r="C1328" t="s">
        <v>148</v>
      </c>
      <c r="D1328" t="s">
        <v>910</v>
      </c>
      <c r="F1328" t="s">
        <v>1658</v>
      </c>
      <c r="H1328" t="s">
        <v>1559</v>
      </c>
      <c r="I1328">
        <v>19</v>
      </c>
      <c r="J1328" s="48">
        <v>0</v>
      </c>
      <c r="K1328" s="48">
        <v>0</v>
      </c>
      <c r="L1328" s="54">
        <v>46239</v>
      </c>
      <c r="M1328" s="54">
        <v>46255</v>
      </c>
      <c r="N1328" s="54">
        <v>46247</v>
      </c>
      <c r="O1328" s="54">
        <v>46265</v>
      </c>
    </row>
    <row r="1329" spans="2:15" x14ac:dyDescent="0.25">
      <c r="B1329">
        <v>1387</v>
      </c>
      <c r="C1329" t="s">
        <v>148</v>
      </c>
      <c r="D1329" t="s">
        <v>910</v>
      </c>
      <c r="E1329">
        <v>1379</v>
      </c>
      <c r="F1329" t="s">
        <v>1515</v>
      </c>
      <c r="G1329" t="s">
        <v>2183</v>
      </c>
      <c r="H1329" t="s">
        <v>1519</v>
      </c>
      <c r="I1329">
        <v>6</v>
      </c>
      <c r="J1329" s="48">
        <v>0</v>
      </c>
      <c r="K1329" s="48">
        <v>0</v>
      </c>
      <c r="L1329" s="54">
        <v>46239</v>
      </c>
      <c r="M1329" s="54">
        <v>46244</v>
      </c>
      <c r="N1329" s="54">
        <v>46247</v>
      </c>
      <c r="O1329" s="54">
        <v>46252</v>
      </c>
    </row>
    <row r="1330" spans="2:15" x14ac:dyDescent="0.25">
      <c r="B1330">
        <v>1388</v>
      </c>
      <c r="C1330" t="s">
        <v>148</v>
      </c>
      <c r="D1330" t="s">
        <v>910</v>
      </c>
      <c r="E1330">
        <v>1387</v>
      </c>
      <c r="F1330" t="s">
        <v>1517</v>
      </c>
      <c r="G1330">
        <v>1389</v>
      </c>
      <c r="H1330" t="s">
        <v>1519</v>
      </c>
      <c r="I1330">
        <v>4</v>
      </c>
      <c r="J1330" s="48">
        <v>0</v>
      </c>
      <c r="K1330" s="48">
        <v>0</v>
      </c>
      <c r="L1330" s="54">
        <v>46244</v>
      </c>
      <c r="M1330" s="54">
        <v>46247</v>
      </c>
      <c r="N1330" s="54">
        <v>46252</v>
      </c>
      <c r="O1330" s="54">
        <v>46255</v>
      </c>
    </row>
    <row r="1331" spans="2:15" x14ac:dyDescent="0.25">
      <c r="B1331">
        <v>1389</v>
      </c>
      <c r="C1331" t="s">
        <v>148</v>
      </c>
      <c r="D1331" t="s">
        <v>910</v>
      </c>
      <c r="E1331">
        <v>1388</v>
      </c>
      <c r="F1331" t="s">
        <v>1518</v>
      </c>
      <c r="G1331">
        <v>1390</v>
      </c>
      <c r="H1331" t="s">
        <v>1519</v>
      </c>
      <c r="I1331">
        <v>6</v>
      </c>
      <c r="J1331" s="48">
        <v>0</v>
      </c>
      <c r="K1331" s="48">
        <v>0</v>
      </c>
      <c r="L1331" s="54">
        <v>46247</v>
      </c>
      <c r="M1331" s="54">
        <v>46252</v>
      </c>
      <c r="N1331" s="54">
        <v>46255</v>
      </c>
      <c r="O1331" s="54">
        <v>46260</v>
      </c>
    </row>
    <row r="1332" spans="2:15" x14ac:dyDescent="0.25">
      <c r="B1332">
        <v>1390</v>
      </c>
      <c r="C1332" t="s">
        <v>148</v>
      </c>
      <c r="D1332" t="s">
        <v>910</v>
      </c>
      <c r="E1332">
        <v>1389</v>
      </c>
      <c r="F1332" t="s">
        <v>1520</v>
      </c>
      <c r="G1332">
        <v>76</v>
      </c>
      <c r="H1332" t="s">
        <v>1519</v>
      </c>
      <c r="I1332">
        <v>6</v>
      </c>
      <c r="J1332" s="48">
        <v>0</v>
      </c>
      <c r="K1332" s="48">
        <v>0</v>
      </c>
      <c r="L1332" s="54">
        <v>46252</v>
      </c>
      <c r="M1332" s="54">
        <v>46255</v>
      </c>
      <c r="N1332" s="54">
        <v>46260</v>
      </c>
      <c r="O1332" s="54">
        <v>46265</v>
      </c>
    </row>
    <row r="1333" spans="2:15" x14ac:dyDescent="0.25">
      <c r="B1333">
        <v>1391</v>
      </c>
      <c r="C1333" t="s">
        <v>168</v>
      </c>
      <c r="D1333" t="s">
        <v>998</v>
      </c>
      <c r="F1333" t="s">
        <v>1660</v>
      </c>
      <c r="H1333" t="s">
        <v>1535</v>
      </c>
      <c r="I1333">
        <v>18</v>
      </c>
      <c r="J1333" s="48">
        <v>0</v>
      </c>
      <c r="K1333" s="48">
        <v>0</v>
      </c>
      <c r="L1333" s="54">
        <v>46244</v>
      </c>
      <c r="M1333" s="54">
        <v>46261</v>
      </c>
      <c r="N1333" s="54">
        <v>46252</v>
      </c>
      <c r="O1333" s="54">
        <v>46269</v>
      </c>
    </row>
    <row r="1334" spans="2:15" x14ac:dyDescent="0.25">
      <c r="B1334">
        <v>1392</v>
      </c>
      <c r="C1334" t="s">
        <v>168</v>
      </c>
      <c r="D1334" t="s">
        <v>998</v>
      </c>
      <c r="E1334">
        <v>1387</v>
      </c>
      <c r="F1334" t="s">
        <v>1515</v>
      </c>
      <c r="G1334" t="s">
        <v>2184</v>
      </c>
      <c r="H1334" t="s">
        <v>1525</v>
      </c>
      <c r="I1334">
        <v>7</v>
      </c>
      <c r="J1334" s="48">
        <v>0</v>
      </c>
      <c r="K1334" s="48">
        <v>0</v>
      </c>
      <c r="L1334" s="54">
        <v>46244</v>
      </c>
      <c r="M1334" s="54">
        <v>46248</v>
      </c>
      <c r="N1334" s="54">
        <v>46252</v>
      </c>
      <c r="O1334" s="54">
        <v>46258</v>
      </c>
    </row>
    <row r="1335" spans="2:15" x14ac:dyDescent="0.25">
      <c r="B1335">
        <v>1393</v>
      </c>
      <c r="C1335" t="s">
        <v>168</v>
      </c>
      <c r="D1335" t="s">
        <v>998</v>
      </c>
      <c r="E1335">
        <v>1392</v>
      </c>
      <c r="F1335" t="s">
        <v>1517</v>
      </c>
      <c r="G1335">
        <v>1394</v>
      </c>
      <c r="H1335" t="s">
        <v>1519</v>
      </c>
      <c r="I1335">
        <v>4</v>
      </c>
      <c r="J1335" s="48">
        <v>0</v>
      </c>
      <c r="K1335" s="48">
        <v>0</v>
      </c>
      <c r="L1335" s="54">
        <v>46248</v>
      </c>
      <c r="M1335" s="54">
        <v>46253</v>
      </c>
      <c r="N1335" s="54">
        <v>46258</v>
      </c>
      <c r="O1335" s="54">
        <v>46261</v>
      </c>
    </row>
    <row r="1336" spans="2:15" x14ac:dyDescent="0.25">
      <c r="B1336">
        <v>1394</v>
      </c>
      <c r="C1336" t="s">
        <v>168</v>
      </c>
      <c r="D1336" t="s">
        <v>998</v>
      </c>
      <c r="E1336">
        <v>1393</v>
      </c>
      <c r="F1336" t="s">
        <v>1518</v>
      </c>
      <c r="G1336">
        <v>1395</v>
      </c>
      <c r="H1336" t="s">
        <v>1519</v>
      </c>
      <c r="I1336">
        <v>6</v>
      </c>
      <c r="J1336" s="48">
        <v>0</v>
      </c>
      <c r="K1336" s="48">
        <v>0</v>
      </c>
      <c r="L1336" s="54">
        <v>46253</v>
      </c>
      <c r="M1336" s="54">
        <v>46258</v>
      </c>
      <c r="N1336" s="54">
        <v>46261</v>
      </c>
      <c r="O1336" s="54">
        <v>46266</v>
      </c>
    </row>
    <row r="1337" spans="2:15" x14ac:dyDescent="0.25">
      <c r="B1337">
        <v>1395</v>
      </c>
      <c r="C1337" t="s">
        <v>168</v>
      </c>
      <c r="D1337" t="s">
        <v>998</v>
      </c>
      <c r="E1337">
        <v>1394</v>
      </c>
      <c r="F1337" t="s">
        <v>1520</v>
      </c>
      <c r="G1337">
        <v>76</v>
      </c>
      <c r="H1337" t="s">
        <v>1519</v>
      </c>
      <c r="I1337">
        <v>4</v>
      </c>
      <c r="J1337" s="48">
        <v>0</v>
      </c>
      <c r="K1337" s="48">
        <v>0</v>
      </c>
      <c r="L1337" s="54">
        <v>46258</v>
      </c>
      <c r="M1337" s="54">
        <v>46261</v>
      </c>
      <c r="N1337" s="54">
        <v>46266</v>
      </c>
      <c r="O1337" s="54">
        <v>46269</v>
      </c>
    </row>
    <row r="1338" spans="2:15" x14ac:dyDescent="0.25">
      <c r="B1338">
        <v>1396</v>
      </c>
      <c r="C1338" t="s">
        <v>173</v>
      </c>
      <c r="D1338" t="s">
        <v>1016</v>
      </c>
      <c r="F1338" t="s">
        <v>1846</v>
      </c>
      <c r="H1338" t="s">
        <v>1535</v>
      </c>
      <c r="I1338">
        <v>19</v>
      </c>
      <c r="J1338" s="48">
        <v>0</v>
      </c>
      <c r="K1338" s="48">
        <v>0</v>
      </c>
      <c r="L1338" s="54">
        <v>46248</v>
      </c>
      <c r="M1338" s="54">
        <v>46267</v>
      </c>
      <c r="N1338" s="54">
        <v>46258</v>
      </c>
      <c r="O1338" s="54">
        <v>46276</v>
      </c>
    </row>
    <row r="1339" spans="2:15" x14ac:dyDescent="0.25">
      <c r="B1339">
        <v>1397</v>
      </c>
      <c r="C1339" t="s">
        <v>173</v>
      </c>
      <c r="D1339" t="s">
        <v>1016</v>
      </c>
      <c r="E1339">
        <v>1392</v>
      </c>
      <c r="F1339" t="s">
        <v>1515</v>
      </c>
      <c r="G1339" t="s">
        <v>2185</v>
      </c>
      <c r="H1339" t="s">
        <v>1525</v>
      </c>
      <c r="I1339">
        <v>5</v>
      </c>
      <c r="J1339" s="48">
        <v>0</v>
      </c>
      <c r="K1339" s="48">
        <v>0</v>
      </c>
      <c r="L1339" s="54">
        <v>46248</v>
      </c>
      <c r="M1339" s="54">
        <v>46254</v>
      </c>
      <c r="N1339" s="54">
        <v>46258</v>
      </c>
      <c r="O1339" s="54">
        <v>46262</v>
      </c>
    </row>
    <row r="1340" spans="2:15" x14ac:dyDescent="0.25">
      <c r="B1340">
        <v>1398</v>
      </c>
      <c r="C1340" t="s">
        <v>173</v>
      </c>
      <c r="D1340" t="s">
        <v>1016</v>
      </c>
      <c r="E1340">
        <v>1397</v>
      </c>
      <c r="F1340" t="s">
        <v>1517</v>
      </c>
      <c r="G1340">
        <v>1399</v>
      </c>
      <c r="H1340" t="s">
        <v>1519</v>
      </c>
      <c r="I1340">
        <v>6</v>
      </c>
      <c r="J1340" s="48">
        <v>0</v>
      </c>
      <c r="K1340" s="48">
        <v>0</v>
      </c>
      <c r="L1340" s="54">
        <v>46254</v>
      </c>
      <c r="M1340" s="54">
        <v>46259</v>
      </c>
      <c r="N1340" s="54">
        <v>46262</v>
      </c>
      <c r="O1340" s="54">
        <v>46267</v>
      </c>
    </row>
    <row r="1341" spans="2:15" x14ac:dyDescent="0.25">
      <c r="B1341">
        <v>1399</v>
      </c>
      <c r="C1341" t="s">
        <v>173</v>
      </c>
      <c r="D1341" t="s">
        <v>1016</v>
      </c>
      <c r="E1341">
        <v>1398</v>
      </c>
      <c r="F1341" t="s">
        <v>1518</v>
      </c>
      <c r="G1341">
        <v>1400</v>
      </c>
      <c r="H1341" t="s">
        <v>1519</v>
      </c>
      <c r="I1341">
        <v>7</v>
      </c>
      <c r="J1341" s="48">
        <v>0</v>
      </c>
      <c r="K1341" s="48">
        <v>0</v>
      </c>
      <c r="L1341" s="54">
        <v>46259</v>
      </c>
      <c r="M1341" s="54">
        <v>46262</v>
      </c>
      <c r="N1341" s="54">
        <v>46267</v>
      </c>
      <c r="O1341" s="54">
        <v>46273</v>
      </c>
    </row>
    <row r="1342" spans="2:15" x14ac:dyDescent="0.25">
      <c r="B1342">
        <v>1400</v>
      </c>
      <c r="C1342" t="s">
        <v>173</v>
      </c>
      <c r="D1342" t="s">
        <v>1016</v>
      </c>
      <c r="E1342">
        <v>1399</v>
      </c>
      <c r="F1342" t="s">
        <v>1520</v>
      </c>
      <c r="G1342">
        <v>76</v>
      </c>
      <c r="H1342" t="s">
        <v>1519</v>
      </c>
      <c r="I1342">
        <v>4</v>
      </c>
      <c r="J1342" s="48">
        <v>0</v>
      </c>
      <c r="K1342" s="48">
        <v>0</v>
      </c>
      <c r="L1342" s="54">
        <v>46262</v>
      </c>
      <c r="M1342" s="54">
        <v>46267</v>
      </c>
      <c r="N1342" s="54">
        <v>46273</v>
      </c>
      <c r="O1342" s="54">
        <v>46276</v>
      </c>
    </row>
    <row r="1343" spans="2:15" x14ac:dyDescent="0.25">
      <c r="B1343">
        <v>1401</v>
      </c>
      <c r="C1343" t="s">
        <v>170</v>
      </c>
      <c r="D1343" t="s">
        <v>1005</v>
      </c>
      <c r="F1343" t="s">
        <v>1847</v>
      </c>
      <c r="H1343" t="s">
        <v>1559</v>
      </c>
      <c r="I1343">
        <v>20</v>
      </c>
      <c r="J1343" s="48">
        <v>0</v>
      </c>
      <c r="K1343" s="48">
        <v>0</v>
      </c>
      <c r="L1343" s="54">
        <v>46254</v>
      </c>
      <c r="M1343" s="54">
        <v>46273</v>
      </c>
      <c r="N1343" s="54">
        <v>46262</v>
      </c>
      <c r="O1343" s="54">
        <v>46281</v>
      </c>
    </row>
    <row r="1344" spans="2:15" x14ac:dyDescent="0.25">
      <c r="B1344">
        <v>1402</v>
      </c>
      <c r="C1344" t="s">
        <v>170</v>
      </c>
      <c r="D1344" t="s">
        <v>1005</v>
      </c>
      <c r="E1344">
        <v>1397</v>
      </c>
      <c r="F1344" t="s">
        <v>1515</v>
      </c>
      <c r="G1344" t="s">
        <v>2186</v>
      </c>
      <c r="H1344" t="s">
        <v>1519</v>
      </c>
      <c r="I1344">
        <v>6</v>
      </c>
      <c r="J1344" s="48">
        <v>0</v>
      </c>
      <c r="K1344" s="48">
        <v>0</v>
      </c>
      <c r="L1344" s="54">
        <v>46254</v>
      </c>
      <c r="M1344" s="54">
        <v>46259</v>
      </c>
      <c r="N1344" s="54">
        <v>46262</v>
      </c>
      <c r="O1344" s="54">
        <v>46267</v>
      </c>
    </row>
    <row r="1345" spans="2:15" x14ac:dyDescent="0.25">
      <c r="B1345">
        <v>1403</v>
      </c>
      <c r="C1345" t="s">
        <v>170</v>
      </c>
      <c r="D1345" t="s">
        <v>1005</v>
      </c>
      <c r="E1345">
        <v>1402</v>
      </c>
      <c r="F1345" t="s">
        <v>1517</v>
      </c>
      <c r="G1345">
        <v>1404</v>
      </c>
      <c r="H1345" t="s">
        <v>1519</v>
      </c>
      <c r="I1345">
        <v>7</v>
      </c>
      <c r="J1345" s="48">
        <v>0</v>
      </c>
      <c r="K1345" s="48">
        <v>0</v>
      </c>
      <c r="L1345" s="54">
        <v>46259</v>
      </c>
      <c r="M1345" s="54">
        <v>46262</v>
      </c>
      <c r="N1345" s="54">
        <v>46267</v>
      </c>
      <c r="O1345" s="54">
        <v>46273</v>
      </c>
    </row>
    <row r="1346" spans="2:15" x14ac:dyDescent="0.25">
      <c r="B1346">
        <v>1404</v>
      </c>
      <c r="C1346" t="s">
        <v>170</v>
      </c>
      <c r="D1346" t="s">
        <v>1005</v>
      </c>
      <c r="E1346">
        <v>1403</v>
      </c>
      <c r="F1346" t="s">
        <v>1518</v>
      </c>
      <c r="G1346">
        <v>1405</v>
      </c>
      <c r="H1346" t="s">
        <v>1519</v>
      </c>
      <c r="I1346">
        <v>4</v>
      </c>
      <c r="J1346" s="48">
        <v>0</v>
      </c>
      <c r="K1346" s="48">
        <v>0</v>
      </c>
      <c r="L1346" s="54">
        <v>46262</v>
      </c>
      <c r="M1346" s="54">
        <v>46267</v>
      </c>
      <c r="N1346" s="54">
        <v>46273</v>
      </c>
      <c r="O1346" s="54">
        <v>46276</v>
      </c>
    </row>
    <row r="1347" spans="2:15" x14ac:dyDescent="0.25">
      <c r="B1347">
        <v>1405</v>
      </c>
      <c r="C1347" t="s">
        <v>170</v>
      </c>
      <c r="D1347" t="s">
        <v>1005</v>
      </c>
      <c r="E1347">
        <v>1404</v>
      </c>
      <c r="F1347" t="s">
        <v>1520</v>
      </c>
      <c r="G1347">
        <v>76</v>
      </c>
      <c r="H1347" t="s">
        <v>1519</v>
      </c>
      <c r="I1347">
        <v>6</v>
      </c>
      <c r="J1347" s="48">
        <v>0</v>
      </c>
      <c r="K1347" s="48">
        <v>0</v>
      </c>
      <c r="L1347" s="54">
        <v>46267</v>
      </c>
      <c r="M1347" s="54">
        <v>46273</v>
      </c>
      <c r="N1347" s="54">
        <v>46276</v>
      </c>
      <c r="O1347" s="54">
        <v>46281</v>
      </c>
    </row>
    <row r="1348" spans="2:15" x14ac:dyDescent="0.25">
      <c r="B1348">
        <v>1406</v>
      </c>
      <c r="C1348" t="s">
        <v>176</v>
      </c>
      <c r="D1348" t="s">
        <v>1028</v>
      </c>
      <c r="F1348" t="s">
        <v>1683</v>
      </c>
      <c r="H1348" t="s">
        <v>1559</v>
      </c>
      <c r="I1348">
        <v>20</v>
      </c>
      <c r="J1348" s="48">
        <v>0</v>
      </c>
      <c r="K1348" s="48">
        <v>0</v>
      </c>
      <c r="L1348" s="54">
        <v>46259</v>
      </c>
      <c r="M1348" s="54">
        <v>46279</v>
      </c>
      <c r="N1348" s="54">
        <v>46267</v>
      </c>
      <c r="O1348" s="54">
        <v>46286</v>
      </c>
    </row>
    <row r="1349" spans="2:15" x14ac:dyDescent="0.25">
      <c r="B1349">
        <v>1407</v>
      </c>
      <c r="C1349" t="s">
        <v>176</v>
      </c>
      <c r="D1349" t="s">
        <v>1028</v>
      </c>
      <c r="E1349">
        <v>1402</v>
      </c>
      <c r="F1349" t="s">
        <v>1515</v>
      </c>
      <c r="G1349" t="s">
        <v>2187</v>
      </c>
      <c r="H1349" t="s">
        <v>1519</v>
      </c>
      <c r="I1349">
        <v>7</v>
      </c>
      <c r="J1349" s="48">
        <v>0</v>
      </c>
      <c r="K1349" s="48">
        <v>0</v>
      </c>
      <c r="L1349" s="54">
        <v>46259</v>
      </c>
      <c r="M1349" s="54">
        <v>46265</v>
      </c>
      <c r="N1349" s="54">
        <v>46267</v>
      </c>
      <c r="O1349" s="54">
        <v>46273</v>
      </c>
    </row>
    <row r="1350" spans="2:15" x14ac:dyDescent="0.25">
      <c r="B1350">
        <v>1408</v>
      </c>
      <c r="C1350" t="s">
        <v>176</v>
      </c>
      <c r="D1350" t="s">
        <v>1028</v>
      </c>
      <c r="E1350">
        <v>1407</v>
      </c>
      <c r="F1350" t="s">
        <v>1517</v>
      </c>
      <c r="G1350">
        <v>1409</v>
      </c>
      <c r="H1350" t="s">
        <v>1519</v>
      </c>
      <c r="I1350">
        <v>4</v>
      </c>
      <c r="J1350" s="48">
        <v>0</v>
      </c>
      <c r="K1350" s="48">
        <v>0</v>
      </c>
      <c r="L1350" s="54">
        <v>46265</v>
      </c>
      <c r="M1350" s="54">
        <v>46268</v>
      </c>
      <c r="N1350" s="54">
        <v>46273</v>
      </c>
      <c r="O1350" s="54">
        <v>46276</v>
      </c>
    </row>
    <row r="1351" spans="2:15" x14ac:dyDescent="0.25">
      <c r="B1351">
        <v>1409</v>
      </c>
      <c r="C1351" t="s">
        <v>176</v>
      </c>
      <c r="D1351" t="s">
        <v>1028</v>
      </c>
      <c r="E1351">
        <v>1408</v>
      </c>
      <c r="F1351" t="s">
        <v>1518</v>
      </c>
      <c r="G1351">
        <v>1410</v>
      </c>
      <c r="H1351" t="s">
        <v>1519</v>
      </c>
      <c r="I1351">
        <v>6</v>
      </c>
      <c r="J1351" s="48">
        <v>0</v>
      </c>
      <c r="K1351" s="48">
        <v>0</v>
      </c>
      <c r="L1351" s="54">
        <v>46268</v>
      </c>
      <c r="M1351" s="54">
        <v>46274</v>
      </c>
      <c r="N1351" s="54">
        <v>46276</v>
      </c>
      <c r="O1351" s="54">
        <v>46281</v>
      </c>
    </row>
    <row r="1352" spans="2:15" x14ac:dyDescent="0.25">
      <c r="B1352">
        <v>1410</v>
      </c>
      <c r="C1352" t="s">
        <v>176</v>
      </c>
      <c r="D1352" t="s">
        <v>1028</v>
      </c>
      <c r="E1352">
        <v>1409</v>
      </c>
      <c r="F1352" t="s">
        <v>1520</v>
      </c>
      <c r="G1352">
        <v>76</v>
      </c>
      <c r="H1352" t="s">
        <v>1519</v>
      </c>
      <c r="I1352">
        <v>6</v>
      </c>
      <c r="J1352" s="48">
        <v>0</v>
      </c>
      <c r="K1352" s="48">
        <v>0</v>
      </c>
      <c r="L1352" s="54">
        <v>46274</v>
      </c>
      <c r="M1352" s="54">
        <v>46279</v>
      </c>
      <c r="N1352" s="54">
        <v>46281</v>
      </c>
      <c r="O1352" s="54">
        <v>46286</v>
      </c>
    </row>
    <row r="1353" spans="2:15" x14ac:dyDescent="0.25">
      <c r="B1353">
        <v>1411</v>
      </c>
      <c r="C1353" t="s">
        <v>178</v>
      </c>
      <c r="D1353" t="s">
        <v>1035</v>
      </c>
      <c r="F1353" t="s">
        <v>1684</v>
      </c>
      <c r="H1353" t="s">
        <v>1641</v>
      </c>
      <c r="I1353">
        <v>16</v>
      </c>
      <c r="J1353" s="48">
        <v>0</v>
      </c>
      <c r="K1353" s="48">
        <v>0</v>
      </c>
      <c r="L1353" s="54">
        <v>46265</v>
      </c>
      <c r="M1353" s="54">
        <v>46282</v>
      </c>
      <c r="N1353" s="54">
        <v>46273</v>
      </c>
      <c r="O1353" s="54">
        <v>46288</v>
      </c>
    </row>
    <row r="1354" spans="2:15" x14ac:dyDescent="0.25">
      <c r="B1354">
        <v>1412</v>
      </c>
      <c r="C1354" t="s">
        <v>178</v>
      </c>
      <c r="D1354" t="s">
        <v>1035</v>
      </c>
      <c r="E1354">
        <v>1407</v>
      </c>
      <c r="F1354" t="s">
        <v>1515</v>
      </c>
      <c r="G1354">
        <v>1413</v>
      </c>
      <c r="H1354" t="s">
        <v>1642</v>
      </c>
      <c r="I1354">
        <v>3</v>
      </c>
      <c r="J1354" s="48">
        <v>0</v>
      </c>
      <c r="K1354" s="48">
        <v>0</v>
      </c>
      <c r="L1354" s="54">
        <v>46265</v>
      </c>
      <c r="M1354" s="54">
        <v>46268</v>
      </c>
      <c r="N1354" s="54">
        <v>46273</v>
      </c>
      <c r="O1354" s="54">
        <v>46275</v>
      </c>
    </row>
    <row r="1355" spans="2:15" x14ac:dyDescent="0.25">
      <c r="B1355">
        <v>1413</v>
      </c>
      <c r="C1355" t="s">
        <v>178</v>
      </c>
      <c r="D1355" t="s">
        <v>1035</v>
      </c>
      <c r="E1355">
        <v>1412</v>
      </c>
      <c r="F1355" t="s">
        <v>1517</v>
      </c>
      <c r="G1355">
        <v>1414</v>
      </c>
      <c r="H1355" t="s">
        <v>1519</v>
      </c>
      <c r="I1355">
        <v>6</v>
      </c>
      <c r="J1355" s="48">
        <v>0</v>
      </c>
      <c r="K1355" s="48">
        <v>0</v>
      </c>
      <c r="L1355" s="54">
        <v>46268</v>
      </c>
      <c r="M1355" s="54">
        <v>46274</v>
      </c>
      <c r="N1355" s="54">
        <v>46275</v>
      </c>
      <c r="O1355" s="54">
        <v>46280</v>
      </c>
    </row>
    <row r="1356" spans="2:15" x14ac:dyDescent="0.25">
      <c r="B1356">
        <v>1414</v>
      </c>
      <c r="C1356" t="s">
        <v>178</v>
      </c>
      <c r="D1356" t="s">
        <v>1035</v>
      </c>
      <c r="E1356">
        <v>1413</v>
      </c>
      <c r="F1356" t="s">
        <v>1518</v>
      </c>
      <c r="G1356">
        <v>1415</v>
      </c>
      <c r="H1356" t="s">
        <v>1519</v>
      </c>
      <c r="I1356">
        <v>4</v>
      </c>
      <c r="J1356" s="48">
        <v>0</v>
      </c>
      <c r="K1356" s="48">
        <v>0</v>
      </c>
      <c r="L1356" s="54">
        <v>46274</v>
      </c>
      <c r="M1356" s="54">
        <v>46279</v>
      </c>
      <c r="N1356" s="54">
        <v>46280</v>
      </c>
      <c r="O1356" s="54">
        <v>46283</v>
      </c>
    </row>
    <row r="1357" spans="2:15" x14ac:dyDescent="0.25">
      <c r="B1357">
        <v>1415</v>
      </c>
      <c r="C1357" t="s">
        <v>178</v>
      </c>
      <c r="D1357" t="s">
        <v>1035</v>
      </c>
      <c r="E1357">
        <v>1414</v>
      </c>
      <c r="F1357" t="s">
        <v>1520</v>
      </c>
      <c r="G1357">
        <v>76</v>
      </c>
      <c r="H1357" t="s">
        <v>1519</v>
      </c>
      <c r="I1357">
        <v>6</v>
      </c>
      <c r="J1357" s="48">
        <v>0</v>
      </c>
      <c r="K1357" s="48">
        <v>0</v>
      </c>
      <c r="L1357" s="54">
        <v>46279</v>
      </c>
      <c r="M1357" s="54">
        <v>46282</v>
      </c>
      <c r="N1357" s="54">
        <v>46283</v>
      </c>
      <c r="O1357" s="54">
        <v>46288</v>
      </c>
    </row>
    <row r="1358" spans="2:15" x14ac:dyDescent="0.25">
      <c r="B1358">
        <v>1416</v>
      </c>
      <c r="F1358" t="s">
        <v>1589</v>
      </c>
      <c r="H1358" t="s">
        <v>1514</v>
      </c>
      <c r="I1358">
        <v>28</v>
      </c>
      <c r="J1358" s="48">
        <v>0</v>
      </c>
      <c r="K1358" s="48">
        <v>0</v>
      </c>
      <c r="L1358" s="54">
        <v>46212</v>
      </c>
      <c r="M1358" s="54">
        <v>46239</v>
      </c>
      <c r="N1358" s="54">
        <v>46220</v>
      </c>
      <c r="O1358" s="54">
        <v>46247</v>
      </c>
    </row>
    <row r="1359" spans="2:15" x14ac:dyDescent="0.25">
      <c r="B1359">
        <v>1417</v>
      </c>
      <c r="C1359" t="s">
        <v>119</v>
      </c>
      <c r="D1359" t="s">
        <v>787</v>
      </c>
      <c r="F1359" t="s">
        <v>1803</v>
      </c>
      <c r="H1359" t="s">
        <v>1527</v>
      </c>
      <c r="I1359">
        <v>21</v>
      </c>
      <c r="J1359" s="48">
        <v>0</v>
      </c>
      <c r="K1359" s="48">
        <v>0</v>
      </c>
      <c r="L1359" s="54">
        <v>46212</v>
      </c>
      <c r="M1359" s="54">
        <v>46232</v>
      </c>
      <c r="N1359" s="54">
        <v>46220</v>
      </c>
      <c r="O1359" s="54">
        <v>46240</v>
      </c>
    </row>
    <row r="1360" spans="2:15" x14ac:dyDescent="0.25">
      <c r="B1360">
        <v>1418</v>
      </c>
      <c r="C1360" t="s">
        <v>119</v>
      </c>
      <c r="D1360" t="s">
        <v>787</v>
      </c>
      <c r="E1360">
        <v>1381</v>
      </c>
      <c r="F1360" t="s">
        <v>1515</v>
      </c>
      <c r="G1360" t="s">
        <v>2188</v>
      </c>
      <c r="H1360" t="s">
        <v>1528</v>
      </c>
      <c r="I1360">
        <v>8</v>
      </c>
      <c r="J1360" s="48">
        <v>0</v>
      </c>
      <c r="K1360" s="48">
        <v>0</v>
      </c>
      <c r="L1360" s="54">
        <v>46212</v>
      </c>
      <c r="M1360" s="54">
        <v>46219</v>
      </c>
      <c r="N1360" s="54">
        <v>46220</v>
      </c>
      <c r="O1360" s="54">
        <v>46227</v>
      </c>
    </row>
    <row r="1361" spans="2:15" x14ac:dyDescent="0.25">
      <c r="B1361">
        <v>1419</v>
      </c>
      <c r="C1361" t="s">
        <v>119</v>
      </c>
      <c r="D1361" t="s">
        <v>787</v>
      </c>
      <c r="E1361">
        <v>1418</v>
      </c>
      <c r="F1361" t="s">
        <v>1517</v>
      </c>
      <c r="G1361">
        <v>1420</v>
      </c>
      <c r="H1361" t="s">
        <v>1519</v>
      </c>
      <c r="I1361">
        <v>6</v>
      </c>
      <c r="J1361" s="48">
        <v>0</v>
      </c>
      <c r="K1361" s="48">
        <v>0</v>
      </c>
      <c r="L1361" s="54">
        <v>46219</v>
      </c>
      <c r="M1361" s="54">
        <v>46224</v>
      </c>
      <c r="N1361" s="54">
        <v>46227</v>
      </c>
      <c r="O1361" s="54">
        <v>46232</v>
      </c>
    </row>
    <row r="1362" spans="2:15" x14ac:dyDescent="0.25">
      <c r="B1362">
        <v>1420</v>
      </c>
      <c r="C1362" t="s">
        <v>119</v>
      </c>
      <c r="D1362" t="s">
        <v>787</v>
      </c>
      <c r="E1362">
        <v>1419</v>
      </c>
      <c r="F1362" t="s">
        <v>1518</v>
      </c>
      <c r="G1362">
        <v>1421</v>
      </c>
      <c r="H1362" t="s">
        <v>1519</v>
      </c>
      <c r="I1362">
        <v>6</v>
      </c>
      <c r="J1362" s="48">
        <v>0</v>
      </c>
      <c r="K1362" s="48">
        <v>0</v>
      </c>
      <c r="L1362" s="54">
        <v>46224</v>
      </c>
      <c r="M1362" s="54">
        <v>46227</v>
      </c>
      <c r="N1362" s="54">
        <v>46232</v>
      </c>
      <c r="O1362" s="54">
        <v>46237</v>
      </c>
    </row>
    <row r="1363" spans="2:15" x14ac:dyDescent="0.25">
      <c r="B1363">
        <v>1421</v>
      </c>
      <c r="C1363" t="s">
        <v>119</v>
      </c>
      <c r="D1363" t="s">
        <v>787</v>
      </c>
      <c r="E1363">
        <v>1420</v>
      </c>
      <c r="F1363" t="s">
        <v>1520</v>
      </c>
      <c r="G1363">
        <v>76</v>
      </c>
      <c r="H1363" t="s">
        <v>1519</v>
      </c>
      <c r="I1363">
        <v>4</v>
      </c>
      <c r="J1363" s="48">
        <v>0</v>
      </c>
      <c r="K1363" s="48">
        <v>0</v>
      </c>
      <c r="L1363" s="54">
        <v>46227</v>
      </c>
      <c r="M1363" s="54">
        <v>46232</v>
      </c>
      <c r="N1363" s="54">
        <v>46237</v>
      </c>
      <c r="O1363" s="54">
        <v>46240</v>
      </c>
    </row>
    <row r="1364" spans="2:15" x14ac:dyDescent="0.25">
      <c r="B1364">
        <v>1422</v>
      </c>
      <c r="C1364" t="s">
        <v>120</v>
      </c>
      <c r="D1364" t="s">
        <v>792</v>
      </c>
      <c r="F1364" t="s">
        <v>1805</v>
      </c>
      <c r="H1364" t="s">
        <v>1527</v>
      </c>
      <c r="I1364">
        <v>21</v>
      </c>
      <c r="J1364" s="48">
        <v>0</v>
      </c>
      <c r="K1364" s="48">
        <v>0</v>
      </c>
      <c r="L1364" s="54">
        <v>46219</v>
      </c>
      <c r="M1364" s="54">
        <v>46239</v>
      </c>
      <c r="N1364" s="54">
        <v>46227</v>
      </c>
      <c r="O1364" s="54">
        <v>46247</v>
      </c>
    </row>
    <row r="1365" spans="2:15" x14ac:dyDescent="0.25">
      <c r="B1365">
        <v>1423</v>
      </c>
      <c r="C1365" t="s">
        <v>120</v>
      </c>
      <c r="D1365" t="s">
        <v>792</v>
      </c>
      <c r="E1365">
        <v>1418</v>
      </c>
      <c r="F1365" t="s">
        <v>1515</v>
      </c>
      <c r="G1365" t="s">
        <v>2189</v>
      </c>
      <c r="H1365" t="s">
        <v>1528</v>
      </c>
      <c r="I1365">
        <v>8</v>
      </c>
      <c r="J1365" s="48">
        <v>0</v>
      </c>
      <c r="K1365" s="48">
        <v>0</v>
      </c>
      <c r="L1365" s="54">
        <v>46219</v>
      </c>
      <c r="M1365" s="54">
        <v>46226</v>
      </c>
      <c r="N1365" s="54">
        <v>46227</v>
      </c>
      <c r="O1365" s="54">
        <v>46234</v>
      </c>
    </row>
    <row r="1366" spans="2:15" x14ac:dyDescent="0.25">
      <c r="B1366">
        <v>1424</v>
      </c>
      <c r="C1366" t="s">
        <v>120</v>
      </c>
      <c r="D1366" t="s">
        <v>792</v>
      </c>
      <c r="E1366">
        <v>1423</v>
      </c>
      <c r="F1366" t="s">
        <v>1517</v>
      </c>
      <c r="G1366">
        <v>1425</v>
      </c>
      <c r="H1366" t="s">
        <v>1519</v>
      </c>
      <c r="I1366">
        <v>6</v>
      </c>
      <c r="J1366" s="48">
        <v>0</v>
      </c>
      <c r="K1366" s="48">
        <v>0</v>
      </c>
      <c r="L1366" s="54">
        <v>46226</v>
      </c>
      <c r="M1366" s="54">
        <v>46231</v>
      </c>
      <c r="N1366" s="54">
        <v>46234</v>
      </c>
      <c r="O1366" s="54">
        <v>46239</v>
      </c>
    </row>
    <row r="1367" spans="2:15" x14ac:dyDescent="0.25">
      <c r="B1367">
        <v>1425</v>
      </c>
      <c r="C1367" t="s">
        <v>120</v>
      </c>
      <c r="D1367" t="s">
        <v>792</v>
      </c>
      <c r="E1367">
        <v>1424</v>
      </c>
      <c r="F1367" t="s">
        <v>1518</v>
      </c>
      <c r="G1367">
        <v>1426</v>
      </c>
      <c r="H1367" t="s">
        <v>1519</v>
      </c>
      <c r="I1367">
        <v>6</v>
      </c>
      <c r="J1367" s="48">
        <v>0</v>
      </c>
      <c r="K1367" s="48">
        <v>0</v>
      </c>
      <c r="L1367" s="54">
        <v>46231</v>
      </c>
      <c r="M1367" s="54">
        <v>46234</v>
      </c>
      <c r="N1367" s="54">
        <v>46239</v>
      </c>
      <c r="O1367" s="54">
        <v>46244</v>
      </c>
    </row>
    <row r="1368" spans="2:15" x14ac:dyDescent="0.25">
      <c r="B1368">
        <v>1426</v>
      </c>
      <c r="C1368" t="s">
        <v>120</v>
      </c>
      <c r="D1368" t="s">
        <v>792</v>
      </c>
      <c r="E1368">
        <v>1425</v>
      </c>
      <c r="F1368" t="s">
        <v>1520</v>
      </c>
      <c r="G1368">
        <v>76</v>
      </c>
      <c r="H1368" t="s">
        <v>1519</v>
      </c>
      <c r="I1368">
        <v>4</v>
      </c>
      <c r="J1368" s="48">
        <v>0</v>
      </c>
      <c r="K1368" s="48">
        <v>0</v>
      </c>
      <c r="L1368" s="54">
        <v>46234</v>
      </c>
      <c r="M1368" s="54">
        <v>46239</v>
      </c>
      <c r="N1368" s="54">
        <v>46244</v>
      </c>
      <c r="O1368" s="54">
        <v>46247</v>
      </c>
    </row>
    <row r="1369" spans="2:15" x14ac:dyDescent="0.25">
      <c r="B1369">
        <v>1427</v>
      </c>
      <c r="F1369" t="s">
        <v>1572</v>
      </c>
      <c r="H1369" t="s">
        <v>1709</v>
      </c>
      <c r="I1369">
        <v>41</v>
      </c>
      <c r="J1369" s="48">
        <v>0</v>
      </c>
      <c r="K1369" s="48">
        <v>0</v>
      </c>
      <c r="L1369" s="54">
        <v>46226</v>
      </c>
      <c r="M1369" s="54">
        <v>46265</v>
      </c>
      <c r="N1369" s="54">
        <v>46234</v>
      </c>
      <c r="O1369" s="54">
        <v>46274</v>
      </c>
    </row>
    <row r="1370" spans="2:15" x14ac:dyDescent="0.25">
      <c r="B1370">
        <v>1428</v>
      </c>
      <c r="C1370" t="s">
        <v>109</v>
      </c>
      <c r="D1370" t="s">
        <v>733</v>
      </c>
      <c r="F1370" t="s">
        <v>1848</v>
      </c>
      <c r="H1370" t="s">
        <v>1527</v>
      </c>
      <c r="I1370">
        <v>21</v>
      </c>
      <c r="J1370" s="48">
        <v>0</v>
      </c>
      <c r="K1370" s="48">
        <v>0</v>
      </c>
      <c r="L1370" s="54">
        <v>46226</v>
      </c>
      <c r="M1370" s="54">
        <v>46246</v>
      </c>
      <c r="N1370" s="54">
        <v>46234</v>
      </c>
      <c r="O1370" s="54">
        <v>46254</v>
      </c>
    </row>
    <row r="1371" spans="2:15" x14ac:dyDescent="0.25">
      <c r="B1371">
        <v>1429</v>
      </c>
      <c r="C1371" t="s">
        <v>109</v>
      </c>
      <c r="D1371" t="s">
        <v>733</v>
      </c>
      <c r="E1371" t="s">
        <v>2190</v>
      </c>
      <c r="F1371" t="s">
        <v>1515</v>
      </c>
      <c r="G1371" t="s">
        <v>2191</v>
      </c>
      <c r="H1371" t="s">
        <v>1528</v>
      </c>
      <c r="I1371">
        <v>8</v>
      </c>
      <c r="J1371" s="48">
        <v>0</v>
      </c>
      <c r="K1371" s="48">
        <v>0</v>
      </c>
      <c r="L1371" s="54">
        <v>46226</v>
      </c>
      <c r="M1371" s="54">
        <v>46233</v>
      </c>
      <c r="N1371" s="54">
        <v>46234</v>
      </c>
      <c r="O1371" s="54">
        <v>46241</v>
      </c>
    </row>
    <row r="1372" spans="2:15" x14ac:dyDescent="0.25">
      <c r="B1372">
        <v>1430</v>
      </c>
      <c r="C1372" t="s">
        <v>109</v>
      </c>
      <c r="D1372" t="s">
        <v>733</v>
      </c>
      <c r="E1372">
        <v>1429</v>
      </c>
      <c r="F1372" t="s">
        <v>1517</v>
      </c>
      <c r="G1372">
        <v>1431</v>
      </c>
      <c r="H1372" t="s">
        <v>1519</v>
      </c>
      <c r="I1372">
        <v>6</v>
      </c>
      <c r="J1372" s="48">
        <v>0</v>
      </c>
      <c r="K1372" s="48">
        <v>0</v>
      </c>
      <c r="L1372" s="54">
        <v>46233</v>
      </c>
      <c r="M1372" s="54">
        <v>46238</v>
      </c>
      <c r="N1372" s="54">
        <v>46241</v>
      </c>
      <c r="O1372" s="54">
        <v>46246</v>
      </c>
    </row>
    <row r="1373" spans="2:15" x14ac:dyDescent="0.25">
      <c r="B1373">
        <v>1431</v>
      </c>
      <c r="C1373" t="s">
        <v>109</v>
      </c>
      <c r="D1373" t="s">
        <v>733</v>
      </c>
      <c r="E1373">
        <v>1430</v>
      </c>
      <c r="F1373" t="s">
        <v>1518</v>
      </c>
      <c r="G1373">
        <v>1432</v>
      </c>
      <c r="H1373" t="s">
        <v>1519</v>
      </c>
      <c r="I1373">
        <v>6</v>
      </c>
      <c r="J1373" s="48">
        <v>0</v>
      </c>
      <c r="K1373" s="48">
        <v>0</v>
      </c>
      <c r="L1373" s="54">
        <v>46238</v>
      </c>
      <c r="M1373" s="54">
        <v>46241</v>
      </c>
      <c r="N1373" s="54">
        <v>46246</v>
      </c>
      <c r="O1373" s="54">
        <v>46251</v>
      </c>
    </row>
    <row r="1374" spans="2:15" x14ac:dyDescent="0.25">
      <c r="B1374">
        <v>1432</v>
      </c>
      <c r="C1374" t="s">
        <v>109</v>
      </c>
      <c r="D1374" t="s">
        <v>733</v>
      </c>
      <c r="E1374">
        <v>1431</v>
      </c>
      <c r="F1374" t="s">
        <v>1520</v>
      </c>
      <c r="G1374">
        <v>76</v>
      </c>
      <c r="H1374" t="s">
        <v>1519</v>
      </c>
      <c r="I1374">
        <v>4</v>
      </c>
      <c r="J1374" s="48">
        <v>0</v>
      </c>
      <c r="K1374" s="48">
        <v>0</v>
      </c>
      <c r="L1374" s="54">
        <v>46241</v>
      </c>
      <c r="M1374" s="54">
        <v>46246</v>
      </c>
      <c r="N1374" s="54">
        <v>46251</v>
      </c>
      <c r="O1374" s="54">
        <v>46254</v>
      </c>
    </row>
    <row r="1375" spans="2:15" x14ac:dyDescent="0.25">
      <c r="B1375">
        <v>1433</v>
      </c>
      <c r="C1375" t="s">
        <v>114</v>
      </c>
      <c r="D1375" t="s">
        <v>763</v>
      </c>
      <c r="F1375" t="s">
        <v>1849</v>
      </c>
      <c r="H1375" t="s">
        <v>1527</v>
      </c>
      <c r="I1375">
        <v>22</v>
      </c>
      <c r="J1375" s="48">
        <v>0</v>
      </c>
      <c r="K1375" s="48">
        <v>0</v>
      </c>
      <c r="L1375" s="54">
        <v>46245</v>
      </c>
      <c r="M1375" s="54">
        <v>46265</v>
      </c>
      <c r="N1375" s="54">
        <v>46253</v>
      </c>
      <c r="O1375" s="54">
        <v>46274</v>
      </c>
    </row>
    <row r="1376" spans="2:15" x14ac:dyDescent="0.25">
      <c r="B1376">
        <v>1434</v>
      </c>
      <c r="C1376" t="s">
        <v>114</v>
      </c>
      <c r="D1376" t="s">
        <v>763</v>
      </c>
      <c r="E1376" t="s">
        <v>2192</v>
      </c>
      <c r="F1376" t="s">
        <v>1515</v>
      </c>
      <c r="G1376">
        <v>1435</v>
      </c>
      <c r="H1376" t="s">
        <v>1528</v>
      </c>
      <c r="I1376">
        <v>8</v>
      </c>
      <c r="J1376" s="48">
        <v>0</v>
      </c>
      <c r="K1376" s="48">
        <v>0</v>
      </c>
      <c r="L1376" s="54">
        <v>46245</v>
      </c>
      <c r="M1376" s="54">
        <v>46252</v>
      </c>
      <c r="N1376" s="54">
        <v>46253</v>
      </c>
      <c r="O1376" s="54">
        <v>46260</v>
      </c>
    </row>
    <row r="1377" spans="2:15" x14ac:dyDescent="0.25">
      <c r="B1377">
        <v>1435</v>
      </c>
      <c r="C1377" t="s">
        <v>114</v>
      </c>
      <c r="D1377" t="s">
        <v>763</v>
      </c>
      <c r="E1377">
        <v>1434</v>
      </c>
      <c r="F1377" t="s">
        <v>1517</v>
      </c>
      <c r="G1377">
        <v>1436</v>
      </c>
      <c r="H1377" t="s">
        <v>1519</v>
      </c>
      <c r="I1377">
        <v>6</v>
      </c>
      <c r="J1377" s="48">
        <v>0</v>
      </c>
      <c r="K1377" s="48">
        <v>0</v>
      </c>
      <c r="L1377" s="54">
        <v>46252</v>
      </c>
      <c r="M1377" s="54">
        <v>46255</v>
      </c>
      <c r="N1377" s="54">
        <v>46260</v>
      </c>
      <c r="O1377" s="54">
        <v>46265</v>
      </c>
    </row>
    <row r="1378" spans="2:15" x14ac:dyDescent="0.25">
      <c r="B1378">
        <v>1436</v>
      </c>
      <c r="C1378" t="s">
        <v>114</v>
      </c>
      <c r="D1378" t="s">
        <v>763</v>
      </c>
      <c r="E1378">
        <v>1435</v>
      </c>
      <c r="F1378" t="s">
        <v>1518</v>
      </c>
      <c r="G1378">
        <v>1437</v>
      </c>
      <c r="H1378" t="s">
        <v>1519</v>
      </c>
      <c r="I1378">
        <v>4</v>
      </c>
      <c r="J1378" s="48">
        <v>0</v>
      </c>
      <c r="K1378" s="48">
        <v>0</v>
      </c>
      <c r="L1378" s="54">
        <v>46255</v>
      </c>
      <c r="M1378" s="54">
        <v>46260</v>
      </c>
      <c r="N1378" s="54">
        <v>46265</v>
      </c>
      <c r="O1378" s="54">
        <v>46268</v>
      </c>
    </row>
    <row r="1379" spans="2:15" x14ac:dyDescent="0.25">
      <c r="B1379">
        <v>1437</v>
      </c>
      <c r="C1379" t="s">
        <v>114</v>
      </c>
      <c r="D1379" t="s">
        <v>763</v>
      </c>
      <c r="E1379">
        <v>1436</v>
      </c>
      <c r="F1379" t="s">
        <v>1520</v>
      </c>
      <c r="G1379">
        <v>76</v>
      </c>
      <c r="H1379" t="s">
        <v>1519</v>
      </c>
      <c r="I1379">
        <v>7</v>
      </c>
      <c r="J1379" s="48">
        <v>0</v>
      </c>
      <c r="K1379" s="48">
        <v>0</v>
      </c>
      <c r="L1379" s="54">
        <v>46260</v>
      </c>
      <c r="M1379" s="54">
        <v>46265</v>
      </c>
      <c r="N1379" s="54">
        <v>46268</v>
      </c>
      <c r="O1379" s="54">
        <v>46274</v>
      </c>
    </row>
    <row r="1380" spans="2:15" x14ac:dyDescent="0.25">
      <c r="B1380">
        <v>1438</v>
      </c>
      <c r="C1380" t="s">
        <v>115</v>
      </c>
      <c r="D1380" t="s">
        <v>768</v>
      </c>
      <c r="F1380" t="s">
        <v>1850</v>
      </c>
      <c r="H1380" t="s">
        <v>1641</v>
      </c>
      <c r="I1380">
        <v>16</v>
      </c>
      <c r="J1380" s="48">
        <v>0</v>
      </c>
      <c r="K1380" s="48">
        <v>0</v>
      </c>
      <c r="L1380" s="54">
        <v>46245</v>
      </c>
      <c r="M1380" s="54">
        <v>46260</v>
      </c>
      <c r="N1380" s="54">
        <v>46253</v>
      </c>
      <c r="O1380" s="54">
        <v>46268</v>
      </c>
    </row>
    <row r="1381" spans="2:15" x14ac:dyDescent="0.25">
      <c r="B1381">
        <v>1439</v>
      </c>
      <c r="C1381" t="s">
        <v>115</v>
      </c>
      <c r="D1381" t="s">
        <v>768</v>
      </c>
      <c r="E1381">
        <v>1382</v>
      </c>
      <c r="F1381" t="s">
        <v>1515</v>
      </c>
      <c r="G1381" t="s">
        <v>2193</v>
      </c>
      <c r="H1381" t="s">
        <v>1642</v>
      </c>
      <c r="I1381">
        <v>3</v>
      </c>
      <c r="J1381" s="48">
        <v>0</v>
      </c>
      <c r="K1381" s="48">
        <v>0</v>
      </c>
      <c r="L1381" s="54">
        <v>46245</v>
      </c>
      <c r="M1381" s="54">
        <v>46247</v>
      </c>
      <c r="N1381" s="54">
        <v>46253</v>
      </c>
      <c r="O1381" s="54">
        <v>46255</v>
      </c>
    </row>
    <row r="1382" spans="2:15" x14ac:dyDescent="0.25">
      <c r="B1382">
        <v>1440</v>
      </c>
      <c r="C1382" t="s">
        <v>115</v>
      </c>
      <c r="D1382" t="s">
        <v>768</v>
      </c>
      <c r="E1382">
        <v>1439</v>
      </c>
      <c r="F1382" t="s">
        <v>1517</v>
      </c>
      <c r="G1382">
        <v>1441</v>
      </c>
      <c r="H1382" t="s">
        <v>1519</v>
      </c>
      <c r="I1382">
        <v>6</v>
      </c>
      <c r="J1382" s="48">
        <v>0</v>
      </c>
      <c r="K1382" s="48">
        <v>0</v>
      </c>
      <c r="L1382" s="54">
        <v>46247</v>
      </c>
      <c r="M1382" s="54">
        <v>46252</v>
      </c>
      <c r="N1382" s="54">
        <v>46255</v>
      </c>
      <c r="O1382" s="54">
        <v>46260</v>
      </c>
    </row>
    <row r="1383" spans="2:15" x14ac:dyDescent="0.25">
      <c r="B1383">
        <v>1441</v>
      </c>
      <c r="C1383" t="s">
        <v>115</v>
      </c>
      <c r="D1383" t="s">
        <v>768</v>
      </c>
      <c r="E1383">
        <v>1440</v>
      </c>
      <c r="F1383" t="s">
        <v>1518</v>
      </c>
      <c r="G1383">
        <v>1442</v>
      </c>
      <c r="H1383" t="s">
        <v>1519</v>
      </c>
      <c r="I1383">
        <v>6</v>
      </c>
      <c r="J1383" s="48">
        <v>0</v>
      </c>
      <c r="K1383" s="48">
        <v>0</v>
      </c>
      <c r="L1383" s="54">
        <v>46252</v>
      </c>
      <c r="M1383" s="54">
        <v>46255</v>
      </c>
      <c r="N1383" s="54">
        <v>46260</v>
      </c>
      <c r="O1383" s="54">
        <v>46265</v>
      </c>
    </row>
    <row r="1384" spans="2:15" x14ac:dyDescent="0.25">
      <c r="B1384">
        <v>1442</v>
      </c>
      <c r="C1384" t="s">
        <v>115</v>
      </c>
      <c r="D1384" t="s">
        <v>768</v>
      </c>
      <c r="E1384">
        <v>1441</v>
      </c>
      <c r="F1384" t="s">
        <v>1520</v>
      </c>
      <c r="G1384">
        <v>76</v>
      </c>
      <c r="H1384" t="s">
        <v>1519</v>
      </c>
      <c r="I1384">
        <v>4</v>
      </c>
      <c r="J1384" s="48">
        <v>0</v>
      </c>
      <c r="K1384" s="48">
        <v>0</v>
      </c>
      <c r="L1384" s="54">
        <v>46255</v>
      </c>
      <c r="M1384" s="54">
        <v>46260</v>
      </c>
      <c r="N1384" s="54">
        <v>46265</v>
      </c>
      <c r="O1384" s="54">
        <v>46268</v>
      </c>
    </row>
    <row r="1385" spans="2:15" x14ac:dyDescent="0.25">
      <c r="B1385">
        <v>1443</v>
      </c>
      <c r="C1385" t="s">
        <v>116</v>
      </c>
      <c r="D1385" t="s">
        <v>772</v>
      </c>
      <c r="F1385" t="s">
        <v>1851</v>
      </c>
      <c r="H1385" t="s">
        <v>1641</v>
      </c>
      <c r="I1385">
        <v>19</v>
      </c>
      <c r="J1385" s="48">
        <v>0</v>
      </c>
      <c r="K1385" s="48">
        <v>0</v>
      </c>
      <c r="L1385" s="54">
        <v>46247</v>
      </c>
      <c r="M1385" s="54">
        <v>46262</v>
      </c>
      <c r="N1385" s="54">
        <v>46255</v>
      </c>
      <c r="O1385" s="54">
        <v>46273</v>
      </c>
    </row>
    <row r="1386" spans="2:15" x14ac:dyDescent="0.25">
      <c r="B1386">
        <v>1444</v>
      </c>
      <c r="C1386" t="s">
        <v>116</v>
      </c>
      <c r="D1386" t="s">
        <v>772</v>
      </c>
      <c r="E1386">
        <v>1439</v>
      </c>
      <c r="F1386" t="s">
        <v>1515</v>
      </c>
      <c r="G1386">
        <v>1445</v>
      </c>
      <c r="H1386" t="s">
        <v>1642</v>
      </c>
      <c r="I1386">
        <v>5</v>
      </c>
      <c r="J1386" s="48">
        <v>0</v>
      </c>
      <c r="K1386" s="48">
        <v>0</v>
      </c>
      <c r="L1386" s="54">
        <v>46247</v>
      </c>
      <c r="M1386" s="54">
        <v>46251</v>
      </c>
      <c r="N1386" s="54">
        <v>46255</v>
      </c>
      <c r="O1386" s="54">
        <v>46259</v>
      </c>
    </row>
    <row r="1387" spans="2:15" x14ac:dyDescent="0.25">
      <c r="B1387">
        <v>1445</v>
      </c>
      <c r="C1387" t="s">
        <v>116</v>
      </c>
      <c r="D1387" t="s">
        <v>772</v>
      </c>
      <c r="E1387">
        <v>1444</v>
      </c>
      <c r="F1387" t="s">
        <v>1517</v>
      </c>
      <c r="G1387">
        <v>1446</v>
      </c>
      <c r="H1387" t="s">
        <v>1519</v>
      </c>
      <c r="I1387">
        <v>4</v>
      </c>
      <c r="J1387" s="48">
        <v>0</v>
      </c>
      <c r="K1387" s="48">
        <v>0</v>
      </c>
      <c r="L1387" s="54">
        <v>46251</v>
      </c>
      <c r="M1387" s="54">
        <v>46254</v>
      </c>
      <c r="N1387" s="54">
        <v>46259</v>
      </c>
      <c r="O1387" s="54">
        <v>46262</v>
      </c>
    </row>
    <row r="1388" spans="2:15" x14ac:dyDescent="0.25">
      <c r="B1388">
        <v>1446</v>
      </c>
      <c r="C1388" t="s">
        <v>116</v>
      </c>
      <c r="D1388" t="s">
        <v>772</v>
      </c>
      <c r="E1388">
        <v>1445</v>
      </c>
      <c r="F1388" t="s">
        <v>1518</v>
      </c>
      <c r="G1388">
        <v>1447</v>
      </c>
      <c r="H1388" t="s">
        <v>1519</v>
      </c>
      <c r="I1388">
        <v>6</v>
      </c>
      <c r="J1388" s="48">
        <v>0</v>
      </c>
      <c r="K1388" s="48">
        <v>0</v>
      </c>
      <c r="L1388" s="54">
        <v>46254</v>
      </c>
      <c r="M1388" s="54">
        <v>46259</v>
      </c>
      <c r="N1388" s="54">
        <v>46262</v>
      </c>
      <c r="O1388" s="54">
        <v>46267</v>
      </c>
    </row>
    <row r="1389" spans="2:15" x14ac:dyDescent="0.25">
      <c r="B1389">
        <v>1447</v>
      </c>
      <c r="C1389" t="s">
        <v>116</v>
      </c>
      <c r="D1389" t="s">
        <v>772</v>
      </c>
      <c r="E1389">
        <v>1446</v>
      </c>
      <c r="F1389" t="s">
        <v>1520</v>
      </c>
      <c r="G1389">
        <v>76</v>
      </c>
      <c r="H1389" t="s">
        <v>1519</v>
      </c>
      <c r="I1389">
        <v>7</v>
      </c>
      <c r="J1389" s="48">
        <v>0</v>
      </c>
      <c r="K1389" s="48">
        <v>0</v>
      </c>
      <c r="L1389" s="54">
        <v>46259</v>
      </c>
      <c r="M1389" s="54">
        <v>46262</v>
      </c>
      <c r="N1389" s="54">
        <v>46267</v>
      </c>
      <c r="O1389" s="54">
        <v>46273</v>
      </c>
    </row>
    <row r="1390" spans="2:15" x14ac:dyDescent="0.25">
      <c r="B1390">
        <v>1448</v>
      </c>
      <c r="F1390" t="s">
        <v>1558</v>
      </c>
      <c r="H1390" t="s">
        <v>1641</v>
      </c>
      <c r="I1390">
        <v>16</v>
      </c>
      <c r="J1390" s="48">
        <v>0</v>
      </c>
      <c r="K1390" s="48">
        <v>0</v>
      </c>
      <c r="L1390" s="54">
        <v>46220</v>
      </c>
      <c r="M1390" s="54">
        <v>46237</v>
      </c>
      <c r="N1390" s="54">
        <v>46230</v>
      </c>
      <c r="O1390" s="54">
        <v>46245</v>
      </c>
    </row>
    <row r="1391" spans="2:15" x14ac:dyDescent="0.25">
      <c r="B1391">
        <v>1449</v>
      </c>
      <c r="C1391" t="s">
        <v>249</v>
      </c>
      <c r="D1391" t="s">
        <v>1255</v>
      </c>
      <c r="F1391" t="s">
        <v>1852</v>
      </c>
      <c r="H1391" t="s">
        <v>1641</v>
      </c>
      <c r="I1391">
        <v>16</v>
      </c>
      <c r="J1391" s="48">
        <v>0</v>
      </c>
      <c r="K1391" s="48">
        <v>0</v>
      </c>
      <c r="L1391" s="54">
        <v>46220</v>
      </c>
      <c r="M1391" s="54">
        <v>46237</v>
      </c>
      <c r="N1391" s="54">
        <v>46230</v>
      </c>
      <c r="O1391" s="54">
        <v>46245</v>
      </c>
    </row>
    <row r="1392" spans="2:15" x14ac:dyDescent="0.25">
      <c r="B1392">
        <v>1450</v>
      </c>
      <c r="C1392" t="s">
        <v>249</v>
      </c>
      <c r="D1392" t="s">
        <v>1255</v>
      </c>
      <c r="E1392">
        <v>1380</v>
      </c>
      <c r="F1392" t="s">
        <v>1515</v>
      </c>
      <c r="G1392" t="s">
        <v>2194</v>
      </c>
      <c r="H1392" t="s">
        <v>1642</v>
      </c>
      <c r="I1392">
        <v>3</v>
      </c>
      <c r="J1392" s="48">
        <v>0</v>
      </c>
      <c r="K1392" s="48">
        <v>0</v>
      </c>
      <c r="L1392" s="54">
        <v>46220</v>
      </c>
      <c r="M1392" s="54">
        <v>46224</v>
      </c>
      <c r="N1392" s="54">
        <v>46230</v>
      </c>
      <c r="O1392" s="54">
        <v>46232</v>
      </c>
    </row>
    <row r="1393" spans="2:15" x14ac:dyDescent="0.25">
      <c r="B1393">
        <v>1451</v>
      </c>
      <c r="C1393" t="s">
        <v>249</v>
      </c>
      <c r="D1393" t="s">
        <v>1255</v>
      </c>
      <c r="E1393">
        <v>1450</v>
      </c>
      <c r="F1393" t="s">
        <v>1517</v>
      </c>
      <c r="G1393">
        <v>1452</v>
      </c>
      <c r="H1393" t="s">
        <v>1519</v>
      </c>
      <c r="I1393">
        <v>6</v>
      </c>
      <c r="J1393" s="48">
        <v>0</v>
      </c>
      <c r="K1393" s="48">
        <v>0</v>
      </c>
      <c r="L1393" s="54">
        <v>46224</v>
      </c>
      <c r="M1393" s="54">
        <v>46227</v>
      </c>
      <c r="N1393" s="54">
        <v>46232</v>
      </c>
      <c r="O1393" s="54">
        <v>46237</v>
      </c>
    </row>
    <row r="1394" spans="2:15" x14ac:dyDescent="0.25">
      <c r="B1394">
        <v>1452</v>
      </c>
      <c r="C1394" t="s">
        <v>249</v>
      </c>
      <c r="D1394" t="s">
        <v>1255</v>
      </c>
      <c r="E1394">
        <v>1451</v>
      </c>
      <c r="F1394" t="s">
        <v>1518</v>
      </c>
      <c r="G1394">
        <v>1453</v>
      </c>
      <c r="H1394" t="s">
        <v>1519</v>
      </c>
      <c r="I1394">
        <v>4</v>
      </c>
      <c r="J1394" s="48">
        <v>0</v>
      </c>
      <c r="K1394" s="48">
        <v>0</v>
      </c>
      <c r="L1394" s="54">
        <v>46227</v>
      </c>
      <c r="M1394" s="54">
        <v>46232</v>
      </c>
      <c r="N1394" s="54">
        <v>46237</v>
      </c>
      <c r="O1394" s="54">
        <v>46240</v>
      </c>
    </row>
    <row r="1395" spans="2:15" x14ac:dyDescent="0.25">
      <c r="B1395">
        <v>1453</v>
      </c>
      <c r="C1395" t="s">
        <v>249</v>
      </c>
      <c r="D1395" t="s">
        <v>1255</v>
      </c>
      <c r="E1395">
        <v>1452</v>
      </c>
      <c r="F1395" t="s">
        <v>1520</v>
      </c>
      <c r="G1395">
        <v>76</v>
      </c>
      <c r="H1395" t="s">
        <v>1519</v>
      </c>
      <c r="I1395">
        <v>6</v>
      </c>
      <c r="J1395" s="48">
        <v>0</v>
      </c>
      <c r="K1395" s="48">
        <v>0</v>
      </c>
      <c r="L1395" s="54">
        <v>46232</v>
      </c>
      <c r="M1395" s="54">
        <v>46237</v>
      </c>
      <c r="N1395" s="54">
        <v>46240</v>
      </c>
      <c r="O1395" s="54">
        <v>46245</v>
      </c>
    </row>
    <row r="1396" spans="2:15" x14ac:dyDescent="0.25">
      <c r="B1396">
        <v>1454</v>
      </c>
      <c r="C1396" t="s">
        <v>1441</v>
      </c>
      <c r="D1396" t="s">
        <v>1853</v>
      </c>
      <c r="F1396" t="s">
        <v>1854</v>
      </c>
      <c r="H1396" t="s">
        <v>1641</v>
      </c>
      <c r="I1396">
        <v>16</v>
      </c>
      <c r="J1396" s="48">
        <v>0</v>
      </c>
      <c r="K1396" s="48">
        <v>0</v>
      </c>
      <c r="L1396" s="54">
        <v>46220</v>
      </c>
      <c r="M1396" s="54">
        <v>46237</v>
      </c>
      <c r="N1396" s="54">
        <v>46230</v>
      </c>
      <c r="O1396" s="54">
        <v>46245</v>
      </c>
    </row>
    <row r="1397" spans="2:15" x14ac:dyDescent="0.25">
      <c r="B1397">
        <v>1455</v>
      </c>
      <c r="C1397" t="s">
        <v>1441</v>
      </c>
      <c r="D1397" t="s">
        <v>1853</v>
      </c>
      <c r="E1397">
        <v>1380</v>
      </c>
      <c r="F1397" t="s">
        <v>1515</v>
      </c>
      <c r="G1397" t="s">
        <v>2195</v>
      </c>
      <c r="H1397" t="s">
        <v>1642</v>
      </c>
      <c r="I1397">
        <v>3</v>
      </c>
      <c r="J1397" s="48">
        <v>0</v>
      </c>
      <c r="K1397" s="48">
        <v>0</v>
      </c>
      <c r="L1397" s="54">
        <v>46220</v>
      </c>
      <c r="M1397" s="54">
        <v>46224</v>
      </c>
      <c r="N1397" s="54">
        <v>46230</v>
      </c>
      <c r="O1397" s="54">
        <v>46232</v>
      </c>
    </row>
    <row r="1398" spans="2:15" x14ac:dyDescent="0.25">
      <c r="B1398">
        <v>1456</v>
      </c>
      <c r="C1398" t="s">
        <v>1441</v>
      </c>
      <c r="D1398" t="s">
        <v>1853</v>
      </c>
      <c r="E1398">
        <v>1455</v>
      </c>
      <c r="F1398" t="s">
        <v>1517</v>
      </c>
      <c r="G1398">
        <v>1457</v>
      </c>
      <c r="H1398" t="s">
        <v>1519</v>
      </c>
      <c r="I1398">
        <v>6</v>
      </c>
      <c r="J1398" s="48">
        <v>0</v>
      </c>
      <c r="K1398" s="48">
        <v>0</v>
      </c>
      <c r="L1398" s="54">
        <v>46224</v>
      </c>
      <c r="M1398" s="54">
        <v>46227</v>
      </c>
      <c r="N1398" s="54">
        <v>46232</v>
      </c>
      <c r="O1398" s="54">
        <v>46237</v>
      </c>
    </row>
    <row r="1399" spans="2:15" x14ac:dyDescent="0.25">
      <c r="B1399">
        <v>1457</v>
      </c>
      <c r="C1399" t="s">
        <v>1441</v>
      </c>
      <c r="D1399" t="s">
        <v>1853</v>
      </c>
      <c r="E1399">
        <v>1456</v>
      </c>
      <c r="F1399" t="s">
        <v>1518</v>
      </c>
      <c r="G1399">
        <v>1458</v>
      </c>
      <c r="H1399" t="s">
        <v>1519</v>
      </c>
      <c r="I1399">
        <v>4</v>
      </c>
      <c r="J1399" s="48">
        <v>0</v>
      </c>
      <c r="K1399" s="48">
        <v>0</v>
      </c>
      <c r="L1399" s="54">
        <v>46227</v>
      </c>
      <c r="M1399" s="54">
        <v>46232</v>
      </c>
      <c r="N1399" s="54">
        <v>46237</v>
      </c>
      <c r="O1399" s="54">
        <v>46240</v>
      </c>
    </row>
    <row r="1400" spans="2:15" x14ac:dyDescent="0.25">
      <c r="B1400">
        <v>1458</v>
      </c>
      <c r="C1400" t="s">
        <v>1441</v>
      </c>
      <c r="D1400" t="s">
        <v>1853</v>
      </c>
      <c r="E1400">
        <v>1457</v>
      </c>
      <c r="F1400" t="s">
        <v>1520</v>
      </c>
      <c r="G1400">
        <v>76</v>
      </c>
      <c r="H1400" t="s">
        <v>1519</v>
      </c>
      <c r="I1400">
        <v>6</v>
      </c>
      <c r="J1400" s="48">
        <v>0</v>
      </c>
      <c r="K1400" s="48">
        <v>0</v>
      </c>
      <c r="L1400" s="54">
        <v>46232</v>
      </c>
      <c r="M1400" s="54">
        <v>46237</v>
      </c>
      <c r="N1400" s="54">
        <v>46240</v>
      </c>
      <c r="O1400" s="54">
        <v>46245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2:H71"/>
  <sheetViews>
    <sheetView topLeftCell="A34" zoomScale="55" zoomScaleNormal="55" workbookViewId="0">
      <selection activeCell="D40" sqref="D40"/>
    </sheetView>
  </sheetViews>
  <sheetFormatPr defaultRowHeight="15" x14ac:dyDescent="0.25"/>
  <cols>
    <col min="3" max="3" width="52.85546875" bestFit="1" customWidth="1"/>
    <col min="4" max="4" width="38.5703125" bestFit="1" customWidth="1"/>
    <col min="5" max="5" width="47.140625" bestFit="1" customWidth="1"/>
    <col min="6" max="6" width="28.7109375" bestFit="1" customWidth="1"/>
    <col min="7" max="7" width="49" bestFit="1" customWidth="1"/>
    <col min="8" max="8" width="15.42578125" bestFit="1" customWidth="1"/>
    <col min="9" max="9" width="13.140625" bestFit="1" customWidth="1"/>
    <col min="10" max="10" width="15.42578125" bestFit="1" customWidth="1"/>
    <col min="11" max="13" width="35.42578125" bestFit="1" customWidth="1"/>
    <col min="14" max="14" width="35.140625" bestFit="1" customWidth="1"/>
    <col min="15" max="15" width="35.42578125" bestFit="1" customWidth="1"/>
    <col min="16" max="16" width="35.140625" bestFit="1" customWidth="1"/>
    <col min="17" max="17" width="35.42578125" bestFit="1" customWidth="1"/>
    <col min="18" max="18" width="34.42578125" bestFit="1" customWidth="1"/>
    <col min="19" max="21" width="35" bestFit="1" customWidth="1"/>
    <col min="22" max="22" width="35.42578125" bestFit="1" customWidth="1"/>
    <col min="23" max="23" width="35" bestFit="1" customWidth="1"/>
    <col min="24" max="26" width="35.42578125" bestFit="1" customWidth="1"/>
    <col min="27" max="27" width="35.140625" bestFit="1" customWidth="1"/>
    <col min="28" max="28" width="35.42578125" bestFit="1" customWidth="1"/>
    <col min="29" max="29" width="35.140625" bestFit="1" customWidth="1"/>
    <col min="30" max="31" width="35.42578125" bestFit="1" customWidth="1"/>
    <col min="32" max="32" width="35" bestFit="1" customWidth="1"/>
    <col min="33" max="33" width="34.42578125" bestFit="1" customWidth="1"/>
    <col min="34" max="36" width="35" bestFit="1" customWidth="1"/>
    <col min="37" max="37" width="34.7109375" bestFit="1" customWidth="1"/>
    <col min="38" max="38" width="35" bestFit="1" customWidth="1"/>
    <col min="39" max="39" width="34.7109375" bestFit="1" customWidth="1"/>
    <col min="40" max="41" width="35" bestFit="1" customWidth="1"/>
    <col min="42" max="42" width="35.42578125" bestFit="1" customWidth="1"/>
    <col min="43" max="43" width="35" bestFit="1" customWidth="1"/>
    <col min="44" max="46" width="35.42578125" bestFit="1" customWidth="1"/>
    <col min="47" max="47" width="35.140625" bestFit="1" customWidth="1"/>
    <col min="48" max="48" width="35.42578125" bestFit="1" customWidth="1"/>
    <col min="49" max="49" width="35.140625" bestFit="1" customWidth="1"/>
    <col min="50" max="52" width="35.42578125" bestFit="1" customWidth="1"/>
    <col min="53" max="53" width="35" bestFit="1" customWidth="1"/>
    <col min="54" max="56" width="35.42578125" bestFit="1" customWidth="1"/>
    <col min="57" max="57" width="35.140625" bestFit="1" customWidth="1"/>
    <col min="58" max="58" width="35.42578125" bestFit="1" customWidth="1"/>
    <col min="59" max="59" width="35.140625" bestFit="1" customWidth="1"/>
    <col min="60" max="60" width="33.7109375" bestFit="1" customWidth="1"/>
    <col min="61" max="61" width="33.140625" bestFit="1" customWidth="1"/>
    <col min="62" max="63" width="33.7109375" bestFit="1" customWidth="1"/>
    <col min="64" max="64" width="33.42578125" bestFit="1" customWidth="1"/>
    <col min="65" max="65" width="33.7109375" bestFit="1" customWidth="1"/>
    <col min="66" max="66" width="35.140625" bestFit="1" customWidth="1"/>
    <col min="67" max="67" width="34.7109375" bestFit="1" customWidth="1"/>
    <col min="68" max="68" width="36.5703125" bestFit="1" customWidth="1"/>
    <col min="69" max="69" width="36.7109375" bestFit="1" customWidth="1"/>
    <col min="70" max="70" width="36.28515625" bestFit="1" customWidth="1"/>
    <col min="71" max="73" width="36.7109375" bestFit="1" customWidth="1"/>
    <col min="74" max="74" width="36.5703125" bestFit="1" customWidth="1"/>
    <col min="75" max="75" width="36.7109375" bestFit="1" customWidth="1"/>
    <col min="76" max="76" width="36.5703125" bestFit="1" customWidth="1"/>
    <col min="77" max="77" width="36" bestFit="1" customWidth="1"/>
    <col min="78" max="78" width="36.28515625" bestFit="1" customWidth="1"/>
    <col min="79" max="79" width="36.7109375" bestFit="1" customWidth="1"/>
    <col min="80" max="80" width="36.28515625" bestFit="1" customWidth="1"/>
    <col min="81" max="83" width="36.7109375" bestFit="1" customWidth="1"/>
    <col min="84" max="84" width="36.5703125" bestFit="1" customWidth="1"/>
    <col min="85" max="85" width="36.7109375" bestFit="1" customWidth="1"/>
    <col min="86" max="86" width="36.5703125" bestFit="1" customWidth="1"/>
    <col min="87" max="87" width="37.28515625" bestFit="1" customWidth="1"/>
    <col min="88" max="88" width="36.7109375" bestFit="1" customWidth="1"/>
    <col min="89" max="91" width="37.28515625" bestFit="1" customWidth="1"/>
    <col min="92" max="92" width="37" bestFit="1" customWidth="1"/>
    <col min="93" max="94" width="37.28515625" bestFit="1" customWidth="1"/>
    <col min="95" max="95" width="36.7109375" bestFit="1" customWidth="1"/>
    <col min="96" max="96" width="36.28515625" bestFit="1" customWidth="1"/>
    <col min="97" max="99" width="36.7109375" bestFit="1" customWidth="1"/>
    <col min="100" max="100" width="36.28515625" bestFit="1" customWidth="1"/>
    <col min="101" max="101" width="35.7109375" bestFit="1" customWidth="1"/>
    <col min="102" max="104" width="36.28515625" bestFit="1" customWidth="1"/>
    <col min="105" max="105" width="36" bestFit="1" customWidth="1"/>
    <col min="106" max="106" width="36.28515625" bestFit="1" customWidth="1"/>
    <col min="107" max="107" width="36" bestFit="1" customWidth="1"/>
    <col min="108" max="109" width="36.28515625" bestFit="1" customWidth="1"/>
    <col min="110" max="110" width="37" bestFit="1" customWidth="1"/>
    <col min="111" max="111" width="36" bestFit="1" customWidth="1"/>
    <col min="112" max="112" width="36.5703125" bestFit="1" customWidth="1"/>
    <col min="113" max="113" width="35.7109375" bestFit="1" customWidth="1"/>
    <col min="114" max="114" width="35.140625" bestFit="1" customWidth="1"/>
    <col min="115" max="118" width="36.28515625" bestFit="1" customWidth="1"/>
    <col min="119" max="119" width="36" bestFit="1" customWidth="1"/>
    <col min="120" max="120" width="36.28515625" bestFit="1" customWidth="1"/>
    <col min="121" max="121" width="35.42578125" bestFit="1" customWidth="1"/>
    <col min="122" max="122" width="35" bestFit="1" customWidth="1"/>
    <col min="123" max="123" width="35.140625" bestFit="1" customWidth="1"/>
    <col min="124" max="124" width="34.7109375" bestFit="1" customWidth="1"/>
    <col min="125" max="125" width="36.28515625" bestFit="1" customWidth="1"/>
    <col min="126" max="126" width="37" bestFit="1" customWidth="1"/>
    <col min="127" max="127" width="36" bestFit="1" customWidth="1"/>
    <col min="128" max="128" width="35.42578125" bestFit="1" customWidth="1"/>
    <col min="129" max="130" width="36" bestFit="1" customWidth="1"/>
    <col min="131" max="131" width="35.42578125" bestFit="1" customWidth="1"/>
    <col min="132" max="134" width="36" bestFit="1" customWidth="1"/>
    <col min="135" max="135" width="35.7109375" bestFit="1" customWidth="1"/>
    <col min="136" max="136" width="36" bestFit="1" customWidth="1"/>
    <col min="137" max="137" width="35.7109375" bestFit="1" customWidth="1"/>
    <col min="138" max="139" width="36" bestFit="1" customWidth="1"/>
    <col min="140" max="140" width="35.42578125" bestFit="1" customWidth="1"/>
    <col min="141" max="141" width="35" bestFit="1" customWidth="1"/>
    <col min="142" max="144" width="35.42578125" bestFit="1" customWidth="1"/>
    <col min="145" max="145" width="35.140625" bestFit="1" customWidth="1"/>
    <col min="146" max="146" width="34.7109375" bestFit="1" customWidth="1"/>
    <col min="147" max="147" width="35.140625" bestFit="1" customWidth="1"/>
    <col min="148" max="150" width="35.7109375" bestFit="1" customWidth="1"/>
    <col min="151" max="151" width="35.42578125" bestFit="1" customWidth="1"/>
    <col min="152" max="152" width="35.7109375" bestFit="1" customWidth="1"/>
    <col min="153" max="153" width="35.42578125" bestFit="1" customWidth="1"/>
    <col min="154" max="155" width="35.7109375" bestFit="1" customWidth="1"/>
    <col min="156" max="156" width="35.140625" bestFit="1" customWidth="1"/>
    <col min="157" max="157" width="34.7109375" bestFit="1" customWidth="1"/>
    <col min="158" max="160" width="35.140625" bestFit="1" customWidth="1"/>
    <col min="161" max="161" width="35" bestFit="1" customWidth="1"/>
    <col min="162" max="162" width="35.140625" bestFit="1" customWidth="1"/>
    <col min="163" max="163" width="33.42578125" bestFit="1" customWidth="1"/>
    <col min="164" max="164" width="34.140625" bestFit="1" customWidth="1"/>
    <col min="165" max="166" width="35" bestFit="1" customWidth="1"/>
    <col min="167" max="167" width="36.5703125" bestFit="1" customWidth="1"/>
    <col min="168" max="168" width="36" bestFit="1" customWidth="1"/>
    <col min="169" max="170" width="36.5703125" bestFit="1" customWidth="1"/>
    <col min="171" max="172" width="36.28515625" bestFit="1" customWidth="1"/>
    <col min="173" max="173" width="35.7109375" bestFit="1" customWidth="1"/>
    <col min="174" max="174" width="35.140625" bestFit="1" customWidth="1"/>
    <col min="175" max="175" width="35.42578125" bestFit="1" customWidth="1"/>
    <col min="176" max="176" width="37.5703125" bestFit="1" customWidth="1"/>
    <col min="177" max="177" width="37" bestFit="1" customWidth="1"/>
    <col min="178" max="179" width="37.5703125" bestFit="1" customWidth="1"/>
    <col min="180" max="180" width="37.28515625" bestFit="1" customWidth="1"/>
    <col min="181" max="182" width="37.5703125" bestFit="1" customWidth="1"/>
    <col min="183" max="183" width="37" bestFit="1" customWidth="1"/>
    <col min="184" max="184" width="36.5703125" bestFit="1" customWidth="1"/>
    <col min="185" max="187" width="37" bestFit="1" customWidth="1"/>
    <col min="188" max="188" width="36.7109375" bestFit="1" customWidth="1"/>
    <col min="189" max="189" width="37" bestFit="1" customWidth="1"/>
    <col min="190" max="190" width="36.7109375" bestFit="1" customWidth="1"/>
    <col min="191" max="191" width="37" bestFit="1" customWidth="1"/>
    <col min="192" max="192" width="37.5703125" bestFit="1" customWidth="1"/>
    <col min="193" max="193" width="36.7109375" bestFit="1" customWidth="1"/>
    <col min="194" max="194" width="36.28515625" bestFit="1" customWidth="1"/>
    <col min="195" max="195" width="36.5703125" bestFit="1" customWidth="1"/>
    <col min="196" max="196" width="36.28515625" bestFit="1" customWidth="1"/>
    <col min="197" max="197" width="35.7109375" bestFit="1" customWidth="1"/>
    <col min="198" max="200" width="36.28515625" bestFit="1" customWidth="1"/>
    <col min="201" max="201" width="36" bestFit="1" customWidth="1"/>
    <col min="202" max="202" width="36.28515625" bestFit="1" customWidth="1"/>
    <col min="203" max="203" width="36" bestFit="1" customWidth="1"/>
    <col min="204" max="205" width="36.28515625" bestFit="1" customWidth="1"/>
    <col min="206" max="206" width="35.7109375" bestFit="1" customWidth="1"/>
    <col min="207" max="207" width="35.140625" bestFit="1" customWidth="1"/>
    <col min="208" max="210" width="35.7109375" bestFit="1" customWidth="1"/>
    <col min="211" max="211" width="35.42578125" bestFit="1" customWidth="1"/>
    <col min="212" max="212" width="35.7109375" bestFit="1" customWidth="1"/>
    <col min="213" max="213" width="35.42578125" bestFit="1" customWidth="1"/>
    <col min="214" max="215" width="35.7109375" bestFit="1" customWidth="1"/>
    <col min="216" max="216" width="36.28515625" bestFit="1" customWidth="1"/>
    <col min="217" max="217" width="35.7109375" bestFit="1" customWidth="1"/>
    <col min="218" max="218" width="36.28515625" bestFit="1" customWidth="1"/>
    <col min="219" max="219" width="36.5703125" bestFit="1" customWidth="1"/>
    <col min="220" max="220" width="36" bestFit="1" customWidth="1"/>
    <col min="221" max="221" width="36.5703125" bestFit="1" customWidth="1"/>
    <col min="222" max="222" width="36" bestFit="1" customWidth="1"/>
    <col min="223" max="223" width="36.28515625" bestFit="1" customWidth="1"/>
    <col min="224" max="224" width="35.7109375" bestFit="1" customWidth="1"/>
    <col min="225" max="225" width="36" bestFit="1" customWidth="1"/>
    <col min="226" max="226" width="36.28515625" bestFit="1" customWidth="1"/>
    <col min="227" max="227" width="36" bestFit="1" customWidth="1"/>
    <col min="228" max="228" width="36.7109375" bestFit="1" customWidth="1"/>
    <col min="229" max="229" width="36.28515625" bestFit="1" customWidth="1"/>
    <col min="230" max="232" width="36.7109375" bestFit="1" customWidth="1"/>
    <col min="233" max="233" width="36.5703125" bestFit="1" customWidth="1"/>
    <col min="234" max="234" width="35.140625" bestFit="1" customWidth="1"/>
    <col min="235" max="237" width="37.5703125" bestFit="1" customWidth="1"/>
    <col min="238" max="239" width="37.28515625" bestFit="1" customWidth="1"/>
    <col min="240" max="240" width="36.7109375" bestFit="1" customWidth="1"/>
    <col min="241" max="241" width="36.28515625" bestFit="1" customWidth="1"/>
    <col min="242" max="244" width="36.7109375" bestFit="1" customWidth="1"/>
    <col min="245" max="245" width="36.5703125" bestFit="1" customWidth="1"/>
    <col min="246" max="246" width="36.7109375" bestFit="1" customWidth="1"/>
    <col min="247" max="247" width="36.5703125" bestFit="1" customWidth="1"/>
    <col min="248" max="250" width="36.7109375" bestFit="1" customWidth="1"/>
    <col min="251" max="251" width="36.28515625" bestFit="1" customWidth="1"/>
    <col min="252" max="252" width="36.7109375" bestFit="1" customWidth="1"/>
    <col min="253" max="253" width="36.5703125" bestFit="1" customWidth="1"/>
    <col min="254" max="254" width="35.7109375" bestFit="1" customWidth="1"/>
    <col min="255" max="255" width="36.5703125" bestFit="1" customWidth="1"/>
    <col min="256" max="256" width="37" bestFit="1" customWidth="1"/>
    <col min="257" max="257" width="36.28515625" bestFit="1" customWidth="1"/>
    <col min="258" max="258" width="35.7109375" bestFit="1" customWidth="1"/>
    <col min="259" max="259" width="35.140625" bestFit="1" customWidth="1"/>
    <col min="260" max="260" width="36.28515625" bestFit="1" customWidth="1"/>
    <col min="261" max="261" width="36" bestFit="1" customWidth="1"/>
    <col min="262" max="262" width="35.42578125" bestFit="1" customWidth="1"/>
    <col min="263" max="265" width="36" bestFit="1" customWidth="1"/>
    <col min="266" max="266" width="35.7109375" bestFit="1" customWidth="1"/>
    <col min="267" max="267" width="36" bestFit="1" customWidth="1"/>
    <col min="268" max="268" width="35.7109375" bestFit="1" customWidth="1"/>
    <col min="269" max="270" width="36" bestFit="1" customWidth="1"/>
    <col min="271" max="271" width="35.42578125" bestFit="1" customWidth="1"/>
    <col min="272" max="272" width="35" bestFit="1" customWidth="1"/>
    <col min="273" max="275" width="35.42578125" bestFit="1" customWidth="1"/>
    <col min="276" max="276" width="37" bestFit="1" customWidth="1"/>
    <col min="277" max="277" width="36.5703125" bestFit="1" customWidth="1"/>
    <col min="278" max="280" width="37" bestFit="1" customWidth="1"/>
    <col min="281" max="281" width="36.7109375" bestFit="1" customWidth="1"/>
    <col min="282" max="282" width="36" bestFit="1" customWidth="1"/>
    <col min="283" max="283" width="15.42578125" bestFit="1" customWidth="1"/>
  </cols>
  <sheetData>
    <row r="2" spans="3:8" x14ac:dyDescent="0.25">
      <c r="C2" s="121" t="s">
        <v>2196</v>
      </c>
      <c r="D2" s="122"/>
    </row>
    <row r="3" spans="3:8" x14ac:dyDescent="0.25">
      <c r="C3" s="122"/>
      <c r="D3" s="122"/>
    </row>
    <row r="4" spans="3:8" x14ac:dyDescent="0.25">
      <c r="C4" s="122"/>
      <c r="D4" s="122"/>
    </row>
    <row r="5" spans="3:8" x14ac:dyDescent="0.25">
      <c r="C5" s="122"/>
      <c r="D5" s="122"/>
    </row>
    <row r="6" spans="3:8" x14ac:dyDescent="0.25">
      <c r="C6" s="122"/>
      <c r="D6" s="122"/>
    </row>
    <row r="11" spans="3:8" x14ac:dyDescent="0.25">
      <c r="C11" s="46" t="s">
        <v>1432</v>
      </c>
      <c r="D11" t="s">
        <v>2197</v>
      </c>
    </row>
    <row r="13" spans="3:8" x14ac:dyDescent="0.25">
      <c r="D13" s="46" t="s">
        <v>2198</v>
      </c>
    </row>
    <row r="14" spans="3:8" x14ac:dyDescent="0.25">
      <c r="D14" t="s">
        <v>2199</v>
      </c>
      <c r="E14" t="s">
        <v>2200</v>
      </c>
      <c r="F14" t="s">
        <v>2201</v>
      </c>
      <c r="G14" t="s">
        <v>2202</v>
      </c>
      <c r="H14" t="s">
        <v>2203</v>
      </c>
    </row>
    <row r="15" spans="3:8" x14ac:dyDescent="0.25">
      <c r="C15" t="s">
        <v>2204</v>
      </c>
      <c r="D15" s="123">
        <v>174</v>
      </c>
      <c r="E15" s="123">
        <v>8</v>
      </c>
      <c r="F15" s="123">
        <v>12</v>
      </c>
      <c r="G15" s="123">
        <v>24</v>
      </c>
      <c r="H15" s="123">
        <v>218</v>
      </c>
    </row>
    <row r="24" spans="3:6" x14ac:dyDescent="0.25">
      <c r="C24" s="46" t="s">
        <v>2204</v>
      </c>
      <c r="D24" s="46" t="s">
        <v>2198</v>
      </c>
    </row>
    <row r="25" spans="3:6" x14ac:dyDescent="0.25">
      <c r="C25" s="46" t="s">
        <v>2205</v>
      </c>
      <c r="D25" t="s">
        <v>2206</v>
      </c>
      <c r="E25" t="s">
        <v>2207</v>
      </c>
      <c r="F25" t="s">
        <v>2203</v>
      </c>
    </row>
    <row r="26" spans="3:6" x14ac:dyDescent="0.25">
      <c r="C26" s="47" t="s">
        <v>2208</v>
      </c>
      <c r="D26" s="123">
        <v>15</v>
      </c>
      <c r="E26" s="123"/>
      <c r="F26" s="123">
        <v>15</v>
      </c>
    </row>
    <row r="27" spans="3:6" x14ac:dyDescent="0.25">
      <c r="C27" s="47" t="s">
        <v>2209</v>
      </c>
      <c r="D27" s="123">
        <v>9</v>
      </c>
      <c r="E27" s="123">
        <v>8</v>
      </c>
      <c r="F27" s="123">
        <v>17</v>
      </c>
    </row>
    <row r="28" spans="3:6" x14ac:dyDescent="0.25">
      <c r="C28" s="47" t="s">
        <v>2203</v>
      </c>
      <c r="D28" s="123">
        <v>24</v>
      </c>
      <c r="E28" s="123">
        <v>8</v>
      </c>
      <c r="F28" s="123">
        <v>32</v>
      </c>
    </row>
    <row r="38" spans="3:7" x14ac:dyDescent="0.25">
      <c r="C38" s="46" t="s">
        <v>2204</v>
      </c>
      <c r="D38" s="46" t="s">
        <v>2198</v>
      </c>
    </row>
    <row r="39" spans="3:7" x14ac:dyDescent="0.25">
      <c r="C39" s="46" t="s">
        <v>2205</v>
      </c>
      <c r="D39" t="s">
        <v>2210</v>
      </c>
      <c r="E39" t="s">
        <v>2211</v>
      </c>
      <c r="F39" t="s">
        <v>2212</v>
      </c>
      <c r="G39" t="s">
        <v>2203</v>
      </c>
    </row>
    <row r="40" spans="3:7" x14ac:dyDescent="0.25">
      <c r="C40" s="47" t="s">
        <v>341</v>
      </c>
      <c r="D40" s="123">
        <v>4</v>
      </c>
      <c r="E40" s="123">
        <v>3</v>
      </c>
      <c r="F40" s="123">
        <v>3</v>
      </c>
      <c r="G40" s="123">
        <v>10</v>
      </c>
    </row>
    <row r="41" spans="3:7" x14ac:dyDescent="0.25">
      <c r="C41" s="47" t="s">
        <v>626</v>
      </c>
      <c r="D41" s="123">
        <v>1</v>
      </c>
      <c r="E41" s="123">
        <v>1</v>
      </c>
      <c r="F41" s="123">
        <v>3</v>
      </c>
      <c r="G41" s="123">
        <v>5</v>
      </c>
    </row>
    <row r="42" spans="3:7" x14ac:dyDescent="0.25">
      <c r="C42" s="47" t="s">
        <v>849</v>
      </c>
      <c r="D42" s="123">
        <v>2</v>
      </c>
      <c r="E42" s="123">
        <v>4</v>
      </c>
      <c r="F42" s="123">
        <v>7</v>
      </c>
      <c r="G42" s="123">
        <v>13</v>
      </c>
    </row>
    <row r="43" spans="3:7" x14ac:dyDescent="0.25">
      <c r="C43" s="47" t="s">
        <v>1037</v>
      </c>
      <c r="D43" s="123">
        <v>1</v>
      </c>
      <c r="E43" s="123">
        <v>1</v>
      </c>
      <c r="F43" s="123">
        <v>2</v>
      </c>
      <c r="G43" s="123">
        <v>4</v>
      </c>
    </row>
    <row r="44" spans="3:7" x14ac:dyDescent="0.25">
      <c r="C44" s="47" t="s">
        <v>1170</v>
      </c>
      <c r="D44" s="123">
        <v>2</v>
      </c>
      <c r="E44" s="123">
        <v>6</v>
      </c>
      <c r="F44" s="123">
        <v>1</v>
      </c>
      <c r="G44" s="123">
        <v>9</v>
      </c>
    </row>
    <row r="45" spans="3:7" x14ac:dyDescent="0.25">
      <c r="C45" s="47" t="s">
        <v>568</v>
      </c>
      <c r="D45" s="123">
        <v>2</v>
      </c>
      <c r="E45" s="123">
        <v>4</v>
      </c>
      <c r="F45" s="123">
        <v>3</v>
      </c>
      <c r="G45" s="123">
        <v>9</v>
      </c>
    </row>
    <row r="46" spans="3:7" x14ac:dyDescent="0.25">
      <c r="C46" s="47" t="s">
        <v>775</v>
      </c>
      <c r="D46" s="123">
        <v>2</v>
      </c>
      <c r="E46" s="123"/>
      <c r="F46" s="123">
        <v>1</v>
      </c>
      <c r="G46" s="123">
        <v>3</v>
      </c>
    </row>
    <row r="47" spans="3:7" x14ac:dyDescent="0.25">
      <c r="C47" s="47" t="s">
        <v>1313</v>
      </c>
      <c r="D47" s="123">
        <v>1</v>
      </c>
      <c r="E47" s="123">
        <v>2</v>
      </c>
      <c r="F47" s="123">
        <v>3</v>
      </c>
      <c r="G47" s="123">
        <v>6</v>
      </c>
    </row>
    <row r="48" spans="3:7" x14ac:dyDescent="0.25">
      <c r="C48" s="47" t="s">
        <v>2203</v>
      </c>
      <c r="D48" s="123">
        <v>15</v>
      </c>
      <c r="E48" s="123">
        <v>21</v>
      </c>
      <c r="F48" s="123">
        <v>23</v>
      </c>
      <c r="G48" s="123">
        <v>59</v>
      </c>
    </row>
    <row r="59" spans="3:6" x14ac:dyDescent="0.25">
      <c r="C59" s="46" t="s">
        <v>2204</v>
      </c>
      <c r="D59" s="46" t="s">
        <v>2198</v>
      </c>
    </row>
    <row r="60" spans="3:6" x14ac:dyDescent="0.25">
      <c r="C60" s="46" t="s">
        <v>2205</v>
      </c>
      <c r="D60" t="s">
        <v>2213</v>
      </c>
      <c r="E60" t="s">
        <v>2214</v>
      </c>
      <c r="F60" t="s">
        <v>2203</v>
      </c>
    </row>
    <row r="61" spans="3:6" x14ac:dyDescent="0.25">
      <c r="C61" s="47" t="s">
        <v>341</v>
      </c>
      <c r="D61" s="123">
        <v>2</v>
      </c>
      <c r="E61" s="123">
        <v>4</v>
      </c>
      <c r="F61" s="123">
        <v>6</v>
      </c>
    </row>
    <row r="62" spans="3:6" x14ac:dyDescent="0.25">
      <c r="C62" s="47" t="s">
        <v>626</v>
      </c>
      <c r="D62" s="123">
        <v>4</v>
      </c>
      <c r="E62" s="123"/>
      <c r="F62" s="123">
        <v>4</v>
      </c>
    </row>
    <row r="63" spans="3:6" x14ac:dyDescent="0.25">
      <c r="C63" s="47" t="s">
        <v>849</v>
      </c>
      <c r="D63" s="123">
        <v>3</v>
      </c>
      <c r="E63" s="123"/>
      <c r="F63" s="123">
        <v>3</v>
      </c>
    </row>
    <row r="64" spans="3:6" x14ac:dyDescent="0.25">
      <c r="C64" s="47" t="s">
        <v>1107</v>
      </c>
      <c r="D64" s="123">
        <v>1</v>
      </c>
      <c r="E64" s="123">
        <v>1</v>
      </c>
      <c r="F64" s="123">
        <v>2</v>
      </c>
    </row>
    <row r="65" spans="3:6" x14ac:dyDescent="0.25">
      <c r="C65" s="47" t="s">
        <v>1159</v>
      </c>
      <c r="D65" s="123"/>
      <c r="E65" s="123">
        <v>1</v>
      </c>
      <c r="F65" s="123">
        <v>1</v>
      </c>
    </row>
    <row r="66" spans="3:6" x14ac:dyDescent="0.25">
      <c r="C66" s="47" t="s">
        <v>1170</v>
      </c>
      <c r="D66" s="123">
        <v>10</v>
      </c>
      <c r="E66" s="123">
        <v>1</v>
      </c>
      <c r="F66" s="123">
        <v>11</v>
      </c>
    </row>
    <row r="67" spans="3:6" x14ac:dyDescent="0.25">
      <c r="C67" s="47" t="s">
        <v>1291</v>
      </c>
      <c r="D67" s="123"/>
      <c r="E67" s="123">
        <v>1</v>
      </c>
      <c r="F67" s="123">
        <v>1</v>
      </c>
    </row>
    <row r="68" spans="3:6" x14ac:dyDescent="0.25">
      <c r="C68" s="47" t="s">
        <v>828</v>
      </c>
      <c r="D68" s="123"/>
      <c r="E68" s="123">
        <v>1</v>
      </c>
      <c r="F68" s="123">
        <v>1</v>
      </c>
    </row>
    <row r="69" spans="3:6" x14ac:dyDescent="0.25">
      <c r="C69" s="47" t="s">
        <v>568</v>
      </c>
      <c r="D69" s="123"/>
      <c r="E69" s="123">
        <v>1</v>
      </c>
      <c r="F69" s="123">
        <v>1</v>
      </c>
    </row>
    <row r="70" spans="3:6" x14ac:dyDescent="0.25">
      <c r="C70" s="47" t="s">
        <v>1313</v>
      </c>
      <c r="D70" s="123">
        <v>1</v>
      </c>
      <c r="E70" s="123"/>
      <c r="F70" s="123">
        <v>1</v>
      </c>
    </row>
    <row r="71" spans="3:6" x14ac:dyDescent="0.25">
      <c r="C71" s="47" t="s">
        <v>2203</v>
      </c>
      <c r="D71" s="123">
        <v>21</v>
      </c>
      <c r="E71" s="123">
        <v>10</v>
      </c>
      <c r="F71" s="123">
        <v>31</v>
      </c>
    </row>
  </sheetData>
  <mergeCells count="1">
    <mergeCell ref="C2:D6"/>
  </mergeCells>
  <pageMargins left="0.511811024" right="0.511811024" top="0.78740157499999996" bottom="0.78740157499999996" header="0.31496062000000002" footer="0.31496062000000002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B1:I280"/>
  <sheetViews>
    <sheetView topLeftCell="B1" zoomScale="70" zoomScaleNormal="70" workbookViewId="0">
      <selection activeCell="C178" sqref="C178:G277"/>
    </sheetView>
  </sheetViews>
  <sheetFormatPr defaultColWidth="8.85546875" defaultRowHeight="15" x14ac:dyDescent="0.25"/>
  <cols>
    <col min="1" max="1" width="8.85546875" style="1" customWidth="1"/>
    <col min="2" max="2" width="30.85546875" style="1" bestFit="1" customWidth="1"/>
    <col min="3" max="3" width="34.28515625" style="1" bestFit="1" customWidth="1"/>
    <col min="4" max="4" width="32.42578125" style="1" bestFit="1" customWidth="1"/>
    <col min="5" max="5" width="8.85546875" style="1" customWidth="1"/>
    <col min="6" max="6" width="127.140625" style="1" customWidth="1"/>
    <col min="7" max="9" width="13.7109375" style="41" bestFit="1" customWidth="1"/>
    <col min="10" max="10" width="10.85546875" style="1" bestFit="1" customWidth="1"/>
    <col min="11" max="11" width="8.85546875" style="1" customWidth="1"/>
    <col min="12" max="16384" width="8.85546875" style="1"/>
  </cols>
  <sheetData>
    <row r="1" spans="2:9" x14ac:dyDescent="0.25">
      <c r="I1" s="78"/>
    </row>
    <row r="2" spans="2:9" x14ac:dyDescent="0.25">
      <c r="B2" s="53" t="s">
        <v>2215</v>
      </c>
      <c r="C2" s="53" t="s">
        <v>1</v>
      </c>
      <c r="D2" s="53" t="s">
        <v>293</v>
      </c>
      <c r="E2" s="53" t="s">
        <v>2216</v>
      </c>
      <c r="F2" s="53" t="s">
        <v>3</v>
      </c>
      <c r="G2" s="56" t="s">
        <v>2217</v>
      </c>
      <c r="H2" s="56" t="s">
        <v>1487</v>
      </c>
      <c r="I2" s="56" t="s">
        <v>2218</v>
      </c>
    </row>
    <row r="3" spans="2:9" hidden="1" x14ac:dyDescent="0.25">
      <c r="B3" s="53" t="e">
        <f>_xlfn.XLOOKUP(C3,'Data Base'!D:D,'Data Base'!B:B)</f>
        <v>#N/A</v>
      </c>
      <c r="C3" s="53" t="s">
        <v>8</v>
      </c>
      <c r="D3" s="53" t="e">
        <f>_xlfn.XLOOKUP(C3,'LD-ELFA'!F:F,'LD-ELFA'!H:H)</f>
        <v>#N/A</v>
      </c>
      <c r="E3" s="53" t="e">
        <f>_xlfn.XLOOKUP(C3,'Data Base'!D:D,'Data Base'!G:G)</f>
        <v>#N/A</v>
      </c>
      <c r="F3" s="53" t="e">
        <f>_xlfn.XLOOKUP(C3,'LD-ELFA'!F:F,'LD-ELFA'!Q:Q)</f>
        <v>#N/A</v>
      </c>
      <c r="G3" s="56" t="str">
        <f>_xlfn.XLOOKUP(C3,'Data Base'!D:D,'Data Base'!R:R)</f>
        <v>Documento Removido</v>
      </c>
      <c r="H3" s="56" t="str">
        <f>_xlfn.XLOOKUP(C3,'Data Base'!D:D,'Data Base'!T:T)</f>
        <v>Documento Removido</v>
      </c>
      <c r="I3" s="56" t="str">
        <f t="shared" ref="I3:I66" si="0">IF(G3&gt;H3,"ATRASADO","NO PRAZO")</f>
        <v>NO PRAZO</v>
      </c>
    </row>
    <row r="4" spans="2:9" hidden="1" x14ac:dyDescent="0.25">
      <c r="B4" s="53" t="e">
        <f>_xlfn.XLOOKUP(C4,'Data Base'!D:D,'Data Base'!B:B)</f>
        <v>#N/A</v>
      </c>
      <c r="C4" s="53" t="s">
        <v>9</v>
      </c>
      <c r="D4" s="53" t="e">
        <f>_xlfn.XLOOKUP(C4,'LD-ELFA'!F:F,'LD-ELFA'!H:H)</f>
        <v>#N/A</v>
      </c>
      <c r="E4" s="53" t="e">
        <f>_xlfn.XLOOKUP(C4,'Data Base'!D:D,'Data Base'!G:G)</f>
        <v>#N/A</v>
      </c>
      <c r="F4" s="53" t="e">
        <f>_xlfn.XLOOKUP(C4,'LD-ELFA'!F:F,'LD-ELFA'!Q:Q)</f>
        <v>#N/A</v>
      </c>
      <c r="G4" s="56" t="str">
        <f>_xlfn.XLOOKUP(C4,'Data Base'!D:D,'Data Base'!R:R)</f>
        <v>Documento Removido</v>
      </c>
      <c r="H4" s="56" t="str">
        <f>_xlfn.XLOOKUP(C4,'Data Base'!D:D,'Data Base'!T:T)</f>
        <v>Documento Removido</v>
      </c>
      <c r="I4" s="56" t="str">
        <f t="shared" si="0"/>
        <v>NO PRAZO</v>
      </c>
    </row>
    <row r="5" spans="2:9" hidden="1" x14ac:dyDescent="0.25">
      <c r="B5" s="53" t="e">
        <f>_xlfn.XLOOKUP(C5,'Data Base'!D:D,'Data Base'!B:B)</f>
        <v>#N/A</v>
      </c>
      <c r="C5" s="53" t="s">
        <v>10</v>
      </c>
      <c r="D5" s="53" t="e">
        <f>_xlfn.XLOOKUP(C5,'LD-ELFA'!F:F,'LD-ELFA'!H:H)</f>
        <v>#N/A</v>
      </c>
      <c r="E5" s="53" t="e">
        <f>_xlfn.XLOOKUP(C5,'Data Base'!D:D,'Data Base'!G:G)</f>
        <v>#N/A</v>
      </c>
      <c r="F5" s="53" t="e">
        <f>_xlfn.XLOOKUP(C5,'LD-ELFA'!F:F,'LD-ELFA'!Q:Q)</f>
        <v>#N/A</v>
      </c>
      <c r="G5" s="56" t="str">
        <f>_xlfn.XLOOKUP(C5,'Data Base'!D:D,'Data Base'!R:R)</f>
        <v>Documento Removido</v>
      </c>
      <c r="H5" s="56" t="str">
        <f>_xlfn.XLOOKUP(C5,'Data Base'!D:D,'Data Base'!T:T)</f>
        <v>Documento Removido</v>
      </c>
      <c r="I5" s="56" t="str">
        <f t="shared" si="0"/>
        <v>NO PRAZO</v>
      </c>
    </row>
    <row r="6" spans="2:9" hidden="1" x14ac:dyDescent="0.25">
      <c r="B6" s="53" t="e">
        <f>_xlfn.XLOOKUP(C6,'Data Base'!D:D,'Data Base'!B:B)</f>
        <v>#N/A</v>
      </c>
      <c r="C6" s="53" t="s">
        <v>11</v>
      </c>
      <c r="D6" s="53" t="e">
        <f>_xlfn.XLOOKUP(C6,'LD-ELFA'!F:F,'LD-ELFA'!H:H)</f>
        <v>#N/A</v>
      </c>
      <c r="E6" s="53" t="e">
        <f>_xlfn.XLOOKUP(C6,'Data Base'!D:D,'Data Base'!G:G)</f>
        <v>#N/A</v>
      </c>
      <c r="F6" s="53" t="e">
        <f>_xlfn.XLOOKUP(C6,'LD-ELFA'!F:F,'LD-ELFA'!Q:Q)</f>
        <v>#N/A</v>
      </c>
      <c r="G6" s="56" t="str">
        <f>_xlfn.XLOOKUP(C6,'Data Base'!D:D,'Data Base'!R:R)</f>
        <v>Documento Removido</v>
      </c>
      <c r="H6" s="56" t="str">
        <f>_xlfn.XLOOKUP(C6,'Data Base'!D:D,'Data Base'!T:T)</f>
        <v>Documento Removido</v>
      </c>
      <c r="I6" s="56" t="str">
        <f t="shared" si="0"/>
        <v>NO PRAZO</v>
      </c>
    </row>
    <row r="7" spans="2:9" hidden="1" x14ac:dyDescent="0.25">
      <c r="B7" s="53" t="e">
        <f>_xlfn.XLOOKUP(C7,'Data Base'!D:D,'Data Base'!B:B)</f>
        <v>#N/A</v>
      </c>
      <c r="C7" s="53" t="s">
        <v>12</v>
      </c>
      <c r="D7" s="53" t="e">
        <f>_xlfn.XLOOKUP(C7,'LD-ELFA'!F:F,'LD-ELFA'!H:H)</f>
        <v>#N/A</v>
      </c>
      <c r="E7" s="53" t="e">
        <f>_xlfn.XLOOKUP(C7,'Data Base'!D:D,'Data Base'!G:G)</f>
        <v>#N/A</v>
      </c>
      <c r="F7" s="53" t="e">
        <f>_xlfn.XLOOKUP(C7,'LD-ELFA'!F:F,'LD-ELFA'!Q:Q)</f>
        <v>#N/A</v>
      </c>
      <c r="G7" s="56" t="str">
        <f>_xlfn.XLOOKUP(C7,'Data Base'!D:D,'Data Base'!R:R)</f>
        <v>Documento Removido</v>
      </c>
      <c r="H7" s="56" t="str">
        <f>_xlfn.XLOOKUP(C7,'Data Base'!D:D,'Data Base'!T:T)</f>
        <v>Documento Removido</v>
      </c>
      <c r="I7" s="56" t="str">
        <f t="shared" si="0"/>
        <v>NO PRAZO</v>
      </c>
    </row>
    <row r="8" spans="2:9" hidden="1" x14ac:dyDescent="0.25">
      <c r="B8" s="53" t="e">
        <f>_xlfn.XLOOKUP(C8,'Data Base'!D:D,'Data Base'!B:B)</f>
        <v>#N/A</v>
      </c>
      <c r="C8" s="53" t="s">
        <v>13</v>
      </c>
      <c r="D8" s="53" t="e">
        <f>_xlfn.XLOOKUP(C8,'LD-ELFA'!F:F,'LD-ELFA'!H:H)</f>
        <v>#N/A</v>
      </c>
      <c r="E8" s="53" t="e">
        <f>_xlfn.XLOOKUP(C8,'Data Base'!D:D,'Data Base'!G:G)</f>
        <v>#N/A</v>
      </c>
      <c r="F8" s="53" t="e">
        <f>_xlfn.XLOOKUP(C8,'LD-ELFA'!F:F,'LD-ELFA'!Q:Q)</f>
        <v>#N/A</v>
      </c>
      <c r="G8" s="56" t="str">
        <f>_xlfn.XLOOKUP(C8,'Data Base'!D:D,'Data Base'!R:R)</f>
        <v>Documento Removido</v>
      </c>
      <c r="H8" s="56" t="str">
        <f>_xlfn.XLOOKUP(C8,'Data Base'!D:D,'Data Base'!T:T)</f>
        <v>Documento Removido</v>
      </c>
      <c r="I8" s="56" t="str">
        <f t="shared" si="0"/>
        <v>NO PRAZO</v>
      </c>
    </row>
    <row r="9" spans="2:9" hidden="1" x14ac:dyDescent="0.25">
      <c r="B9" s="53" t="e">
        <f>_xlfn.XLOOKUP(C9,'Data Base'!D:D,'Data Base'!B:B)</f>
        <v>#N/A</v>
      </c>
      <c r="C9" s="53" t="s">
        <v>14</v>
      </c>
      <c r="D9" s="53" t="e">
        <f>_xlfn.XLOOKUP(C9,'LD-ELFA'!F:F,'LD-ELFA'!H:H)</f>
        <v>#N/A</v>
      </c>
      <c r="E9" s="53" t="e">
        <f>_xlfn.XLOOKUP(C9,'Data Base'!D:D,'Data Base'!G:G)</f>
        <v>#N/A</v>
      </c>
      <c r="F9" s="53" t="e">
        <f>_xlfn.XLOOKUP(C9,'LD-ELFA'!F:F,'LD-ELFA'!Q:Q)</f>
        <v>#N/A</v>
      </c>
      <c r="G9" s="56" t="str">
        <f>_xlfn.XLOOKUP(C9,'Data Base'!D:D,'Data Base'!R:R)</f>
        <v>Documento Removido</v>
      </c>
      <c r="H9" s="56" t="str">
        <f>_xlfn.XLOOKUP(C9,'Data Base'!D:D,'Data Base'!T:T)</f>
        <v>Documento Removido</v>
      </c>
      <c r="I9" s="56" t="str">
        <f t="shared" si="0"/>
        <v>NO PRAZO</v>
      </c>
    </row>
    <row r="10" spans="2:9" hidden="1" x14ac:dyDescent="0.25">
      <c r="B10" s="53" t="str">
        <f>_xlfn.XLOOKUP(C10,'Data Base'!D:D,'Data Base'!B:B)</f>
        <v>AI - Automacao E Instrumentacao</v>
      </c>
      <c r="C10" s="53" t="s">
        <v>15</v>
      </c>
      <c r="D10" s="53" t="str">
        <f>_xlfn.XLOOKUP(C10,'LD-ELFA'!F:F,'LD-ELFA'!H:H)</f>
        <v>DE-A1-2000-J-PB-0002</v>
      </c>
      <c r="E10" s="53">
        <f>_xlfn.XLOOKUP(C10,'Data Base'!D:D,'Data Base'!G:G)</f>
        <v>0</v>
      </c>
      <c r="F10" s="53" t="str">
        <f>_xlfn.XLOOKUP(C10,'LD-ELFA'!F:F,'LD-ELFA'!Q:Q)</f>
        <v>carol</v>
      </c>
      <c r="G10" s="56" t="str">
        <f>_xlfn.XLOOKUP(C10,'Data Base'!D:D,'Data Base'!R:R)</f>
        <v>Documento Emitido</v>
      </c>
      <c r="H10" s="56" t="str">
        <f>_xlfn.XLOOKUP(C10,'Data Base'!D:D,'Data Base'!T:T)</f>
        <v>Documento Emitido</v>
      </c>
      <c r="I10" s="56" t="str">
        <f t="shared" si="0"/>
        <v>NO PRAZO</v>
      </c>
    </row>
    <row r="11" spans="2:9" x14ac:dyDescent="0.25">
      <c r="B11" s="53" t="str">
        <f>_xlfn.XLOOKUP(C11,'Data Base'!D:D,'Data Base'!B:B)</f>
        <v>AI - Automacao E Instrumentacao</v>
      </c>
      <c r="C11" s="53" t="s">
        <v>16</v>
      </c>
      <c r="D11" s="53" t="str">
        <f>_xlfn.XLOOKUP(C11,'LD-ELFA'!F:F,'LD-ELFA'!H:H)</f>
        <v>DE-A1-2000-J-PB-0003</v>
      </c>
      <c r="E11" s="53">
        <f>_xlfn.XLOOKUP(C11,'Data Base'!D:D,'Data Base'!G:G)</f>
        <v>0</v>
      </c>
      <c r="F11" s="53" t="str">
        <f>_xlfn.XLOOKUP(C11,'LD-ELFA'!F:F,'LD-ELFA'!Q:Q)</f>
        <v>DIAGRAMA DE CONFIGURAÇÃO SAS/SGE</v>
      </c>
      <c r="G11" s="56">
        <f>_xlfn.XLOOKUP(C11,'Data Base'!D:D,'Data Base'!R:R)</f>
        <v>46217</v>
      </c>
      <c r="H11" s="56">
        <f>_xlfn.XLOOKUP(C11,'Data Base'!D:D,'Data Base'!T:T)</f>
        <v>46217</v>
      </c>
      <c r="I11" s="56" t="str">
        <f t="shared" si="0"/>
        <v>NO PRAZO</v>
      </c>
    </row>
    <row r="12" spans="2:9" hidden="1" x14ac:dyDescent="0.25">
      <c r="B12" s="53" t="str">
        <f>_xlfn.XLOOKUP(C12,'Data Base'!D:D,'Data Base'!B:B)</f>
        <v>AI - Automacao E Instrumentacao</v>
      </c>
      <c r="C12" s="53" t="s">
        <v>17</v>
      </c>
      <c r="D12" s="53" t="str">
        <f>_xlfn.XLOOKUP(C12,'LD-ELFA'!F:F,'LD-ELFA'!H:H)</f>
        <v>DE-A1-2000-J-PB-0004</v>
      </c>
      <c r="E12" s="53">
        <f>_xlfn.XLOOKUP(C12,'Data Base'!D:D,'Data Base'!G:G)</f>
        <v>0</v>
      </c>
      <c r="F12" s="53" t="str">
        <f>_xlfn.XLOOKUP(C12,'LD-ELFA'!F:F,'LD-ELFA'!Q:Q)</f>
        <v xml:space="preserve">DIAGRAMA DE CONFIGURAÇÃO DE TELECOM </v>
      </c>
      <c r="G12" s="56">
        <f>_xlfn.XLOOKUP(C12,'Data Base'!D:D,'Data Base'!R:R)</f>
        <v>46252</v>
      </c>
      <c r="H12" s="56">
        <f>_xlfn.XLOOKUP(C12,'Data Base'!D:D,'Data Base'!T:T)</f>
        <v>46252</v>
      </c>
      <c r="I12" s="56" t="str">
        <f t="shared" si="0"/>
        <v>NO PRAZO</v>
      </c>
    </row>
    <row r="13" spans="2:9" hidden="1" x14ac:dyDescent="0.25">
      <c r="B13" s="53" t="str">
        <f>_xlfn.XLOOKUP(C13,'Data Base'!D:D,'Data Base'!B:B)</f>
        <v>AI - Automacao E Instrumentacao</v>
      </c>
      <c r="C13" s="53" t="s">
        <v>18</v>
      </c>
      <c r="D13" s="53" t="str">
        <f>_xlfn.XLOOKUP(C13,'LD-ELFA'!F:F,'LD-ELFA'!H:H)</f>
        <v>DE-A1-2000-J-PB-0005</v>
      </c>
      <c r="E13" s="53">
        <f>_xlfn.XLOOKUP(C13,'Data Base'!D:D,'Data Base'!G:G)</f>
        <v>0</v>
      </c>
      <c r="F13" s="53" t="str">
        <f>_xlfn.XLOOKUP(C13,'LD-ELFA'!F:F,'LD-ELFA'!Q:Q)</f>
        <v xml:space="preserve">DIAGRAMA DE CONFIGURAÇÃO DE TELECOM </v>
      </c>
      <c r="G13" s="56">
        <f>_xlfn.XLOOKUP(C13,'Data Base'!D:D,'Data Base'!R:R)</f>
        <v>46244</v>
      </c>
      <c r="H13" s="56">
        <f>_xlfn.XLOOKUP(C13,'Data Base'!D:D,'Data Base'!T:T)</f>
        <v>46244</v>
      </c>
      <c r="I13" s="56" t="str">
        <f t="shared" si="0"/>
        <v>NO PRAZO</v>
      </c>
    </row>
    <row r="14" spans="2:9" hidden="1" x14ac:dyDescent="0.25">
      <c r="B14" s="53" t="str">
        <f>_xlfn.XLOOKUP(C14,'Data Base'!D:D,'Data Base'!B:B)</f>
        <v>AI - Automacao E Instrumentacao</v>
      </c>
      <c r="C14" s="53" t="s">
        <v>19</v>
      </c>
      <c r="D14" s="53" t="str">
        <f>_xlfn.XLOOKUP(C14,'LD-ELFA'!F:F,'LD-ELFA'!H:H)</f>
        <v>DE-A1-2000-J-PB-0006</v>
      </c>
      <c r="E14" s="53">
        <f>_xlfn.XLOOKUP(C14,'Data Base'!D:D,'Data Base'!G:G)</f>
        <v>0</v>
      </c>
      <c r="F14" s="53" t="str">
        <f>_xlfn.XLOOKUP(C14,'LD-ELFA'!F:F,'LD-ELFA'!Q:Q)</f>
        <v>DIAGRAMA DE CONFIGURAÇÃO DE TELECOM</v>
      </c>
      <c r="G14" s="56">
        <f>_xlfn.XLOOKUP(C14,'Data Base'!D:D,'Data Base'!R:R)</f>
        <v>46237</v>
      </c>
      <c r="H14" s="56">
        <f>_xlfn.XLOOKUP(C14,'Data Base'!D:D,'Data Base'!T:T)</f>
        <v>46237</v>
      </c>
      <c r="I14" s="56" t="str">
        <f t="shared" si="0"/>
        <v>NO PRAZO</v>
      </c>
    </row>
    <row r="15" spans="2:9" hidden="1" x14ac:dyDescent="0.25">
      <c r="B15" s="53" t="str">
        <f>_xlfn.XLOOKUP(C15,'Data Base'!D:D,'Data Base'!B:B)</f>
        <v>AI - Automacao E Instrumentacao</v>
      </c>
      <c r="C15" s="53" t="s">
        <v>20</v>
      </c>
      <c r="D15" s="53" t="str">
        <f>_xlfn.XLOOKUP(C15,'LD-ELFA'!F:F,'LD-ELFA'!H:H)</f>
        <v>DE-A1-2000-J-PB-0007</v>
      </c>
      <c r="E15" s="53">
        <f>_xlfn.XLOOKUP(C15,'Data Base'!D:D,'Data Base'!G:G)</f>
        <v>0</v>
      </c>
      <c r="F15" s="53" t="str">
        <f>_xlfn.XLOOKUP(C15,'LD-ELFA'!F:F,'LD-ELFA'!Q:Q)</f>
        <v>DIAGRAMA DE CONFIGURAÇÃO DE TELECOM</v>
      </c>
      <c r="G15" s="56">
        <f>_xlfn.XLOOKUP(C15,'Data Base'!D:D,'Data Base'!R:R)</f>
        <v>46231</v>
      </c>
      <c r="H15" s="56">
        <f>_xlfn.XLOOKUP(C15,'Data Base'!D:D,'Data Base'!T:T)</f>
        <v>46231</v>
      </c>
      <c r="I15" s="56" t="str">
        <f t="shared" si="0"/>
        <v>NO PRAZO</v>
      </c>
    </row>
    <row r="16" spans="2:9" hidden="1" x14ac:dyDescent="0.25">
      <c r="B16" s="53" t="str">
        <f>_xlfn.XLOOKUP(C16,'Data Base'!D:D,'Data Base'!B:B)</f>
        <v>AI - Automacao E Instrumentacao</v>
      </c>
      <c r="C16" s="53" t="s">
        <v>21</v>
      </c>
      <c r="D16" s="53" t="str">
        <f>_xlfn.XLOOKUP(C16,'LD-ELFA'!F:F,'LD-ELFA'!H:H)</f>
        <v>DE-A1-2006-J-PB-0001</v>
      </c>
      <c r="E16" s="53">
        <f>_xlfn.XLOOKUP(C16,'Data Base'!D:D,'Data Base'!G:G)</f>
        <v>0</v>
      </c>
      <c r="F16" s="53" t="str">
        <f>_xlfn.XLOOKUP(C16,'LD-ELFA'!F:F,'LD-ELFA'!Q:Q)</f>
        <v>DIAGRAMA DE CONFIGURAÇÃO DE TELECOM</v>
      </c>
      <c r="G16" s="56">
        <f>_xlfn.XLOOKUP(C16,'Data Base'!D:D,'Data Base'!R:R)</f>
        <v>46247</v>
      </c>
      <c r="H16" s="56">
        <f>_xlfn.XLOOKUP(C16,'Data Base'!D:D,'Data Base'!T:T)</f>
        <v>46247</v>
      </c>
      <c r="I16" s="56" t="str">
        <f t="shared" si="0"/>
        <v>NO PRAZO</v>
      </c>
    </row>
    <row r="17" spans="2:9" hidden="1" x14ac:dyDescent="0.25">
      <c r="B17" s="53" t="str">
        <f>_xlfn.XLOOKUP(C17,'Data Base'!D:D,'Data Base'!B:B)</f>
        <v>AI - Automacao E Instrumentacao</v>
      </c>
      <c r="C17" s="53" t="s">
        <v>22</v>
      </c>
      <c r="D17" s="53" t="str">
        <f>_xlfn.XLOOKUP(C17,'LD-ELFA'!F:F,'LD-ELFA'!H:H)</f>
        <v>ET-A1-2000-J-PB-0002</v>
      </c>
      <c r="E17" s="53">
        <f>_xlfn.XLOOKUP(C17,'Data Base'!D:D,'Data Base'!G:G)</f>
        <v>0</v>
      </c>
      <c r="F17" s="53" t="str">
        <f>_xlfn.XLOOKUP(C17,'LD-ELFA'!F:F,'LD-ELFA'!Q:Q)</f>
        <v>ESPECIFICAÇÃO TÉCNICA</v>
      </c>
      <c r="G17" s="56">
        <f>_xlfn.XLOOKUP(C17,'Data Base'!D:D,'Data Base'!R:R)</f>
        <v>46226</v>
      </c>
      <c r="H17" s="56">
        <f>_xlfn.XLOOKUP(C17,'Data Base'!D:D,'Data Base'!T:T)</f>
        <v>46226</v>
      </c>
      <c r="I17" s="56" t="str">
        <f t="shared" si="0"/>
        <v>NO PRAZO</v>
      </c>
    </row>
    <row r="18" spans="2:9" hidden="1" x14ac:dyDescent="0.25">
      <c r="B18" s="53" t="str">
        <f>_xlfn.XLOOKUP(C18,'Data Base'!D:D,'Data Base'!B:B)</f>
        <v>AI - Automacao E Instrumentacao</v>
      </c>
      <c r="C18" s="53" t="s">
        <v>23</v>
      </c>
      <c r="D18" s="53" t="str">
        <f>_xlfn.XLOOKUP(C18,'LD-ELFA'!F:F,'LD-ELFA'!H:H)</f>
        <v>ET-A1-2006-J-PB-0002</v>
      </c>
      <c r="E18" s="53">
        <f>_xlfn.XLOOKUP(C18,'Data Base'!D:D,'Data Base'!G:G)</f>
        <v>0</v>
      </c>
      <c r="F18" s="53" t="str">
        <f>_xlfn.XLOOKUP(C18,'LD-ELFA'!F:F,'LD-ELFA'!Q:Q)</f>
        <v>ESPECIFICAÇÃO TÉCNICA</v>
      </c>
      <c r="G18" s="56">
        <f>_xlfn.XLOOKUP(C18,'Data Base'!D:D,'Data Base'!R:R)</f>
        <v>46252</v>
      </c>
      <c r="H18" s="56">
        <f>_xlfn.XLOOKUP(C18,'Data Base'!D:D,'Data Base'!T:T)</f>
        <v>46252</v>
      </c>
      <c r="I18" s="56" t="str">
        <f t="shared" si="0"/>
        <v>NO PRAZO</v>
      </c>
    </row>
    <row r="19" spans="2:9" hidden="1" x14ac:dyDescent="0.25">
      <c r="B19" s="53" t="str">
        <f>_xlfn.XLOOKUP(C19,'Data Base'!D:D,'Data Base'!B:B)</f>
        <v>AI - Automacao E Instrumentacao</v>
      </c>
      <c r="C19" s="53" t="s">
        <v>24</v>
      </c>
      <c r="D19" s="53" t="str">
        <f>_xlfn.XLOOKUP(C19,'LD-ELFA'!F:F,'LD-ELFA'!H:H)</f>
        <v>ET-A1-2006-J-PB-0004</v>
      </c>
      <c r="E19" s="53">
        <f>_xlfn.XLOOKUP(C19,'Data Base'!D:D,'Data Base'!G:G)</f>
        <v>0</v>
      </c>
      <c r="F19" s="53" t="str">
        <f>_xlfn.XLOOKUP(C19,'LD-ELFA'!F:F,'LD-ELFA'!Q:Q)</f>
        <v>ESPECIFICAÇÃO TÉCNICA</v>
      </c>
      <c r="G19" s="56">
        <f>_xlfn.XLOOKUP(C19,'Data Base'!D:D,'Data Base'!R:R)</f>
        <v>46239</v>
      </c>
      <c r="H19" s="56">
        <f>_xlfn.XLOOKUP(C19,'Data Base'!D:D,'Data Base'!T:T)</f>
        <v>46239</v>
      </c>
      <c r="I19" s="56" t="str">
        <f t="shared" si="0"/>
        <v>NO PRAZO</v>
      </c>
    </row>
    <row r="20" spans="2:9" hidden="1" x14ac:dyDescent="0.25">
      <c r="B20" s="53" t="str">
        <f>_xlfn.XLOOKUP(C20,'Data Base'!D:D,'Data Base'!B:B)</f>
        <v>AI - Automacao E Instrumentacao</v>
      </c>
      <c r="C20" s="53" t="s">
        <v>25</v>
      </c>
      <c r="D20" s="53" t="str">
        <f>_xlfn.XLOOKUP(C20,'LD-ELFA'!F:F,'LD-ELFA'!H:H)</f>
        <v>ET-A1-2007-J-PB-0001</v>
      </c>
      <c r="E20" s="53">
        <f>_xlfn.XLOOKUP(C20,'Data Base'!D:D,'Data Base'!G:G)</f>
        <v>0</v>
      </c>
      <c r="F20" s="53" t="str">
        <f>_xlfn.XLOOKUP(C20,'LD-ELFA'!F:F,'LD-ELFA'!Q:Q)</f>
        <v>ESPECIFICAÇÃO TÉCNICA</v>
      </c>
      <c r="G20" s="56">
        <f>_xlfn.XLOOKUP(C20,'Data Base'!D:D,'Data Base'!R:R)</f>
        <v>46233</v>
      </c>
      <c r="H20" s="56">
        <f>_xlfn.XLOOKUP(C20,'Data Base'!D:D,'Data Base'!T:T)</f>
        <v>46233</v>
      </c>
      <c r="I20" s="56" t="str">
        <f t="shared" si="0"/>
        <v>NO PRAZO</v>
      </c>
    </row>
    <row r="21" spans="2:9" hidden="1" x14ac:dyDescent="0.25">
      <c r="B21" s="53" t="str">
        <f>_xlfn.XLOOKUP(C21,'Data Base'!D:D,'Data Base'!B:B)</f>
        <v>AI - Automacao E Instrumentacao</v>
      </c>
      <c r="C21" s="53" t="s">
        <v>26</v>
      </c>
      <c r="D21" s="53" t="str">
        <f>_xlfn.XLOOKUP(C21,'LD-ELFA'!F:F,'LD-ELFA'!H:H)</f>
        <v>FD-A1-2000-J-PB-0001</v>
      </c>
      <c r="E21" s="53">
        <f>_xlfn.XLOOKUP(C21,'Data Base'!D:D,'Data Base'!G:G)</f>
        <v>0</v>
      </c>
      <c r="F21" s="53" t="str">
        <f>_xlfn.XLOOKUP(C21,'LD-ELFA'!F:F,'LD-ELFA'!Q:Q)</f>
        <v>FOLHA DE DADOS</v>
      </c>
      <c r="G21" s="56">
        <f>_xlfn.XLOOKUP(C21,'Data Base'!D:D,'Data Base'!R:R)</f>
        <v>46255</v>
      </c>
      <c r="H21" s="56">
        <f>_xlfn.XLOOKUP(C21,'Data Base'!D:D,'Data Base'!T:T)</f>
        <v>46255</v>
      </c>
      <c r="I21" s="56" t="str">
        <f t="shared" si="0"/>
        <v>NO PRAZO</v>
      </c>
    </row>
    <row r="22" spans="2:9" x14ac:dyDescent="0.25">
      <c r="B22" s="53" t="str">
        <f>_xlfn.XLOOKUP(C22,'Data Base'!D:D,'Data Base'!B:B)</f>
        <v>AI - Automacao E Instrumentacao</v>
      </c>
      <c r="C22" s="53" t="s">
        <v>27</v>
      </c>
      <c r="D22" s="53" t="str">
        <f>_xlfn.XLOOKUP(C22,'LD-ELFA'!F:F,'LD-ELFA'!H:H)</f>
        <v>FD-A1-2000-J-PB-0002</v>
      </c>
      <c r="E22" s="53">
        <f>_xlfn.XLOOKUP(C22,'Data Base'!D:D,'Data Base'!G:G)</f>
        <v>0</v>
      </c>
      <c r="F22" s="53" t="str">
        <f>_xlfn.XLOOKUP(C22,'LD-ELFA'!F:F,'LD-ELFA'!Q:Q)</f>
        <v>FOLHA DE DADOS</v>
      </c>
      <c r="G22" s="56">
        <f>_xlfn.XLOOKUP(C22,'Data Base'!D:D,'Data Base'!R:R)</f>
        <v>46220</v>
      </c>
      <c r="H22" s="56">
        <f>_xlfn.XLOOKUP(C22,'Data Base'!D:D,'Data Base'!T:T)</f>
        <v>46220</v>
      </c>
      <c r="I22" s="56" t="str">
        <f t="shared" si="0"/>
        <v>NO PRAZO</v>
      </c>
    </row>
    <row r="23" spans="2:9" hidden="1" x14ac:dyDescent="0.25">
      <c r="B23" s="53" t="str">
        <f>_xlfn.XLOOKUP(C23,'Data Base'!D:D,'Data Base'!B:B)</f>
        <v>AI - Automacao E Instrumentacao</v>
      </c>
      <c r="C23" s="53" t="s">
        <v>28</v>
      </c>
      <c r="D23" s="53" t="str">
        <f>_xlfn.XLOOKUP(C23,'LD-ELFA'!F:F,'LD-ELFA'!H:H)</f>
        <v>FD-A1-2000-J-PB-0003</v>
      </c>
      <c r="E23" s="53">
        <f>_xlfn.XLOOKUP(C23,'Data Base'!D:D,'Data Base'!G:G)</f>
        <v>1</v>
      </c>
      <c r="F23" s="53" t="str">
        <f>_xlfn.XLOOKUP(C23,'LD-ELFA'!F:F,'LD-ELFA'!Q:Q)</f>
        <v>FOLHA DE DADOS</v>
      </c>
      <c r="G23" s="56" t="str">
        <f>_xlfn.XLOOKUP(C23,'Data Base'!D:D,'Data Base'!R:R)</f>
        <v>Documento Emitido</v>
      </c>
      <c r="H23" s="56" t="str">
        <f>_xlfn.XLOOKUP(C23,'Data Base'!D:D,'Data Base'!T:T)</f>
        <v>Documento Emitido</v>
      </c>
      <c r="I23" s="56" t="str">
        <f t="shared" si="0"/>
        <v>NO PRAZO</v>
      </c>
    </row>
    <row r="24" spans="2:9" hidden="1" x14ac:dyDescent="0.25">
      <c r="B24" s="53" t="str">
        <f>_xlfn.XLOOKUP(C24,'Data Base'!D:D,'Data Base'!B:B)</f>
        <v>AI - Automacao E Instrumentacao</v>
      </c>
      <c r="C24" s="53" t="s">
        <v>29</v>
      </c>
      <c r="D24" s="53" t="str">
        <f>_xlfn.XLOOKUP(C24,'LD-ELFA'!F:F,'LD-ELFA'!H:H)</f>
        <v>FD-A1-2000-J-PB-0004</v>
      </c>
      <c r="E24" s="53">
        <f>_xlfn.XLOOKUP(C24,'Data Base'!D:D,'Data Base'!G:G)</f>
        <v>0</v>
      </c>
      <c r="F24" s="53" t="str">
        <f>_xlfn.XLOOKUP(C24,'LD-ELFA'!F:F,'LD-ELFA'!Q:Q)</f>
        <v>FOLHA DE DADOS</v>
      </c>
      <c r="G24" s="56">
        <f>_xlfn.XLOOKUP(C24,'Data Base'!D:D,'Data Base'!R:R)</f>
        <v>46265</v>
      </c>
      <c r="H24" s="56">
        <f>_xlfn.XLOOKUP(C24,'Data Base'!D:D,'Data Base'!T:T)</f>
        <v>46265</v>
      </c>
      <c r="I24" s="56" t="str">
        <f t="shared" si="0"/>
        <v>NO PRAZO</v>
      </c>
    </row>
    <row r="25" spans="2:9" hidden="1" x14ac:dyDescent="0.25">
      <c r="B25" s="53" t="str">
        <f>_xlfn.XLOOKUP(C25,'Data Base'!D:D,'Data Base'!B:B)</f>
        <v>AI - Automacao E Instrumentacao</v>
      </c>
      <c r="C25" s="53" t="s">
        <v>30</v>
      </c>
      <c r="D25" s="53" t="str">
        <f>_xlfn.XLOOKUP(C25,'LD-ELFA'!F:F,'LD-ELFA'!H:H)</f>
        <v>FD-A1-2000-J-PB-0005</v>
      </c>
      <c r="E25" s="53">
        <f>_xlfn.XLOOKUP(C25,'Data Base'!D:D,'Data Base'!G:G)</f>
        <v>0</v>
      </c>
      <c r="F25" s="53" t="str">
        <f>_xlfn.XLOOKUP(C25,'LD-ELFA'!F:F,'LD-ELFA'!Q:Q)</f>
        <v>FOLHA DE DADOS</v>
      </c>
      <c r="G25" s="56">
        <f>_xlfn.XLOOKUP(C25,'Data Base'!D:D,'Data Base'!R:R)</f>
        <v>46265</v>
      </c>
      <c r="H25" s="56">
        <f>_xlfn.XLOOKUP(C25,'Data Base'!D:D,'Data Base'!T:T)</f>
        <v>46265</v>
      </c>
      <c r="I25" s="56" t="str">
        <f t="shared" si="0"/>
        <v>NO PRAZO</v>
      </c>
    </row>
    <row r="26" spans="2:9" hidden="1" x14ac:dyDescent="0.25">
      <c r="B26" s="53" t="str">
        <f>_xlfn.XLOOKUP(C26,'Data Base'!D:D,'Data Base'!B:B)</f>
        <v>AI - Automacao E Instrumentacao</v>
      </c>
      <c r="C26" s="53" t="s">
        <v>31</v>
      </c>
      <c r="D26" s="53" t="str">
        <f>_xlfn.XLOOKUP(C26,'LD-ELFA'!F:F,'LD-ELFA'!H:H)</f>
        <v>FD-A1-2000-J-PB-0006</v>
      </c>
      <c r="E26" s="53">
        <f>_xlfn.XLOOKUP(C26,'Data Base'!D:D,'Data Base'!G:G)</f>
        <v>0</v>
      </c>
      <c r="F26" s="53" t="str">
        <f>_xlfn.XLOOKUP(C26,'LD-ELFA'!F:F,'LD-ELFA'!Q:Q)</f>
        <v>FOLHA DE DADOS</v>
      </c>
      <c r="G26" s="56">
        <f>_xlfn.XLOOKUP(C26,'Data Base'!D:D,'Data Base'!R:R)</f>
        <v>46269</v>
      </c>
      <c r="H26" s="56">
        <f>_xlfn.XLOOKUP(C26,'Data Base'!D:D,'Data Base'!T:T)</f>
        <v>46269</v>
      </c>
      <c r="I26" s="56" t="str">
        <f t="shared" si="0"/>
        <v>NO PRAZO</v>
      </c>
    </row>
    <row r="27" spans="2:9" hidden="1" x14ac:dyDescent="0.25">
      <c r="B27" s="53" t="str">
        <f>_xlfn.XLOOKUP(C27,'Data Base'!D:D,'Data Base'!B:B)</f>
        <v>AI - Automacao E Instrumentacao</v>
      </c>
      <c r="C27" s="53" t="s">
        <v>32</v>
      </c>
      <c r="D27" s="53" t="str">
        <f>_xlfn.XLOOKUP(C27,'LD-ELFA'!F:F,'LD-ELFA'!H:H)</f>
        <v>FD-A1-2000-J-PB-0007</v>
      </c>
      <c r="E27" s="53">
        <f>_xlfn.XLOOKUP(C27,'Data Base'!D:D,'Data Base'!G:G)</f>
        <v>0</v>
      </c>
      <c r="F27" s="53" t="str">
        <f>_xlfn.XLOOKUP(C27,'LD-ELFA'!F:F,'LD-ELFA'!Q:Q)</f>
        <v>FOLHA DE DADOS</v>
      </c>
      <c r="G27" s="56">
        <f>_xlfn.XLOOKUP(C27,'Data Base'!D:D,'Data Base'!R:R)</f>
        <v>46258</v>
      </c>
      <c r="H27" s="56">
        <f>_xlfn.XLOOKUP(C27,'Data Base'!D:D,'Data Base'!T:T)</f>
        <v>46258</v>
      </c>
      <c r="I27" s="56" t="str">
        <f t="shared" si="0"/>
        <v>NO PRAZO</v>
      </c>
    </row>
    <row r="28" spans="2:9" hidden="1" x14ac:dyDescent="0.25">
      <c r="B28" s="53" t="str">
        <f>_xlfn.XLOOKUP(C28,'Data Base'!D:D,'Data Base'!B:B)</f>
        <v>AI - Automacao E Instrumentacao</v>
      </c>
      <c r="C28" s="53" t="s">
        <v>33</v>
      </c>
      <c r="D28" s="53" t="str">
        <f>_xlfn.XLOOKUP(C28,'LD-ELFA'!F:F,'LD-ELFA'!H:H)</f>
        <v>FD-A1-2000-J-PB-0008</v>
      </c>
      <c r="E28" s="53">
        <f>_xlfn.XLOOKUP(C28,'Data Base'!D:D,'Data Base'!G:G)</f>
        <v>0</v>
      </c>
      <c r="F28" s="53" t="str">
        <f>_xlfn.XLOOKUP(C28,'LD-ELFA'!F:F,'LD-ELFA'!Q:Q)</f>
        <v>FOLHA DE DADOS</v>
      </c>
      <c r="G28" s="56">
        <f>_xlfn.XLOOKUP(C28,'Data Base'!D:D,'Data Base'!R:R)</f>
        <v>46258</v>
      </c>
      <c r="H28" s="56">
        <f>_xlfn.XLOOKUP(C28,'Data Base'!D:D,'Data Base'!T:T)</f>
        <v>46258</v>
      </c>
      <c r="I28" s="56" t="str">
        <f t="shared" si="0"/>
        <v>NO PRAZO</v>
      </c>
    </row>
    <row r="29" spans="2:9" hidden="1" x14ac:dyDescent="0.25">
      <c r="B29" s="53" t="str">
        <f>_xlfn.XLOOKUP(C29,'Data Base'!D:D,'Data Base'!B:B)</f>
        <v>AI - Automacao E Instrumentacao</v>
      </c>
      <c r="C29" s="53" t="s">
        <v>34</v>
      </c>
      <c r="D29" s="53" t="str">
        <f>_xlfn.XLOOKUP(C29,'LD-ELFA'!F:F,'LD-ELFA'!H:H)</f>
        <v>FD-A1-2000-J-PB-0009</v>
      </c>
      <c r="E29" s="53">
        <f>_xlfn.XLOOKUP(C29,'Data Base'!D:D,'Data Base'!G:G)</f>
        <v>0</v>
      </c>
      <c r="F29" s="53" t="str">
        <f>_xlfn.XLOOKUP(C29,'LD-ELFA'!F:F,'LD-ELFA'!Q:Q)</f>
        <v>FOLHA DE DADOS</v>
      </c>
      <c r="G29" s="56">
        <f>_xlfn.XLOOKUP(C29,'Data Base'!D:D,'Data Base'!R:R)</f>
        <v>46275</v>
      </c>
      <c r="H29" s="56">
        <f>_xlfn.XLOOKUP(C29,'Data Base'!D:D,'Data Base'!T:T)</f>
        <v>46275</v>
      </c>
      <c r="I29" s="56" t="str">
        <f t="shared" si="0"/>
        <v>NO PRAZO</v>
      </c>
    </row>
    <row r="30" spans="2:9" hidden="1" x14ac:dyDescent="0.25">
      <c r="B30" s="53" t="str">
        <f>_xlfn.XLOOKUP(C30,'Data Base'!D:D,'Data Base'!B:B)</f>
        <v>AI - Automacao E Instrumentacao</v>
      </c>
      <c r="C30" s="53" t="s">
        <v>35</v>
      </c>
      <c r="D30" s="53" t="str">
        <f>_xlfn.XLOOKUP(C30,'LD-ELFA'!F:F,'LD-ELFA'!H:H)</f>
        <v>FD-A1-2000-J-PB-0010</v>
      </c>
      <c r="E30" s="53">
        <f>_xlfn.XLOOKUP(C30,'Data Base'!D:D,'Data Base'!G:G)</f>
        <v>0</v>
      </c>
      <c r="F30" s="53" t="str">
        <f>_xlfn.XLOOKUP(C30,'LD-ELFA'!F:F,'LD-ELFA'!Q:Q)</f>
        <v>FOLHA DE DADOS</v>
      </c>
      <c r="G30" s="56">
        <f>_xlfn.XLOOKUP(C30,'Data Base'!D:D,'Data Base'!R:R)</f>
        <v>46275</v>
      </c>
      <c r="H30" s="56">
        <f>_xlfn.XLOOKUP(C30,'Data Base'!D:D,'Data Base'!T:T)</f>
        <v>46275</v>
      </c>
      <c r="I30" s="56" t="str">
        <f t="shared" si="0"/>
        <v>NO PRAZO</v>
      </c>
    </row>
    <row r="31" spans="2:9" hidden="1" x14ac:dyDescent="0.25">
      <c r="B31" s="53" t="str">
        <f>_xlfn.XLOOKUP(C31,'Data Base'!D:D,'Data Base'!B:B)</f>
        <v>AI - Automacao E Instrumentacao</v>
      </c>
      <c r="C31" s="53" t="s">
        <v>36</v>
      </c>
      <c r="D31" s="53" t="str">
        <f>_xlfn.XLOOKUP(C31,'LD-ELFA'!F:F,'LD-ELFA'!H:H)</f>
        <v>FD-A1-2000-J-PB-0011</v>
      </c>
      <c r="E31" s="53">
        <f>_xlfn.XLOOKUP(C31,'Data Base'!D:D,'Data Base'!G:G)</f>
        <v>0</v>
      </c>
      <c r="F31" s="53" t="str">
        <f>_xlfn.XLOOKUP(C31,'LD-ELFA'!F:F,'LD-ELFA'!Q:Q)</f>
        <v>FOLHA DE DADOS</v>
      </c>
      <c r="G31" s="56">
        <f>_xlfn.XLOOKUP(C31,'Data Base'!D:D,'Data Base'!R:R)</f>
        <v>46275</v>
      </c>
      <c r="H31" s="56">
        <f>_xlfn.XLOOKUP(C31,'Data Base'!D:D,'Data Base'!T:T)</f>
        <v>46275</v>
      </c>
      <c r="I31" s="56" t="str">
        <f t="shared" si="0"/>
        <v>NO PRAZO</v>
      </c>
    </row>
    <row r="32" spans="2:9" hidden="1" x14ac:dyDescent="0.25">
      <c r="B32" s="53" t="str">
        <f>_xlfn.XLOOKUP(C32,'Data Base'!D:D,'Data Base'!B:B)</f>
        <v>AI - Automacao E Instrumentacao</v>
      </c>
      <c r="C32" s="53" t="s">
        <v>37</v>
      </c>
      <c r="D32" s="53" t="str">
        <f>_xlfn.XLOOKUP(C32,'LD-ELFA'!F:F,'LD-ELFA'!H:H)</f>
        <v>FD-A1-2000-J-PB-0012</v>
      </c>
      <c r="E32" s="53">
        <f>_xlfn.XLOOKUP(C32,'Data Base'!D:D,'Data Base'!G:G)</f>
        <v>0</v>
      </c>
      <c r="F32" s="53" t="str">
        <f>_xlfn.XLOOKUP(C32,'LD-ELFA'!F:F,'LD-ELFA'!Q:Q)</f>
        <v>FOLHA DE DADOS</v>
      </c>
      <c r="G32" s="56" t="str">
        <f>_xlfn.XLOOKUP(C32,'Data Base'!D:D,'Data Base'!R:R)</f>
        <v>Documento Emitido</v>
      </c>
      <c r="H32" s="56" t="str">
        <f>_xlfn.XLOOKUP(C32,'Data Base'!D:D,'Data Base'!T:T)</f>
        <v>Documento Emitido</v>
      </c>
      <c r="I32" s="56" t="str">
        <f t="shared" si="0"/>
        <v>NO PRAZO</v>
      </c>
    </row>
    <row r="33" spans="2:9" hidden="1" x14ac:dyDescent="0.25">
      <c r="B33" s="53" t="str">
        <f>_xlfn.XLOOKUP(C33,'Data Base'!D:D,'Data Base'!B:B)</f>
        <v>AI - Automacao E Instrumentacao</v>
      </c>
      <c r="C33" s="53" t="s">
        <v>38</v>
      </c>
      <c r="D33" s="53" t="str">
        <f>_xlfn.XLOOKUP(C33,'LD-ELFA'!F:F,'LD-ELFA'!H:H)</f>
        <v>FD-A1-2000-J-PB-0013</v>
      </c>
      <c r="E33" s="53">
        <f>_xlfn.XLOOKUP(C33,'Data Base'!D:D,'Data Base'!G:G)</f>
        <v>0</v>
      </c>
      <c r="F33" s="53" t="str">
        <f>_xlfn.XLOOKUP(C33,'LD-ELFA'!F:F,'LD-ELFA'!Q:Q)</f>
        <v>FOLHA DE DADOS</v>
      </c>
      <c r="G33" s="56">
        <f>_xlfn.XLOOKUP(C33,'Data Base'!D:D,'Data Base'!R:R)</f>
        <v>46275</v>
      </c>
      <c r="H33" s="56">
        <f>_xlfn.XLOOKUP(C33,'Data Base'!D:D,'Data Base'!T:T)</f>
        <v>46275</v>
      </c>
      <c r="I33" s="56" t="str">
        <f t="shared" si="0"/>
        <v>NO PRAZO</v>
      </c>
    </row>
    <row r="34" spans="2:9" hidden="1" x14ac:dyDescent="0.25">
      <c r="B34" s="53" t="str">
        <f>_xlfn.XLOOKUP(C34,'Data Base'!D:D,'Data Base'!B:B)</f>
        <v>AI - Automacao E Instrumentacao</v>
      </c>
      <c r="C34" s="53" t="s">
        <v>39</v>
      </c>
      <c r="D34" s="53" t="str">
        <f>_xlfn.XLOOKUP(C34,'LD-ELFA'!F:F,'LD-ELFA'!H:H)</f>
        <v>FD-A1-2000-J-PB-0014</v>
      </c>
      <c r="E34" s="53">
        <f>_xlfn.XLOOKUP(C34,'Data Base'!D:D,'Data Base'!G:G)</f>
        <v>0</v>
      </c>
      <c r="F34" s="53" t="str">
        <f>_xlfn.XLOOKUP(C34,'LD-ELFA'!F:F,'LD-ELFA'!Q:Q)</f>
        <v>FOLHA DE DADOS</v>
      </c>
      <c r="G34" s="56" t="str">
        <f>_xlfn.XLOOKUP(C34,'Data Base'!D:D,'Data Base'!R:R)</f>
        <v>Documento Emitido</v>
      </c>
      <c r="H34" s="56" t="str">
        <f>_xlfn.XLOOKUP(C34,'Data Base'!D:D,'Data Base'!T:T)</f>
        <v>Documento Emitido</v>
      </c>
      <c r="I34" s="56" t="str">
        <f t="shared" si="0"/>
        <v>NO PRAZO</v>
      </c>
    </row>
    <row r="35" spans="2:9" hidden="1" x14ac:dyDescent="0.25">
      <c r="B35" s="53" t="str">
        <f>_xlfn.XLOOKUP(C35,'Data Base'!D:D,'Data Base'!B:B)</f>
        <v>AI - Automacao E Instrumentacao</v>
      </c>
      <c r="C35" s="53" t="s">
        <v>40</v>
      </c>
      <c r="D35" s="53" t="str">
        <f>_xlfn.XLOOKUP(C35,'LD-ELFA'!F:F,'LD-ELFA'!H:H)</f>
        <v>FD-A1-2000-J-PB-0015</v>
      </c>
      <c r="E35" s="53">
        <f>_xlfn.XLOOKUP(C35,'Data Base'!D:D,'Data Base'!G:G)</f>
        <v>1</v>
      </c>
      <c r="F35" s="53" t="str">
        <f>_xlfn.XLOOKUP(C35,'LD-ELFA'!F:F,'LD-ELFA'!Q:Q)</f>
        <v>FOLHA DE DADOS</v>
      </c>
      <c r="G35" s="56" t="str">
        <f>_xlfn.XLOOKUP(C35,'Data Base'!D:D,'Data Base'!R:R)</f>
        <v>Documento Emitido</v>
      </c>
      <c r="H35" s="56" t="str">
        <f>_xlfn.XLOOKUP(C35,'Data Base'!D:D,'Data Base'!T:T)</f>
        <v>Documento Emitido</v>
      </c>
      <c r="I35" s="56" t="str">
        <f t="shared" si="0"/>
        <v>NO PRAZO</v>
      </c>
    </row>
    <row r="36" spans="2:9" hidden="1" x14ac:dyDescent="0.25">
      <c r="B36" s="53" t="str">
        <f>_xlfn.XLOOKUP(C36,'Data Base'!D:D,'Data Base'!B:B)</f>
        <v>AI - Automacao E Instrumentacao</v>
      </c>
      <c r="C36" s="53" t="s">
        <v>41</v>
      </c>
      <c r="D36" s="53" t="str">
        <f>_xlfn.XLOOKUP(C36,'LD-ELFA'!F:F,'LD-ELFA'!H:H)</f>
        <v>FD-A1-2000-J-PB-0016</v>
      </c>
      <c r="E36" s="53">
        <f>_xlfn.XLOOKUP(C36,'Data Base'!D:D,'Data Base'!G:G)</f>
        <v>1</v>
      </c>
      <c r="F36" s="53" t="str">
        <f>_xlfn.XLOOKUP(C36,'LD-ELFA'!F:F,'LD-ELFA'!Q:Q)</f>
        <v>FOLHA DE DADOS</v>
      </c>
      <c r="G36" s="56" t="str">
        <f>_xlfn.XLOOKUP(C36,'Data Base'!D:D,'Data Base'!R:R)</f>
        <v>Documento Emitido</v>
      </c>
      <c r="H36" s="56" t="str">
        <f>_xlfn.XLOOKUP(C36,'Data Base'!D:D,'Data Base'!T:T)</f>
        <v>Documento Emitido</v>
      </c>
      <c r="I36" s="56" t="str">
        <f t="shared" si="0"/>
        <v>NO PRAZO</v>
      </c>
    </row>
    <row r="37" spans="2:9" hidden="1" x14ac:dyDescent="0.25">
      <c r="B37" s="53" t="str">
        <f>_xlfn.XLOOKUP(C37,'Data Base'!D:D,'Data Base'!B:B)</f>
        <v>AI - Automacao E Instrumentacao</v>
      </c>
      <c r="C37" s="53" t="s">
        <v>42</v>
      </c>
      <c r="D37" s="53" t="str">
        <f>_xlfn.XLOOKUP(C37,'LD-ELFA'!F:F,'LD-ELFA'!H:H)</f>
        <v>FD-A1-2000-J-PB-0017</v>
      </c>
      <c r="E37" s="53">
        <f>_xlfn.XLOOKUP(C37,'Data Base'!D:D,'Data Base'!G:G)</f>
        <v>0</v>
      </c>
      <c r="F37" s="53" t="str">
        <f>_xlfn.XLOOKUP(C37,'LD-ELFA'!F:F,'LD-ELFA'!Q:Q)</f>
        <v>FOLHA DE DADOS</v>
      </c>
      <c r="G37" s="56">
        <f>_xlfn.XLOOKUP(C37,'Data Base'!D:D,'Data Base'!R:R)</f>
        <v>46259</v>
      </c>
      <c r="H37" s="56">
        <f>_xlfn.XLOOKUP(C37,'Data Base'!D:D,'Data Base'!T:T)</f>
        <v>46259</v>
      </c>
      <c r="I37" s="56" t="str">
        <f t="shared" si="0"/>
        <v>NO PRAZO</v>
      </c>
    </row>
    <row r="38" spans="2:9" hidden="1" x14ac:dyDescent="0.25">
      <c r="B38" s="53" t="str">
        <f>_xlfn.XLOOKUP(C38,'Data Base'!D:D,'Data Base'!B:B)</f>
        <v>AI - Automacao E Instrumentacao</v>
      </c>
      <c r="C38" s="53" t="s">
        <v>43</v>
      </c>
      <c r="D38" s="53" t="str">
        <f>_xlfn.XLOOKUP(C38,'LD-ELFA'!F:F,'LD-ELFA'!H:H)</f>
        <v>FD-A1-2000-J-PB-0018</v>
      </c>
      <c r="E38" s="53">
        <f>_xlfn.XLOOKUP(C38,'Data Base'!D:D,'Data Base'!G:G)</f>
        <v>0</v>
      </c>
      <c r="F38" s="53" t="str">
        <f>_xlfn.XLOOKUP(C38,'LD-ELFA'!F:F,'LD-ELFA'!Q:Q)</f>
        <v>FOLHA DE DADOS</v>
      </c>
      <c r="G38" s="56">
        <f>_xlfn.XLOOKUP(C38,'Data Base'!D:D,'Data Base'!R:R)</f>
        <v>46255</v>
      </c>
      <c r="H38" s="56">
        <f>_xlfn.XLOOKUP(C38,'Data Base'!D:D,'Data Base'!T:T)</f>
        <v>46255</v>
      </c>
      <c r="I38" s="56" t="str">
        <f t="shared" si="0"/>
        <v>NO PRAZO</v>
      </c>
    </row>
    <row r="39" spans="2:9" hidden="1" x14ac:dyDescent="0.25">
      <c r="B39" s="53" t="str">
        <f>_xlfn.XLOOKUP(C39,'Data Base'!D:D,'Data Base'!B:B)</f>
        <v>AI - Automacao E Instrumentacao</v>
      </c>
      <c r="C39" s="53" t="s">
        <v>44</v>
      </c>
      <c r="D39" s="53" t="str">
        <f>_xlfn.XLOOKUP(C39,'LD-ELFA'!F:F,'LD-ELFA'!H:H)</f>
        <v>FD-A1-2000-J-PB-0019</v>
      </c>
      <c r="E39" s="53">
        <f>_xlfn.XLOOKUP(C39,'Data Base'!D:D,'Data Base'!G:G)</f>
        <v>0</v>
      </c>
      <c r="F39" s="53" t="str">
        <f>_xlfn.XLOOKUP(C39,'LD-ELFA'!F:F,'LD-ELFA'!Q:Q)</f>
        <v>FOLHA DE DADOS</v>
      </c>
      <c r="G39" s="56">
        <f>_xlfn.XLOOKUP(C39,'Data Base'!D:D,'Data Base'!R:R)</f>
        <v>46259</v>
      </c>
      <c r="H39" s="56">
        <f>_xlfn.XLOOKUP(C39,'Data Base'!D:D,'Data Base'!T:T)</f>
        <v>46259</v>
      </c>
      <c r="I39" s="56" t="str">
        <f t="shared" si="0"/>
        <v>NO PRAZO</v>
      </c>
    </row>
    <row r="40" spans="2:9" hidden="1" x14ac:dyDescent="0.25">
      <c r="B40" s="53" t="str">
        <f>_xlfn.XLOOKUP(C40,'Data Base'!D:D,'Data Base'!B:B)</f>
        <v>AI - Automacao E Instrumentacao</v>
      </c>
      <c r="C40" s="53" t="s">
        <v>45</v>
      </c>
      <c r="D40" s="53" t="str">
        <f>_xlfn.XLOOKUP(C40,'LD-ELFA'!F:F,'LD-ELFA'!H:H)</f>
        <v>FD-A1-2000-J-PB-0020</v>
      </c>
      <c r="E40" s="53">
        <f>_xlfn.XLOOKUP(C40,'Data Base'!D:D,'Data Base'!G:G)</f>
        <v>0</v>
      </c>
      <c r="F40" s="53" t="str">
        <f>_xlfn.XLOOKUP(C40,'LD-ELFA'!F:F,'LD-ELFA'!Q:Q)</f>
        <v>FOLHA DE DADOS</v>
      </c>
      <c r="G40" s="56">
        <f>_xlfn.XLOOKUP(C40,'Data Base'!D:D,'Data Base'!R:R)</f>
        <v>46259</v>
      </c>
      <c r="H40" s="56">
        <f>_xlfn.XLOOKUP(C40,'Data Base'!D:D,'Data Base'!T:T)</f>
        <v>46259</v>
      </c>
      <c r="I40" s="56" t="str">
        <f t="shared" si="0"/>
        <v>NO PRAZO</v>
      </c>
    </row>
    <row r="41" spans="2:9" hidden="1" x14ac:dyDescent="0.25">
      <c r="B41" s="53" t="str">
        <f>_xlfn.XLOOKUP(C41,'Data Base'!D:D,'Data Base'!B:B)</f>
        <v>AI - Automacao E Instrumentacao</v>
      </c>
      <c r="C41" s="53" t="s">
        <v>46</v>
      </c>
      <c r="D41" s="53" t="str">
        <f>_xlfn.XLOOKUP(C41,'LD-ELFA'!F:F,'LD-ELFA'!H:H)</f>
        <v>FD-A1-2000-J-PB-0021</v>
      </c>
      <c r="E41" s="53">
        <f>_xlfn.XLOOKUP(C41,'Data Base'!D:D,'Data Base'!G:G)</f>
        <v>0</v>
      </c>
      <c r="F41" s="53" t="str">
        <f>_xlfn.XLOOKUP(C41,'LD-ELFA'!F:F,'LD-ELFA'!Q:Q)</f>
        <v>FOLHA DE DADOS</v>
      </c>
      <c r="G41" s="56">
        <f>_xlfn.XLOOKUP(C41,'Data Base'!D:D,'Data Base'!R:R)</f>
        <v>46269</v>
      </c>
      <c r="H41" s="56">
        <f>_xlfn.XLOOKUP(C41,'Data Base'!D:D,'Data Base'!T:T)</f>
        <v>46269</v>
      </c>
      <c r="I41" s="56" t="str">
        <f t="shared" si="0"/>
        <v>NO PRAZO</v>
      </c>
    </row>
    <row r="42" spans="2:9" hidden="1" x14ac:dyDescent="0.25">
      <c r="B42" s="53" t="str">
        <f>_xlfn.XLOOKUP(C42,'Data Base'!D:D,'Data Base'!B:B)</f>
        <v>AI - Automacao E Instrumentacao</v>
      </c>
      <c r="C42" s="53" t="s">
        <v>47</v>
      </c>
      <c r="D42" s="53" t="str">
        <f>_xlfn.XLOOKUP(C42,'LD-ELFA'!F:F,'LD-ELFA'!H:H)</f>
        <v>FD-A1-2000-J-PB-0022</v>
      </c>
      <c r="E42" s="53">
        <f>_xlfn.XLOOKUP(C42,'Data Base'!D:D,'Data Base'!G:G)</f>
        <v>1</v>
      </c>
      <c r="F42" s="53" t="str">
        <f>_xlfn.XLOOKUP(C42,'LD-ELFA'!F:F,'LD-ELFA'!Q:Q)</f>
        <v>FOLHA DE DADOS</v>
      </c>
      <c r="G42" s="56" t="str">
        <f>_xlfn.XLOOKUP(C42,'Data Base'!D:D,'Data Base'!R:R)</f>
        <v>Documento Emitido</v>
      </c>
      <c r="H42" s="56" t="str">
        <f>_xlfn.XLOOKUP(C42,'Data Base'!D:D,'Data Base'!T:T)</f>
        <v>Documento Emitido</v>
      </c>
      <c r="I42" s="56" t="str">
        <f t="shared" si="0"/>
        <v>NO PRAZO</v>
      </c>
    </row>
    <row r="43" spans="2:9" hidden="1" x14ac:dyDescent="0.25">
      <c r="B43" s="53" t="str">
        <f>_xlfn.XLOOKUP(C43,'Data Base'!D:D,'Data Base'!B:B)</f>
        <v>AI - Automacao E Instrumentacao</v>
      </c>
      <c r="C43" s="53" t="s">
        <v>48</v>
      </c>
      <c r="D43" s="53" t="str">
        <f>_xlfn.XLOOKUP(C43,'LD-ELFA'!F:F,'LD-ELFA'!H:H)</f>
        <v>FD-A1-2000-J-PB-0023</v>
      </c>
      <c r="E43" s="53">
        <f>_xlfn.XLOOKUP(C43,'Data Base'!D:D,'Data Base'!G:G)</f>
        <v>0</v>
      </c>
      <c r="F43" s="53" t="str">
        <f>_xlfn.XLOOKUP(C43,'LD-ELFA'!F:F,'LD-ELFA'!Q:Q)</f>
        <v>FOLHA DE DADOS</v>
      </c>
      <c r="G43" s="56">
        <f>_xlfn.XLOOKUP(C43,'Data Base'!D:D,'Data Base'!R:R)</f>
        <v>46259</v>
      </c>
      <c r="H43" s="56">
        <f>_xlfn.XLOOKUP(C43,'Data Base'!D:D,'Data Base'!T:T)</f>
        <v>46259</v>
      </c>
      <c r="I43" s="56" t="str">
        <f t="shared" si="0"/>
        <v>NO PRAZO</v>
      </c>
    </row>
    <row r="44" spans="2:9" hidden="1" x14ac:dyDescent="0.25">
      <c r="B44" s="53" t="str">
        <f>_xlfn.XLOOKUP(C44,'Data Base'!D:D,'Data Base'!B:B)</f>
        <v>AI - Automacao E Instrumentacao</v>
      </c>
      <c r="C44" s="53" t="s">
        <v>49</v>
      </c>
      <c r="D44" s="53" t="str">
        <f>_xlfn.XLOOKUP(C44,'LD-ELFA'!F:F,'LD-ELFA'!H:H)</f>
        <v>FD-A1-2004-J-PB-0001</v>
      </c>
      <c r="E44" s="53">
        <f>_xlfn.XLOOKUP(C44,'Data Base'!D:D,'Data Base'!G:G)</f>
        <v>0</v>
      </c>
      <c r="F44" s="53" t="str">
        <f>_xlfn.XLOOKUP(C44,'LD-ELFA'!F:F,'LD-ELFA'!Q:Q)</f>
        <v>FOLHA DE DADOS</v>
      </c>
      <c r="G44" s="56">
        <f>_xlfn.XLOOKUP(C44,'Data Base'!D:D,'Data Base'!R:R)</f>
        <v>46225</v>
      </c>
      <c r="H44" s="56">
        <f>_xlfn.XLOOKUP(C44,'Data Base'!D:D,'Data Base'!T:T)</f>
        <v>46225</v>
      </c>
      <c r="I44" s="56" t="str">
        <f t="shared" si="0"/>
        <v>NO PRAZO</v>
      </c>
    </row>
    <row r="45" spans="2:9" hidden="1" x14ac:dyDescent="0.25">
      <c r="B45" s="53" t="str">
        <f>_xlfn.XLOOKUP(C45,'Data Base'!D:D,'Data Base'!B:B)</f>
        <v>AI - Automacao E Instrumentacao</v>
      </c>
      <c r="C45" s="53" t="s">
        <v>50</v>
      </c>
      <c r="D45" s="53" t="str">
        <f>_xlfn.XLOOKUP(C45,'LD-ELFA'!F:F,'LD-ELFA'!H:H)</f>
        <v>FD-A1-2006-J-PB-0002</v>
      </c>
      <c r="E45" s="53">
        <f>_xlfn.XLOOKUP(C45,'Data Base'!D:D,'Data Base'!G:G)</f>
        <v>0</v>
      </c>
      <c r="F45" s="53" t="str">
        <f>_xlfn.XLOOKUP(C45,'LD-ELFA'!F:F,'LD-ELFA'!Q:Q)</f>
        <v>FOLHA DE DADOS</v>
      </c>
      <c r="G45" s="56">
        <f>_xlfn.XLOOKUP(C45,'Data Base'!D:D,'Data Base'!R:R)</f>
        <v>46252</v>
      </c>
      <c r="H45" s="56">
        <f>_xlfn.XLOOKUP(C45,'Data Base'!D:D,'Data Base'!T:T)</f>
        <v>46252</v>
      </c>
      <c r="I45" s="56" t="str">
        <f t="shared" si="0"/>
        <v>NO PRAZO</v>
      </c>
    </row>
    <row r="46" spans="2:9" x14ac:dyDescent="0.25">
      <c r="B46" s="53" t="str">
        <f>_xlfn.XLOOKUP(C46,'Data Base'!D:D,'Data Base'!B:B)</f>
        <v>AI - Automacao E Instrumentacao</v>
      </c>
      <c r="C46" s="53" t="s">
        <v>51</v>
      </c>
      <c r="D46" s="53" t="str">
        <f>_xlfn.XLOOKUP(C46,'LD-ELFA'!F:F,'LD-ELFA'!H:H)</f>
        <v>FD-A1-2006-J-PB-0004</v>
      </c>
      <c r="E46" s="53">
        <f>_xlfn.XLOOKUP(C46,'Data Base'!D:D,'Data Base'!G:G)</f>
        <v>0</v>
      </c>
      <c r="F46" s="53" t="str">
        <f>_xlfn.XLOOKUP(C46,'LD-ELFA'!F:F,'LD-ELFA'!Q:Q)</f>
        <v>FOLHA DE DADOS</v>
      </c>
      <c r="G46" s="56">
        <f>_xlfn.XLOOKUP(C46,'Data Base'!D:D,'Data Base'!R:R)</f>
        <v>46220</v>
      </c>
      <c r="H46" s="56">
        <f>_xlfn.XLOOKUP(C46,'Data Base'!D:D,'Data Base'!T:T)</f>
        <v>46220</v>
      </c>
      <c r="I46" s="56" t="str">
        <f t="shared" si="0"/>
        <v>NO PRAZO</v>
      </c>
    </row>
    <row r="47" spans="2:9" hidden="1" x14ac:dyDescent="0.25">
      <c r="B47" s="53" t="str">
        <f>_xlfn.XLOOKUP(C47,'Data Base'!D:D,'Data Base'!B:B)</f>
        <v>AI - Automacao E Instrumentacao</v>
      </c>
      <c r="C47" s="53" t="s">
        <v>52</v>
      </c>
      <c r="D47" s="53" t="str">
        <f>_xlfn.XLOOKUP(C47,'LD-ELFA'!F:F,'LD-ELFA'!H:H)</f>
        <v>FD-A1-2006-J-PB-0005</v>
      </c>
      <c r="E47" s="53">
        <f>_xlfn.XLOOKUP(C47,'Data Base'!D:D,'Data Base'!G:G)</f>
        <v>0</v>
      </c>
      <c r="F47" s="53" t="str">
        <f>_xlfn.XLOOKUP(C47,'LD-ELFA'!F:F,'LD-ELFA'!Q:Q)</f>
        <v>FOLHA DE DADOS</v>
      </c>
      <c r="G47" s="56">
        <f>_xlfn.XLOOKUP(C47,'Data Base'!D:D,'Data Base'!R:R)</f>
        <v>46244</v>
      </c>
      <c r="H47" s="56">
        <f>_xlfn.XLOOKUP(C47,'Data Base'!D:D,'Data Base'!T:T)</f>
        <v>46244</v>
      </c>
      <c r="I47" s="56" t="str">
        <f t="shared" si="0"/>
        <v>NO PRAZO</v>
      </c>
    </row>
    <row r="48" spans="2:9" hidden="1" x14ac:dyDescent="0.25">
      <c r="B48" s="53" t="str">
        <f>_xlfn.XLOOKUP(C48,'Data Base'!D:D,'Data Base'!B:B)</f>
        <v>AI - Automacao E Instrumentacao</v>
      </c>
      <c r="C48" s="53" t="s">
        <v>53</v>
      </c>
      <c r="D48" s="53" t="str">
        <f>_xlfn.XLOOKUP(C48,'LD-ELFA'!F:F,'LD-ELFA'!H:H)</f>
        <v>FD-A1-2006-J-PB-0006</v>
      </c>
      <c r="E48" s="53">
        <f>_xlfn.XLOOKUP(C48,'Data Base'!D:D,'Data Base'!G:G)</f>
        <v>0</v>
      </c>
      <c r="F48" s="53" t="str">
        <f>_xlfn.XLOOKUP(C48,'LD-ELFA'!F:F,'LD-ELFA'!Q:Q)</f>
        <v>FOLHA DE DADOS</v>
      </c>
      <c r="G48" s="56">
        <f>_xlfn.XLOOKUP(C48,'Data Base'!D:D,'Data Base'!R:R)</f>
        <v>46239</v>
      </c>
      <c r="H48" s="56">
        <f>_xlfn.XLOOKUP(C48,'Data Base'!D:D,'Data Base'!T:T)</f>
        <v>46239</v>
      </c>
      <c r="I48" s="56" t="str">
        <f t="shared" si="0"/>
        <v>NO PRAZO</v>
      </c>
    </row>
    <row r="49" spans="2:9" hidden="1" x14ac:dyDescent="0.25">
      <c r="B49" s="53" t="str">
        <f>_xlfn.XLOOKUP(C49,'Data Base'!D:D,'Data Base'!B:B)</f>
        <v>AI - Automacao E Instrumentacao</v>
      </c>
      <c r="C49" s="53" t="s">
        <v>54</v>
      </c>
      <c r="D49" s="53" t="str">
        <f>_xlfn.XLOOKUP(C49,'LD-ELFA'!F:F,'LD-ELFA'!H:H)</f>
        <v>FD-A1-2007-J-PB-0001</v>
      </c>
      <c r="E49" s="53">
        <f>_xlfn.XLOOKUP(C49,'Data Base'!D:D,'Data Base'!G:G)</f>
        <v>0</v>
      </c>
      <c r="F49" s="53" t="str">
        <f>_xlfn.XLOOKUP(C49,'LD-ELFA'!F:F,'LD-ELFA'!Q:Q)</f>
        <v>FOLHA DE DADOS</v>
      </c>
      <c r="G49" s="56">
        <f>_xlfn.XLOOKUP(C49,'Data Base'!D:D,'Data Base'!R:R)</f>
        <v>46233</v>
      </c>
      <c r="H49" s="56">
        <f>_xlfn.XLOOKUP(C49,'Data Base'!D:D,'Data Base'!T:T)</f>
        <v>46233</v>
      </c>
      <c r="I49" s="56" t="str">
        <f t="shared" si="0"/>
        <v>NO PRAZO</v>
      </c>
    </row>
    <row r="50" spans="2:9" hidden="1" x14ac:dyDescent="0.25">
      <c r="B50" s="53" t="str">
        <f>_xlfn.XLOOKUP(C50,'Data Base'!D:D,'Data Base'!B:B)</f>
        <v>AI - Automacao E Instrumentacao</v>
      </c>
      <c r="C50" s="53" t="s">
        <v>55</v>
      </c>
      <c r="D50" s="53" t="str">
        <f>_xlfn.XLOOKUP(C50,'LD-ELFA'!F:F,'LD-ELFA'!H:H)</f>
        <v>FD-A1-2008-J-PB-0001</v>
      </c>
      <c r="E50" s="53">
        <f>_xlfn.XLOOKUP(C50,'Data Base'!D:D,'Data Base'!G:G)</f>
        <v>0</v>
      </c>
      <c r="F50" s="53" t="str">
        <f>_xlfn.XLOOKUP(C50,'LD-ELFA'!F:F,'LD-ELFA'!Q:Q)</f>
        <v>FOLHA DE DADOS</v>
      </c>
      <c r="G50" s="56">
        <f>_xlfn.XLOOKUP(C50,'Data Base'!D:D,'Data Base'!R:R)</f>
        <v>46247</v>
      </c>
      <c r="H50" s="56">
        <f>_xlfn.XLOOKUP(C50,'Data Base'!D:D,'Data Base'!T:T)</f>
        <v>46247</v>
      </c>
      <c r="I50" s="56" t="str">
        <f t="shared" si="0"/>
        <v>NO PRAZO</v>
      </c>
    </row>
    <row r="51" spans="2:9" hidden="1" x14ac:dyDescent="0.25">
      <c r="B51" s="53" t="e">
        <f>_xlfn.XLOOKUP(C51,'Data Base'!D:D,'Data Base'!B:B)</f>
        <v>#N/A</v>
      </c>
      <c r="C51" s="53" t="s">
        <v>56</v>
      </c>
      <c r="D51" s="53" t="e">
        <f>_xlfn.XLOOKUP(C51,'LD-ELFA'!F:F,'LD-ELFA'!H:H)</f>
        <v>#N/A</v>
      </c>
      <c r="E51" s="53" t="e">
        <f>_xlfn.XLOOKUP(C51,'Data Base'!D:D,'Data Base'!G:G)</f>
        <v>#N/A</v>
      </c>
      <c r="F51" s="53" t="e">
        <f>_xlfn.XLOOKUP(C51,'LD-ELFA'!F:F,'LD-ELFA'!Q:Q)</f>
        <v>#N/A</v>
      </c>
      <c r="G51" s="56" t="str">
        <f>_xlfn.XLOOKUP(C51,'Data Base'!D:D,'Data Base'!R:R)</f>
        <v>Documento Removido</v>
      </c>
      <c r="H51" s="56" t="str">
        <f>_xlfn.XLOOKUP(C51,'Data Base'!D:D,'Data Base'!T:T)</f>
        <v>Documento Removido</v>
      </c>
      <c r="I51" s="56" t="str">
        <f t="shared" si="0"/>
        <v>NO PRAZO</v>
      </c>
    </row>
    <row r="52" spans="2:9" hidden="1" x14ac:dyDescent="0.25">
      <c r="B52" s="53" t="e">
        <f>_xlfn.XLOOKUP(C52,'Data Base'!D:D,'Data Base'!B:B)</f>
        <v>#N/A</v>
      </c>
      <c r="C52" s="53" t="s">
        <v>57</v>
      </c>
      <c r="D52" s="53" t="e">
        <f>_xlfn.XLOOKUP(C52,'LD-ELFA'!F:F,'LD-ELFA'!H:H)</f>
        <v>#N/A</v>
      </c>
      <c r="E52" s="53" t="e">
        <f>_xlfn.XLOOKUP(C52,'Data Base'!D:D,'Data Base'!G:G)</f>
        <v>#N/A</v>
      </c>
      <c r="F52" s="53" t="e">
        <f>_xlfn.XLOOKUP(C52,'LD-ELFA'!F:F,'LD-ELFA'!Q:Q)</f>
        <v>#N/A</v>
      </c>
      <c r="G52" s="56" t="str">
        <f>_xlfn.XLOOKUP(C52,'Data Base'!D:D,'Data Base'!R:R)</f>
        <v>Documento Removido</v>
      </c>
      <c r="H52" s="56" t="str">
        <f>_xlfn.XLOOKUP(C52,'Data Base'!D:D,'Data Base'!T:T)</f>
        <v>Documento Removido</v>
      </c>
      <c r="I52" s="56" t="str">
        <f t="shared" si="0"/>
        <v>NO PRAZO</v>
      </c>
    </row>
    <row r="53" spans="2:9" hidden="1" x14ac:dyDescent="0.25">
      <c r="B53" s="53" t="e">
        <f>_xlfn.XLOOKUP(C53,'Data Base'!D:D,'Data Base'!B:B)</f>
        <v>#N/A</v>
      </c>
      <c r="C53" s="53" t="s">
        <v>58</v>
      </c>
      <c r="D53" s="53" t="e">
        <f>_xlfn.XLOOKUP(C53,'LD-ELFA'!F:F,'LD-ELFA'!H:H)</f>
        <v>#N/A</v>
      </c>
      <c r="E53" s="53" t="e">
        <f>_xlfn.XLOOKUP(C53,'Data Base'!D:D,'Data Base'!G:G)</f>
        <v>#N/A</v>
      </c>
      <c r="F53" s="53" t="e">
        <f>_xlfn.XLOOKUP(C53,'LD-ELFA'!F:F,'LD-ELFA'!Q:Q)</f>
        <v>#N/A</v>
      </c>
      <c r="G53" s="56" t="str">
        <f>_xlfn.XLOOKUP(C53,'Data Base'!D:D,'Data Base'!R:R)</f>
        <v>Documento Removido</v>
      </c>
      <c r="H53" s="56" t="str">
        <f>_xlfn.XLOOKUP(C53,'Data Base'!D:D,'Data Base'!T:T)</f>
        <v>Documento Removido</v>
      </c>
      <c r="I53" s="56" t="str">
        <f t="shared" si="0"/>
        <v>NO PRAZO</v>
      </c>
    </row>
    <row r="54" spans="2:9" hidden="1" x14ac:dyDescent="0.25">
      <c r="B54" s="53" t="e">
        <f>_xlfn.XLOOKUP(C54,'Data Base'!D:D,'Data Base'!B:B)</f>
        <v>#N/A</v>
      </c>
      <c r="C54" s="53" t="s">
        <v>59</v>
      </c>
      <c r="D54" s="53" t="e">
        <f>_xlfn.XLOOKUP(C54,'LD-ELFA'!F:F,'LD-ELFA'!H:H)</f>
        <v>#N/A</v>
      </c>
      <c r="E54" s="53" t="e">
        <f>_xlfn.XLOOKUP(C54,'Data Base'!D:D,'Data Base'!G:G)</f>
        <v>#N/A</v>
      </c>
      <c r="F54" s="53" t="e">
        <f>_xlfn.XLOOKUP(C54,'LD-ELFA'!F:F,'LD-ELFA'!Q:Q)</f>
        <v>#N/A</v>
      </c>
      <c r="G54" s="56" t="str">
        <f>_xlfn.XLOOKUP(C54,'Data Base'!D:D,'Data Base'!R:R)</f>
        <v>Documento Removido</v>
      </c>
      <c r="H54" s="56" t="str">
        <f>_xlfn.XLOOKUP(C54,'Data Base'!D:D,'Data Base'!T:T)</f>
        <v>Documento Removido</v>
      </c>
      <c r="I54" s="56" t="str">
        <f t="shared" si="0"/>
        <v>NO PRAZO</v>
      </c>
    </row>
    <row r="55" spans="2:9" hidden="1" x14ac:dyDescent="0.25">
      <c r="B55" s="53" t="e">
        <f>_xlfn.XLOOKUP(C55,'Data Base'!D:D,'Data Base'!B:B)</f>
        <v>#N/A</v>
      </c>
      <c r="C55" s="53" t="s">
        <v>60</v>
      </c>
      <c r="D55" s="53" t="e">
        <f>_xlfn.XLOOKUP(C55,'LD-ELFA'!F:F,'LD-ELFA'!H:H)</f>
        <v>#N/A</v>
      </c>
      <c r="E55" s="53" t="e">
        <f>_xlfn.XLOOKUP(C55,'Data Base'!D:D,'Data Base'!G:G)</f>
        <v>#N/A</v>
      </c>
      <c r="F55" s="53" t="e">
        <f>_xlfn.XLOOKUP(C55,'LD-ELFA'!F:F,'LD-ELFA'!Q:Q)</f>
        <v>#N/A</v>
      </c>
      <c r="G55" s="56" t="str">
        <f>_xlfn.XLOOKUP(C55,'Data Base'!D:D,'Data Base'!R:R)</f>
        <v>Documento Removido</v>
      </c>
      <c r="H55" s="56" t="str">
        <f>_xlfn.XLOOKUP(C55,'Data Base'!D:D,'Data Base'!T:T)</f>
        <v>Documento Removido</v>
      </c>
      <c r="I55" s="56" t="str">
        <f t="shared" si="0"/>
        <v>NO PRAZO</v>
      </c>
    </row>
    <row r="56" spans="2:9" hidden="1" x14ac:dyDescent="0.25">
      <c r="B56" s="53" t="e">
        <f>_xlfn.XLOOKUP(C56,'Data Base'!D:D,'Data Base'!B:B)</f>
        <v>#N/A</v>
      </c>
      <c r="C56" s="53" t="s">
        <v>61</v>
      </c>
      <c r="D56" s="53" t="e">
        <f>_xlfn.XLOOKUP(C56,'LD-ELFA'!F:F,'LD-ELFA'!H:H)</f>
        <v>#N/A</v>
      </c>
      <c r="E56" s="53" t="e">
        <f>_xlfn.XLOOKUP(C56,'Data Base'!D:D,'Data Base'!G:G)</f>
        <v>#N/A</v>
      </c>
      <c r="F56" s="53" t="e">
        <f>_xlfn.XLOOKUP(C56,'LD-ELFA'!F:F,'LD-ELFA'!Q:Q)</f>
        <v>#N/A</v>
      </c>
      <c r="G56" s="56" t="str">
        <f>_xlfn.XLOOKUP(C56,'Data Base'!D:D,'Data Base'!R:R)</f>
        <v>Documento Removido</v>
      </c>
      <c r="H56" s="56" t="str">
        <f>_xlfn.XLOOKUP(C56,'Data Base'!D:D,'Data Base'!T:T)</f>
        <v>Documento Removido</v>
      </c>
      <c r="I56" s="56" t="str">
        <f t="shared" si="0"/>
        <v>NO PRAZO</v>
      </c>
    </row>
    <row r="57" spans="2:9" hidden="1" x14ac:dyDescent="0.25">
      <c r="B57" s="53" t="e">
        <f>_xlfn.XLOOKUP(C57,'Data Base'!D:D,'Data Base'!B:B)</f>
        <v>#N/A</v>
      </c>
      <c r="C57" s="53" t="s">
        <v>62</v>
      </c>
      <c r="D57" s="53" t="e">
        <f>_xlfn.XLOOKUP(C57,'LD-ELFA'!F:F,'LD-ELFA'!H:H)</f>
        <v>#N/A</v>
      </c>
      <c r="E57" s="53" t="e">
        <f>_xlfn.XLOOKUP(C57,'Data Base'!D:D,'Data Base'!G:G)</f>
        <v>#N/A</v>
      </c>
      <c r="F57" s="53" t="e">
        <f>_xlfn.XLOOKUP(C57,'LD-ELFA'!F:F,'LD-ELFA'!Q:Q)</f>
        <v>#N/A</v>
      </c>
      <c r="G57" s="56" t="str">
        <f>_xlfn.XLOOKUP(C57,'Data Base'!D:D,'Data Base'!R:R)</f>
        <v>Documento Removido</v>
      </c>
      <c r="H57" s="56" t="str">
        <f>_xlfn.XLOOKUP(C57,'Data Base'!D:D,'Data Base'!T:T)</f>
        <v>Documento Removido</v>
      </c>
      <c r="I57" s="56" t="str">
        <f t="shared" si="0"/>
        <v>NO PRAZO</v>
      </c>
    </row>
    <row r="58" spans="2:9" hidden="1" x14ac:dyDescent="0.25">
      <c r="B58" s="53" t="str">
        <f>_xlfn.XLOOKUP(C58,'Data Base'!D:D,'Data Base'!B:B)</f>
        <v>AI - Automacao E Instrumentacao</v>
      </c>
      <c r="C58" s="53" t="s">
        <v>63</v>
      </c>
      <c r="D58" s="53" t="str">
        <f>_xlfn.XLOOKUP(C58,'LD-ELFA'!F:F,'LD-ELFA'!H:H)</f>
        <v>FD-A1-2000-J-PB-4000</v>
      </c>
      <c r="E58" s="53">
        <f>_xlfn.XLOOKUP(C58,'Data Base'!D:D,'Data Base'!G:G)</f>
        <v>0</v>
      </c>
      <c r="F58" s="53" t="str">
        <f>_xlfn.XLOOKUP(C58,'LD-ELFA'!F:F,'LD-ELFA'!Q:Q)</f>
        <v>FOLHA DE DADOS</v>
      </c>
      <c r="G58" s="56" t="str">
        <f>_xlfn.XLOOKUP(C58,'Data Base'!D:D,'Data Base'!R:R)</f>
        <v>Documento Emitido</v>
      </c>
      <c r="H58" s="56" t="str">
        <f>_xlfn.XLOOKUP(C58,'Data Base'!D:D,'Data Base'!T:T)</f>
        <v>Documento Emitido</v>
      </c>
      <c r="I58" s="56" t="str">
        <f t="shared" si="0"/>
        <v>NO PRAZO</v>
      </c>
    </row>
    <row r="59" spans="2:9" hidden="1" x14ac:dyDescent="0.25">
      <c r="B59" s="53" t="str">
        <f>_xlfn.XLOOKUP(C59,'Data Base'!D:D,'Data Base'!B:B)</f>
        <v>AI - Automacao E Instrumentacao</v>
      </c>
      <c r="C59" s="53" t="s">
        <v>64</v>
      </c>
      <c r="D59" s="53" t="str">
        <f>_xlfn.XLOOKUP(C59,'LD-ELFA'!F:F,'LD-ELFA'!H:H)</f>
        <v>LE-A1-2000-J-PB-0001</v>
      </c>
      <c r="E59" s="53">
        <f>_xlfn.XLOOKUP(C59,'Data Base'!D:D,'Data Base'!G:G)</f>
        <v>0</v>
      </c>
      <c r="F59" s="53" t="str">
        <f>_xlfn.XLOOKUP(C59,'LD-ELFA'!F:F,'LD-ELFA'!Q:Q)</f>
        <v>LISTA DE EQUIPAMENTOS DE AUTOMAÇÃO</v>
      </c>
      <c r="G59" s="56">
        <f>_xlfn.XLOOKUP(C59,'Data Base'!D:D,'Data Base'!R:R)</f>
        <v>46227</v>
      </c>
      <c r="H59" s="56">
        <f>_xlfn.XLOOKUP(C59,'Data Base'!D:D,'Data Base'!T:T)</f>
        <v>46227</v>
      </c>
      <c r="I59" s="56" t="str">
        <f t="shared" si="0"/>
        <v>NO PRAZO</v>
      </c>
    </row>
    <row r="60" spans="2:9" hidden="1" x14ac:dyDescent="0.25">
      <c r="B60" s="53" t="str">
        <f>_xlfn.XLOOKUP(C60,'Data Base'!D:D,'Data Base'!B:B)</f>
        <v>AI - Automacao E Instrumentacao</v>
      </c>
      <c r="C60" s="53" t="s">
        <v>65</v>
      </c>
      <c r="D60" s="53" t="str">
        <f>_xlfn.XLOOKUP(C60,'LD-ELFA'!F:F,'LD-ELFA'!H:H)</f>
        <v>LE-A1-2006-J-PB-0001</v>
      </c>
      <c r="E60" s="53">
        <f>_xlfn.XLOOKUP(C60,'Data Base'!D:D,'Data Base'!G:G)</f>
        <v>0</v>
      </c>
      <c r="F60" s="53" t="str">
        <f>_xlfn.XLOOKUP(C60,'LD-ELFA'!F:F,'LD-ELFA'!Q:Q)</f>
        <v>LISTA DE EQUIPAMENTOS DE TELECOM</v>
      </c>
      <c r="G60" s="56">
        <f>_xlfn.XLOOKUP(C60,'Data Base'!D:D,'Data Base'!R:R)</f>
        <v>46254</v>
      </c>
      <c r="H60" s="56">
        <f>_xlfn.XLOOKUP(C60,'Data Base'!D:D,'Data Base'!T:T)</f>
        <v>46254</v>
      </c>
      <c r="I60" s="56" t="str">
        <f t="shared" si="0"/>
        <v>NO PRAZO</v>
      </c>
    </row>
    <row r="61" spans="2:9" hidden="1" x14ac:dyDescent="0.25">
      <c r="B61" s="53" t="str">
        <f>_xlfn.XLOOKUP(C61,'Data Base'!D:D,'Data Base'!B:B)</f>
        <v>AI - Automacao E Instrumentacao</v>
      </c>
      <c r="C61" s="53" t="s">
        <v>66</v>
      </c>
      <c r="D61" s="53" t="str">
        <f>_xlfn.XLOOKUP(C61,'LD-ELFA'!F:F,'LD-ELFA'!H:H)</f>
        <v>LI-A1-2000-J-PB-0001</v>
      </c>
      <c r="E61" s="53">
        <f>_xlfn.XLOOKUP(C61,'Data Base'!D:D,'Data Base'!G:G)</f>
        <v>0</v>
      </c>
      <c r="F61" s="53" t="str">
        <f>_xlfn.XLOOKUP(C61,'LD-ELFA'!F:F,'LD-ELFA'!Q:Q)</f>
        <v>LISTA DE INSTRUMENTOS</v>
      </c>
      <c r="G61" s="56" t="str">
        <f>_xlfn.XLOOKUP(C61,'Data Base'!D:D,'Data Base'!R:R)</f>
        <v>Documento Emitido</v>
      </c>
      <c r="H61" s="56" t="str">
        <f>_xlfn.XLOOKUP(C61,'Data Base'!D:D,'Data Base'!T:T)</f>
        <v>Documento Emitido</v>
      </c>
      <c r="I61" s="56" t="str">
        <f t="shared" si="0"/>
        <v>NO PRAZO</v>
      </c>
    </row>
    <row r="62" spans="2:9" hidden="1" x14ac:dyDescent="0.25">
      <c r="B62" s="53" t="e">
        <f>_xlfn.XLOOKUP(C62,'Data Base'!D:D,'Data Base'!B:B)</f>
        <v>#N/A</v>
      </c>
      <c r="C62" s="53" t="s">
        <v>67</v>
      </c>
      <c r="D62" s="53" t="e">
        <f>_xlfn.XLOOKUP(C62,'LD-ELFA'!F:F,'LD-ELFA'!H:H)</f>
        <v>#N/A</v>
      </c>
      <c r="E62" s="53" t="e">
        <f>_xlfn.XLOOKUP(C62,'Data Base'!D:D,'Data Base'!G:G)</f>
        <v>#N/A</v>
      </c>
      <c r="F62" s="53" t="e">
        <f>_xlfn.XLOOKUP(C62,'LD-ELFA'!F:F,'LD-ELFA'!Q:Q)</f>
        <v>#N/A</v>
      </c>
      <c r="G62" s="56" t="str">
        <f>_xlfn.XLOOKUP(C62,'Data Base'!D:D,'Data Base'!R:R)</f>
        <v>Documento Removido</v>
      </c>
      <c r="H62" s="56" t="str">
        <f>_xlfn.XLOOKUP(C62,'Data Base'!D:D,'Data Base'!T:T)</f>
        <v>Documento Removido</v>
      </c>
      <c r="I62" s="56" t="str">
        <f t="shared" si="0"/>
        <v>NO PRAZO</v>
      </c>
    </row>
    <row r="63" spans="2:9" hidden="1" x14ac:dyDescent="0.25">
      <c r="B63" s="53" t="e">
        <f>_xlfn.XLOOKUP(C63,'Data Base'!D:D,'Data Base'!B:B)</f>
        <v>#N/A</v>
      </c>
      <c r="C63" s="53" t="s">
        <v>68</v>
      </c>
      <c r="D63" s="53" t="e">
        <f>_xlfn.XLOOKUP(C63,'LD-ELFA'!F:F,'LD-ELFA'!H:H)</f>
        <v>#N/A</v>
      </c>
      <c r="E63" s="53" t="e">
        <f>_xlfn.XLOOKUP(C63,'Data Base'!D:D,'Data Base'!G:G)</f>
        <v>#N/A</v>
      </c>
      <c r="F63" s="53" t="e">
        <f>_xlfn.XLOOKUP(C63,'LD-ELFA'!F:F,'LD-ELFA'!Q:Q)</f>
        <v>#N/A</v>
      </c>
      <c r="G63" s="56" t="str">
        <f>_xlfn.XLOOKUP(C63,'Data Base'!D:D,'Data Base'!R:R)</f>
        <v>Documento Removido</v>
      </c>
      <c r="H63" s="56" t="str">
        <f>_xlfn.XLOOKUP(C63,'Data Base'!D:D,'Data Base'!T:T)</f>
        <v>Documento Removido</v>
      </c>
      <c r="I63" s="56" t="str">
        <f t="shared" si="0"/>
        <v>NO PRAZO</v>
      </c>
    </row>
    <row r="64" spans="2:9" hidden="1" x14ac:dyDescent="0.25">
      <c r="B64" s="53" t="e">
        <f>_xlfn.XLOOKUP(C64,'Data Base'!D:D,'Data Base'!B:B)</f>
        <v>#N/A</v>
      </c>
      <c r="C64" s="53" t="s">
        <v>69</v>
      </c>
      <c r="D64" s="53" t="e">
        <f>_xlfn.XLOOKUP(C64,'LD-ELFA'!F:F,'LD-ELFA'!H:H)</f>
        <v>#N/A</v>
      </c>
      <c r="E64" s="53" t="e">
        <f>_xlfn.XLOOKUP(C64,'Data Base'!D:D,'Data Base'!G:G)</f>
        <v>#N/A</v>
      </c>
      <c r="F64" s="53" t="e">
        <f>_xlfn.XLOOKUP(C64,'LD-ELFA'!F:F,'LD-ELFA'!Q:Q)</f>
        <v>#N/A</v>
      </c>
      <c r="G64" s="56" t="str">
        <f>_xlfn.XLOOKUP(C64,'Data Base'!D:D,'Data Base'!R:R)</f>
        <v>Documento Removido</v>
      </c>
      <c r="H64" s="56" t="str">
        <f>_xlfn.XLOOKUP(C64,'Data Base'!D:D,'Data Base'!T:T)</f>
        <v>Documento Removido</v>
      </c>
      <c r="I64" s="56" t="str">
        <f t="shared" si="0"/>
        <v>NO PRAZO</v>
      </c>
    </row>
    <row r="65" spans="2:9" x14ac:dyDescent="0.25">
      <c r="B65" s="53" t="str">
        <f>_xlfn.XLOOKUP(C65,'Data Base'!D:D,'Data Base'!B:B)</f>
        <v>AI - Automacao E Instrumentacao</v>
      </c>
      <c r="C65" s="53" t="s">
        <v>70</v>
      </c>
      <c r="D65" s="53" t="str">
        <f>_xlfn.XLOOKUP(C65,'LD-ELFA'!F:F,'LD-ELFA'!H:H)</f>
        <v>RE-A1-2000-J-PB-0001</v>
      </c>
      <c r="E65" s="53">
        <f>_xlfn.XLOOKUP(C65,'Data Base'!D:D,'Data Base'!G:G)</f>
        <v>0</v>
      </c>
      <c r="F65" s="53" t="str">
        <f>_xlfn.XLOOKUP(C65,'LD-ELFA'!F:F,'LD-ELFA'!Q:Q)</f>
        <v>LISTA PRELIMINAR DE ENTRADAS E SAÍDAS</v>
      </c>
      <c r="G65" s="56">
        <f>_xlfn.XLOOKUP(C65,'Data Base'!D:D,'Data Base'!R:R)</f>
        <v>46220</v>
      </c>
      <c r="H65" s="56">
        <f>_xlfn.XLOOKUP(C65,'Data Base'!D:D,'Data Base'!T:T)</f>
        <v>46220</v>
      </c>
      <c r="I65" s="56" t="str">
        <f t="shared" si="0"/>
        <v>NO PRAZO</v>
      </c>
    </row>
    <row r="66" spans="2:9" hidden="1" x14ac:dyDescent="0.25">
      <c r="B66" s="53" t="e">
        <f>_xlfn.XLOOKUP(C66,'Data Base'!D:D,'Data Base'!B:B)</f>
        <v>#N/A</v>
      </c>
      <c r="C66" s="53" t="s">
        <v>71</v>
      </c>
      <c r="D66" s="53" t="e">
        <f>_xlfn.XLOOKUP(C66,'LD-ELFA'!F:F,'LD-ELFA'!H:H)</f>
        <v>#N/A</v>
      </c>
      <c r="E66" s="53" t="e">
        <f>_xlfn.XLOOKUP(C66,'Data Base'!D:D,'Data Base'!G:G)</f>
        <v>#N/A</v>
      </c>
      <c r="F66" s="53" t="e">
        <f>_xlfn.XLOOKUP(C66,'LD-ELFA'!F:F,'LD-ELFA'!Q:Q)</f>
        <v>#N/A</v>
      </c>
      <c r="G66" s="56" t="str">
        <f>_xlfn.XLOOKUP(C66,'Data Base'!D:D,'Data Base'!R:R)</f>
        <v>Documento Removido</v>
      </c>
      <c r="H66" s="56" t="str">
        <f>_xlfn.XLOOKUP(C66,'Data Base'!D:D,'Data Base'!T:T)</f>
        <v>Documento Removido</v>
      </c>
      <c r="I66" s="56" t="str">
        <f t="shared" si="0"/>
        <v>NO PRAZO</v>
      </c>
    </row>
    <row r="67" spans="2:9" hidden="1" x14ac:dyDescent="0.25">
      <c r="B67" s="53" t="str">
        <f>_xlfn.XLOOKUP(C67,'Data Base'!D:D,'Data Base'!B:B)</f>
        <v>AR - Arquitetura</v>
      </c>
      <c r="C67" s="53" t="s">
        <v>72</v>
      </c>
      <c r="D67" s="53" t="str">
        <f>_xlfn.XLOOKUP(C67,'LD-ELFA'!F:F,'LD-ELFA'!H:H)</f>
        <v>CP-A1-1000-A-PB-0001</v>
      </c>
      <c r="E67" s="53">
        <f>_xlfn.XLOOKUP(C67,'Data Base'!D:D,'Data Base'!G:G)</f>
        <v>2</v>
      </c>
      <c r="F67" s="53" t="str">
        <f>_xlfn.XLOOKUP(C67,'LD-ELFA'!F:F,'LD-ELFA'!Q:Q)</f>
        <v>CRITÉRIOS DE PROJETO</v>
      </c>
      <c r="G67" s="56" t="str">
        <f>_xlfn.XLOOKUP(C67,'Data Base'!D:D,'Data Base'!R:R)</f>
        <v>Documento Emitido</v>
      </c>
      <c r="H67" s="56" t="str">
        <f>_xlfn.XLOOKUP(C67,'Data Base'!D:D,'Data Base'!T:T)</f>
        <v>Documento Emitido</v>
      </c>
      <c r="I67" s="56" t="str">
        <f t="shared" ref="I67:I130" si="1">IF(G67&gt;H67,"ATRASADO","NO PRAZO")</f>
        <v>NO PRAZO</v>
      </c>
    </row>
    <row r="68" spans="2:9" hidden="1" x14ac:dyDescent="0.25">
      <c r="B68" s="53" t="str">
        <f>_xlfn.XLOOKUP(C68,'Data Base'!D:D,'Data Base'!B:B)</f>
        <v>AR - Arquitetura</v>
      </c>
      <c r="C68" s="53" t="s">
        <v>73</v>
      </c>
      <c r="D68" s="53" t="str">
        <f>_xlfn.XLOOKUP(C68,'LD-ELFA'!F:F,'LD-ELFA'!H:H)</f>
        <v>DE-A1-1911-A-PB-4000</v>
      </c>
      <c r="E68" s="53">
        <f>_xlfn.XLOOKUP(C68,'Data Base'!D:D,'Data Base'!G:G)</f>
        <v>0</v>
      </c>
      <c r="F68" s="53" t="str">
        <f>_xlfn.XLOOKUP(C68,'LD-ELFA'!F:F,'LD-ELFA'!Q:Q)</f>
        <v>PLANTA E CORTES</v>
      </c>
      <c r="G68" s="56">
        <f>_xlfn.XLOOKUP(C68,'Data Base'!D:D,'Data Base'!R:R)</f>
        <v>46233</v>
      </c>
      <c r="H68" s="56">
        <f>_xlfn.XLOOKUP(C68,'Data Base'!D:D,'Data Base'!T:T)</f>
        <v>46232</v>
      </c>
      <c r="I68" s="56" t="str">
        <f t="shared" si="1"/>
        <v>ATRASADO</v>
      </c>
    </row>
    <row r="69" spans="2:9" hidden="1" x14ac:dyDescent="0.25">
      <c r="B69" s="53" t="str">
        <f>_xlfn.XLOOKUP(C69,'Data Base'!D:D,'Data Base'!B:B)</f>
        <v>AR - Arquitetura</v>
      </c>
      <c r="C69" s="53" t="s">
        <v>74</v>
      </c>
      <c r="D69" s="53" t="str">
        <f>_xlfn.XLOOKUP(C69,'LD-ELFA'!F:F,'LD-ELFA'!H:H)</f>
        <v>DE-A1-1912-A-PB-4000</v>
      </c>
      <c r="E69" s="53">
        <f>_xlfn.XLOOKUP(C69,'Data Base'!D:D,'Data Base'!G:G)</f>
        <v>0</v>
      </c>
      <c r="F69" s="53" t="str">
        <f>_xlfn.XLOOKUP(C69,'LD-ELFA'!F:F,'LD-ELFA'!Q:Q)</f>
        <v>PLANTA E CORTES</v>
      </c>
      <c r="G69" s="56">
        <f>_xlfn.XLOOKUP(C69,'Data Base'!D:D,'Data Base'!R:R)</f>
        <v>46233</v>
      </c>
      <c r="H69" s="56">
        <f>_xlfn.XLOOKUP(C69,'Data Base'!D:D,'Data Base'!T:T)</f>
        <v>46244</v>
      </c>
      <c r="I69" s="56" t="str">
        <f t="shared" si="1"/>
        <v>NO PRAZO</v>
      </c>
    </row>
    <row r="70" spans="2:9" hidden="1" x14ac:dyDescent="0.25">
      <c r="B70" s="53" t="str">
        <f>_xlfn.XLOOKUP(C70,'Data Base'!D:D,'Data Base'!B:B)</f>
        <v>AR - Arquitetura</v>
      </c>
      <c r="C70" s="53" t="s">
        <v>75</v>
      </c>
      <c r="D70" s="53" t="str">
        <f>_xlfn.XLOOKUP(C70,'LD-ELFA'!F:F,'LD-ELFA'!H:H)</f>
        <v>DE-A1-1913-A-PB-4000</v>
      </c>
      <c r="E70" s="53">
        <f>_xlfn.XLOOKUP(C70,'Data Base'!D:D,'Data Base'!G:G)</f>
        <v>0</v>
      </c>
      <c r="F70" s="53" t="str">
        <f>_xlfn.XLOOKUP(C70,'LD-ELFA'!F:F,'LD-ELFA'!Q:Q)</f>
        <v>PLANTA E CORTES</v>
      </c>
      <c r="G70" s="56">
        <f>_xlfn.XLOOKUP(C70,'Data Base'!D:D,'Data Base'!R:R)</f>
        <v>46233</v>
      </c>
      <c r="H70" s="56">
        <f>_xlfn.XLOOKUP(C70,'Data Base'!D:D,'Data Base'!T:T)</f>
        <v>46254</v>
      </c>
      <c r="I70" s="56" t="str">
        <f t="shared" si="1"/>
        <v>NO PRAZO</v>
      </c>
    </row>
    <row r="71" spans="2:9" x14ac:dyDescent="0.25">
      <c r="B71" s="53" t="str">
        <f>_xlfn.XLOOKUP(C71,'Data Base'!D:D,'Data Base'!B:B)</f>
        <v>AR - Arquitetura</v>
      </c>
      <c r="C71" s="53" t="s">
        <v>76</v>
      </c>
      <c r="D71" s="53" t="str">
        <f>_xlfn.XLOOKUP(C71,'LD-ELFA'!F:F,'LD-ELFA'!H:H)</f>
        <v>DE-A1-2201-A-PB-4000</v>
      </c>
      <c r="E71" s="53">
        <f>_xlfn.XLOOKUP(C71,'Data Base'!D:D,'Data Base'!G:G)</f>
        <v>0</v>
      </c>
      <c r="F71" s="53" t="str">
        <f>_xlfn.XLOOKUP(C71,'LD-ELFA'!F:F,'LD-ELFA'!Q:Q)</f>
        <v>PLANTA E CORTES</v>
      </c>
      <c r="G71" s="56">
        <f>_xlfn.XLOOKUP(C71,'Data Base'!D:D,'Data Base'!R:R)</f>
        <v>46218</v>
      </c>
      <c r="H71" s="56">
        <f>_xlfn.XLOOKUP(C71,'Data Base'!D:D,'Data Base'!T:T)</f>
        <v>46211</v>
      </c>
      <c r="I71" s="56" t="str">
        <f t="shared" si="1"/>
        <v>ATRASADO</v>
      </c>
    </row>
    <row r="72" spans="2:9" x14ac:dyDescent="0.25">
      <c r="B72" s="53" t="str">
        <f>_xlfn.XLOOKUP(C72,'Data Base'!D:D,'Data Base'!B:B)</f>
        <v>AR - Arquitetura</v>
      </c>
      <c r="C72" s="53" t="s">
        <v>77</v>
      </c>
      <c r="D72" s="53" t="str">
        <f>_xlfn.XLOOKUP(C72,'LD-ELFA'!F:F,'LD-ELFA'!H:H)</f>
        <v>DE-A1-2202-A-PB-4000</v>
      </c>
      <c r="E72" s="53">
        <f>_xlfn.XLOOKUP(C72,'Data Base'!D:D,'Data Base'!G:G)</f>
        <v>0</v>
      </c>
      <c r="F72" s="53" t="str">
        <f>_xlfn.XLOOKUP(C72,'LD-ELFA'!F:F,'LD-ELFA'!Q:Q)</f>
        <v>PLANTA E CORTES</v>
      </c>
      <c r="G72" s="56">
        <f>_xlfn.XLOOKUP(C72,'Data Base'!D:D,'Data Base'!R:R)</f>
        <v>46219</v>
      </c>
      <c r="H72" s="56">
        <f>_xlfn.XLOOKUP(C72,'Data Base'!D:D,'Data Base'!T:T)</f>
        <v>46216</v>
      </c>
      <c r="I72" s="56" t="str">
        <f t="shared" si="1"/>
        <v>ATRASADO</v>
      </c>
    </row>
    <row r="73" spans="2:9" hidden="1" x14ac:dyDescent="0.25">
      <c r="B73" s="53" t="str">
        <f>_xlfn.XLOOKUP(C73,'Data Base'!D:D,'Data Base'!B:B)</f>
        <v>AR - Arquitetura</v>
      </c>
      <c r="C73" s="53" t="s">
        <v>78</v>
      </c>
      <c r="D73" s="53" t="str">
        <f>_xlfn.XLOOKUP(C73,'LD-ELFA'!F:F,'LD-ELFA'!H:H)</f>
        <v>DE-A1-2203-A-PB-4000</v>
      </c>
      <c r="E73" s="53">
        <f>_xlfn.XLOOKUP(C73,'Data Base'!D:D,'Data Base'!G:G)</f>
        <v>0</v>
      </c>
      <c r="F73" s="53" t="str">
        <f>_xlfn.XLOOKUP(C73,'LD-ELFA'!F:F,'LD-ELFA'!Q:Q)</f>
        <v>PLANTA E CORTES</v>
      </c>
      <c r="G73" s="56">
        <f>_xlfn.XLOOKUP(C73,'Data Base'!D:D,'Data Base'!R:R)</f>
        <v>46224</v>
      </c>
      <c r="H73" s="56">
        <f>_xlfn.XLOOKUP(C73,'Data Base'!D:D,'Data Base'!T:T)</f>
        <v>46219</v>
      </c>
      <c r="I73" s="56" t="str">
        <f t="shared" si="1"/>
        <v>ATRASADO</v>
      </c>
    </row>
    <row r="74" spans="2:9" hidden="1" x14ac:dyDescent="0.25">
      <c r="B74" s="53" t="str">
        <f>_xlfn.XLOOKUP(C74,'Data Base'!D:D,'Data Base'!B:B)</f>
        <v>AR - Arquitetura</v>
      </c>
      <c r="C74" s="53" t="s">
        <v>79</v>
      </c>
      <c r="D74" s="53" t="str">
        <f>_xlfn.XLOOKUP(C74,'LD-ELFA'!F:F,'LD-ELFA'!H:H)</f>
        <v>DE-A1-2204-A-PB-4000</v>
      </c>
      <c r="E74" s="53">
        <f>_xlfn.XLOOKUP(C74,'Data Base'!D:D,'Data Base'!G:G)</f>
        <v>0</v>
      </c>
      <c r="F74" s="53" t="str">
        <f>_xlfn.XLOOKUP(C74,'LD-ELFA'!F:F,'LD-ELFA'!Q:Q)</f>
        <v>PLANTA E CORTES</v>
      </c>
      <c r="G74" s="56">
        <f>_xlfn.XLOOKUP(C74,'Data Base'!D:D,'Data Base'!R:R)</f>
        <v>46227</v>
      </c>
      <c r="H74" s="56">
        <f>_xlfn.XLOOKUP(C74,'Data Base'!D:D,'Data Base'!T:T)</f>
        <v>46224</v>
      </c>
      <c r="I74" s="56" t="str">
        <f t="shared" si="1"/>
        <v>ATRASADO</v>
      </c>
    </row>
    <row r="75" spans="2:9" hidden="1" x14ac:dyDescent="0.25">
      <c r="B75" s="53" t="str">
        <f>_xlfn.XLOOKUP(C75,'Data Base'!D:D,'Data Base'!B:B)</f>
        <v>AR - Arquitetura</v>
      </c>
      <c r="C75" s="53" t="s">
        <v>80</v>
      </c>
      <c r="D75" s="53" t="str">
        <f>_xlfn.XLOOKUP(C75,'LD-ELFA'!F:F,'LD-ELFA'!H:H)</f>
        <v>PQ-A1-1000-C-PB-0800</v>
      </c>
      <c r="E75" s="53">
        <f>_xlfn.XLOOKUP(C75,'Data Base'!D:D,'Data Base'!G:G)</f>
        <v>0</v>
      </c>
      <c r="F75" s="53" t="str">
        <f>_xlfn.XLOOKUP(C75,'LD-ELFA'!F:F,'LD-ELFA'!Q:Q)</f>
        <v>PLANILHA DE QUANTIDADES -PACOTE DE OBRAS CIVIS-ESCRITÓRIO CENTRAL / SALA DE CONTROLE E LABORATÓRIO</v>
      </c>
      <c r="G75" s="56">
        <f>_xlfn.XLOOKUP(C75,'Data Base'!D:D,'Data Base'!R:R)</f>
        <v>46223</v>
      </c>
      <c r="H75" s="56">
        <f>_xlfn.XLOOKUP(C75,'Data Base'!D:D,'Data Base'!T:T)</f>
        <v>46231</v>
      </c>
      <c r="I75" s="56" t="str">
        <f t="shared" si="1"/>
        <v>NO PRAZO</v>
      </c>
    </row>
    <row r="76" spans="2:9" hidden="1" x14ac:dyDescent="0.25">
      <c r="B76" s="53" t="str">
        <f>_xlfn.XLOOKUP(C76,'Data Base'!D:D,'Data Base'!B:B)</f>
        <v>AR - Arquitetura</v>
      </c>
      <c r="C76" s="53" t="s">
        <v>81</v>
      </c>
      <c r="D76" s="53" t="str">
        <f>_xlfn.XLOOKUP(C76,'LD-ELFA'!F:F,'LD-ELFA'!H:H)</f>
        <v>PQ-A1-1000-C-PB-0801</v>
      </c>
      <c r="E76" s="53">
        <f>_xlfn.XLOOKUP(C76,'Data Base'!D:D,'Data Base'!G:G)</f>
        <v>0</v>
      </c>
      <c r="F76" s="53" t="str">
        <f>_xlfn.XLOOKUP(C76,'LD-ELFA'!F:F,'LD-ELFA'!Q:Q)</f>
        <v>PLANILHA DE QUANTIDADES -PACOTE DE OBRAS CIVIS-VEST. / PAR. ÔNIBUS / REFEIT. / P. MÉDICO E B. INCÊNDIO</v>
      </c>
      <c r="G76" s="56">
        <f>_xlfn.XLOOKUP(C76,'Data Base'!D:D,'Data Base'!R:R)</f>
        <v>46223</v>
      </c>
      <c r="H76" s="56">
        <f>_xlfn.XLOOKUP(C76,'Data Base'!D:D,'Data Base'!T:T)</f>
        <v>46231</v>
      </c>
      <c r="I76" s="56" t="str">
        <f t="shared" si="1"/>
        <v>NO PRAZO</v>
      </c>
    </row>
    <row r="77" spans="2:9" hidden="1" x14ac:dyDescent="0.25">
      <c r="B77" s="53" t="str">
        <f>_xlfn.XLOOKUP(C77,'Data Base'!D:D,'Data Base'!B:B)</f>
        <v>AR - Arquitetura</v>
      </c>
      <c r="C77" s="53" t="s">
        <v>82</v>
      </c>
      <c r="D77" s="53" t="str">
        <f>_xlfn.XLOOKUP(C77,'LD-ELFA'!F:F,'LD-ELFA'!H:H)</f>
        <v>RL-A1-1000-G-PB-0016</v>
      </c>
      <c r="E77" s="53">
        <f>_xlfn.XLOOKUP(C77,'Data Base'!D:D,'Data Base'!G:G)</f>
        <v>0</v>
      </c>
      <c r="F77" s="53" t="str">
        <f>_xlfn.XLOOKUP(C77,'LD-ELFA'!F:F,'LD-ELFA'!Q:Q)</f>
        <v xml:space="preserve">RELATÓRIO DO SISTEMA DE PROTEÇÃO E COMBATE A INCÊNDIO </v>
      </c>
      <c r="G77" s="56">
        <f>_xlfn.XLOOKUP(C77,'Data Base'!D:D,'Data Base'!R:R)</f>
        <v>46239</v>
      </c>
      <c r="H77" s="56">
        <f>_xlfn.XLOOKUP(C77,'Data Base'!D:D,'Data Base'!T:T)</f>
        <v>46206</v>
      </c>
      <c r="I77" s="56" t="str">
        <f t="shared" si="1"/>
        <v>ATRASADO</v>
      </c>
    </row>
    <row r="78" spans="2:9" hidden="1" x14ac:dyDescent="0.25">
      <c r="B78" s="53" t="str">
        <f>_xlfn.XLOOKUP(C78,'Data Base'!D:D,'Data Base'!B:B)</f>
        <v>CC - Concreto</v>
      </c>
      <c r="C78" s="53" t="s">
        <v>83</v>
      </c>
      <c r="D78" s="53" t="str">
        <f>_xlfn.XLOOKUP(C78,'LD-ELFA'!F:F,'LD-ELFA'!H:H)</f>
        <v>DE-A1-2303-C-PB-4000</v>
      </c>
      <c r="E78" s="53">
        <f>_xlfn.XLOOKUP(C78,'Data Base'!D:D,'Data Base'!G:G)</f>
        <v>0</v>
      </c>
      <c r="F78" s="53" t="str">
        <f>_xlfn.XLOOKUP(C78,'LD-ELFA'!F:F,'LD-ELFA'!Q:Q)</f>
        <v>LOCAÇÃO E FORMA</v>
      </c>
      <c r="G78" s="56">
        <f>_xlfn.XLOOKUP(C78,'Data Base'!D:D,'Data Base'!R:R)</f>
        <v>46246</v>
      </c>
      <c r="H78" s="56">
        <f>_xlfn.XLOOKUP(C78,'Data Base'!D:D,'Data Base'!T:T)</f>
        <v>46246</v>
      </c>
      <c r="I78" s="56" t="str">
        <f t="shared" si="1"/>
        <v>NO PRAZO</v>
      </c>
    </row>
    <row r="79" spans="2:9" hidden="1" x14ac:dyDescent="0.25">
      <c r="B79" s="53" t="str">
        <f>_xlfn.XLOOKUP(C79,'Data Base'!D:D,'Data Base'!B:B)</f>
        <v>CC - Concreto</v>
      </c>
      <c r="C79" s="53" t="s">
        <v>84</v>
      </c>
      <c r="D79" s="53" t="str">
        <f>_xlfn.XLOOKUP(C79,'LD-ELFA'!F:F,'LD-ELFA'!H:H)</f>
        <v>DE-A1-2303-C-PB-4001</v>
      </c>
      <c r="E79" s="53">
        <f>_xlfn.XLOOKUP(C79,'Data Base'!D:D,'Data Base'!G:G)</f>
        <v>0</v>
      </c>
      <c r="F79" s="53" t="str">
        <f>_xlfn.XLOOKUP(C79,'LD-ELFA'!F:F,'LD-ELFA'!Q:Q)</f>
        <v>LOCAÇÃO E FORMA</v>
      </c>
      <c r="G79" s="56">
        <f>_xlfn.XLOOKUP(C79,'Data Base'!D:D,'Data Base'!R:R)</f>
        <v>46246</v>
      </c>
      <c r="H79" s="56">
        <f>_xlfn.XLOOKUP(C79,'Data Base'!D:D,'Data Base'!T:T)</f>
        <v>46246</v>
      </c>
      <c r="I79" s="56" t="str">
        <f t="shared" si="1"/>
        <v>NO PRAZO</v>
      </c>
    </row>
    <row r="80" spans="2:9" hidden="1" x14ac:dyDescent="0.25">
      <c r="B80" s="53" t="str">
        <f>_xlfn.XLOOKUP(C80,'Data Base'!D:D,'Data Base'!B:B)</f>
        <v>CC - Concreto</v>
      </c>
      <c r="C80" s="53" t="s">
        <v>85</v>
      </c>
      <c r="D80" s="53" t="str">
        <f>_xlfn.XLOOKUP(C80,'LD-ELFA'!F:F,'LD-ELFA'!H:H)</f>
        <v>DE-A1-2303-C-PB-4002</v>
      </c>
      <c r="E80" s="53">
        <f>_xlfn.XLOOKUP(C80,'Data Base'!D:D,'Data Base'!G:G)</f>
        <v>0</v>
      </c>
      <c r="F80" s="53" t="str">
        <f>_xlfn.XLOOKUP(C80,'LD-ELFA'!F:F,'LD-ELFA'!Q:Q)</f>
        <v>LOCAÇÃO E FORMA</v>
      </c>
      <c r="G80" s="56">
        <f>_xlfn.XLOOKUP(C80,'Data Base'!D:D,'Data Base'!R:R)</f>
        <v>46246</v>
      </c>
      <c r="H80" s="56">
        <f>_xlfn.XLOOKUP(C80,'Data Base'!D:D,'Data Base'!T:T)</f>
        <v>46246</v>
      </c>
      <c r="I80" s="56" t="str">
        <f t="shared" si="1"/>
        <v>NO PRAZO</v>
      </c>
    </row>
    <row r="81" spans="2:9" hidden="1" x14ac:dyDescent="0.25">
      <c r="B81" s="53" t="str">
        <f>_xlfn.XLOOKUP(C81,'Data Base'!D:D,'Data Base'!B:B)</f>
        <v>CC - Concreto</v>
      </c>
      <c r="C81" s="53" t="s">
        <v>86</v>
      </c>
      <c r="D81" s="53" t="str">
        <f>_xlfn.XLOOKUP(C81,'LD-ELFA'!F:F,'LD-ELFA'!H:H)</f>
        <v>DE-A1-2303-C-PB-4003</v>
      </c>
      <c r="E81" s="53">
        <f>_xlfn.XLOOKUP(C81,'Data Base'!D:D,'Data Base'!G:G)</f>
        <v>0</v>
      </c>
      <c r="F81" s="53" t="str">
        <f>_xlfn.XLOOKUP(C81,'LD-ELFA'!F:F,'LD-ELFA'!Q:Q)</f>
        <v>LOCAÇÃO E FORMA</v>
      </c>
      <c r="G81" s="56">
        <f>_xlfn.XLOOKUP(C81,'Data Base'!D:D,'Data Base'!R:R)</f>
        <v>46246</v>
      </c>
      <c r="H81" s="56">
        <f>_xlfn.XLOOKUP(C81,'Data Base'!D:D,'Data Base'!T:T)</f>
        <v>46246</v>
      </c>
      <c r="I81" s="56" t="str">
        <f t="shared" si="1"/>
        <v>NO PRAZO</v>
      </c>
    </row>
    <row r="82" spans="2:9" hidden="1" x14ac:dyDescent="0.25">
      <c r="B82" s="53" t="str">
        <f>_xlfn.XLOOKUP(C82,'Data Base'!D:D,'Data Base'!B:B)</f>
        <v>CC - Concreto</v>
      </c>
      <c r="C82" s="53" t="s">
        <v>87</v>
      </c>
      <c r="D82" s="53" t="str">
        <f>_xlfn.XLOOKUP(C82,'LD-ELFA'!F:F,'LD-ELFA'!H:H)</f>
        <v>DE-A1-2303-C-PB-4004</v>
      </c>
      <c r="E82" s="53">
        <f>_xlfn.XLOOKUP(C82,'Data Base'!D:D,'Data Base'!G:G)</f>
        <v>0</v>
      </c>
      <c r="F82" s="53" t="str">
        <f>_xlfn.XLOOKUP(C82,'LD-ELFA'!F:F,'LD-ELFA'!Q:Q)</f>
        <v>LOCAÇÃO E FORMA</v>
      </c>
      <c r="G82" s="56">
        <f>_xlfn.XLOOKUP(C82,'Data Base'!D:D,'Data Base'!R:R)</f>
        <v>46246</v>
      </c>
      <c r="H82" s="56">
        <f>_xlfn.XLOOKUP(C82,'Data Base'!D:D,'Data Base'!T:T)</f>
        <v>46246</v>
      </c>
      <c r="I82" s="56" t="str">
        <f t="shared" si="1"/>
        <v>NO PRAZO</v>
      </c>
    </row>
    <row r="83" spans="2:9" hidden="1" x14ac:dyDescent="0.25">
      <c r="B83" s="53" t="str">
        <f>_xlfn.XLOOKUP(C83,'Data Base'!D:D,'Data Base'!B:B)</f>
        <v>CC - Concreto</v>
      </c>
      <c r="C83" s="53" t="s">
        <v>88</v>
      </c>
      <c r="D83" s="53" t="str">
        <f>_xlfn.XLOOKUP(C83,'LD-ELFA'!F:F,'LD-ELFA'!H:H)</f>
        <v>DE-A1-2303-C-PB-4005</v>
      </c>
      <c r="E83" s="53">
        <f>_xlfn.XLOOKUP(C83,'Data Base'!D:D,'Data Base'!G:G)</f>
        <v>0</v>
      </c>
      <c r="F83" s="53" t="str">
        <f>_xlfn.XLOOKUP(C83,'LD-ELFA'!F:F,'LD-ELFA'!Q:Q)</f>
        <v>LOCAÇÃO E FORMA</v>
      </c>
      <c r="G83" s="56">
        <f>_xlfn.XLOOKUP(C83,'Data Base'!D:D,'Data Base'!R:R)</f>
        <v>46246</v>
      </c>
      <c r="H83" s="56">
        <f>_xlfn.XLOOKUP(C83,'Data Base'!D:D,'Data Base'!T:T)</f>
        <v>46246</v>
      </c>
      <c r="I83" s="56" t="str">
        <f t="shared" si="1"/>
        <v>NO PRAZO</v>
      </c>
    </row>
    <row r="84" spans="2:9" hidden="1" x14ac:dyDescent="0.25">
      <c r="B84" s="53" t="str">
        <f>_xlfn.XLOOKUP(C84,'Data Base'!D:D,'Data Base'!B:B)</f>
        <v>CC - Concreto</v>
      </c>
      <c r="C84" s="53" t="s">
        <v>89</v>
      </c>
      <c r="D84" s="53" t="str">
        <f>_xlfn.XLOOKUP(C84,'LD-ELFA'!F:F,'LD-ELFA'!H:H)</f>
        <v>DE-A1-2303-C-PB-0001</v>
      </c>
      <c r="E84" s="53">
        <f>_xlfn.XLOOKUP(C84,'Data Base'!D:D,'Data Base'!G:G)</f>
        <v>0</v>
      </c>
      <c r="F84" s="53" t="str">
        <f>_xlfn.XLOOKUP(C84,'LD-ELFA'!F:F,'LD-ELFA'!Q:Q)</f>
        <v>VIADUTO SOBRE ESTRADA DE FERRO CARAJÁS - ALTERNATIVA 1</v>
      </c>
      <c r="G84" s="56">
        <f>_xlfn.XLOOKUP(C84,'Data Base'!D:D,'Data Base'!R:R)</f>
        <v>46246</v>
      </c>
      <c r="H84" s="56">
        <f>_xlfn.XLOOKUP(C84,'Data Base'!D:D,'Data Base'!T:T)</f>
        <v>46246</v>
      </c>
      <c r="I84" s="56" t="str">
        <f t="shared" si="1"/>
        <v>NO PRAZO</v>
      </c>
    </row>
    <row r="85" spans="2:9" hidden="1" x14ac:dyDescent="0.25">
      <c r="B85" s="53" t="str">
        <f>_xlfn.XLOOKUP(C85,'Data Base'!D:D,'Data Base'!B:B)</f>
        <v>CC - Concreto</v>
      </c>
      <c r="C85" s="53" t="s">
        <v>90</v>
      </c>
      <c r="D85" s="53" t="str">
        <f>_xlfn.XLOOKUP(C85,'LD-ELFA'!F:F,'LD-ELFA'!H:H)</f>
        <v>DE-A1-1000-C-PB-4000</v>
      </c>
      <c r="E85" s="53">
        <f>_xlfn.XLOOKUP(C85,'Data Base'!D:D,'Data Base'!G:G)</f>
        <v>0</v>
      </c>
      <c r="F85" s="53" t="str">
        <f>_xlfn.XLOOKUP(C85,'LD-ELFA'!F:F,'LD-ELFA'!Q:Q)</f>
        <v>LOCAÇÃO E FORMA</v>
      </c>
      <c r="G85" s="56">
        <f>_xlfn.XLOOKUP(C85,'Data Base'!D:D,'Data Base'!R:R)</f>
        <v>46238</v>
      </c>
      <c r="H85" s="56">
        <f>_xlfn.XLOOKUP(C85,'Data Base'!D:D,'Data Base'!T:T)</f>
        <v>46241</v>
      </c>
      <c r="I85" s="56" t="str">
        <f t="shared" si="1"/>
        <v>NO PRAZO</v>
      </c>
    </row>
    <row r="86" spans="2:9" hidden="1" x14ac:dyDescent="0.25">
      <c r="B86" s="53" t="str">
        <f>_xlfn.XLOOKUP(C86,'Data Base'!D:D,'Data Base'!B:B)</f>
        <v>CC - Concreto</v>
      </c>
      <c r="C86" s="53" t="s">
        <v>91</v>
      </c>
      <c r="D86" s="53" t="str">
        <f>_xlfn.XLOOKUP(C86,'LD-ELFA'!F:F,'LD-ELFA'!H:H)</f>
        <v>MC-A1-1911-C-PB-4000</v>
      </c>
      <c r="E86" s="53">
        <f>_xlfn.XLOOKUP(C86,'Data Base'!D:D,'Data Base'!G:G)</f>
        <v>0</v>
      </c>
      <c r="F86" s="53" t="str">
        <f>_xlfn.XLOOKUP(C86,'LD-ELFA'!F:F,'LD-ELFA'!Q:Q)</f>
        <v>MEMÓRIA DE CÁLCULO</v>
      </c>
      <c r="G86" s="56">
        <f>_xlfn.XLOOKUP(C86,'Data Base'!D:D,'Data Base'!R:R)</f>
        <v>46244</v>
      </c>
      <c r="H86" s="56">
        <f>_xlfn.XLOOKUP(C86,'Data Base'!D:D,'Data Base'!T:T)</f>
        <v>46241</v>
      </c>
      <c r="I86" s="56" t="str">
        <f t="shared" si="1"/>
        <v>ATRASADO</v>
      </c>
    </row>
    <row r="87" spans="2:9" hidden="1" x14ac:dyDescent="0.25">
      <c r="B87" s="53" t="str">
        <f>_xlfn.XLOOKUP(C87,'Data Base'!D:D,'Data Base'!B:B)</f>
        <v>CC - Concreto</v>
      </c>
      <c r="C87" s="53" t="s">
        <v>92</v>
      </c>
      <c r="D87" s="53" t="str">
        <f>_xlfn.XLOOKUP(C87,'LD-ELFA'!F:F,'LD-ELFA'!H:H)</f>
        <v>MC-A1-1912-C-PB-4000</v>
      </c>
      <c r="E87" s="53">
        <f>_xlfn.XLOOKUP(C87,'Data Base'!D:D,'Data Base'!G:G)</f>
        <v>0</v>
      </c>
      <c r="F87" s="53" t="str">
        <f>_xlfn.XLOOKUP(C87,'LD-ELFA'!F:F,'LD-ELFA'!Q:Q)</f>
        <v>MEMÓRIA DE CÁLCULO</v>
      </c>
      <c r="G87" s="56">
        <f>_xlfn.XLOOKUP(C87,'Data Base'!D:D,'Data Base'!R:R)</f>
        <v>46240</v>
      </c>
      <c r="H87" s="56">
        <f>_xlfn.XLOOKUP(C87,'Data Base'!D:D,'Data Base'!T:T)</f>
        <v>46251</v>
      </c>
      <c r="I87" s="56" t="str">
        <f t="shared" si="1"/>
        <v>NO PRAZO</v>
      </c>
    </row>
    <row r="88" spans="2:9" hidden="1" x14ac:dyDescent="0.25">
      <c r="B88" s="53" t="str">
        <f>_xlfn.XLOOKUP(C88,'Data Base'!D:D,'Data Base'!B:B)</f>
        <v>CC - Concreto</v>
      </c>
      <c r="C88" s="53" t="s">
        <v>93</v>
      </c>
      <c r="D88" s="53" t="str">
        <f>_xlfn.XLOOKUP(C88,'LD-ELFA'!F:F,'LD-ELFA'!H:H)</f>
        <v>MC-A1-1913-C-PB-4000</v>
      </c>
      <c r="E88" s="53">
        <f>_xlfn.XLOOKUP(C88,'Data Base'!D:D,'Data Base'!G:G)</f>
        <v>0</v>
      </c>
      <c r="F88" s="53" t="str">
        <f>_xlfn.XLOOKUP(C88,'LD-ELFA'!F:F,'LD-ELFA'!Q:Q)</f>
        <v>MEMÓRIA DE CÁLCULO</v>
      </c>
      <c r="G88" s="56">
        <f>_xlfn.XLOOKUP(C88,'Data Base'!D:D,'Data Base'!R:R)</f>
        <v>46238</v>
      </c>
      <c r="H88" s="56">
        <f>_xlfn.XLOOKUP(C88,'Data Base'!D:D,'Data Base'!T:T)</f>
        <v>46259</v>
      </c>
      <c r="I88" s="56" t="str">
        <f t="shared" si="1"/>
        <v>NO PRAZO</v>
      </c>
    </row>
    <row r="89" spans="2:9" hidden="1" x14ac:dyDescent="0.25">
      <c r="B89" s="53" t="str">
        <f>_xlfn.XLOOKUP(C89,'Data Base'!D:D,'Data Base'!B:B)</f>
        <v>CC - Concreto</v>
      </c>
      <c r="C89" s="53" t="s">
        <v>94</v>
      </c>
      <c r="D89" s="53" t="str">
        <f>_xlfn.XLOOKUP(C89,'LD-ELFA'!F:F,'LD-ELFA'!H:H)</f>
        <v>MC-A1-1315-C-PB-4000</v>
      </c>
      <c r="E89" s="53">
        <f>_xlfn.XLOOKUP(C89,'Data Base'!D:D,'Data Base'!G:G)</f>
        <v>0</v>
      </c>
      <c r="F89" s="53" t="str">
        <f>_xlfn.XLOOKUP(C89,'LD-ELFA'!F:F,'LD-ELFA'!Q:Q)</f>
        <v>MEMÓRIA DE CÁLCULO</v>
      </c>
      <c r="G89" s="56">
        <f>_xlfn.XLOOKUP(C89,'Data Base'!D:D,'Data Base'!R:R)</f>
        <v>46238</v>
      </c>
      <c r="H89" s="56">
        <f>_xlfn.XLOOKUP(C89,'Data Base'!D:D,'Data Base'!T:T)</f>
        <v>46238</v>
      </c>
      <c r="I89" s="56" t="str">
        <f t="shared" si="1"/>
        <v>NO PRAZO</v>
      </c>
    </row>
    <row r="90" spans="2:9" hidden="1" x14ac:dyDescent="0.25">
      <c r="B90" s="53" t="e">
        <f>_xlfn.XLOOKUP(C90,'Data Base'!D:D,'Data Base'!B:B)</f>
        <v>#N/A</v>
      </c>
      <c r="C90" s="53" t="s">
        <v>95</v>
      </c>
      <c r="D90" s="53" t="e">
        <f>_xlfn.XLOOKUP(C90,'LD-ELFA'!F:F,'LD-ELFA'!H:H)</f>
        <v>#N/A</v>
      </c>
      <c r="E90" s="53" t="e">
        <f>_xlfn.XLOOKUP(C90,'Data Base'!D:D,'Data Base'!G:G)</f>
        <v>#N/A</v>
      </c>
      <c r="F90" s="53" t="e">
        <f>_xlfn.XLOOKUP(C90,'LD-ELFA'!F:F,'LD-ELFA'!Q:Q)</f>
        <v>#N/A</v>
      </c>
      <c r="G90" s="56" t="str">
        <f>_xlfn.XLOOKUP(C90,'Data Base'!D:D,'Data Base'!R:R)</f>
        <v>Documento Removido</v>
      </c>
      <c r="H90" s="56" t="str">
        <f>_xlfn.XLOOKUP(C90,'Data Base'!D:D,'Data Base'!T:T)</f>
        <v>Documento Removido</v>
      </c>
      <c r="I90" s="56" t="str">
        <f t="shared" si="1"/>
        <v>NO PRAZO</v>
      </c>
    </row>
    <row r="91" spans="2:9" hidden="1" x14ac:dyDescent="0.25">
      <c r="B91" s="53" t="e">
        <f>_xlfn.XLOOKUP(C91,'Data Base'!D:D,'Data Base'!B:B)</f>
        <v>#N/A</v>
      </c>
      <c r="C91" s="53" t="s">
        <v>96</v>
      </c>
      <c r="D91" s="53" t="e">
        <f>_xlfn.XLOOKUP(C91,'LD-ELFA'!F:F,'LD-ELFA'!H:H)</f>
        <v>#N/A</v>
      </c>
      <c r="E91" s="53" t="e">
        <f>_xlfn.XLOOKUP(C91,'Data Base'!D:D,'Data Base'!G:G)</f>
        <v>#N/A</v>
      </c>
      <c r="F91" s="53" t="e">
        <f>_xlfn.XLOOKUP(C91,'LD-ELFA'!F:F,'LD-ELFA'!Q:Q)</f>
        <v>#N/A</v>
      </c>
      <c r="G91" s="56" t="str">
        <f>_xlfn.XLOOKUP(C91,'Data Base'!D:D,'Data Base'!R:R)</f>
        <v>Documento Removido</v>
      </c>
      <c r="H91" s="56" t="str">
        <f>_xlfn.XLOOKUP(C91,'Data Base'!D:D,'Data Base'!T:T)</f>
        <v>Documento Removido</v>
      </c>
      <c r="I91" s="56" t="str">
        <f t="shared" si="1"/>
        <v>NO PRAZO</v>
      </c>
    </row>
    <row r="92" spans="2:9" hidden="1" x14ac:dyDescent="0.25">
      <c r="B92" s="53" t="e">
        <f>_xlfn.XLOOKUP(C92,'Data Base'!D:D,'Data Base'!B:B)</f>
        <v>#N/A</v>
      </c>
      <c r="C92" s="53" t="s">
        <v>97</v>
      </c>
      <c r="D92" s="53" t="e">
        <f>_xlfn.XLOOKUP(C92,'LD-ELFA'!F:F,'LD-ELFA'!H:H)</f>
        <v>#N/A</v>
      </c>
      <c r="E92" s="53" t="e">
        <f>_xlfn.XLOOKUP(C92,'Data Base'!D:D,'Data Base'!G:G)</f>
        <v>#N/A</v>
      </c>
      <c r="F92" s="53" t="e">
        <f>_xlfn.XLOOKUP(C92,'LD-ELFA'!F:F,'LD-ELFA'!Q:Q)</f>
        <v>#N/A</v>
      </c>
      <c r="G92" s="56" t="str">
        <f>_xlfn.XLOOKUP(C92,'Data Base'!D:D,'Data Base'!R:R)</f>
        <v>Documento Removido</v>
      </c>
      <c r="H92" s="56" t="str">
        <f>_xlfn.XLOOKUP(C92,'Data Base'!D:D,'Data Base'!T:T)</f>
        <v>Documento Removido</v>
      </c>
      <c r="I92" s="56" t="str">
        <f t="shared" si="1"/>
        <v>NO PRAZO</v>
      </c>
    </row>
    <row r="93" spans="2:9" hidden="1" x14ac:dyDescent="0.25">
      <c r="B93" s="53" t="str">
        <f>_xlfn.XLOOKUP(C93,'Data Base'!D:D,'Data Base'!B:B)</f>
        <v>CC - Concreto</v>
      </c>
      <c r="C93" s="53" t="s">
        <v>98</v>
      </c>
      <c r="D93" s="53" t="str">
        <f>_xlfn.XLOOKUP(C93,'LD-ELFA'!F:F,'LD-ELFA'!H:H)</f>
        <v>MC-A1-1500-C-PB-4000</v>
      </c>
      <c r="E93" s="53">
        <f>_xlfn.XLOOKUP(C93,'Data Base'!D:D,'Data Base'!G:G)</f>
        <v>0</v>
      </c>
      <c r="F93" s="53" t="str">
        <f>_xlfn.XLOOKUP(C93,'LD-ELFA'!F:F,'LD-ELFA'!Q:Q)</f>
        <v>MEMÓRIA DE CÁLCULO</v>
      </c>
      <c r="G93" s="56">
        <f>_xlfn.XLOOKUP(C93,'Data Base'!D:D,'Data Base'!R:R)</f>
        <v>46248</v>
      </c>
      <c r="H93" s="56">
        <f>_xlfn.XLOOKUP(C93,'Data Base'!D:D,'Data Base'!T:T)</f>
        <v>46253</v>
      </c>
      <c r="I93" s="56" t="str">
        <f t="shared" si="1"/>
        <v>NO PRAZO</v>
      </c>
    </row>
    <row r="94" spans="2:9" hidden="1" x14ac:dyDescent="0.25">
      <c r="B94" s="53" t="str">
        <f>_xlfn.XLOOKUP(C94,'Data Base'!D:D,'Data Base'!B:B)</f>
        <v>CC - Concreto</v>
      </c>
      <c r="C94" s="53" t="s">
        <v>99</v>
      </c>
      <c r="D94" s="53" t="str">
        <f>_xlfn.XLOOKUP(C94,'LD-ELFA'!F:F,'LD-ELFA'!H:H)</f>
        <v>MC-A1-1000-C-PB-4000</v>
      </c>
      <c r="E94" s="53">
        <f>_xlfn.XLOOKUP(C94,'Data Base'!D:D,'Data Base'!G:G)</f>
        <v>0</v>
      </c>
      <c r="F94" s="53" t="str">
        <f>_xlfn.XLOOKUP(C94,'LD-ELFA'!F:F,'LD-ELFA'!Q:Q)</f>
        <v>MEMÓRIA DE CÁLCULO</v>
      </c>
      <c r="G94" s="56">
        <f>_xlfn.XLOOKUP(C94,'Data Base'!D:D,'Data Base'!R:R)</f>
        <v>46230</v>
      </c>
      <c r="H94" s="56">
        <f>_xlfn.XLOOKUP(C94,'Data Base'!D:D,'Data Base'!T:T)</f>
        <v>46230</v>
      </c>
      <c r="I94" s="56" t="str">
        <f t="shared" si="1"/>
        <v>NO PRAZO</v>
      </c>
    </row>
    <row r="95" spans="2:9" hidden="1" x14ac:dyDescent="0.25">
      <c r="B95" s="53" t="str">
        <f>_xlfn.XLOOKUP(C95,'Data Base'!D:D,'Data Base'!B:B)</f>
        <v>CC - Concreto</v>
      </c>
      <c r="C95" s="53" t="s">
        <v>100</v>
      </c>
      <c r="D95" s="53" t="str">
        <f>_xlfn.XLOOKUP(C95,'LD-ELFA'!F:F,'LD-ELFA'!H:H)</f>
        <v>MC-A1-2303-C-PB-0001</v>
      </c>
      <c r="E95" s="53">
        <f>_xlfn.XLOOKUP(C95,'Data Base'!D:D,'Data Base'!G:G)</f>
        <v>0</v>
      </c>
      <c r="F95" s="53" t="str">
        <f>_xlfn.XLOOKUP(C95,'LD-ELFA'!F:F,'LD-ELFA'!Q:Q)</f>
        <v>MEMÓRIA DE CÁLCULO</v>
      </c>
      <c r="G95" s="56">
        <f>_xlfn.XLOOKUP(C95,'Data Base'!D:D,'Data Base'!R:R)</f>
        <v>46246</v>
      </c>
      <c r="H95" s="56">
        <f>_xlfn.XLOOKUP(C95,'Data Base'!D:D,'Data Base'!T:T)</f>
        <v>46246</v>
      </c>
      <c r="I95" s="56" t="str">
        <f t="shared" si="1"/>
        <v>NO PRAZO</v>
      </c>
    </row>
    <row r="96" spans="2:9" hidden="1" x14ac:dyDescent="0.25">
      <c r="B96" s="53" t="str">
        <f>_xlfn.XLOOKUP(C96,'Data Base'!D:D,'Data Base'!B:B)</f>
        <v>CC - Concreto</v>
      </c>
      <c r="C96" s="53" t="s">
        <v>101</v>
      </c>
      <c r="D96" s="53" t="str">
        <f>_xlfn.XLOOKUP(C96,'LD-ELFA'!F:F,'LD-ELFA'!H:H)</f>
        <v>MC-A1-1200-C-PB-0001</v>
      </c>
      <c r="E96" s="53">
        <f>_xlfn.XLOOKUP(C96,'Data Base'!D:D,'Data Base'!G:G)</f>
        <v>0</v>
      </c>
      <c r="F96" s="53" t="str">
        <f>_xlfn.XLOOKUP(C96,'LD-ELFA'!F:F,'LD-ELFA'!Q:Q)</f>
        <v>MEMÓRIA DE CÁLCULO</v>
      </c>
      <c r="G96" s="56">
        <f>_xlfn.XLOOKUP(C96,'Data Base'!D:D,'Data Base'!R:R)</f>
        <v>46225</v>
      </c>
      <c r="H96" s="56">
        <f>_xlfn.XLOOKUP(C96,'Data Base'!D:D,'Data Base'!T:T)</f>
        <v>46211</v>
      </c>
      <c r="I96" s="56" t="str">
        <f t="shared" si="1"/>
        <v>ATRASADO</v>
      </c>
    </row>
    <row r="97" spans="2:9" hidden="1" x14ac:dyDescent="0.25">
      <c r="B97" s="53" t="str">
        <f>_xlfn.XLOOKUP(C97,'Data Base'!D:D,'Data Base'!B:B)</f>
        <v>CC - Concreto</v>
      </c>
      <c r="C97" s="53" t="s">
        <v>102</v>
      </c>
      <c r="D97" s="53" t="str">
        <f>_xlfn.XLOOKUP(C97,'LD-ELFA'!F:F,'LD-ELFA'!H:H)</f>
        <v>MC-A1-1201-C-PB-0001</v>
      </c>
      <c r="E97" s="53">
        <f>_xlfn.XLOOKUP(C97,'Data Base'!D:D,'Data Base'!G:G)</f>
        <v>0</v>
      </c>
      <c r="F97" s="53" t="str">
        <f>_xlfn.XLOOKUP(C97,'LD-ELFA'!F:F,'LD-ELFA'!Q:Q)</f>
        <v xml:space="preserve"> MEMÓRIA DE CÁLCULO</v>
      </c>
      <c r="G97" s="56">
        <f>_xlfn.XLOOKUP(C97,'Data Base'!D:D,'Data Base'!R:R)</f>
        <v>46231</v>
      </c>
      <c r="H97" s="56">
        <f>_xlfn.XLOOKUP(C97,'Data Base'!D:D,'Data Base'!T:T)</f>
        <v>46217</v>
      </c>
      <c r="I97" s="56" t="str">
        <f t="shared" si="1"/>
        <v>ATRASADO</v>
      </c>
    </row>
    <row r="98" spans="2:9" hidden="1" x14ac:dyDescent="0.25">
      <c r="B98" s="53" t="str">
        <f>_xlfn.XLOOKUP(C98,'Data Base'!D:D,'Data Base'!B:B)</f>
        <v>CC - Concreto</v>
      </c>
      <c r="C98" s="53" t="s">
        <v>103</v>
      </c>
      <c r="D98" s="53" t="str">
        <f>_xlfn.XLOOKUP(C98,'LD-ELFA'!F:F,'LD-ELFA'!H:H)</f>
        <v>MC-A1-1800-C-PB-0001</v>
      </c>
      <c r="E98" s="53">
        <f>_xlfn.XLOOKUP(C98,'Data Base'!D:D,'Data Base'!G:G)</f>
        <v>0</v>
      </c>
      <c r="F98" s="53" t="str">
        <f>_xlfn.XLOOKUP(C98,'LD-ELFA'!F:F,'LD-ELFA'!Q:Q)</f>
        <v>MEMÓRIA DE CÁLCULO</v>
      </c>
      <c r="G98" s="56">
        <f>_xlfn.XLOOKUP(C98,'Data Base'!D:D,'Data Base'!R:R)</f>
        <v>46254</v>
      </c>
      <c r="H98" s="56">
        <f>_xlfn.XLOOKUP(C98,'Data Base'!D:D,'Data Base'!T:T)</f>
        <v>46244</v>
      </c>
      <c r="I98" s="56" t="str">
        <f t="shared" si="1"/>
        <v>ATRASADO</v>
      </c>
    </row>
    <row r="99" spans="2:9" hidden="1" x14ac:dyDescent="0.25">
      <c r="B99" s="53" t="str">
        <f>_xlfn.XLOOKUP(C99,'Data Base'!D:D,'Data Base'!B:B)</f>
        <v>CC - Concreto</v>
      </c>
      <c r="C99" s="53" t="s">
        <v>104</v>
      </c>
      <c r="D99" s="53" t="str">
        <f>_xlfn.XLOOKUP(C99,'LD-ELFA'!F:F,'LD-ELFA'!H:H)</f>
        <v>MC-A1-2304-C-PB-0001</v>
      </c>
      <c r="E99" s="53">
        <f>_xlfn.XLOOKUP(C99,'Data Base'!D:D,'Data Base'!G:G)</f>
        <v>0</v>
      </c>
      <c r="F99" s="53" t="str">
        <f>_xlfn.XLOOKUP(C99,'LD-ELFA'!F:F,'LD-ELFA'!Q:Q)</f>
        <v>MEMÓRIA DE CÁLCULO</v>
      </c>
      <c r="G99" s="56">
        <f>_xlfn.XLOOKUP(C99,'Data Base'!D:D,'Data Base'!R:R)</f>
        <v>46262</v>
      </c>
      <c r="H99" s="56">
        <f>_xlfn.XLOOKUP(C99,'Data Base'!D:D,'Data Base'!T:T)</f>
        <v>46267</v>
      </c>
      <c r="I99" s="56" t="str">
        <f t="shared" si="1"/>
        <v>NO PRAZO</v>
      </c>
    </row>
    <row r="100" spans="2:9" hidden="1" x14ac:dyDescent="0.25">
      <c r="B100" s="53" t="str">
        <f>_xlfn.XLOOKUP(C100,'Data Base'!D:D,'Data Base'!B:B)</f>
        <v>CC - Concreto</v>
      </c>
      <c r="C100" s="53" t="s">
        <v>105</v>
      </c>
      <c r="D100" s="53" t="str">
        <f>_xlfn.XLOOKUP(C100,'LD-ELFA'!F:F,'LD-ELFA'!H:H)</f>
        <v>MC-A1-1000-C-PB-0003</v>
      </c>
      <c r="E100" s="53">
        <f>_xlfn.XLOOKUP(C100,'Data Base'!D:D,'Data Base'!G:G)</f>
        <v>0</v>
      </c>
      <c r="F100" s="53" t="str">
        <f>_xlfn.XLOOKUP(C100,'LD-ELFA'!F:F,'LD-ELFA'!Q:Q)</f>
        <v>MEMÓRIA DE CÁLCULO</v>
      </c>
      <c r="G100" s="56">
        <f>_xlfn.XLOOKUP(C100,'Data Base'!D:D,'Data Base'!R:R)</f>
        <v>46260</v>
      </c>
      <c r="H100" s="56">
        <f>_xlfn.XLOOKUP(C100,'Data Base'!D:D,'Data Base'!T:T)</f>
        <v>46248</v>
      </c>
      <c r="I100" s="56" t="str">
        <f t="shared" si="1"/>
        <v>ATRASADO</v>
      </c>
    </row>
    <row r="101" spans="2:9" hidden="1" x14ac:dyDescent="0.25">
      <c r="B101" s="53" t="str">
        <f>_xlfn.XLOOKUP(C101,'Data Base'!D:D,'Data Base'!B:B)</f>
        <v>CC - Concreto</v>
      </c>
      <c r="C101" s="53" t="s">
        <v>106</v>
      </c>
      <c r="D101" s="53" t="str">
        <f>_xlfn.XLOOKUP(C101,'LD-ELFA'!F:F,'LD-ELFA'!H:H)</f>
        <v>MC-A1-1000-C-PB-0002</v>
      </c>
      <c r="E101" s="53">
        <f>_xlfn.XLOOKUP(C101,'Data Base'!D:D,'Data Base'!G:G)</f>
        <v>0</v>
      </c>
      <c r="F101" s="53" t="str">
        <f>_xlfn.XLOOKUP(C101,'LD-ELFA'!F:F,'LD-ELFA'!Q:Q)</f>
        <v>MEMÓRIA DE CÁLCULO</v>
      </c>
      <c r="G101" s="56">
        <f>_xlfn.XLOOKUP(C101,'Data Base'!D:D,'Data Base'!R:R)</f>
        <v>46267</v>
      </c>
      <c r="H101" s="56" t="str">
        <f>_xlfn.XLOOKUP(C101,'Data Base'!D:D,'Data Base'!T:T)</f>
        <v>ND</v>
      </c>
      <c r="I101" s="56" t="str">
        <f t="shared" si="1"/>
        <v>NO PRAZO</v>
      </c>
    </row>
    <row r="102" spans="2:9" hidden="1" x14ac:dyDescent="0.25">
      <c r="B102" s="53" t="str">
        <f>_xlfn.XLOOKUP(C102,'Data Base'!D:D,'Data Base'!B:B)</f>
        <v>CC - Concreto</v>
      </c>
      <c r="C102" s="53" t="s">
        <v>107</v>
      </c>
      <c r="D102" s="53" t="str">
        <f>_xlfn.XLOOKUP(C102,'LD-ELFA'!F:F,'LD-ELFA'!H:H)</f>
        <v>MC-A1-1601-C-PB-0001</v>
      </c>
      <c r="E102" s="53">
        <f>_xlfn.XLOOKUP(C102,'Data Base'!D:D,'Data Base'!G:G)</f>
        <v>0</v>
      </c>
      <c r="F102" s="53" t="str">
        <f>_xlfn.XLOOKUP(C102,'LD-ELFA'!F:F,'LD-ELFA'!Q:Q)</f>
        <v>MEMÓRIA DE CÁLCULO</v>
      </c>
      <c r="G102" s="56">
        <f>_xlfn.XLOOKUP(C102,'Data Base'!D:D,'Data Base'!R:R)</f>
        <v>46233</v>
      </c>
      <c r="H102" s="56">
        <f>_xlfn.XLOOKUP(C102,'Data Base'!D:D,'Data Base'!T:T)</f>
        <v>46233</v>
      </c>
      <c r="I102" s="56" t="str">
        <f t="shared" si="1"/>
        <v>NO PRAZO</v>
      </c>
    </row>
    <row r="103" spans="2:9" hidden="1" x14ac:dyDescent="0.25">
      <c r="B103" s="53" t="str">
        <f>_xlfn.XLOOKUP(C103,'Data Base'!D:D,'Data Base'!B:B)</f>
        <v>CC - Concreto</v>
      </c>
      <c r="C103" s="53" t="s">
        <v>108</v>
      </c>
      <c r="D103" s="53" t="str">
        <f>_xlfn.XLOOKUP(C103,'LD-ELFA'!F:F,'LD-ELFA'!H:H)</f>
        <v>MC-A1-1411-C-PB-4000</v>
      </c>
      <c r="E103" s="53">
        <f>_xlfn.XLOOKUP(C103,'Data Base'!D:D,'Data Base'!G:G)</f>
        <v>0</v>
      </c>
      <c r="F103" s="53" t="str">
        <f>_xlfn.XLOOKUP(C103,'LD-ELFA'!F:F,'LD-ELFA'!Q:Q)</f>
        <v>MEMÓRIA DE CÁLCULO</v>
      </c>
      <c r="G103" s="56">
        <f>_xlfn.XLOOKUP(C103,'Data Base'!D:D,'Data Base'!R:R)</f>
        <v>46244</v>
      </c>
      <c r="H103" s="56">
        <f>_xlfn.XLOOKUP(C103,'Data Base'!D:D,'Data Base'!T:T)</f>
        <v>46224</v>
      </c>
      <c r="I103" s="56" t="str">
        <f t="shared" si="1"/>
        <v>ATRASADO</v>
      </c>
    </row>
    <row r="104" spans="2:9" hidden="1" x14ac:dyDescent="0.25">
      <c r="B104" s="53" t="str">
        <f>_xlfn.XLOOKUP(C104,'Data Base'!D:D,'Data Base'!B:B)</f>
        <v>CC - Concreto</v>
      </c>
      <c r="C104" s="53" t="s">
        <v>109</v>
      </c>
      <c r="D104" s="53" t="str">
        <f>_xlfn.XLOOKUP(C104,'LD-ELFA'!F:F,'LD-ELFA'!H:H)</f>
        <v>MC-A1-1001-C-PB-4000</v>
      </c>
      <c r="E104" s="53">
        <f>_xlfn.XLOOKUP(C104,'Data Base'!D:D,'Data Base'!G:G)</f>
        <v>0</v>
      </c>
      <c r="F104" s="53" t="str">
        <f>_xlfn.XLOOKUP(C104,'LD-ELFA'!F:F,'LD-ELFA'!Q:Q)</f>
        <v>BALANÇA - FUNDAÇÕES - MEMÓRIA DE CÁLCULO - 11</v>
      </c>
      <c r="G104" s="56">
        <f>_xlfn.XLOOKUP(C104,'Data Base'!D:D,'Data Base'!R:R)</f>
        <v>46248</v>
      </c>
      <c r="H104" s="56">
        <f>_xlfn.XLOOKUP(C104,'Data Base'!D:D,'Data Base'!T:T)</f>
        <v>46233</v>
      </c>
      <c r="I104" s="56" t="str">
        <f t="shared" si="1"/>
        <v>ATRASADO</v>
      </c>
    </row>
    <row r="105" spans="2:9" hidden="1" x14ac:dyDescent="0.25">
      <c r="B105" s="53" t="str">
        <f>_xlfn.XLOOKUP(C105,'Data Base'!D:D,'Data Base'!B:B)</f>
        <v>CC - Concreto</v>
      </c>
      <c r="C105" s="53" t="s">
        <v>110</v>
      </c>
      <c r="D105" s="53" t="str">
        <f>_xlfn.XLOOKUP(C105,'LD-ELFA'!F:F,'LD-ELFA'!H:H)</f>
        <v>MC-A1-2201-C-PB-4000</v>
      </c>
      <c r="E105" s="53">
        <f>_xlfn.XLOOKUP(C105,'Data Base'!D:D,'Data Base'!G:G)</f>
        <v>0</v>
      </c>
      <c r="F105" s="53" t="str">
        <f>_xlfn.XLOOKUP(C105,'LD-ELFA'!F:F,'LD-ELFA'!Q:Q)</f>
        <v>MEMÓRIA DE CÁLCULO</v>
      </c>
      <c r="G105" s="56" t="str">
        <f>_xlfn.XLOOKUP(C105,'Data Base'!D:D,'Data Base'!R:R)</f>
        <v>Documento Emitido</v>
      </c>
      <c r="H105" s="56" t="str">
        <f>_xlfn.XLOOKUP(C105,'Data Base'!D:D,'Data Base'!T:T)</f>
        <v>Documento Emitido</v>
      </c>
      <c r="I105" s="56" t="str">
        <f t="shared" si="1"/>
        <v>NO PRAZO</v>
      </c>
    </row>
    <row r="106" spans="2:9" hidden="1" x14ac:dyDescent="0.25">
      <c r="B106" s="53" t="str">
        <f>_xlfn.XLOOKUP(C106,'Data Base'!D:D,'Data Base'!B:B)</f>
        <v>CC - Concreto</v>
      </c>
      <c r="C106" s="53" t="s">
        <v>111</v>
      </c>
      <c r="D106" s="53" t="str">
        <f>_xlfn.XLOOKUP(C106,'LD-ELFA'!F:F,'LD-ELFA'!H:H)</f>
        <v>MC-A1-2202-C-PB-4000</v>
      </c>
      <c r="E106" s="53">
        <f>_xlfn.XLOOKUP(C106,'Data Base'!D:D,'Data Base'!G:G)</f>
        <v>0</v>
      </c>
      <c r="F106" s="53" t="str">
        <f>_xlfn.XLOOKUP(C106,'LD-ELFA'!F:F,'LD-ELFA'!Q:Q)</f>
        <v>MEMÓRIA DE CÁLCULO</v>
      </c>
      <c r="G106" s="56" t="str">
        <f>_xlfn.XLOOKUP(C106,'Data Base'!D:D,'Data Base'!R:R)</f>
        <v>Documento Emitido</v>
      </c>
      <c r="H106" s="56" t="str">
        <f>_xlfn.XLOOKUP(C106,'Data Base'!D:D,'Data Base'!T:T)</f>
        <v>Documento Emitido</v>
      </c>
      <c r="I106" s="56" t="str">
        <f t="shared" si="1"/>
        <v>NO PRAZO</v>
      </c>
    </row>
    <row r="107" spans="2:9" hidden="1" x14ac:dyDescent="0.25">
      <c r="B107" s="53" t="str">
        <f>_xlfn.XLOOKUP(C107,'Data Base'!D:D,'Data Base'!B:B)</f>
        <v>CC - Concreto</v>
      </c>
      <c r="C107" s="53" t="s">
        <v>112</v>
      </c>
      <c r="D107" s="53" t="str">
        <f>_xlfn.XLOOKUP(C107,'LD-ELFA'!F:F,'LD-ELFA'!H:H)</f>
        <v>MC-A1-2203-C-PB-4000</v>
      </c>
      <c r="E107" s="53">
        <f>_xlfn.XLOOKUP(C107,'Data Base'!D:D,'Data Base'!G:G)</f>
        <v>0</v>
      </c>
      <c r="F107" s="53" t="str">
        <f>_xlfn.XLOOKUP(C107,'LD-ELFA'!F:F,'LD-ELFA'!Q:Q)</f>
        <v>MEMÓRIA DE CÁLCULO</v>
      </c>
      <c r="G107" s="56" t="str">
        <f>_xlfn.XLOOKUP(C107,'Data Base'!D:D,'Data Base'!R:R)</f>
        <v>Documento Emitido</v>
      </c>
      <c r="H107" s="56" t="str">
        <f>_xlfn.XLOOKUP(C107,'Data Base'!D:D,'Data Base'!T:T)</f>
        <v>Documento Emitido</v>
      </c>
      <c r="I107" s="56" t="str">
        <f t="shared" si="1"/>
        <v>NO PRAZO</v>
      </c>
    </row>
    <row r="108" spans="2:9" hidden="1" x14ac:dyDescent="0.25">
      <c r="B108" s="53" t="str">
        <f>_xlfn.XLOOKUP(C108,'Data Base'!D:D,'Data Base'!B:B)</f>
        <v>CC - Concreto</v>
      </c>
      <c r="C108" s="53" t="s">
        <v>113</v>
      </c>
      <c r="D108" s="53" t="str">
        <f>_xlfn.XLOOKUP(C108,'LD-ELFA'!F:F,'LD-ELFA'!H:H)</f>
        <v>MC-A1-2204-C-PB-4000</v>
      </c>
      <c r="E108" s="53">
        <f>_xlfn.XLOOKUP(C108,'Data Base'!D:D,'Data Base'!G:G)</f>
        <v>0</v>
      </c>
      <c r="F108" s="53" t="str">
        <f>_xlfn.XLOOKUP(C108,'LD-ELFA'!F:F,'LD-ELFA'!Q:Q)</f>
        <v>MEMÓRIA DE CÁLCULO</v>
      </c>
      <c r="G108" s="56" t="str">
        <f>_xlfn.XLOOKUP(C108,'Data Base'!D:D,'Data Base'!R:R)</f>
        <v>Documento Emitido</v>
      </c>
      <c r="H108" s="56" t="str">
        <f>_xlfn.XLOOKUP(C108,'Data Base'!D:D,'Data Base'!T:T)</f>
        <v>Documento Emitido</v>
      </c>
      <c r="I108" s="56" t="str">
        <f t="shared" si="1"/>
        <v>NO PRAZO</v>
      </c>
    </row>
    <row r="109" spans="2:9" hidden="1" x14ac:dyDescent="0.25">
      <c r="B109" s="53" t="str">
        <f>_xlfn.XLOOKUP(C109,'Data Base'!D:D,'Data Base'!B:B)</f>
        <v>CC - Concreto</v>
      </c>
      <c r="C109" s="53" t="s">
        <v>114</v>
      </c>
      <c r="D109" s="53" t="str">
        <f>_xlfn.XLOOKUP(C109,'LD-ELFA'!F:F,'LD-ELFA'!H:H)</f>
        <v>MC-A1-1000-C-PB-4001</v>
      </c>
      <c r="E109" s="53">
        <f>_xlfn.XLOOKUP(C109,'Data Base'!D:D,'Data Base'!G:G)</f>
        <v>0</v>
      </c>
      <c r="F109" s="53" t="str">
        <f>_xlfn.XLOOKUP(C109,'LD-ELFA'!F:F,'LD-ELFA'!Q:Q)</f>
        <v>MEMORIAL DESCRITIVO</v>
      </c>
      <c r="G109" s="56">
        <f>_xlfn.XLOOKUP(C109,'Data Base'!D:D,'Data Base'!R:R)</f>
        <v>46267</v>
      </c>
      <c r="H109" s="56">
        <f>_xlfn.XLOOKUP(C109,'Data Base'!D:D,'Data Base'!T:T)</f>
        <v>46252</v>
      </c>
      <c r="I109" s="56" t="str">
        <f t="shared" si="1"/>
        <v>ATRASADO</v>
      </c>
    </row>
    <row r="110" spans="2:9" hidden="1" x14ac:dyDescent="0.25">
      <c r="B110" s="53" t="str">
        <f>_xlfn.XLOOKUP(C110,'Data Base'!D:D,'Data Base'!B:B)</f>
        <v>CC - Concreto</v>
      </c>
      <c r="C110" s="53" t="s">
        <v>115</v>
      </c>
      <c r="D110" s="53" t="str">
        <f>_xlfn.XLOOKUP(C110,'LD-ELFA'!F:F,'LD-ELFA'!H:H)</f>
        <v>PQ-A1-1000-C-PB-4000</v>
      </c>
      <c r="E110" s="53">
        <f>_xlfn.XLOOKUP(C110,'Data Base'!D:D,'Data Base'!G:G)</f>
        <v>0</v>
      </c>
      <c r="F110" s="53" t="str">
        <f>_xlfn.XLOOKUP(C110,'LD-ELFA'!F:F,'LD-ELFA'!Q:Q)</f>
        <v>PLANILHA DE QUANTIDADES</v>
      </c>
      <c r="G110" s="56">
        <f>_xlfn.XLOOKUP(C110,'Data Base'!D:D,'Data Base'!R:R)</f>
        <v>46262</v>
      </c>
      <c r="H110" s="56">
        <f>_xlfn.XLOOKUP(C110,'Data Base'!D:D,'Data Base'!T:T)</f>
        <v>46247</v>
      </c>
      <c r="I110" s="56" t="str">
        <f t="shared" si="1"/>
        <v>ATRASADO</v>
      </c>
    </row>
    <row r="111" spans="2:9" hidden="1" x14ac:dyDescent="0.25">
      <c r="B111" s="53" t="str">
        <f>_xlfn.XLOOKUP(C111,'Data Base'!D:D,'Data Base'!B:B)</f>
        <v>CC - Concreto</v>
      </c>
      <c r="C111" s="53" t="s">
        <v>116</v>
      </c>
      <c r="D111" s="53" t="str">
        <f>_xlfn.XLOOKUP(C111,'LD-ELFA'!F:F,'LD-ELFA'!H:H)</f>
        <v>PQ-A1-1000-C-PB-0001</v>
      </c>
      <c r="E111" s="53">
        <f>_xlfn.XLOOKUP(C111,'Data Base'!D:D,'Data Base'!G:G)</f>
        <v>0</v>
      </c>
      <c r="F111" s="53" t="str">
        <f>_xlfn.XLOOKUP(C111,'LD-ELFA'!F:F,'LD-ELFA'!Q:Q)</f>
        <v>PLANILHA DE QUANTIDADES</v>
      </c>
      <c r="G111" s="56">
        <f>_xlfn.XLOOKUP(C111,'Data Base'!D:D,'Data Base'!R:R)</f>
        <v>46266</v>
      </c>
      <c r="H111" s="56">
        <f>_xlfn.XLOOKUP(C111,'Data Base'!D:D,'Data Base'!T:T)</f>
        <v>46251</v>
      </c>
      <c r="I111" s="56" t="str">
        <f t="shared" si="1"/>
        <v>ATRASADO</v>
      </c>
    </row>
    <row r="112" spans="2:9" x14ac:dyDescent="0.25">
      <c r="B112" s="53" t="str">
        <f>_xlfn.XLOOKUP(C112,'Data Base'!D:D,'Data Base'!B:B)</f>
        <v>CI - Infraestrutura</v>
      </c>
      <c r="C112" s="53" t="s">
        <v>117</v>
      </c>
      <c r="D112" s="53" t="str">
        <f>_xlfn.XLOOKUP(C112,'LD-ELFA'!F:F,'LD-ELFA'!H:H)</f>
        <v>DE-A1-1102-B-PC-4000</v>
      </c>
      <c r="E112" s="53">
        <f>_xlfn.XLOOKUP(C112,'Data Base'!D:D,'Data Base'!G:G)</f>
        <v>0</v>
      </c>
      <c r="F112" s="53" t="str">
        <f>_xlfn.XLOOKUP(C112,'LD-ELFA'!F:F,'LD-ELFA'!Q:Q)</f>
        <v>PROJETO DE TERRAPLENAGEM</v>
      </c>
      <c r="G112" s="56">
        <f>_xlfn.XLOOKUP(C112,'Data Base'!D:D,'Data Base'!R:R)</f>
        <v>46220</v>
      </c>
      <c r="H112" s="56">
        <f>_xlfn.XLOOKUP(C112,'Data Base'!D:D,'Data Base'!T:T)</f>
        <v>46203</v>
      </c>
      <c r="I112" s="56" t="str">
        <f t="shared" si="1"/>
        <v>ATRASADO</v>
      </c>
    </row>
    <row r="113" spans="2:9" x14ac:dyDescent="0.25">
      <c r="B113" s="53" t="str">
        <f>_xlfn.XLOOKUP(C113,'Data Base'!D:D,'Data Base'!B:B)</f>
        <v>CI - Infraestrutura</v>
      </c>
      <c r="C113" s="53" t="s">
        <v>118</v>
      </c>
      <c r="D113" s="53" t="str">
        <f>_xlfn.XLOOKUP(C113,'LD-ELFA'!F:F,'LD-ELFA'!H:H)</f>
        <v>DE-A1-1102-B-PC-4001</v>
      </c>
      <c r="E113" s="53">
        <f>_xlfn.XLOOKUP(C113,'Data Base'!D:D,'Data Base'!G:G)</f>
        <v>0</v>
      </c>
      <c r="F113" s="53" t="str">
        <f>_xlfn.XLOOKUP(C113,'LD-ELFA'!F:F,'LD-ELFA'!Q:Q)</f>
        <v>PROJETO GEOMÉTRICO - ACESSO</v>
      </c>
      <c r="G113" s="56">
        <f>_xlfn.XLOOKUP(C113,'Data Base'!D:D,'Data Base'!R:R)</f>
        <v>46220</v>
      </c>
      <c r="H113" s="56">
        <f>_xlfn.XLOOKUP(C113,'Data Base'!D:D,'Data Base'!T:T)</f>
        <v>46205</v>
      </c>
      <c r="I113" s="56" t="str">
        <f t="shared" si="1"/>
        <v>ATRASADO</v>
      </c>
    </row>
    <row r="114" spans="2:9" hidden="1" x14ac:dyDescent="0.25">
      <c r="B114" s="53" t="str">
        <f>_xlfn.XLOOKUP(C114,'Data Base'!D:D,'Data Base'!B:B)</f>
        <v>CI - Infraestrutura</v>
      </c>
      <c r="C114" s="53" t="s">
        <v>119</v>
      </c>
      <c r="D114" s="53" t="str">
        <f>_xlfn.XLOOKUP(C114,'LD-ELFA'!F:F,'LD-ELFA'!H:H)</f>
        <v>MC-A1-1102-B-PB-4000</v>
      </c>
      <c r="E114" s="53">
        <f>_xlfn.XLOOKUP(C114,'Data Base'!D:D,'Data Base'!G:G)</f>
        <v>0</v>
      </c>
      <c r="F114" s="53" t="str">
        <f>_xlfn.XLOOKUP(C114,'LD-ELFA'!F:F,'LD-ELFA'!Q:Q)</f>
        <v>MEMÓRIA DE CÁLCULO DE TERRAPLENAGEM</v>
      </c>
      <c r="G114" s="56">
        <f>_xlfn.XLOOKUP(C114,'Data Base'!D:D,'Data Base'!R:R)</f>
        <v>46234</v>
      </c>
      <c r="H114" s="56">
        <f>_xlfn.XLOOKUP(C114,'Data Base'!D:D,'Data Base'!T:T)</f>
        <v>46219</v>
      </c>
      <c r="I114" s="56" t="str">
        <f t="shared" si="1"/>
        <v>ATRASADO</v>
      </c>
    </row>
    <row r="115" spans="2:9" hidden="1" x14ac:dyDescent="0.25">
      <c r="B115" s="53" t="str">
        <f>_xlfn.XLOOKUP(C115,'Data Base'!D:D,'Data Base'!B:B)</f>
        <v>CI - Infraestrutura</v>
      </c>
      <c r="C115" s="53" t="s">
        <v>120</v>
      </c>
      <c r="D115" s="53" t="str">
        <f>_xlfn.XLOOKUP(C115,'LD-ELFA'!F:F,'LD-ELFA'!H:H)</f>
        <v>MC-A1-1102-B-PB-4001</v>
      </c>
      <c r="E115" s="53">
        <f>_xlfn.XLOOKUP(C115,'Data Base'!D:D,'Data Base'!G:G)</f>
        <v>0</v>
      </c>
      <c r="F115" s="53" t="str">
        <f>_xlfn.XLOOKUP(C115,'LD-ELFA'!F:F,'LD-ELFA'!Q:Q)</f>
        <v>MEMÓRIA DE CÁLCULO DE DRENAGEM</v>
      </c>
      <c r="G115" s="56">
        <f>_xlfn.XLOOKUP(C115,'Data Base'!D:D,'Data Base'!R:R)</f>
        <v>46241</v>
      </c>
      <c r="H115" s="56">
        <f>_xlfn.XLOOKUP(C115,'Data Base'!D:D,'Data Base'!T:T)</f>
        <v>46226</v>
      </c>
      <c r="I115" s="56" t="str">
        <f t="shared" si="1"/>
        <v>ATRASADO</v>
      </c>
    </row>
    <row r="116" spans="2:9" hidden="1" x14ac:dyDescent="0.25">
      <c r="B116" s="53" t="str">
        <f>_xlfn.XLOOKUP(C116,'Data Base'!D:D,'Data Base'!B:B)</f>
        <v>CI - Infraestrutura</v>
      </c>
      <c r="C116" s="53" t="s">
        <v>121</v>
      </c>
      <c r="D116" s="53" t="str">
        <f>_xlfn.XLOOKUP(C116,'LD-ELFA'!F:F,'LD-ELFA'!H:H)</f>
        <v>MC-A1-1000-B-PB-0002</v>
      </c>
      <c r="E116" s="53">
        <f>_xlfn.XLOOKUP(C116,'Data Base'!D:D,'Data Base'!G:G)</f>
        <v>0</v>
      </c>
      <c r="F116" s="53" t="str">
        <f>_xlfn.XLOOKUP(C116,'LD-ELFA'!F:F,'LD-ELFA'!Q:Q)</f>
        <v>MEMÓRIA DE CÁLCULO DE DRENAGEM</v>
      </c>
      <c r="G116" s="56">
        <f>_xlfn.XLOOKUP(C116,'Data Base'!D:D,'Data Base'!R:R)</f>
        <v>46260</v>
      </c>
      <c r="H116" s="56">
        <f>_xlfn.XLOOKUP(C116,'Data Base'!D:D,'Data Base'!T:T)</f>
        <v>46260</v>
      </c>
      <c r="I116" s="56" t="str">
        <f t="shared" si="1"/>
        <v>NO PRAZO</v>
      </c>
    </row>
    <row r="117" spans="2:9" hidden="1" x14ac:dyDescent="0.25">
      <c r="B117" s="53" t="str">
        <f>_xlfn.XLOOKUP(C117,'Data Base'!D:D,'Data Base'!B:B)</f>
        <v>CI - Infraestrutura</v>
      </c>
      <c r="C117" s="53" t="s">
        <v>122</v>
      </c>
      <c r="D117" s="53" t="str">
        <f>_xlfn.XLOOKUP(C117,'LD-ELFA'!F:F,'LD-ELFA'!H:H)</f>
        <v>MC-A1-1000-B-PB-0001</v>
      </c>
      <c r="E117" s="53">
        <f>_xlfn.XLOOKUP(C117,'Data Base'!D:D,'Data Base'!G:G)</f>
        <v>0</v>
      </c>
      <c r="F117" s="53" t="str">
        <f>_xlfn.XLOOKUP(C117,'LD-ELFA'!F:F,'LD-ELFA'!Q:Q)</f>
        <v>MEMÓRIA DE CÁLCULO DE TERRAPLENAGEM</v>
      </c>
      <c r="G117" s="56">
        <f>_xlfn.XLOOKUP(C117,'Data Base'!D:D,'Data Base'!R:R)</f>
        <v>46246</v>
      </c>
      <c r="H117" s="56">
        <f>_xlfn.XLOOKUP(C117,'Data Base'!D:D,'Data Base'!T:T)</f>
        <v>46246</v>
      </c>
      <c r="I117" s="56" t="str">
        <f t="shared" si="1"/>
        <v>NO PRAZO</v>
      </c>
    </row>
    <row r="118" spans="2:9" hidden="1" x14ac:dyDescent="0.25">
      <c r="B118" s="53" t="str">
        <f>_xlfn.XLOOKUP(C118,'Data Base'!D:D,'Data Base'!B:B)</f>
        <v>CI - Infraestrutura</v>
      </c>
      <c r="C118" s="53" t="s">
        <v>123</v>
      </c>
      <c r="D118" s="53" t="str">
        <f>_xlfn.XLOOKUP(C118,'LD-ELFA'!F:F,'LD-ELFA'!H:H)</f>
        <v>MC-A1-1000-B-PB-0003</v>
      </c>
      <c r="E118" s="53">
        <f>_xlfn.XLOOKUP(C118,'Data Base'!D:D,'Data Base'!G:G)</f>
        <v>0</v>
      </c>
      <c r="F118" s="53" t="str">
        <f>_xlfn.XLOOKUP(C118,'LD-ELFA'!F:F,'LD-ELFA'!Q:Q)</f>
        <v>MEMÓRIA DE CÁLCULO DE PAVIMENTAÇÃO</v>
      </c>
      <c r="G118" s="56">
        <f>_xlfn.XLOOKUP(C118,'Data Base'!D:D,'Data Base'!R:R)</f>
        <v>46253</v>
      </c>
      <c r="H118" s="56">
        <f>_xlfn.XLOOKUP(C118,'Data Base'!D:D,'Data Base'!T:T)</f>
        <v>46253</v>
      </c>
      <c r="I118" s="56" t="str">
        <f t="shared" si="1"/>
        <v>NO PRAZO</v>
      </c>
    </row>
    <row r="119" spans="2:9" hidden="1" x14ac:dyDescent="0.25">
      <c r="B119" s="53" t="str">
        <f>_xlfn.XLOOKUP(C119,'Data Base'!D:D,'Data Base'!B:B)</f>
        <v>CI - Infraestrutura</v>
      </c>
      <c r="C119" s="53" t="s">
        <v>124</v>
      </c>
      <c r="D119" s="53" t="str">
        <f>_xlfn.XLOOKUP(C119,'LD-ELFA'!F:F,'LD-ELFA'!H:H)</f>
        <v>MC-A1-1600-B-PB-4000</v>
      </c>
      <c r="E119" s="53">
        <f>_xlfn.XLOOKUP(C119,'Data Base'!D:D,'Data Base'!G:G)</f>
        <v>0</v>
      </c>
      <c r="F119" s="53" t="str">
        <f>_xlfn.XLOOKUP(C119,'LD-ELFA'!F:F,'LD-ELFA'!Q:Q)</f>
        <v xml:space="preserve"> MEMÓRIA DE CÁLCULO - GEOTECNIA - ANÁLISE DE ESTABILIDADE</v>
      </c>
      <c r="G119" s="56">
        <f>_xlfn.XLOOKUP(C119,'Data Base'!D:D,'Data Base'!R:R)</f>
        <v>46240</v>
      </c>
      <c r="H119" s="56">
        <f>_xlfn.XLOOKUP(C119,'Data Base'!D:D,'Data Base'!T:T)</f>
        <v>46240</v>
      </c>
      <c r="I119" s="56" t="str">
        <f t="shared" si="1"/>
        <v>NO PRAZO</v>
      </c>
    </row>
    <row r="120" spans="2:9" hidden="1" x14ac:dyDescent="0.25">
      <c r="B120" s="53" t="str">
        <f>_xlfn.XLOOKUP(C120,'Data Base'!D:D,'Data Base'!B:B)</f>
        <v>CI - Infraestrutura</v>
      </c>
      <c r="C120" s="53" t="s">
        <v>125</v>
      </c>
      <c r="D120" s="53" t="str">
        <f>_xlfn.XLOOKUP(C120,'LD-ELFA'!F:F,'LD-ELFA'!H:H)</f>
        <v>PQ-A1-1000-G-PB-0002</v>
      </c>
      <c r="E120" s="53">
        <f>_xlfn.XLOOKUP(C120,'Data Base'!D:D,'Data Base'!G:G)</f>
        <v>0</v>
      </c>
      <c r="F120" s="53" t="str">
        <f>_xlfn.XLOOKUP(C120,'LD-ELFA'!F:F,'LD-ELFA'!Q:Q)</f>
        <v>PLANILHA DE QUANTIDADES</v>
      </c>
      <c r="G120" s="56">
        <f>_xlfn.XLOOKUP(C120,'Data Base'!D:D,'Data Base'!R:R)</f>
        <v>46258</v>
      </c>
      <c r="H120" s="56">
        <f>_xlfn.XLOOKUP(C120,'Data Base'!D:D,'Data Base'!T:T)</f>
        <v>46258</v>
      </c>
      <c r="I120" s="56" t="str">
        <f t="shared" si="1"/>
        <v>NO PRAZO</v>
      </c>
    </row>
    <row r="121" spans="2:9" hidden="1" x14ac:dyDescent="0.25">
      <c r="B121" s="53" t="str">
        <f>_xlfn.XLOOKUP(C121,'Data Base'!D:D,'Data Base'!B:B)</f>
        <v>CI - Infraestrutura</v>
      </c>
      <c r="C121" s="53" t="s">
        <v>126</v>
      </c>
      <c r="D121" s="53" t="str">
        <f>_xlfn.XLOOKUP(C121,'LD-ELFA'!F:F,'LD-ELFA'!H:H)</f>
        <v>RL-A1-1000-B-PB-0001</v>
      </c>
      <c r="E121" s="53">
        <f>_xlfn.XLOOKUP(C121,'Data Base'!D:D,'Data Base'!G:G)</f>
        <v>0</v>
      </c>
      <c r="F121" s="53" t="str">
        <f>_xlfn.XLOOKUP(C121,'LD-ELFA'!F:F,'LD-ELFA'!Q:Q)</f>
        <v>RELATÓRIO TÉCNICO - DISPOSITIVOS AMORTECIMENTO DE CHEIAS</v>
      </c>
      <c r="G121" s="56">
        <f>_xlfn.XLOOKUP(C121,'Data Base'!D:D,'Data Base'!R:R)</f>
        <v>46261</v>
      </c>
      <c r="H121" s="56">
        <f>_xlfn.XLOOKUP(C121,'Data Base'!D:D,'Data Base'!T:T)</f>
        <v>46261</v>
      </c>
      <c r="I121" s="56" t="str">
        <f t="shared" si="1"/>
        <v>NO PRAZO</v>
      </c>
    </row>
    <row r="122" spans="2:9" hidden="1" x14ac:dyDescent="0.25">
      <c r="B122" s="53" t="e">
        <f>_xlfn.XLOOKUP(C122,'Data Base'!D:D,'Data Base'!B:B)</f>
        <v>#N/A</v>
      </c>
      <c r="C122" s="53" t="s">
        <v>127</v>
      </c>
      <c r="D122" s="53" t="e">
        <f>_xlfn.XLOOKUP(C122,'LD-ELFA'!F:F,'LD-ELFA'!H:H)</f>
        <v>#N/A</v>
      </c>
      <c r="E122" s="53" t="e">
        <f>_xlfn.XLOOKUP(C122,'Data Base'!D:D,'Data Base'!G:G)</f>
        <v>#N/A</v>
      </c>
      <c r="F122" s="53" t="e">
        <f>_xlfn.XLOOKUP(C122,'LD-ELFA'!F:F,'LD-ELFA'!Q:Q)</f>
        <v>#N/A</v>
      </c>
      <c r="G122" s="56" t="str">
        <f>_xlfn.XLOOKUP(C122,'Data Base'!D:D,'Data Base'!R:R)</f>
        <v>Documento Removido</v>
      </c>
      <c r="H122" s="56" t="str">
        <f>_xlfn.XLOOKUP(C122,'Data Base'!D:D,'Data Base'!T:T)</f>
        <v>Documento Removido</v>
      </c>
      <c r="I122" s="56" t="str">
        <f t="shared" si="1"/>
        <v>NO PRAZO</v>
      </c>
    </row>
    <row r="123" spans="2:9" hidden="1" x14ac:dyDescent="0.25">
      <c r="B123" s="53" t="e">
        <f>_xlfn.XLOOKUP(C123,'Data Base'!D:D,'Data Base'!B:B)</f>
        <v>#N/A</v>
      </c>
      <c r="C123" s="53" t="s">
        <v>128</v>
      </c>
      <c r="D123" s="53" t="e">
        <f>_xlfn.XLOOKUP(C123,'LD-ELFA'!F:F,'LD-ELFA'!H:H)</f>
        <v>#N/A</v>
      </c>
      <c r="E123" s="53" t="e">
        <f>_xlfn.XLOOKUP(C123,'Data Base'!D:D,'Data Base'!G:G)</f>
        <v>#N/A</v>
      </c>
      <c r="F123" s="53" t="e">
        <f>_xlfn.XLOOKUP(C123,'LD-ELFA'!F:F,'LD-ELFA'!Q:Q)</f>
        <v>#N/A</v>
      </c>
      <c r="G123" s="56" t="str">
        <f>_xlfn.XLOOKUP(C123,'Data Base'!D:D,'Data Base'!R:R)</f>
        <v>Documento Removido</v>
      </c>
      <c r="H123" s="56" t="str">
        <f>_xlfn.XLOOKUP(C123,'Data Base'!D:D,'Data Base'!T:T)</f>
        <v>Documento Removido</v>
      </c>
      <c r="I123" s="56" t="str">
        <f t="shared" si="1"/>
        <v>NO PRAZO</v>
      </c>
    </row>
    <row r="124" spans="2:9" hidden="1" x14ac:dyDescent="0.25">
      <c r="B124" s="53" t="str">
        <f>_xlfn.XLOOKUP(C124,'Data Base'!D:D,'Data Base'!B:B)</f>
        <v>DC - Controle De Documentos</v>
      </c>
      <c r="C124" s="53" t="s">
        <v>129</v>
      </c>
      <c r="D124" s="53" t="str">
        <f>_xlfn.XLOOKUP(C124,'LD-ELFA'!F:F,'LD-ELFA'!H:H)</f>
        <v>LD-A1-1000-G-PB-4000</v>
      </c>
      <c r="E124" s="53">
        <f>_xlfn.XLOOKUP(C124,'Data Base'!D:D,'Data Base'!G:G)</f>
        <v>1</v>
      </c>
      <c r="F124" s="53" t="str">
        <f>_xlfn.XLOOKUP(C124,'LD-ELFA'!F:F,'LD-ELFA'!Q:Q)</f>
        <v>LISTA DE DOCUMENTOS</v>
      </c>
      <c r="G124" s="56" t="str">
        <f>_xlfn.XLOOKUP(C124,'Data Base'!D:D,'Data Base'!R:R)</f>
        <v>Documento Emitido</v>
      </c>
      <c r="H124" s="56" t="str">
        <f>_xlfn.XLOOKUP(C124,'Data Base'!D:D,'Data Base'!T:T)</f>
        <v>Documento Emitido</v>
      </c>
      <c r="I124" s="56" t="str">
        <f t="shared" si="1"/>
        <v>NO PRAZO</v>
      </c>
    </row>
    <row r="125" spans="2:9" hidden="1" x14ac:dyDescent="0.25">
      <c r="B125" s="53" t="str">
        <f>_xlfn.XLOOKUP(C125,'Data Base'!D:D,'Data Base'!B:B)</f>
        <v>ED - Engenharia Digital</v>
      </c>
      <c r="C125" s="53" t="s">
        <v>131</v>
      </c>
      <c r="D125" s="53" t="str">
        <f>_xlfn.XLOOKUP(C125,'LD-ELFA'!F:F,'LD-ELFA'!H:H)</f>
        <v>RL-A1-1000-G-PB-4000</v>
      </c>
      <c r="E125" s="53">
        <f>_xlfn.XLOOKUP(C125,'Data Base'!D:D,'Data Base'!G:G)</f>
        <v>0</v>
      </c>
      <c r="F125" s="53" t="str">
        <f>_xlfn.XLOOKUP(C125,'LD-ELFA'!F:F,'LD-ELFA'!Q:Q)</f>
        <v>BEP</v>
      </c>
      <c r="G125" s="56" t="str">
        <f>_xlfn.XLOOKUP(C125,'Data Base'!D:D,'Data Base'!R:R)</f>
        <v>Documento Emitido</v>
      </c>
      <c r="H125" s="56" t="str">
        <f>_xlfn.XLOOKUP(C125,'Data Base'!D:D,'Data Base'!T:T)</f>
        <v>Documento Emitido</v>
      </c>
      <c r="I125" s="56" t="str">
        <f t="shared" si="1"/>
        <v>NO PRAZO</v>
      </c>
    </row>
    <row r="126" spans="2:9" hidden="1" x14ac:dyDescent="0.25">
      <c r="B126" s="53" t="str">
        <f>_xlfn.XLOOKUP(C126,'Data Base'!D:D,'Data Base'!B:B)</f>
        <v>ED - Engenharia Digital</v>
      </c>
      <c r="C126" s="53" t="s">
        <v>132</v>
      </c>
      <c r="D126" s="53" t="str">
        <f>_xlfn.XLOOKUP(C126,'LD-ELFA'!F:F,'LD-ELFA'!H:H)</f>
        <v>RL-A1-1000-G-PB-4001</v>
      </c>
      <c r="E126" s="53">
        <f>_xlfn.XLOOKUP(C126,'Data Base'!D:D,'Data Base'!G:G)</f>
        <v>0</v>
      </c>
      <c r="F126" s="53" t="str">
        <f>_xlfn.XLOOKUP(C126,'LD-ELFA'!F:F,'LD-ELFA'!Q:Q)</f>
        <v>RELATÓRIO DE INTERFERÊNCIAS</v>
      </c>
      <c r="G126" s="56">
        <f>_xlfn.XLOOKUP(C126,'Data Base'!D:D,'Data Base'!R:R)</f>
        <v>46275</v>
      </c>
      <c r="H126" s="56">
        <f>_xlfn.XLOOKUP(C126,'Data Base'!D:D,'Data Base'!T:T)</f>
        <v>46275</v>
      </c>
      <c r="I126" s="56" t="str">
        <f t="shared" si="1"/>
        <v>NO PRAZO</v>
      </c>
    </row>
    <row r="127" spans="2:9" hidden="1" x14ac:dyDescent="0.25">
      <c r="B127" s="53" t="str">
        <f>_xlfn.XLOOKUP(C127,'Data Base'!D:D,'Data Base'!B:B)</f>
        <v>ED - Engenharia Digital</v>
      </c>
      <c r="C127" s="53" t="s">
        <v>133</v>
      </c>
      <c r="D127" s="53" t="str">
        <f>_xlfn.XLOOKUP(C127,'LD-ELFA'!F:F,'LD-ELFA'!H:H)</f>
        <v>RL-A1-1000-G-PB-4004</v>
      </c>
      <c r="E127" s="53">
        <f>_xlfn.XLOOKUP(C127,'Data Base'!D:D,'Data Base'!G:G)</f>
        <v>1</v>
      </c>
      <c r="F127" s="53" t="str">
        <f>_xlfn.XLOOKUP(C127,'LD-ELFA'!F:F,'LD-ELFA'!Q:Q)</f>
        <v>FICHA DE SETUP - 3D</v>
      </c>
      <c r="G127" s="56" t="str">
        <f>_xlfn.XLOOKUP(C127,'Data Base'!D:D,'Data Base'!R:R)</f>
        <v>Documento Emitido</v>
      </c>
      <c r="H127" s="56" t="str">
        <f>_xlfn.XLOOKUP(C127,'Data Base'!D:D,'Data Base'!T:T)</f>
        <v>Documento Emitido</v>
      </c>
      <c r="I127" s="56" t="str">
        <f t="shared" si="1"/>
        <v>NO PRAZO</v>
      </c>
    </row>
    <row r="128" spans="2:9" hidden="1" x14ac:dyDescent="0.25">
      <c r="B128" s="53" t="str">
        <f>_xlfn.XLOOKUP(C128,'Data Base'!D:D,'Data Base'!B:B)</f>
        <v>EL - Eletrica</v>
      </c>
      <c r="C128" s="53" t="s">
        <v>134</v>
      </c>
      <c r="D128" s="53" t="str">
        <f>_xlfn.XLOOKUP(C128,'LD-ELFA'!F:F,'LD-ELFA'!H:H)</f>
        <v>DE-A1-1900-E-PB-4000</v>
      </c>
      <c r="E128" s="53">
        <f>_xlfn.XLOOKUP(C128,'Data Base'!D:D,'Data Base'!G:G)</f>
        <v>0</v>
      </c>
      <c r="F128" s="53" t="str">
        <f>_xlfn.XLOOKUP(C128,'LD-ELFA'!F:F,'LD-ELFA'!Q:Q)</f>
        <v>DIAGRAMA UNIFILAR  GERAL SIMPLIFICADO</v>
      </c>
      <c r="G128" s="56" t="str">
        <f>_xlfn.XLOOKUP(C128,'Data Base'!D:D,'Data Base'!R:R)</f>
        <v>Documento Emitido</v>
      </c>
      <c r="H128" s="56" t="str">
        <f>_xlfn.XLOOKUP(C128,'Data Base'!D:D,'Data Base'!T:T)</f>
        <v>Documento Emitido</v>
      </c>
      <c r="I128" s="56" t="str">
        <f t="shared" si="1"/>
        <v>NO PRAZO</v>
      </c>
    </row>
    <row r="129" spans="2:9" hidden="1" x14ac:dyDescent="0.25">
      <c r="B129" s="53" t="str">
        <f>_xlfn.XLOOKUP(C129,'Data Base'!D:D,'Data Base'!B:B)</f>
        <v>EL - Eletrica</v>
      </c>
      <c r="C129" s="53" t="s">
        <v>135</v>
      </c>
      <c r="D129" s="53" t="str">
        <f>_xlfn.XLOOKUP(C129,'LD-ELFA'!F:F,'LD-ELFA'!H:H)</f>
        <v>DE-A1-1901-E-PB-4000</v>
      </c>
      <c r="E129" s="53">
        <f>_xlfn.XLOOKUP(C129,'Data Base'!D:D,'Data Base'!G:G)</f>
        <v>0</v>
      </c>
      <c r="F129" s="53" t="str">
        <f>_xlfn.XLOOKUP(C129,'LD-ELFA'!F:F,'LD-ELFA'!Q:Q)</f>
        <v>DIAGRAMA UNIFILAR SUBESTAÇÃO 1901-SE-001</v>
      </c>
      <c r="G129" s="56" t="str">
        <f>_xlfn.XLOOKUP(C129,'Data Base'!D:D,'Data Base'!R:R)</f>
        <v>Documento Emitido</v>
      </c>
      <c r="H129" s="56" t="str">
        <f>_xlfn.XLOOKUP(C129,'Data Base'!D:D,'Data Base'!T:T)</f>
        <v>Documento Emitido</v>
      </c>
      <c r="I129" s="56" t="str">
        <f t="shared" si="1"/>
        <v>NO PRAZO</v>
      </c>
    </row>
    <row r="130" spans="2:9" hidden="1" x14ac:dyDescent="0.25">
      <c r="B130" s="53" t="str">
        <f>_xlfn.XLOOKUP(C130,'Data Base'!D:D,'Data Base'!B:B)</f>
        <v>EL - Eletrica</v>
      </c>
      <c r="C130" s="53" t="s">
        <v>136</v>
      </c>
      <c r="D130" s="53" t="str">
        <f>_xlfn.XLOOKUP(C130,'LD-ELFA'!F:F,'LD-ELFA'!H:H)</f>
        <v>DE-A1-1901-E-PB-4001</v>
      </c>
      <c r="E130" s="53">
        <f>_xlfn.XLOOKUP(C130,'Data Base'!D:D,'Data Base'!G:G)</f>
        <v>0</v>
      </c>
      <c r="F130" s="53" t="str">
        <f>_xlfn.XLOOKUP(C130,'LD-ELFA'!F:F,'LD-ELFA'!Q:Q)</f>
        <v>DIAGRAMA UNIFILAR SUBESTAÇÃO 1901-SE-001</v>
      </c>
      <c r="G130" s="56" t="str">
        <f>_xlfn.XLOOKUP(C130,'Data Base'!D:D,'Data Base'!R:R)</f>
        <v>Documento Emitido</v>
      </c>
      <c r="H130" s="56" t="str">
        <f>_xlfn.XLOOKUP(C130,'Data Base'!D:D,'Data Base'!T:T)</f>
        <v>Documento Emitido</v>
      </c>
      <c r="I130" s="56" t="str">
        <f t="shared" si="1"/>
        <v>NO PRAZO</v>
      </c>
    </row>
    <row r="131" spans="2:9" hidden="1" x14ac:dyDescent="0.25">
      <c r="B131" s="53" t="str">
        <f>_xlfn.XLOOKUP(C131,'Data Base'!D:D,'Data Base'!B:B)</f>
        <v>EL - Eletrica</v>
      </c>
      <c r="C131" s="53" t="s">
        <v>137</v>
      </c>
      <c r="D131" s="53" t="str">
        <f>_xlfn.XLOOKUP(C131,'LD-ELFA'!F:F,'LD-ELFA'!H:H)</f>
        <v>DE-A1-1911-E-PB-4000</v>
      </c>
      <c r="E131" s="53">
        <f>_xlfn.XLOOKUP(C131,'Data Base'!D:D,'Data Base'!G:G)</f>
        <v>0</v>
      </c>
      <c r="F131" s="53" t="str">
        <f>_xlfn.XLOOKUP(C131,'LD-ELFA'!F:F,'LD-ELFA'!Q:Q)</f>
        <v>DIAGRAMA UNIFILAR SUBESTAÇÃO 1911-SE-001</v>
      </c>
      <c r="G131" s="56">
        <f>_xlfn.XLOOKUP(C131,'Data Base'!D:D,'Data Base'!R:R)</f>
        <v>46224</v>
      </c>
      <c r="H131" s="56">
        <f>_xlfn.XLOOKUP(C131,'Data Base'!D:D,'Data Base'!T:T)</f>
        <v>46225</v>
      </c>
      <c r="I131" s="56" t="str">
        <f t="shared" ref="I131:I194" si="2">IF(G131&gt;H131,"ATRASADO","NO PRAZO")</f>
        <v>NO PRAZO</v>
      </c>
    </row>
    <row r="132" spans="2:9" hidden="1" x14ac:dyDescent="0.25">
      <c r="B132" s="53" t="str">
        <f>_xlfn.XLOOKUP(C132,'Data Base'!D:D,'Data Base'!B:B)</f>
        <v>EL - Eletrica</v>
      </c>
      <c r="C132" s="53" t="s">
        <v>138</v>
      </c>
      <c r="D132" s="53" t="str">
        <f>_xlfn.XLOOKUP(C132,'LD-ELFA'!F:F,'LD-ELFA'!H:H)</f>
        <v>DE-A1-1911-E-PB-4001</v>
      </c>
      <c r="E132" s="53">
        <f>_xlfn.XLOOKUP(C132,'Data Base'!D:D,'Data Base'!G:G)</f>
        <v>0</v>
      </c>
      <c r="F132" s="53" t="str">
        <f>_xlfn.XLOOKUP(C132,'LD-ELFA'!F:F,'LD-ELFA'!Q:Q)</f>
        <v>DIAGRAMA UNIFILAR SUBESTAÇÃO 1911-SE-001</v>
      </c>
      <c r="G132" s="56">
        <f>_xlfn.XLOOKUP(C132,'Data Base'!D:D,'Data Base'!R:R)</f>
        <v>46224</v>
      </c>
      <c r="H132" s="56">
        <f>_xlfn.XLOOKUP(C132,'Data Base'!D:D,'Data Base'!T:T)</f>
        <v>46225</v>
      </c>
      <c r="I132" s="56" t="str">
        <f t="shared" si="2"/>
        <v>NO PRAZO</v>
      </c>
    </row>
    <row r="133" spans="2:9" hidden="1" x14ac:dyDescent="0.25">
      <c r="B133" s="53" t="str">
        <f>_xlfn.XLOOKUP(C133,'Data Base'!D:D,'Data Base'!B:B)</f>
        <v>EL - Eletrica</v>
      </c>
      <c r="C133" s="53" t="s">
        <v>139</v>
      </c>
      <c r="D133" s="53" t="str">
        <f>_xlfn.XLOOKUP(C133,'LD-ELFA'!F:F,'LD-ELFA'!H:H)</f>
        <v>DE-A1-1911-E-PB-4002</v>
      </c>
      <c r="E133" s="53">
        <f>_xlfn.XLOOKUP(C133,'Data Base'!D:D,'Data Base'!G:G)</f>
        <v>0</v>
      </c>
      <c r="F133" s="53" t="str">
        <f>_xlfn.XLOOKUP(C133,'LD-ELFA'!F:F,'LD-ELFA'!Q:Q)</f>
        <v>DIAGRAMA UNIFILAR SUBESTAÇÃO 1911-SE-001</v>
      </c>
      <c r="G133" s="56">
        <f>_xlfn.XLOOKUP(C133,'Data Base'!D:D,'Data Base'!R:R)</f>
        <v>46224</v>
      </c>
      <c r="H133" s="56">
        <f>_xlfn.XLOOKUP(C133,'Data Base'!D:D,'Data Base'!T:T)</f>
        <v>46225</v>
      </c>
      <c r="I133" s="56" t="str">
        <f t="shared" si="2"/>
        <v>NO PRAZO</v>
      </c>
    </row>
    <row r="134" spans="2:9" hidden="1" x14ac:dyDescent="0.25">
      <c r="B134" s="53" t="str">
        <f>_xlfn.XLOOKUP(C134,'Data Base'!D:D,'Data Base'!B:B)</f>
        <v>EL - Eletrica</v>
      </c>
      <c r="C134" s="53" t="s">
        <v>140</v>
      </c>
      <c r="D134" s="53" t="str">
        <f>_xlfn.XLOOKUP(C134,'LD-ELFA'!F:F,'LD-ELFA'!H:H)</f>
        <v>DE-A1-1912-E-PB-4000</v>
      </c>
      <c r="E134" s="53">
        <f>_xlfn.XLOOKUP(C134,'Data Base'!D:D,'Data Base'!G:G)</f>
        <v>0</v>
      </c>
      <c r="F134" s="53" t="str">
        <f>_xlfn.XLOOKUP(C134,'LD-ELFA'!F:F,'LD-ELFA'!Q:Q)</f>
        <v>DIAGRAMA UNIFILAR SUBESTAÇÃO 1912-SE-001</v>
      </c>
      <c r="G134" s="56">
        <f>_xlfn.XLOOKUP(C134,'Data Base'!D:D,'Data Base'!R:R)</f>
        <v>46234</v>
      </c>
      <c r="H134" s="56">
        <f>_xlfn.XLOOKUP(C134,'Data Base'!D:D,'Data Base'!T:T)</f>
        <v>46237</v>
      </c>
      <c r="I134" s="56" t="str">
        <f t="shared" si="2"/>
        <v>NO PRAZO</v>
      </c>
    </row>
    <row r="135" spans="2:9" hidden="1" x14ac:dyDescent="0.25">
      <c r="B135" s="53" t="str">
        <f>_xlfn.XLOOKUP(C135,'Data Base'!D:D,'Data Base'!B:B)</f>
        <v>EL - Eletrica</v>
      </c>
      <c r="C135" s="53" t="s">
        <v>141</v>
      </c>
      <c r="D135" s="53" t="str">
        <f>_xlfn.XLOOKUP(C135,'LD-ELFA'!F:F,'LD-ELFA'!H:H)</f>
        <v>DE-A1-1912-E-PB-4001</v>
      </c>
      <c r="E135" s="53">
        <f>_xlfn.XLOOKUP(C135,'Data Base'!D:D,'Data Base'!G:G)</f>
        <v>0</v>
      </c>
      <c r="F135" s="53" t="str">
        <f>_xlfn.XLOOKUP(C135,'LD-ELFA'!F:F,'LD-ELFA'!Q:Q)</f>
        <v>DIAGRAMA UNIFILAR SUBESTAÇÃO 1912-SE-001</v>
      </c>
      <c r="G135" s="56">
        <f>_xlfn.XLOOKUP(C135,'Data Base'!D:D,'Data Base'!R:R)</f>
        <v>46234</v>
      </c>
      <c r="H135" s="56">
        <f>_xlfn.XLOOKUP(C135,'Data Base'!D:D,'Data Base'!T:T)</f>
        <v>46237</v>
      </c>
      <c r="I135" s="56" t="str">
        <f t="shared" si="2"/>
        <v>NO PRAZO</v>
      </c>
    </row>
    <row r="136" spans="2:9" hidden="1" x14ac:dyDescent="0.25">
      <c r="B136" s="53" t="str">
        <f>_xlfn.XLOOKUP(C136,'Data Base'!D:D,'Data Base'!B:B)</f>
        <v>EL - Eletrica</v>
      </c>
      <c r="C136" s="53" t="s">
        <v>142</v>
      </c>
      <c r="D136" s="53" t="str">
        <f>_xlfn.XLOOKUP(C136,'LD-ELFA'!F:F,'LD-ELFA'!H:H)</f>
        <v>DE-A1-1912-E-PB-4002</v>
      </c>
      <c r="E136" s="53">
        <f>_xlfn.XLOOKUP(C136,'Data Base'!D:D,'Data Base'!G:G)</f>
        <v>0</v>
      </c>
      <c r="F136" s="53" t="str">
        <f>_xlfn.XLOOKUP(C136,'LD-ELFA'!F:F,'LD-ELFA'!Q:Q)</f>
        <v>DIAGRAMA UNIFILAR SUBESTAÇÃO 1912-SE-001</v>
      </c>
      <c r="G136" s="56">
        <f>_xlfn.XLOOKUP(C136,'Data Base'!D:D,'Data Base'!R:R)</f>
        <v>46234</v>
      </c>
      <c r="H136" s="56">
        <f>_xlfn.XLOOKUP(C136,'Data Base'!D:D,'Data Base'!T:T)</f>
        <v>46237</v>
      </c>
      <c r="I136" s="56" t="str">
        <f t="shared" si="2"/>
        <v>NO PRAZO</v>
      </c>
    </row>
    <row r="137" spans="2:9" hidden="1" x14ac:dyDescent="0.25">
      <c r="B137" s="53" t="str">
        <f>_xlfn.XLOOKUP(C137,'Data Base'!D:D,'Data Base'!B:B)</f>
        <v>EL - Eletrica</v>
      </c>
      <c r="C137" s="53" t="s">
        <v>143</v>
      </c>
      <c r="D137" s="53" t="str">
        <f>_xlfn.XLOOKUP(C137,'LD-ELFA'!F:F,'LD-ELFA'!H:H)</f>
        <v>DE-A1-1913-E-PB-4000</v>
      </c>
      <c r="E137" s="53">
        <f>_xlfn.XLOOKUP(C137,'Data Base'!D:D,'Data Base'!G:G)</f>
        <v>0</v>
      </c>
      <c r="F137" s="53" t="str">
        <f>_xlfn.XLOOKUP(C137,'LD-ELFA'!F:F,'LD-ELFA'!Q:Q)</f>
        <v>DIAGRAMA UNIFILAR SUBESTAÇÃO 1913-SE-001</v>
      </c>
      <c r="G137" s="56">
        <f>_xlfn.XLOOKUP(C137,'Data Base'!D:D,'Data Base'!R:R)</f>
        <v>46246</v>
      </c>
      <c r="H137" s="56">
        <f>_xlfn.XLOOKUP(C137,'Data Base'!D:D,'Data Base'!T:T)</f>
        <v>46247</v>
      </c>
      <c r="I137" s="56" t="str">
        <f t="shared" si="2"/>
        <v>NO PRAZO</v>
      </c>
    </row>
    <row r="138" spans="2:9" hidden="1" x14ac:dyDescent="0.25">
      <c r="B138" s="53" t="str">
        <f>_xlfn.XLOOKUP(C138,'Data Base'!D:D,'Data Base'!B:B)</f>
        <v>EL - Eletrica</v>
      </c>
      <c r="C138" s="53" t="s">
        <v>144</v>
      </c>
      <c r="D138" s="53" t="str">
        <f>_xlfn.XLOOKUP(C138,'LD-ELFA'!F:F,'LD-ELFA'!H:H)</f>
        <v>DE-A1-1913-E-PB-4001</v>
      </c>
      <c r="E138" s="53">
        <f>_xlfn.XLOOKUP(C138,'Data Base'!D:D,'Data Base'!G:G)</f>
        <v>0</v>
      </c>
      <c r="F138" s="53" t="str">
        <f>_xlfn.XLOOKUP(C138,'LD-ELFA'!F:F,'LD-ELFA'!Q:Q)</f>
        <v>DIAGRAMA UNIFILAR SUBESTAÇÃO 1913-SE-001</v>
      </c>
      <c r="G138" s="56">
        <f>_xlfn.XLOOKUP(C138,'Data Base'!D:D,'Data Base'!R:R)</f>
        <v>46246</v>
      </c>
      <c r="H138" s="56">
        <f>_xlfn.XLOOKUP(C138,'Data Base'!D:D,'Data Base'!T:T)</f>
        <v>46247</v>
      </c>
      <c r="I138" s="56" t="str">
        <f t="shared" si="2"/>
        <v>NO PRAZO</v>
      </c>
    </row>
    <row r="139" spans="2:9" hidden="1" x14ac:dyDescent="0.25">
      <c r="B139" s="53" t="str">
        <f>_xlfn.XLOOKUP(C139,'Data Base'!D:D,'Data Base'!B:B)</f>
        <v>EL - Eletrica</v>
      </c>
      <c r="C139" s="53" t="s">
        <v>145</v>
      </c>
      <c r="D139" s="53" t="str">
        <f>_xlfn.XLOOKUP(C139,'LD-ELFA'!F:F,'LD-ELFA'!H:H)</f>
        <v>DE-A1-1913-E-PB-4002</v>
      </c>
      <c r="E139" s="53">
        <f>_xlfn.XLOOKUP(C139,'Data Base'!D:D,'Data Base'!G:G)</f>
        <v>0</v>
      </c>
      <c r="F139" s="53" t="str">
        <f>_xlfn.XLOOKUP(C139,'LD-ELFA'!F:F,'LD-ELFA'!Q:Q)</f>
        <v>DIAGRAMA UNIFILAR SUBESTAÇÃO 1913-SE-001</v>
      </c>
      <c r="G139" s="56">
        <f>_xlfn.XLOOKUP(C139,'Data Base'!D:D,'Data Base'!R:R)</f>
        <v>46246</v>
      </c>
      <c r="H139" s="56">
        <f>_xlfn.XLOOKUP(C139,'Data Base'!D:D,'Data Base'!T:T)</f>
        <v>46247</v>
      </c>
      <c r="I139" s="56" t="str">
        <f t="shared" si="2"/>
        <v>NO PRAZO</v>
      </c>
    </row>
    <row r="140" spans="2:9" hidden="1" x14ac:dyDescent="0.25">
      <c r="B140" s="53" t="e">
        <f>_xlfn.XLOOKUP(C140,'Data Base'!D:D,'Data Base'!B:B)</f>
        <v>#N/A</v>
      </c>
      <c r="C140" s="53" t="s">
        <v>146</v>
      </c>
      <c r="D140" s="53" t="e">
        <f>_xlfn.XLOOKUP(C140,'LD-ELFA'!F:F,'LD-ELFA'!H:H)</f>
        <v>#N/A</v>
      </c>
      <c r="E140" s="53" t="e">
        <f>_xlfn.XLOOKUP(C140,'Data Base'!D:D,'Data Base'!G:G)</f>
        <v>#N/A</v>
      </c>
      <c r="F140" s="53" t="e">
        <f>_xlfn.XLOOKUP(C140,'LD-ELFA'!F:F,'LD-ELFA'!Q:Q)</f>
        <v>#N/A</v>
      </c>
      <c r="G140" s="56" t="str">
        <f>_xlfn.XLOOKUP(C140,'Data Base'!D:D,'Data Base'!R:R)</f>
        <v>Documento Removido</v>
      </c>
      <c r="H140" s="56" t="str">
        <f>_xlfn.XLOOKUP(C140,'Data Base'!D:D,'Data Base'!T:T)</f>
        <v>Documento Removido</v>
      </c>
      <c r="I140" s="56" t="str">
        <f t="shared" si="2"/>
        <v>NO PRAZO</v>
      </c>
    </row>
    <row r="141" spans="2:9" hidden="1" x14ac:dyDescent="0.25">
      <c r="B141" s="53" t="str">
        <f>_xlfn.XLOOKUP(C141,'Data Base'!D:D,'Data Base'!B:B)</f>
        <v>EL - Eletrica</v>
      </c>
      <c r="C141" s="53" t="s">
        <v>147</v>
      </c>
      <c r="D141" s="53" t="str">
        <f>_xlfn.XLOOKUP(C141,'LD-ELFA'!F:F,'LD-ELFA'!H:H)</f>
        <v>RL-A1-1900-E-PB-4000</v>
      </c>
      <c r="E141" s="53">
        <f>_xlfn.XLOOKUP(C141,'Data Base'!D:D,'Data Base'!G:G)</f>
        <v>0</v>
      </c>
      <c r="F141" s="53" t="str">
        <f>_xlfn.XLOOKUP(C141,'LD-ELFA'!F:F,'LD-ELFA'!Q:Q)</f>
        <v>ESTUDO DE CARGAS E DEMANDA
RELATÓRIO TÉCNICO</v>
      </c>
      <c r="G141" s="56" t="str">
        <f>_xlfn.XLOOKUP(C141,'Data Base'!D:D,'Data Base'!R:R)</f>
        <v>Documento Emitido</v>
      </c>
      <c r="H141" s="56" t="str">
        <f>_xlfn.XLOOKUP(C141,'Data Base'!D:D,'Data Base'!T:T)</f>
        <v>Documento Emitido</v>
      </c>
      <c r="I141" s="56" t="str">
        <f t="shared" si="2"/>
        <v>NO PRAZO</v>
      </c>
    </row>
    <row r="142" spans="2:9" hidden="1" x14ac:dyDescent="0.25">
      <c r="B142" s="53" t="str">
        <f>_xlfn.XLOOKUP(C142,'Data Base'!D:D,'Data Base'!B:B)</f>
        <v>EL - Eletrica</v>
      </c>
      <c r="C142" s="53" t="s">
        <v>148</v>
      </c>
      <c r="D142" s="53" t="str">
        <f>_xlfn.XLOOKUP(C142,'LD-ELFA'!F:F,'LD-ELFA'!H:H)</f>
        <v>RL-A1-1100-E-PB-4000</v>
      </c>
      <c r="E142" s="53">
        <f>_xlfn.XLOOKUP(C142,'Data Base'!D:D,'Data Base'!G:G)</f>
        <v>0</v>
      </c>
      <c r="F142" s="53" t="str">
        <f>_xlfn.XLOOKUP(C142,'LD-ELFA'!F:F,'LD-ELFA'!Q:Q)</f>
        <v>ESTUDO DE CARGAS E DEMANDA
RELATÓRIO TÉCNICO</v>
      </c>
      <c r="G142" s="56">
        <f>_xlfn.XLOOKUP(C142,'Data Base'!D:D,'Data Base'!R:R)</f>
        <v>46246</v>
      </c>
      <c r="H142" s="56">
        <f>_xlfn.XLOOKUP(C142,'Data Base'!D:D,'Data Base'!T:T)</f>
        <v>46244</v>
      </c>
      <c r="I142" s="56" t="str">
        <f t="shared" si="2"/>
        <v>ATRASADO</v>
      </c>
    </row>
    <row r="143" spans="2:9" hidden="1" x14ac:dyDescent="0.25">
      <c r="B143" s="53" t="str">
        <f>_xlfn.XLOOKUP(C143,'Data Base'!D:D,'Data Base'!B:B)</f>
        <v>EL - Eletrica</v>
      </c>
      <c r="C143" s="53" t="s">
        <v>149</v>
      </c>
      <c r="D143" s="53" t="str">
        <f>_xlfn.XLOOKUP(C143,'LD-ELFA'!F:F,'LD-ELFA'!H:H)</f>
        <v>ET-A1-1900-E-PB-0001</v>
      </c>
      <c r="E143" s="53">
        <f>_xlfn.XLOOKUP(C143,'Data Base'!D:D,'Data Base'!G:G)</f>
        <v>0</v>
      </c>
      <c r="F143" s="53" t="str">
        <f>_xlfn.XLOOKUP(C143,'LD-ELFA'!F:F,'LD-ELFA'!Q:Q)</f>
        <v>ESPECIFICAÇÃO TÉCNICA
FORNECIMENTO TURN KEY DA SUBESTAÇÃO PRINCIPAL 
1901-SE-01</v>
      </c>
      <c r="G143" s="56">
        <f>_xlfn.XLOOKUP(C143,'Data Base'!D:D,'Data Base'!R:R)</f>
        <v>46261</v>
      </c>
      <c r="H143" s="56">
        <f>_xlfn.XLOOKUP(C143,'Data Base'!D:D,'Data Base'!T:T)</f>
        <v>46262</v>
      </c>
      <c r="I143" s="56" t="str">
        <f t="shared" si="2"/>
        <v>NO PRAZO</v>
      </c>
    </row>
    <row r="144" spans="2:9" hidden="1" x14ac:dyDescent="0.25">
      <c r="B144" s="53" t="str">
        <f>_xlfn.XLOOKUP(C144,'Data Base'!D:D,'Data Base'!B:B)</f>
        <v>EL - Eletrica</v>
      </c>
      <c r="C144" s="53" t="s">
        <v>150</v>
      </c>
      <c r="D144" s="53" t="str">
        <f>_xlfn.XLOOKUP(C144,'LD-ELFA'!F:F,'LD-ELFA'!H:H)</f>
        <v>ET-A1-1903-E-PB-0001</v>
      </c>
      <c r="E144" s="53">
        <f>_xlfn.XLOOKUP(C144,'Data Base'!D:D,'Data Base'!G:G)</f>
        <v>0</v>
      </c>
      <c r="F144" s="53" t="str">
        <f>_xlfn.XLOOKUP(C144,'LD-ELFA'!F:F,'LD-ELFA'!Q:Q)</f>
        <v>ESPECIFICAÇÃO TÉCNICA
FORNECIMENTO TURN KEY DE LINHAS DE DISTRIBUIÇÃO PROTEGIDAS DE 13,8 kV</v>
      </c>
      <c r="G144" s="56">
        <f>_xlfn.XLOOKUP(C144,'Data Base'!D:D,'Data Base'!R:R)</f>
        <v>46267</v>
      </c>
      <c r="H144" s="56">
        <f>_xlfn.XLOOKUP(C144,'Data Base'!D:D,'Data Base'!T:T)</f>
        <v>46268</v>
      </c>
      <c r="I144" s="56" t="str">
        <f t="shared" si="2"/>
        <v>NO PRAZO</v>
      </c>
    </row>
    <row r="145" spans="2:9" x14ac:dyDescent="0.25">
      <c r="B145" s="53" t="str">
        <f>_xlfn.XLOOKUP(C145,'Data Base'!D:D,'Data Base'!B:B)</f>
        <v>EL - Eletrica</v>
      </c>
      <c r="C145" s="53" t="s">
        <v>151</v>
      </c>
      <c r="D145" s="53" t="str">
        <f>_xlfn.XLOOKUP(C145,'LD-ELFA'!F:F,'LD-ELFA'!H:H)</f>
        <v>FD-A1-1911-E-PB-0006</v>
      </c>
      <c r="E145" s="53">
        <f>_xlfn.XLOOKUP(C145,'Data Base'!D:D,'Data Base'!G:G)</f>
        <v>0</v>
      </c>
      <c r="F145" s="53" t="str">
        <f>_xlfn.XLOOKUP(C145,'LD-ELFA'!F:F,'LD-ELFA'!Q:Q)</f>
        <v>FOLHA DE DADOS</v>
      </c>
      <c r="G145" s="56">
        <f>_xlfn.XLOOKUP(C145,'Data Base'!D:D,'Data Base'!R:R)</f>
        <v>46217</v>
      </c>
      <c r="H145" s="56">
        <f>_xlfn.XLOOKUP(C145,'Data Base'!D:D,'Data Base'!T:T)</f>
        <v>46218</v>
      </c>
      <c r="I145" s="56" t="str">
        <f t="shared" si="2"/>
        <v>NO PRAZO</v>
      </c>
    </row>
    <row r="146" spans="2:9" hidden="1" x14ac:dyDescent="0.25">
      <c r="B146" s="53" t="str">
        <f>_xlfn.XLOOKUP(C146,'Data Base'!D:D,'Data Base'!B:B)</f>
        <v>EL - Eletrica</v>
      </c>
      <c r="C146" s="53" t="s">
        <v>152</v>
      </c>
      <c r="D146" s="53" t="str">
        <f>_xlfn.XLOOKUP(C146,'LD-ELFA'!F:F,'LD-ELFA'!H:H)</f>
        <v>FD-A1-1911-E-PB-0005</v>
      </c>
      <c r="E146" s="53">
        <f>_xlfn.XLOOKUP(C146,'Data Base'!D:D,'Data Base'!G:G)</f>
        <v>0</v>
      </c>
      <c r="F146" s="53" t="str">
        <f>_xlfn.XLOOKUP(C146,'LD-ELFA'!F:F,'LD-ELFA'!Q:Q)</f>
        <v>FOLHA DE DADOS</v>
      </c>
      <c r="G146" s="56" t="str">
        <f>_xlfn.XLOOKUP(C146,'Data Base'!D:D,'Data Base'!R:R)</f>
        <v>Documento Emitido</v>
      </c>
      <c r="H146" s="56" t="str">
        <f>_xlfn.XLOOKUP(C146,'Data Base'!D:D,'Data Base'!T:T)</f>
        <v>Documento Emitido</v>
      </c>
      <c r="I146" s="56" t="str">
        <f t="shared" si="2"/>
        <v>NO PRAZO</v>
      </c>
    </row>
    <row r="147" spans="2:9" x14ac:dyDescent="0.25">
      <c r="B147" s="53" t="str">
        <f>_xlfn.XLOOKUP(C147,'Data Base'!D:D,'Data Base'!B:B)</f>
        <v>EL - Eletrica</v>
      </c>
      <c r="C147" s="53" t="s">
        <v>153</v>
      </c>
      <c r="D147" s="53" t="str">
        <f>_xlfn.XLOOKUP(C147,'LD-ELFA'!F:F,'LD-ELFA'!H:H)</f>
        <v>FD-A1-1900-E-PB-0007</v>
      </c>
      <c r="E147" s="53">
        <f>_xlfn.XLOOKUP(C147,'Data Base'!D:D,'Data Base'!G:G)</f>
        <v>0</v>
      </c>
      <c r="F147" s="53" t="str">
        <f>_xlfn.XLOOKUP(C147,'LD-ELFA'!F:F,'LD-ELFA'!Q:Q)</f>
        <v>FOLHA DE DADOS</v>
      </c>
      <c r="G147" s="56">
        <f>_xlfn.XLOOKUP(C147,'Data Base'!D:D,'Data Base'!R:R)</f>
        <v>46220</v>
      </c>
      <c r="H147" s="56">
        <f>_xlfn.XLOOKUP(C147,'Data Base'!D:D,'Data Base'!T:T)</f>
        <v>46218</v>
      </c>
      <c r="I147" s="56" t="str">
        <f t="shared" si="2"/>
        <v>ATRASADO</v>
      </c>
    </row>
    <row r="148" spans="2:9" hidden="1" x14ac:dyDescent="0.25">
      <c r="B148" s="53" t="str">
        <f>_xlfn.XLOOKUP(C148,'Data Base'!D:D,'Data Base'!B:B)</f>
        <v>EL - Eletrica</v>
      </c>
      <c r="C148" s="53" t="s">
        <v>154</v>
      </c>
      <c r="D148" s="53" t="str">
        <f>_xlfn.XLOOKUP(C148,'LD-ELFA'!F:F,'LD-ELFA'!H:H)</f>
        <v>FD-A1-1900-E-PB-0001</v>
      </c>
      <c r="E148" s="53">
        <f>_xlfn.XLOOKUP(C148,'Data Base'!D:D,'Data Base'!G:G)</f>
        <v>0</v>
      </c>
      <c r="F148" s="53" t="str">
        <f>_xlfn.XLOOKUP(C148,'LD-ELFA'!F:F,'LD-ELFA'!Q:Q)</f>
        <v>FOLHA DE DADOS</v>
      </c>
      <c r="G148" s="56">
        <f>_xlfn.XLOOKUP(C148,'Data Base'!D:D,'Data Base'!R:R)</f>
        <v>46225</v>
      </c>
      <c r="H148" s="56">
        <f>_xlfn.XLOOKUP(C148,'Data Base'!D:D,'Data Base'!T:T)</f>
        <v>46223</v>
      </c>
      <c r="I148" s="56" t="str">
        <f t="shared" si="2"/>
        <v>ATRASADO</v>
      </c>
    </row>
    <row r="149" spans="2:9" hidden="1" x14ac:dyDescent="0.25">
      <c r="B149" s="53" t="str">
        <f>_xlfn.XLOOKUP(C149,'Data Base'!D:D,'Data Base'!B:B)</f>
        <v>EL - Eletrica</v>
      </c>
      <c r="C149" s="53" t="s">
        <v>155</v>
      </c>
      <c r="D149" s="53" t="str">
        <f>_xlfn.XLOOKUP(C149,'LD-ELFA'!F:F,'LD-ELFA'!H:H)</f>
        <v>FD-A1-1911-E-PB-0004</v>
      </c>
      <c r="E149" s="53">
        <f>_xlfn.XLOOKUP(C149,'Data Base'!D:D,'Data Base'!G:G)</f>
        <v>0</v>
      </c>
      <c r="F149" s="53" t="str">
        <f>_xlfn.XLOOKUP(C149,'LD-ELFA'!F:F,'LD-ELFA'!Q:Q)</f>
        <v>FOLHA DE DADOS</v>
      </c>
      <c r="G149" s="56">
        <f>_xlfn.XLOOKUP(C149,'Data Base'!D:D,'Data Base'!R:R)</f>
        <v>46230</v>
      </c>
      <c r="H149" s="56">
        <f>_xlfn.XLOOKUP(C149,'Data Base'!D:D,'Data Base'!T:T)</f>
        <v>46226</v>
      </c>
      <c r="I149" s="56" t="str">
        <f t="shared" si="2"/>
        <v>ATRASADO</v>
      </c>
    </row>
    <row r="150" spans="2:9" hidden="1" x14ac:dyDescent="0.25">
      <c r="B150" s="53" t="str">
        <f>_xlfn.XLOOKUP(C150,'Data Base'!D:D,'Data Base'!B:B)</f>
        <v>EL - Eletrica</v>
      </c>
      <c r="C150" s="53" t="s">
        <v>156</v>
      </c>
      <c r="D150" s="53" t="str">
        <f>_xlfn.XLOOKUP(C150,'LD-ELFA'!F:F,'LD-ELFA'!H:H)</f>
        <v>FD-A1-1900-E-PB-0008</v>
      </c>
      <c r="E150" s="53">
        <f>_xlfn.XLOOKUP(C150,'Data Base'!D:D,'Data Base'!G:G)</f>
        <v>0</v>
      </c>
      <c r="F150" s="53" t="str">
        <f>_xlfn.XLOOKUP(C150,'LD-ELFA'!F:F,'LD-ELFA'!Q:Q)</f>
        <v>FOLHA DE DADOS</v>
      </c>
      <c r="G150" s="56">
        <f>_xlfn.XLOOKUP(C150,'Data Base'!D:D,'Data Base'!R:R)</f>
        <v>46230</v>
      </c>
      <c r="H150" s="56">
        <f>_xlfn.XLOOKUP(C150,'Data Base'!D:D,'Data Base'!T:T)</f>
        <v>46226</v>
      </c>
      <c r="I150" s="56" t="str">
        <f t="shared" si="2"/>
        <v>ATRASADO</v>
      </c>
    </row>
    <row r="151" spans="2:9" hidden="1" x14ac:dyDescent="0.25">
      <c r="B151" s="53" t="str">
        <f>_xlfn.XLOOKUP(C151,'Data Base'!D:D,'Data Base'!B:B)</f>
        <v>EL - Eletrica</v>
      </c>
      <c r="C151" s="53" t="s">
        <v>157</v>
      </c>
      <c r="D151" s="53" t="str">
        <f>_xlfn.XLOOKUP(C151,'LD-ELFA'!F:F,'LD-ELFA'!H:H)</f>
        <v>FD-A1-1911-E-PB-0002</v>
      </c>
      <c r="E151" s="53">
        <f>_xlfn.XLOOKUP(C151,'Data Base'!D:D,'Data Base'!G:G)</f>
        <v>0</v>
      </c>
      <c r="F151" s="53" t="str">
        <f>_xlfn.XLOOKUP(C151,'LD-ELFA'!F:F,'LD-ELFA'!Q:Q)</f>
        <v>FOLHA DE DADOS</v>
      </c>
      <c r="G151" s="56">
        <f>_xlfn.XLOOKUP(C151,'Data Base'!D:D,'Data Base'!R:R)</f>
        <v>46232</v>
      </c>
      <c r="H151" s="56">
        <f>_xlfn.XLOOKUP(C151,'Data Base'!D:D,'Data Base'!T:T)</f>
        <v>46230</v>
      </c>
      <c r="I151" s="56" t="str">
        <f t="shared" si="2"/>
        <v>ATRASADO</v>
      </c>
    </row>
    <row r="152" spans="2:9" hidden="1" x14ac:dyDescent="0.25">
      <c r="B152" s="53" t="str">
        <f>_xlfn.XLOOKUP(C152,'Data Base'!D:D,'Data Base'!B:B)</f>
        <v>EL - Eletrica</v>
      </c>
      <c r="C152" s="53" t="s">
        <v>158</v>
      </c>
      <c r="D152" s="53" t="str">
        <f>_xlfn.XLOOKUP(C152,'LD-ELFA'!F:F,'LD-ELFA'!H:H)</f>
        <v>FD-A1-1900-E-PB-0005</v>
      </c>
      <c r="E152" s="53">
        <f>_xlfn.XLOOKUP(C152,'Data Base'!D:D,'Data Base'!G:G)</f>
        <v>0</v>
      </c>
      <c r="F152" s="53" t="str">
        <f>_xlfn.XLOOKUP(C152,'LD-ELFA'!F:F,'LD-ELFA'!Q:Q)</f>
        <v>FOLHA DE DADOS</v>
      </c>
      <c r="G152" s="56">
        <f>_xlfn.XLOOKUP(C152,'Data Base'!D:D,'Data Base'!R:R)</f>
        <v>46232</v>
      </c>
      <c r="H152" s="56">
        <f>_xlfn.XLOOKUP(C152,'Data Base'!D:D,'Data Base'!T:T)</f>
        <v>46230</v>
      </c>
      <c r="I152" s="56" t="str">
        <f t="shared" si="2"/>
        <v>ATRASADO</v>
      </c>
    </row>
    <row r="153" spans="2:9" hidden="1" x14ac:dyDescent="0.25">
      <c r="B153" s="53" t="str">
        <f>_xlfn.XLOOKUP(C153,'Data Base'!D:D,'Data Base'!B:B)</f>
        <v>EL - Eletrica</v>
      </c>
      <c r="C153" s="53" t="s">
        <v>159</v>
      </c>
      <c r="D153" s="53" t="str">
        <f>_xlfn.XLOOKUP(C153,'LD-ELFA'!F:F,'LD-ELFA'!H:H)</f>
        <v>FD-A1-1903-E-PB-0001</v>
      </c>
      <c r="E153" s="53">
        <f>_xlfn.XLOOKUP(C153,'Data Base'!D:D,'Data Base'!G:G)</f>
        <v>0</v>
      </c>
      <c r="F153" s="53" t="str">
        <f>_xlfn.XLOOKUP(C153,'LD-ELFA'!F:F,'LD-ELFA'!Q:Q)</f>
        <v>FOLHA DE DADOS</v>
      </c>
      <c r="G153" s="56">
        <f>_xlfn.XLOOKUP(C153,'Data Base'!D:D,'Data Base'!R:R)</f>
        <v>46237</v>
      </c>
      <c r="H153" s="56">
        <f>_xlfn.XLOOKUP(C153,'Data Base'!D:D,'Data Base'!T:T)</f>
        <v>46233</v>
      </c>
      <c r="I153" s="56" t="str">
        <f t="shared" si="2"/>
        <v>ATRASADO</v>
      </c>
    </row>
    <row r="154" spans="2:9" hidden="1" x14ac:dyDescent="0.25">
      <c r="B154" s="53" t="str">
        <f>_xlfn.XLOOKUP(C154,'Data Base'!D:D,'Data Base'!B:B)</f>
        <v>EL - Eletrica</v>
      </c>
      <c r="C154" s="53" t="s">
        <v>160</v>
      </c>
      <c r="D154" s="53" t="str">
        <f>_xlfn.XLOOKUP(C154,'LD-ELFA'!F:F,'LD-ELFA'!H:H)</f>
        <v>FD-A1-1900-E-PB-0009</v>
      </c>
      <c r="E154" s="53">
        <f>_xlfn.XLOOKUP(C154,'Data Base'!D:D,'Data Base'!G:G)</f>
        <v>0</v>
      </c>
      <c r="F154" s="53" t="str">
        <f>_xlfn.XLOOKUP(C154,'LD-ELFA'!F:F,'LD-ELFA'!Q:Q)</f>
        <v>FOLHA DE DADOS</v>
      </c>
      <c r="G154" s="56">
        <f>_xlfn.XLOOKUP(C154,'Data Base'!D:D,'Data Base'!R:R)</f>
        <v>46237</v>
      </c>
      <c r="H154" s="56">
        <f>_xlfn.XLOOKUP(C154,'Data Base'!D:D,'Data Base'!T:T)</f>
        <v>46233</v>
      </c>
      <c r="I154" s="56" t="str">
        <f t="shared" si="2"/>
        <v>ATRASADO</v>
      </c>
    </row>
    <row r="155" spans="2:9" hidden="1" x14ac:dyDescent="0.25">
      <c r="B155" s="53" t="str">
        <f>_xlfn.XLOOKUP(C155,'Data Base'!D:D,'Data Base'!B:B)</f>
        <v>EL - Eletrica</v>
      </c>
      <c r="C155" s="53" t="s">
        <v>161</v>
      </c>
      <c r="D155" s="53" t="str">
        <f>_xlfn.XLOOKUP(C155,'LD-ELFA'!F:F,'LD-ELFA'!H:H)</f>
        <v>FD-A1-1900-E-PB-0004</v>
      </c>
      <c r="E155" s="53">
        <f>_xlfn.XLOOKUP(C155,'Data Base'!D:D,'Data Base'!G:G)</f>
        <v>0</v>
      </c>
      <c r="F155" s="53" t="str">
        <f>_xlfn.XLOOKUP(C155,'LD-ELFA'!F:F,'LD-ELFA'!Q:Q)</f>
        <v>FOLHA DE DADOS</v>
      </c>
      <c r="G155" s="56">
        <f>_xlfn.XLOOKUP(C155,'Data Base'!D:D,'Data Base'!R:R)</f>
        <v>46240</v>
      </c>
      <c r="H155" s="56">
        <f>_xlfn.XLOOKUP(C155,'Data Base'!D:D,'Data Base'!T:T)</f>
        <v>46238</v>
      </c>
      <c r="I155" s="56" t="str">
        <f t="shared" si="2"/>
        <v>ATRASADO</v>
      </c>
    </row>
    <row r="156" spans="2:9" hidden="1" x14ac:dyDescent="0.25">
      <c r="B156" s="53" t="str">
        <f>_xlfn.XLOOKUP(C156,'Data Base'!D:D,'Data Base'!B:B)</f>
        <v>EL - Eletrica</v>
      </c>
      <c r="C156" s="53" t="s">
        <v>162</v>
      </c>
      <c r="D156" s="53" t="str">
        <f>_xlfn.XLOOKUP(C156,'LD-ELFA'!F:F,'LD-ELFA'!H:H)</f>
        <v>FD-A1-1900-E-PB-0006</v>
      </c>
      <c r="E156" s="53">
        <f>_xlfn.XLOOKUP(C156,'Data Base'!D:D,'Data Base'!G:G)</f>
        <v>0</v>
      </c>
      <c r="F156" s="53" t="str">
        <f>_xlfn.XLOOKUP(C156,'LD-ELFA'!F:F,'LD-ELFA'!Q:Q)</f>
        <v>FOLHA DE DADOS</v>
      </c>
      <c r="G156" s="56">
        <f>_xlfn.XLOOKUP(C156,'Data Base'!D:D,'Data Base'!R:R)</f>
        <v>46240</v>
      </c>
      <c r="H156" s="56">
        <f>_xlfn.XLOOKUP(C156,'Data Base'!D:D,'Data Base'!T:T)</f>
        <v>46238</v>
      </c>
      <c r="I156" s="56" t="str">
        <f t="shared" si="2"/>
        <v>ATRASADO</v>
      </c>
    </row>
    <row r="157" spans="2:9" hidden="1" x14ac:dyDescent="0.25">
      <c r="B157" s="53" t="str">
        <f>_xlfn.XLOOKUP(C157,'Data Base'!D:D,'Data Base'!B:B)</f>
        <v>EL - Eletrica</v>
      </c>
      <c r="C157" s="53" t="s">
        <v>163</v>
      </c>
      <c r="D157" s="53" t="str">
        <f>_xlfn.XLOOKUP(C157,'LD-ELFA'!F:F,'LD-ELFA'!H:H)</f>
        <v>FD-A1-1911-E-PB-0003</v>
      </c>
      <c r="E157" s="53">
        <f>_xlfn.XLOOKUP(C157,'Data Base'!D:D,'Data Base'!G:G)</f>
        <v>0</v>
      </c>
      <c r="F157" s="53" t="str">
        <f>_xlfn.XLOOKUP(C157,'LD-ELFA'!F:F,'LD-ELFA'!Q:Q)</f>
        <v>FOLHA DE DADOS</v>
      </c>
      <c r="G157" s="56">
        <f>_xlfn.XLOOKUP(C157,'Data Base'!D:D,'Data Base'!R:R)</f>
        <v>46245</v>
      </c>
      <c r="H157" s="56">
        <f>_xlfn.XLOOKUP(C157,'Data Base'!D:D,'Data Base'!T:T)</f>
        <v>46241</v>
      </c>
      <c r="I157" s="56" t="str">
        <f t="shared" si="2"/>
        <v>ATRASADO</v>
      </c>
    </row>
    <row r="158" spans="2:9" hidden="1" x14ac:dyDescent="0.25">
      <c r="B158" s="53" t="str">
        <f>_xlfn.XLOOKUP(C158,'Data Base'!D:D,'Data Base'!B:B)</f>
        <v>EL - Eletrica</v>
      </c>
      <c r="C158" s="53" t="s">
        <v>164</v>
      </c>
      <c r="D158" s="53" t="str">
        <f>_xlfn.XLOOKUP(C158,'LD-ELFA'!F:F,'LD-ELFA'!H:H)</f>
        <v>FD-A1-1900-E-PB-0002</v>
      </c>
      <c r="E158" s="53">
        <f>_xlfn.XLOOKUP(C158,'Data Base'!D:D,'Data Base'!G:G)</f>
        <v>0</v>
      </c>
      <c r="F158" s="53" t="str">
        <f>_xlfn.XLOOKUP(C158,'LD-ELFA'!F:F,'LD-ELFA'!Q:Q)</f>
        <v>FOLHA DE DADOS</v>
      </c>
      <c r="G158" s="56">
        <f>_xlfn.XLOOKUP(C158,'Data Base'!D:D,'Data Base'!R:R)</f>
        <v>46245</v>
      </c>
      <c r="H158" s="56">
        <f>_xlfn.XLOOKUP(C158,'Data Base'!D:D,'Data Base'!T:T)</f>
        <v>46241</v>
      </c>
      <c r="I158" s="56" t="str">
        <f t="shared" si="2"/>
        <v>ATRASADO</v>
      </c>
    </row>
    <row r="159" spans="2:9" hidden="1" x14ac:dyDescent="0.25">
      <c r="B159" s="53" t="str">
        <f>_xlfn.XLOOKUP(C159,'Data Base'!D:D,'Data Base'!B:B)</f>
        <v>EL - Eletrica</v>
      </c>
      <c r="C159" s="53" t="s">
        <v>165</v>
      </c>
      <c r="D159" s="53" t="str">
        <f>_xlfn.XLOOKUP(C159,'LD-ELFA'!F:F,'LD-ELFA'!H:H)</f>
        <v>FD-A1-1900-E-PB-0003</v>
      </c>
      <c r="E159" s="53">
        <f>_xlfn.XLOOKUP(C159,'Data Base'!D:D,'Data Base'!G:G)</f>
        <v>0</v>
      </c>
      <c r="F159" s="53" t="str">
        <f>_xlfn.XLOOKUP(C159,'LD-ELFA'!F:F,'LD-ELFA'!Q:Q)</f>
        <v>FOLHA DE DADOS</v>
      </c>
      <c r="G159" s="56">
        <f>_xlfn.XLOOKUP(C159,'Data Base'!D:D,'Data Base'!R:R)</f>
        <v>46245</v>
      </c>
      <c r="H159" s="56">
        <f>_xlfn.XLOOKUP(C159,'Data Base'!D:D,'Data Base'!T:T)</f>
        <v>46246</v>
      </c>
      <c r="I159" s="56" t="str">
        <f t="shared" si="2"/>
        <v>NO PRAZO</v>
      </c>
    </row>
    <row r="160" spans="2:9" hidden="1" x14ac:dyDescent="0.25">
      <c r="B160" s="53" t="str">
        <f>_xlfn.XLOOKUP(C160,'Data Base'!D:D,'Data Base'!B:B)</f>
        <v>EL - Eletrica</v>
      </c>
      <c r="C160" s="53" t="s">
        <v>166</v>
      </c>
      <c r="D160" s="53" t="str">
        <f>_xlfn.XLOOKUP(C160,'LD-ELFA'!F:F,'LD-ELFA'!H:H)</f>
        <v>FD-A1-1911-E-PB-0001</v>
      </c>
      <c r="E160" s="53">
        <f>_xlfn.XLOOKUP(C160,'Data Base'!D:D,'Data Base'!G:G)</f>
        <v>0</v>
      </c>
      <c r="F160" s="53" t="str">
        <f>_xlfn.XLOOKUP(C160,'LD-ELFA'!F:F,'LD-ELFA'!Q:Q)</f>
        <v>FOLHA DE DADOS</v>
      </c>
      <c r="G160" s="56">
        <f>_xlfn.XLOOKUP(C160,'Data Base'!D:D,'Data Base'!R:R)</f>
        <v>46245</v>
      </c>
      <c r="H160" s="56">
        <f>_xlfn.XLOOKUP(C160,'Data Base'!D:D,'Data Base'!T:T)</f>
        <v>46246</v>
      </c>
      <c r="I160" s="56" t="str">
        <f t="shared" si="2"/>
        <v>NO PRAZO</v>
      </c>
    </row>
    <row r="161" spans="2:9" hidden="1" x14ac:dyDescent="0.25">
      <c r="B161" s="53" t="str">
        <f>_xlfn.XLOOKUP(C161,'Data Base'!D:D,'Data Base'!B:B)</f>
        <v>EL - Eletrica</v>
      </c>
      <c r="C161" s="53" t="s">
        <v>167</v>
      </c>
      <c r="D161" s="53" t="str">
        <f>_xlfn.XLOOKUP(C161,'LD-ELFA'!F:F,'LD-ELFA'!H:H)</f>
        <v>LE-A1-1900-E-PB-4000</v>
      </c>
      <c r="E161" s="53">
        <f>_xlfn.XLOOKUP(C161,'Data Base'!D:D,'Data Base'!G:G)</f>
        <v>0</v>
      </c>
      <c r="F161" s="53" t="str">
        <f>_xlfn.XLOOKUP(C161,'LD-ELFA'!F:F,'LD-ELFA'!Q:Q)</f>
        <v>LISTA DE EQUIPAMENTOS ELÉTRICOS</v>
      </c>
      <c r="G161" s="56">
        <f>_xlfn.XLOOKUP(C161,'Data Base'!D:D,'Data Base'!R:R)</f>
        <v>46251</v>
      </c>
      <c r="H161" s="56">
        <f>_xlfn.XLOOKUP(C161,'Data Base'!D:D,'Data Base'!T:T)</f>
        <v>46252</v>
      </c>
      <c r="I161" s="56" t="str">
        <f t="shared" si="2"/>
        <v>NO PRAZO</v>
      </c>
    </row>
    <row r="162" spans="2:9" hidden="1" x14ac:dyDescent="0.25">
      <c r="B162" s="53" t="str">
        <f>_xlfn.XLOOKUP(C162,'Data Base'!D:D,'Data Base'!B:B)</f>
        <v>EL - Eletrica</v>
      </c>
      <c r="C162" s="53" t="s">
        <v>168</v>
      </c>
      <c r="D162" s="53" t="str">
        <f>_xlfn.XLOOKUP(C162,'LD-ELFA'!F:F,'LD-ELFA'!H:H)</f>
        <v>LE-A1-1100-E-PB-4000</v>
      </c>
      <c r="E162" s="53">
        <f>_xlfn.XLOOKUP(C162,'Data Base'!D:D,'Data Base'!G:G)</f>
        <v>0</v>
      </c>
      <c r="F162" s="53" t="str">
        <f>_xlfn.XLOOKUP(C162,'LD-ELFA'!F:F,'LD-ELFA'!Q:Q)</f>
        <v>LISTA DE EQUIPAMENTOS ELÉTRICOS</v>
      </c>
      <c r="G162" s="56">
        <f>_xlfn.XLOOKUP(C162,'Data Base'!D:D,'Data Base'!R:R)</f>
        <v>46252</v>
      </c>
      <c r="H162" s="56">
        <f>_xlfn.XLOOKUP(C162,'Data Base'!D:D,'Data Base'!T:T)</f>
        <v>46248</v>
      </c>
      <c r="I162" s="56" t="str">
        <f t="shared" si="2"/>
        <v>ATRASADO</v>
      </c>
    </row>
    <row r="163" spans="2:9" hidden="1" x14ac:dyDescent="0.25">
      <c r="B163" s="53" t="str">
        <f>_xlfn.XLOOKUP(C163,'Data Base'!D:D,'Data Base'!B:B)</f>
        <v>EL - Eletrica</v>
      </c>
      <c r="C163" s="53" t="s">
        <v>169</v>
      </c>
      <c r="D163" s="53" t="str">
        <f>_xlfn.XLOOKUP(C163,'LD-ELFA'!F:F,'LD-ELFA'!H:H)</f>
        <v>LB-A1-1900-E-PB-4000</v>
      </c>
      <c r="E163" s="53">
        <f>_xlfn.XLOOKUP(C163,'Data Base'!D:D,'Data Base'!G:G)</f>
        <v>0</v>
      </c>
      <c r="F163" s="53" t="str">
        <f>_xlfn.XLOOKUP(C163,'LD-ELFA'!F:F,'LD-ELFA'!Q:Q)</f>
        <v>LISTAS DE CABOS ELÉTRICOS</v>
      </c>
      <c r="G163" s="56">
        <f>_xlfn.XLOOKUP(C163,'Data Base'!D:D,'Data Base'!R:R)</f>
        <v>46248</v>
      </c>
      <c r="H163" s="56" t="str">
        <f>_xlfn.XLOOKUP(C163,'Data Base'!D:D,'Data Base'!T:T)</f>
        <v>ND</v>
      </c>
      <c r="I163" s="56" t="str">
        <f t="shared" si="2"/>
        <v>NO PRAZO</v>
      </c>
    </row>
    <row r="164" spans="2:9" hidden="1" x14ac:dyDescent="0.25">
      <c r="B164" s="53" t="str">
        <f>_xlfn.XLOOKUP(C164,'Data Base'!D:D,'Data Base'!B:B)</f>
        <v>EL - Eletrica</v>
      </c>
      <c r="C164" s="53" t="s">
        <v>170</v>
      </c>
      <c r="D164" s="53" t="str">
        <f>_xlfn.XLOOKUP(C164,'LD-ELFA'!F:F,'LD-ELFA'!H:H)</f>
        <v>LB-A1-1100-E-PB-4000</v>
      </c>
      <c r="E164" s="53">
        <f>_xlfn.XLOOKUP(C164,'Data Base'!D:D,'Data Base'!G:G)</f>
        <v>0</v>
      </c>
      <c r="F164" s="53" t="str">
        <f>_xlfn.XLOOKUP(C164,'LD-ELFA'!F:F,'LD-ELFA'!Q:Q)</f>
        <v>LISTAS DE CABOS ELÉTRICOS</v>
      </c>
      <c r="G164" s="56">
        <f>_xlfn.XLOOKUP(C164,'Data Base'!D:D,'Data Base'!R:R)</f>
        <v>46261</v>
      </c>
      <c r="H164" s="56">
        <f>_xlfn.XLOOKUP(C164,'Data Base'!D:D,'Data Base'!T:T)</f>
        <v>46259</v>
      </c>
      <c r="I164" s="56" t="str">
        <f t="shared" si="2"/>
        <v>ATRASADO</v>
      </c>
    </row>
    <row r="165" spans="2:9" hidden="1" x14ac:dyDescent="0.25">
      <c r="B165" s="53" t="str">
        <f>_xlfn.XLOOKUP(C165,'Data Base'!D:D,'Data Base'!B:B)</f>
        <v>EL - Eletrica</v>
      </c>
      <c r="C165" s="53" t="s">
        <v>171</v>
      </c>
      <c r="D165" s="53" t="str">
        <f>_xlfn.XLOOKUP(C165,'LD-ELFA'!F:F,'LD-ELFA'!H:H)</f>
        <v>MC-A1-1900-E-PB-4000</v>
      </c>
      <c r="E165" s="53">
        <f>_xlfn.XLOOKUP(C165,'Data Base'!D:D,'Data Base'!G:G)</f>
        <v>0</v>
      </c>
      <c r="F165" s="53" t="str">
        <f>_xlfn.XLOOKUP(C165,'LD-ELFA'!F:F,'LD-ELFA'!Q:Q)</f>
        <v>MEMÓRIA DE CÁLCULO DE CABOS</v>
      </c>
      <c r="G165" s="56">
        <f>_xlfn.XLOOKUP(C165,'Data Base'!D:D,'Data Base'!R:R)</f>
        <v>46248</v>
      </c>
      <c r="H165" s="56">
        <f>_xlfn.XLOOKUP(C165,'Data Base'!D:D,'Data Base'!T:T)</f>
        <v>46251</v>
      </c>
      <c r="I165" s="56" t="str">
        <f t="shared" si="2"/>
        <v>NO PRAZO</v>
      </c>
    </row>
    <row r="166" spans="2:9" hidden="1" x14ac:dyDescent="0.25">
      <c r="B166" s="53" t="str">
        <f>_xlfn.XLOOKUP(C166,'Data Base'!D:D,'Data Base'!B:B)</f>
        <v>EL - Eletrica</v>
      </c>
      <c r="C166" s="53" t="s">
        <v>172</v>
      </c>
      <c r="D166" s="53" t="str">
        <f>_xlfn.XLOOKUP(C166,'LD-ELFA'!F:F,'LD-ELFA'!H:H)</f>
        <v>MC-A1-1900-E-PB-4001</v>
      </c>
      <c r="E166" s="53">
        <f>_xlfn.XLOOKUP(C166,'Data Base'!D:D,'Data Base'!G:G)</f>
        <v>0</v>
      </c>
      <c r="F166" s="53" t="str">
        <f>_xlfn.XLOOKUP(C166,'LD-ELFA'!F:F,'LD-ELFA'!Q:Q)</f>
        <v>MEMÓRIA DE CÁLCULO DE EQUIPAMENTOS ELÉTRICOS</v>
      </c>
      <c r="G166" s="56">
        <f>_xlfn.XLOOKUP(C166,'Data Base'!D:D,'Data Base'!R:R)</f>
        <v>46253</v>
      </c>
      <c r="H166" s="56">
        <f>_xlfn.XLOOKUP(C166,'Data Base'!D:D,'Data Base'!T:T)</f>
        <v>46254</v>
      </c>
      <c r="I166" s="56" t="str">
        <f t="shared" si="2"/>
        <v>NO PRAZO</v>
      </c>
    </row>
    <row r="167" spans="2:9" hidden="1" x14ac:dyDescent="0.25">
      <c r="B167" s="53" t="str">
        <f>_xlfn.XLOOKUP(C167,'Data Base'!D:D,'Data Base'!B:B)</f>
        <v>EL - Eletrica</v>
      </c>
      <c r="C167" s="53" t="s">
        <v>173</v>
      </c>
      <c r="D167" s="53" t="str">
        <f>_xlfn.XLOOKUP(C167,'LD-ELFA'!F:F,'LD-ELFA'!H:H)</f>
        <v>MC-A1-1100-E-PB-4000</v>
      </c>
      <c r="E167" s="53">
        <f>_xlfn.XLOOKUP(C167,'Data Base'!D:D,'Data Base'!G:G)</f>
        <v>0</v>
      </c>
      <c r="F167" s="53" t="str">
        <f>_xlfn.XLOOKUP(C167,'LD-ELFA'!F:F,'LD-ELFA'!Q:Q)</f>
        <v>MEMÓRA DE CÁLCULO DE CABOS</v>
      </c>
      <c r="G167" s="56">
        <f>_xlfn.XLOOKUP(C167,'Data Base'!D:D,'Data Base'!R:R)</f>
        <v>46258</v>
      </c>
      <c r="H167" s="56">
        <f>_xlfn.XLOOKUP(C167,'Data Base'!D:D,'Data Base'!T:T)</f>
        <v>46254</v>
      </c>
      <c r="I167" s="56" t="str">
        <f t="shared" si="2"/>
        <v>ATRASADO</v>
      </c>
    </row>
    <row r="168" spans="2:9" hidden="1" x14ac:dyDescent="0.25">
      <c r="B168" s="53" t="str">
        <f>_xlfn.XLOOKUP(C168,'Data Base'!D:D,'Data Base'!B:B)</f>
        <v>EL - Eletrica</v>
      </c>
      <c r="C168" s="53" t="s">
        <v>174</v>
      </c>
      <c r="D168" s="53" t="str">
        <f>_xlfn.XLOOKUP(C168,'LD-ELFA'!F:F,'LD-ELFA'!H:H)</f>
        <v>MC-A1-2000-J-PB-0001</v>
      </c>
      <c r="E168" s="53">
        <f>_xlfn.XLOOKUP(C168,'Data Base'!D:D,'Data Base'!G:G)</f>
        <v>0</v>
      </c>
      <c r="F168" s="53" t="str">
        <f>_xlfn.XLOOKUP(C168,'LD-ELFA'!F:F,'LD-ELFA'!Q:Q)</f>
        <v>MEMÓRIA DE CÁLCULO DE CABOS DE CONTROLE</v>
      </c>
      <c r="G168" s="56">
        <f>_xlfn.XLOOKUP(C168,'Data Base'!D:D,'Data Base'!R:R)</f>
        <v>46258</v>
      </c>
      <c r="H168" s="56">
        <f>_xlfn.XLOOKUP(C168,'Data Base'!D:D,'Data Base'!T:T)</f>
        <v>46259</v>
      </c>
      <c r="I168" s="56" t="str">
        <f t="shared" si="2"/>
        <v>NO PRAZO</v>
      </c>
    </row>
    <row r="169" spans="2:9" hidden="1" x14ac:dyDescent="0.25">
      <c r="B169" s="53" t="str">
        <f>_xlfn.XLOOKUP(C169,'Data Base'!D:D,'Data Base'!B:B)</f>
        <v>EL - Eletrica</v>
      </c>
      <c r="C169" s="53" t="s">
        <v>175</v>
      </c>
      <c r="D169" s="53" t="str">
        <f>_xlfn.XLOOKUP(C169,'LD-ELFA'!F:F,'LD-ELFA'!H:H)</f>
        <v>MD-A1-1900-E-PB-4000</v>
      </c>
      <c r="E169" s="53">
        <f>_xlfn.XLOOKUP(C169,'Data Base'!D:D,'Data Base'!G:G)</f>
        <v>0</v>
      </c>
      <c r="F169" s="53" t="str">
        <f>_xlfn.XLOOKUP(C169,'LD-ELFA'!F:F,'LD-ELFA'!Q:Q)</f>
        <v>MEMORIAL DESCRITIVO DO PROJETO BÁSICO DO SISTEMA ELÉTRICO</v>
      </c>
      <c r="G169" s="56">
        <f>_xlfn.XLOOKUP(C169,'Data Base'!D:D,'Data Base'!R:R)</f>
        <v>46269</v>
      </c>
      <c r="H169" s="56">
        <f>_xlfn.XLOOKUP(C169,'Data Base'!D:D,'Data Base'!T:T)</f>
        <v>46273</v>
      </c>
      <c r="I169" s="56" t="str">
        <f t="shared" si="2"/>
        <v>NO PRAZO</v>
      </c>
    </row>
    <row r="170" spans="2:9" hidden="1" x14ac:dyDescent="0.25">
      <c r="B170" s="53" t="str">
        <f>_xlfn.XLOOKUP(C170,'Data Base'!D:D,'Data Base'!B:B)</f>
        <v>EL - Eletrica</v>
      </c>
      <c r="C170" s="53" t="s">
        <v>176</v>
      </c>
      <c r="D170" s="53" t="str">
        <f>_xlfn.XLOOKUP(C170,'LD-ELFA'!F:F,'LD-ELFA'!H:H)</f>
        <v>MD-A1-1100-E-PB-4000</v>
      </c>
      <c r="E170" s="53">
        <f>_xlfn.XLOOKUP(C170,'Data Base'!D:D,'Data Base'!G:G)</f>
        <v>0</v>
      </c>
      <c r="F170" s="53" t="str">
        <f>_xlfn.XLOOKUP(C170,'LD-ELFA'!F:F,'LD-ELFA'!Q:Q)</f>
        <v>MEMORIAL DESCRITIVO DO PROJETO BÁSICO DO SISTEMA ELÉTRICO</v>
      </c>
      <c r="G170" s="56">
        <f>_xlfn.XLOOKUP(C170,'Data Base'!D:D,'Data Base'!R:R)</f>
        <v>46266</v>
      </c>
      <c r="H170" s="56">
        <f>_xlfn.XLOOKUP(C170,'Data Base'!D:D,'Data Base'!T:T)</f>
        <v>46265</v>
      </c>
      <c r="I170" s="56" t="str">
        <f t="shared" si="2"/>
        <v>ATRASADO</v>
      </c>
    </row>
    <row r="171" spans="2:9" hidden="1" x14ac:dyDescent="0.25">
      <c r="B171" s="53" t="str">
        <f>_xlfn.XLOOKUP(C171,'Data Base'!D:D,'Data Base'!B:B)</f>
        <v>EL - Eletrica</v>
      </c>
      <c r="C171" s="53" t="s">
        <v>177</v>
      </c>
      <c r="D171" s="53" t="str">
        <f>_xlfn.XLOOKUP(C171,'LD-ELFA'!F:F,'LD-ELFA'!H:H)</f>
        <v>PQ-A1-1900-E-PB-4000</v>
      </c>
      <c r="E171" s="53">
        <f>_xlfn.XLOOKUP(C171,'Data Base'!D:D,'Data Base'!G:G)</f>
        <v>0</v>
      </c>
      <c r="F171" s="53" t="str">
        <f>_xlfn.XLOOKUP(C171,'LD-ELFA'!F:F,'LD-ELFA'!Q:Q)</f>
        <v xml:space="preserve">PLANILHA DE QUANTIDADES </v>
      </c>
      <c r="G171" s="56">
        <f>_xlfn.XLOOKUP(C171,'Data Base'!D:D,'Data Base'!R:R)</f>
        <v>46274</v>
      </c>
      <c r="H171" s="56">
        <f>_xlfn.XLOOKUP(C171,'Data Base'!D:D,'Data Base'!T:T)</f>
        <v>46275</v>
      </c>
      <c r="I171" s="56" t="str">
        <f t="shared" si="2"/>
        <v>NO PRAZO</v>
      </c>
    </row>
    <row r="172" spans="2:9" hidden="1" x14ac:dyDescent="0.25">
      <c r="B172" s="53" t="str">
        <f>_xlfn.XLOOKUP(C172,'Data Base'!D:D,'Data Base'!B:B)</f>
        <v>EL - Eletrica</v>
      </c>
      <c r="C172" s="53" t="s">
        <v>178</v>
      </c>
      <c r="D172" s="53" t="str">
        <f>_xlfn.XLOOKUP(C172,'LD-ELFA'!F:F,'LD-ELFA'!H:H)</f>
        <v>PQ-A1-1100-E-PB-4000</v>
      </c>
      <c r="E172" s="53">
        <f>_xlfn.XLOOKUP(C172,'Data Base'!D:D,'Data Base'!G:G)</f>
        <v>0</v>
      </c>
      <c r="F172" s="53" t="str">
        <f>_xlfn.XLOOKUP(C172,'LD-ELFA'!F:F,'LD-ELFA'!Q:Q)</f>
        <v xml:space="preserve">PLANILHA DE QUANTIDADES </v>
      </c>
      <c r="G172" s="56">
        <f>_xlfn.XLOOKUP(C172,'Data Base'!D:D,'Data Base'!R:R)</f>
        <v>46266</v>
      </c>
      <c r="H172" s="56">
        <f>_xlfn.XLOOKUP(C172,'Data Base'!D:D,'Data Base'!T:T)</f>
        <v>46268</v>
      </c>
      <c r="I172" s="56" t="str">
        <f t="shared" si="2"/>
        <v>NO PRAZO</v>
      </c>
    </row>
    <row r="173" spans="2:9" hidden="1" x14ac:dyDescent="0.25">
      <c r="B173" s="53" t="e">
        <f>_xlfn.XLOOKUP(C173,'Data Base'!D:D,'Data Base'!B:B)</f>
        <v>#N/A</v>
      </c>
      <c r="C173" s="53" t="s">
        <v>179</v>
      </c>
      <c r="D173" s="53" t="e">
        <f>_xlfn.XLOOKUP(C173,'LD-ELFA'!F:F,'LD-ELFA'!H:H)</f>
        <v>#N/A</v>
      </c>
      <c r="E173" s="53" t="e">
        <f>_xlfn.XLOOKUP(C173,'Data Base'!D:D,'Data Base'!G:G)</f>
        <v>#N/A</v>
      </c>
      <c r="F173" s="53" t="e">
        <f>_xlfn.XLOOKUP(C173,'LD-ELFA'!F:F,'LD-ELFA'!Q:Q)</f>
        <v>#N/A</v>
      </c>
      <c r="G173" s="56" t="str">
        <f>_xlfn.XLOOKUP(C173,'Data Base'!D:D,'Data Base'!R:R)</f>
        <v>Documento Removido</v>
      </c>
      <c r="H173" s="56" t="str">
        <f>_xlfn.XLOOKUP(C173,'Data Base'!D:D,'Data Base'!T:T)</f>
        <v>Documento Removido</v>
      </c>
      <c r="I173" s="56" t="str">
        <f t="shared" si="2"/>
        <v>NO PRAZO</v>
      </c>
    </row>
    <row r="174" spans="2:9" hidden="1" x14ac:dyDescent="0.25">
      <c r="B174" s="53" t="str">
        <f>_xlfn.XLOOKUP(C174,'Data Base'!D:D,'Data Base'!B:B)</f>
        <v>EM - Estrutura Metalica</v>
      </c>
      <c r="C174" s="53" t="s">
        <v>180</v>
      </c>
      <c r="D174" s="53" t="str">
        <f>_xlfn.XLOOKUP(C174,'LD-ELFA'!F:F,'LD-ELFA'!H:H)</f>
        <v>MC-A1-1911-S-PB-4000</v>
      </c>
      <c r="E174" s="53">
        <f>_xlfn.XLOOKUP(C174,'Data Base'!D:D,'Data Base'!G:G)</f>
        <v>0</v>
      </c>
      <c r="F174" s="53" t="str">
        <f>_xlfn.XLOOKUP(C174,'LD-ELFA'!F:F,'LD-ELFA'!Q:Q)</f>
        <v>MEMÓRIA DE CÁLCULO</v>
      </c>
      <c r="G174" s="56">
        <f>_xlfn.XLOOKUP(C174,'Data Base'!D:D,'Data Base'!R:R)</f>
        <v>46237</v>
      </c>
      <c r="H174" s="56">
        <f>_xlfn.XLOOKUP(C174,'Data Base'!D:D,'Data Base'!T:T)</f>
        <v>46234</v>
      </c>
      <c r="I174" s="56" t="str">
        <f t="shared" si="2"/>
        <v>ATRASADO</v>
      </c>
    </row>
    <row r="175" spans="2:9" hidden="1" x14ac:dyDescent="0.25">
      <c r="B175" s="53" t="str">
        <f>_xlfn.XLOOKUP(C175,'Data Base'!D:D,'Data Base'!B:B)</f>
        <v>EM - Estrutura Metalica</v>
      </c>
      <c r="C175" s="53" t="s">
        <v>181</v>
      </c>
      <c r="D175" s="53" t="str">
        <f>_xlfn.XLOOKUP(C175,'LD-ELFA'!F:F,'LD-ELFA'!H:H)</f>
        <v>MC-A1-1912-S-PB-4000</v>
      </c>
      <c r="E175" s="53">
        <f>_xlfn.XLOOKUP(C175,'Data Base'!D:D,'Data Base'!G:G)</f>
        <v>0</v>
      </c>
      <c r="F175" s="53" t="str">
        <f>_xlfn.XLOOKUP(C175,'LD-ELFA'!F:F,'LD-ELFA'!Q:Q)</f>
        <v>MEMÓRIA DE CÁLCULO</v>
      </c>
      <c r="G175" s="56">
        <f>_xlfn.XLOOKUP(C175,'Data Base'!D:D,'Data Base'!R:R)</f>
        <v>46234</v>
      </c>
      <c r="H175" s="56">
        <f>_xlfn.XLOOKUP(C175,'Data Base'!D:D,'Data Base'!T:T)</f>
        <v>46245</v>
      </c>
      <c r="I175" s="56" t="str">
        <f t="shared" si="2"/>
        <v>NO PRAZO</v>
      </c>
    </row>
    <row r="176" spans="2:9" hidden="1" x14ac:dyDescent="0.25">
      <c r="B176" s="53" t="str">
        <f>_xlfn.XLOOKUP(C176,'Data Base'!D:D,'Data Base'!B:B)</f>
        <v>EM - Estrutura Metalica</v>
      </c>
      <c r="C176" s="53" t="s">
        <v>182</v>
      </c>
      <c r="D176" s="53" t="str">
        <f>_xlfn.XLOOKUP(C176,'LD-ELFA'!F:F,'LD-ELFA'!H:H)</f>
        <v>MC-A1-1913-S-PB-4000</v>
      </c>
      <c r="E176" s="53">
        <f>_xlfn.XLOOKUP(C176,'Data Base'!D:D,'Data Base'!G:G)</f>
        <v>0</v>
      </c>
      <c r="F176" s="53" t="str">
        <f>_xlfn.XLOOKUP(C176,'LD-ELFA'!F:F,'LD-ELFA'!Q:Q)</f>
        <v>MEMÓRIA DE CÁLCULO</v>
      </c>
      <c r="G176" s="56">
        <f>_xlfn.XLOOKUP(C176,'Data Base'!D:D,'Data Base'!R:R)</f>
        <v>46233</v>
      </c>
      <c r="H176" s="56">
        <f>_xlfn.XLOOKUP(C176,'Data Base'!D:D,'Data Base'!T:T)</f>
        <v>46254</v>
      </c>
      <c r="I176" s="56" t="str">
        <f t="shared" si="2"/>
        <v>NO PRAZO</v>
      </c>
    </row>
    <row r="177" spans="2:9" hidden="1" x14ac:dyDescent="0.25">
      <c r="B177" s="53" t="e">
        <f>_xlfn.XLOOKUP(C177,'Data Base'!D:D,'Data Base'!B:B)</f>
        <v>#N/A</v>
      </c>
      <c r="C177" s="53" t="s">
        <v>183</v>
      </c>
      <c r="D177" s="53" t="e">
        <f>_xlfn.XLOOKUP(C177,'LD-ELFA'!F:F,'LD-ELFA'!H:H)</f>
        <v>#N/A</v>
      </c>
      <c r="E177" s="53" t="e">
        <f>_xlfn.XLOOKUP(C177,'Data Base'!D:D,'Data Base'!G:G)</f>
        <v>#N/A</v>
      </c>
      <c r="F177" s="53" t="e">
        <f>_xlfn.XLOOKUP(C177,'LD-ELFA'!F:F,'LD-ELFA'!Q:Q)</f>
        <v>#N/A</v>
      </c>
      <c r="G177" s="56" t="str">
        <f>_xlfn.XLOOKUP(C177,'Data Base'!D:D,'Data Base'!R:R)</f>
        <v>Documento Removido</v>
      </c>
      <c r="H177" s="56" t="str">
        <f>_xlfn.XLOOKUP(C177,'Data Base'!D:D,'Data Base'!T:T)</f>
        <v>Documento Removido</v>
      </c>
      <c r="I177" s="56" t="str">
        <f t="shared" si="2"/>
        <v>NO PRAZO</v>
      </c>
    </row>
    <row r="178" spans="2:9" x14ac:dyDescent="0.25">
      <c r="B178" s="53" t="str">
        <f>_xlfn.XLOOKUP(C178,'Data Base'!D:D,'Data Base'!B:B)</f>
        <v>EM - Estrutura Metalica</v>
      </c>
      <c r="C178" s="53" t="s">
        <v>184</v>
      </c>
      <c r="D178" s="53" t="str">
        <f>_xlfn.XLOOKUP(C178,'LD-ELFA'!F:F,'LD-ELFA'!H:H)</f>
        <v>MC-A1-1201-S-PB-0001</v>
      </c>
      <c r="E178" s="53">
        <f>_xlfn.XLOOKUP(C178,'Data Base'!D:D,'Data Base'!G:G)</f>
        <v>0</v>
      </c>
      <c r="F178" s="53" t="str">
        <f>_xlfn.XLOOKUP(C178,'LD-ELFA'!F:F,'LD-ELFA'!Q:Q)</f>
        <v>BRITAGEM PRIMÁRIA - 1201-ED-001</v>
      </c>
      <c r="G178" s="56">
        <f>_xlfn.XLOOKUP(C178,'Data Base'!D:D,'Data Base'!R:R)</f>
        <v>46220</v>
      </c>
      <c r="H178" s="56">
        <f>_xlfn.XLOOKUP(C178,'Data Base'!D:D,'Data Base'!T:T)</f>
        <v>46205</v>
      </c>
      <c r="I178" s="56" t="str">
        <f t="shared" si="2"/>
        <v>ATRASADO</v>
      </c>
    </row>
    <row r="179" spans="2:9" hidden="1" x14ac:dyDescent="0.25">
      <c r="B179" s="53" t="str">
        <f>_xlfn.XLOOKUP(C179,'Data Base'!D:D,'Data Base'!B:B)</f>
        <v>EM - Estrutura Metalica</v>
      </c>
      <c r="C179" s="53" t="s">
        <v>185</v>
      </c>
      <c r="D179" s="53" t="str">
        <f>_xlfn.XLOOKUP(C179,'LD-ELFA'!F:F,'LD-ELFA'!H:H)</f>
        <v>MC-A1-1200-S-PB-0001</v>
      </c>
      <c r="E179" s="53">
        <f>_xlfn.XLOOKUP(C179,'Data Base'!D:D,'Data Base'!G:G)</f>
        <v>0</v>
      </c>
      <c r="F179" s="53" t="str">
        <f>_xlfn.XLOOKUP(C179,'LD-ELFA'!F:F,'LD-ELFA'!Q:Q)</f>
        <v>CASAS DE TRANSFERÊNCIA -1201-CT-001</v>
      </c>
      <c r="G179" s="56">
        <f>_xlfn.XLOOKUP(C179,'Data Base'!D:D,'Data Base'!R:R)</f>
        <v>46224</v>
      </c>
      <c r="H179" s="56">
        <f>_xlfn.XLOOKUP(C179,'Data Base'!D:D,'Data Base'!T:T)</f>
        <v>46210</v>
      </c>
      <c r="I179" s="56" t="str">
        <f t="shared" si="2"/>
        <v>ATRASADO</v>
      </c>
    </row>
    <row r="180" spans="2:9" hidden="1" x14ac:dyDescent="0.25">
      <c r="B180" s="53" t="str">
        <f>_xlfn.XLOOKUP(C180,'Data Base'!D:D,'Data Base'!B:B)</f>
        <v>EM - Estrutura Metalica</v>
      </c>
      <c r="C180" s="53" t="s">
        <v>186</v>
      </c>
      <c r="D180" s="53" t="str">
        <f>_xlfn.XLOOKUP(C180,'LD-ELFA'!F:F,'LD-ELFA'!H:H)</f>
        <v>MC-A1-1502-S-PB-0001</v>
      </c>
      <c r="E180" s="53">
        <f>_xlfn.XLOOKUP(C180,'Data Base'!D:D,'Data Base'!G:G)</f>
        <v>0</v>
      </c>
      <c r="F180" s="53" t="str">
        <f>_xlfn.XLOOKUP(C180,'LD-ELFA'!F:F,'LD-ELFA'!Q:Q)</f>
        <v>(ESCADA DE ACESSO (1502-ED-001), TORRE DE ESCADA (1502-ED-002),PLATAFORMA 01 (1502-ED-003), PLATAFORMA 02 (1502-ED-004)</v>
      </c>
      <c r="G180" s="56">
        <f>_xlfn.XLOOKUP(C180,'Data Base'!D:D,'Data Base'!R:R)</f>
        <v>46241</v>
      </c>
      <c r="H180" s="56">
        <f>_xlfn.XLOOKUP(C180,'Data Base'!D:D,'Data Base'!T:T)</f>
        <v>46247</v>
      </c>
      <c r="I180" s="56" t="str">
        <f t="shared" si="2"/>
        <v>NO PRAZO</v>
      </c>
    </row>
    <row r="181" spans="2:9" hidden="1" x14ac:dyDescent="0.25">
      <c r="B181" s="53" t="e">
        <f>_xlfn.XLOOKUP(C181,'Data Base'!D:D,'Data Base'!B:B)</f>
        <v>#N/A</v>
      </c>
      <c r="C181" s="53" t="s">
        <v>187</v>
      </c>
      <c r="D181" s="53" t="e">
        <f>_xlfn.XLOOKUP(C181,'LD-ELFA'!F:F,'LD-ELFA'!H:H)</f>
        <v>#N/A</v>
      </c>
      <c r="E181" s="53" t="e">
        <f>_xlfn.XLOOKUP(C181,'Data Base'!D:D,'Data Base'!G:G)</f>
        <v>#N/A</v>
      </c>
      <c r="F181" s="53" t="e">
        <f>_xlfn.XLOOKUP(C181,'LD-ELFA'!F:F,'LD-ELFA'!Q:Q)</f>
        <v>#N/A</v>
      </c>
      <c r="G181" s="56" t="str">
        <f>_xlfn.XLOOKUP(C181,'Data Base'!D:D,'Data Base'!R:R)</f>
        <v>Documento Removido</v>
      </c>
      <c r="H181" s="56" t="str">
        <f>_xlfn.XLOOKUP(C181,'Data Base'!D:D,'Data Base'!T:T)</f>
        <v>Documento Removido</v>
      </c>
      <c r="I181" s="56" t="str">
        <f t="shared" si="2"/>
        <v>NO PRAZO</v>
      </c>
    </row>
    <row r="182" spans="2:9" hidden="1" x14ac:dyDescent="0.25">
      <c r="B182" s="53" t="e">
        <f>_xlfn.XLOOKUP(C182,'Data Base'!D:D,'Data Base'!B:B)</f>
        <v>#N/A</v>
      </c>
      <c r="C182" s="53" t="s">
        <v>188</v>
      </c>
      <c r="D182" s="53" t="e">
        <f>_xlfn.XLOOKUP(C182,'LD-ELFA'!F:F,'LD-ELFA'!H:H)</f>
        <v>#N/A</v>
      </c>
      <c r="E182" s="53" t="e">
        <f>_xlfn.XLOOKUP(C182,'Data Base'!D:D,'Data Base'!G:G)</f>
        <v>#N/A</v>
      </c>
      <c r="F182" s="53" t="e">
        <f>_xlfn.XLOOKUP(C182,'LD-ELFA'!F:F,'LD-ELFA'!Q:Q)</f>
        <v>#N/A</v>
      </c>
      <c r="G182" s="56" t="str">
        <f>_xlfn.XLOOKUP(C182,'Data Base'!D:D,'Data Base'!R:R)</f>
        <v>Documento Removido</v>
      </c>
      <c r="H182" s="56" t="str">
        <f>_xlfn.XLOOKUP(C182,'Data Base'!D:D,'Data Base'!T:T)</f>
        <v>Documento Removido</v>
      </c>
      <c r="I182" s="56" t="str">
        <f t="shared" si="2"/>
        <v>NO PRAZO</v>
      </c>
    </row>
    <row r="183" spans="2:9" hidden="1" x14ac:dyDescent="0.25">
      <c r="B183" s="53" t="str">
        <f>_xlfn.XLOOKUP(C183,'Data Base'!D:D,'Data Base'!B:B)</f>
        <v>EM - Estrutura Metalica</v>
      </c>
      <c r="C183" s="53" t="s">
        <v>189</v>
      </c>
      <c r="D183" s="53" t="str">
        <f>_xlfn.XLOOKUP(C183,'LD-ELFA'!F:F,'LD-ELFA'!H:H)</f>
        <v>MC-A1-2304-S-PB-0001</v>
      </c>
      <c r="E183" s="53">
        <f>_xlfn.XLOOKUP(C183,'Data Base'!D:D,'Data Base'!G:G)</f>
        <v>0</v>
      </c>
      <c r="F183" s="53" t="str">
        <f>_xlfn.XLOOKUP(C183,'LD-ELFA'!F:F,'LD-ELFA'!Q:Q)</f>
        <v>PIPECABLE RACK</v>
      </c>
      <c r="G183" s="56">
        <f>_xlfn.XLOOKUP(C183,'Data Base'!D:D,'Data Base'!R:R)</f>
        <v>46260</v>
      </c>
      <c r="H183" s="56">
        <f>_xlfn.XLOOKUP(C183,'Data Base'!D:D,'Data Base'!T:T)</f>
        <v>46260</v>
      </c>
      <c r="I183" s="56" t="str">
        <f t="shared" si="2"/>
        <v>NO PRAZO</v>
      </c>
    </row>
    <row r="184" spans="2:9" hidden="1" x14ac:dyDescent="0.25">
      <c r="B184" s="53" t="str">
        <f>_xlfn.XLOOKUP(C184,'Data Base'!D:D,'Data Base'!B:B)</f>
        <v>EM - Estrutura Metalica</v>
      </c>
      <c r="C184" s="53" t="s">
        <v>190</v>
      </c>
      <c r="D184" s="53" t="str">
        <f>_xlfn.XLOOKUP(C184,'LD-ELFA'!F:F,'LD-ELFA'!H:H)</f>
        <v>MC-A1-1411-S-PB-4000</v>
      </c>
      <c r="E184" s="53">
        <f>_xlfn.XLOOKUP(C184,'Data Base'!D:D,'Data Base'!G:G)</f>
        <v>0</v>
      </c>
      <c r="F184" s="53" t="str">
        <f>_xlfn.XLOOKUP(C184,'LD-ELFA'!F:F,'LD-ELFA'!Q:Q)</f>
        <v>MEMÓRIA DE CÁLCULO</v>
      </c>
      <c r="G184" s="56">
        <f>_xlfn.XLOOKUP(C184,'Data Base'!D:D,'Data Base'!R:R)</f>
        <v>46237</v>
      </c>
      <c r="H184" s="56">
        <f>_xlfn.XLOOKUP(C184,'Data Base'!D:D,'Data Base'!T:T)</f>
        <v>46212</v>
      </c>
      <c r="I184" s="56" t="str">
        <f t="shared" si="2"/>
        <v>ATRASADO</v>
      </c>
    </row>
    <row r="185" spans="2:9" hidden="1" x14ac:dyDescent="0.25">
      <c r="B185" s="53" t="str">
        <f>_xlfn.XLOOKUP(C185,'Data Base'!D:D,'Data Base'!B:B)</f>
        <v>EM - Estrutura Metalica</v>
      </c>
      <c r="C185" s="53" t="s">
        <v>191</v>
      </c>
      <c r="D185" s="53" t="str">
        <f>_xlfn.XLOOKUP(C185,'LD-ELFA'!F:F,'LD-ELFA'!H:H)</f>
        <v>MC-A1-2201-S-PB-4000</v>
      </c>
      <c r="E185" s="53">
        <f>_xlfn.XLOOKUP(C185,'Data Base'!D:D,'Data Base'!G:G)</f>
        <v>0</v>
      </c>
      <c r="F185" s="53" t="str">
        <f>_xlfn.XLOOKUP(C185,'LD-ELFA'!F:F,'LD-ELFA'!Q:Q)</f>
        <v xml:space="preserve">MEMÓRIA DE CÁLCULO </v>
      </c>
      <c r="G185" s="56" t="str">
        <f>_xlfn.XLOOKUP(C185,'Data Base'!D:D,'Data Base'!R:R)</f>
        <v>Documento Emitido</v>
      </c>
      <c r="H185" s="56" t="str">
        <f>_xlfn.XLOOKUP(C185,'Data Base'!D:D,'Data Base'!T:T)</f>
        <v>Documento Emitido</v>
      </c>
      <c r="I185" s="56" t="str">
        <f t="shared" si="2"/>
        <v>NO PRAZO</v>
      </c>
    </row>
    <row r="186" spans="2:9" hidden="1" x14ac:dyDescent="0.25">
      <c r="B186" s="53" t="str">
        <f>_xlfn.XLOOKUP(C186,'Data Base'!D:D,'Data Base'!B:B)</f>
        <v>EM - Estrutura Metalica</v>
      </c>
      <c r="C186" s="53" t="s">
        <v>192</v>
      </c>
      <c r="D186" s="53" t="str">
        <f>_xlfn.XLOOKUP(C186,'LD-ELFA'!F:F,'LD-ELFA'!H:H)</f>
        <v>MC-A1-2202-S-PB-4000</v>
      </c>
      <c r="E186" s="53">
        <f>_xlfn.XLOOKUP(C186,'Data Base'!D:D,'Data Base'!G:G)</f>
        <v>0</v>
      </c>
      <c r="F186" s="53" t="str">
        <f>_xlfn.XLOOKUP(C186,'LD-ELFA'!F:F,'LD-ELFA'!Q:Q)</f>
        <v xml:space="preserve">MEMÓRIA DE CÁLCULO </v>
      </c>
      <c r="G186" s="56" t="str">
        <f>_xlfn.XLOOKUP(C186,'Data Base'!D:D,'Data Base'!R:R)</f>
        <v>Documento Emitido</v>
      </c>
      <c r="H186" s="56" t="str">
        <f>_xlfn.XLOOKUP(C186,'Data Base'!D:D,'Data Base'!T:T)</f>
        <v>Documento Emitido</v>
      </c>
      <c r="I186" s="56" t="str">
        <f t="shared" si="2"/>
        <v>NO PRAZO</v>
      </c>
    </row>
    <row r="187" spans="2:9" hidden="1" x14ac:dyDescent="0.25">
      <c r="B187" s="53" t="str">
        <f>_xlfn.XLOOKUP(C187,'Data Base'!D:D,'Data Base'!B:B)</f>
        <v>EM - Estrutura Metalica</v>
      </c>
      <c r="C187" s="53" t="s">
        <v>193</v>
      </c>
      <c r="D187" s="53" t="str">
        <f>_xlfn.XLOOKUP(C187,'LD-ELFA'!F:F,'LD-ELFA'!H:H)</f>
        <v>MC-A1-2203-S-PB-4000</v>
      </c>
      <c r="E187" s="53">
        <f>_xlfn.XLOOKUP(C187,'Data Base'!D:D,'Data Base'!G:G)</f>
        <v>0</v>
      </c>
      <c r="F187" s="53" t="str">
        <f>_xlfn.XLOOKUP(C187,'LD-ELFA'!F:F,'LD-ELFA'!Q:Q)</f>
        <v xml:space="preserve">MEMÓRIA DE CÁLCULO </v>
      </c>
      <c r="G187" s="56" t="str">
        <f>_xlfn.XLOOKUP(C187,'Data Base'!D:D,'Data Base'!R:R)</f>
        <v>Documento Emitido</v>
      </c>
      <c r="H187" s="56" t="str">
        <f>_xlfn.XLOOKUP(C187,'Data Base'!D:D,'Data Base'!T:T)</f>
        <v>Documento Emitido</v>
      </c>
      <c r="I187" s="56" t="str">
        <f t="shared" si="2"/>
        <v>NO PRAZO</v>
      </c>
    </row>
    <row r="188" spans="2:9" hidden="1" x14ac:dyDescent="0.25">
      <c r="B188" s="53" t="str">
        <f>_xlfn.XLOOKUP(C188,'Data Base'!D:D,'Data Base'!B:B)</f>
        <v>EM - Estrutura Metalica</v>
      </c>
      <c r="C188" s="53" t="s">
        <v>194</v>
      </c>
      <c r="D188" s="53" t="str">
        <f>_xlfn.XLOOKUP(C188,'LD-ELFA'!F:F,'LD-ELFA'!H:H)</f>
        <v>MC-A1-2204-S-PB-4000</v>
      </c>
      <c r="E188" s="53">
        <f>_xlfn.XLOOKUP(C188,'Data Base'!D:D,'Data Base'!G:G)</f>
        <v>0</v>
      </c>
      <c r="F188" s="53" t="str">
        <f>_xlfn.XLOOKUP(C188,'LD-ELFA'!F:F,'LD-ELFA'!Q:Q)</f>
        <v xml:space="preserve">MEMÓRIA DE CÁLCULO </v>
      </c>
      <c r="G188" s="56" t="str">
        <f>_xlfn.XLOOKUP(C188,'Data Base'!D:D,'Data Base'!R:R)</f>
        <v>Documento Emitido</v>
      </c>
      <c r="H188" s="56" t="str">
        <f>_xlfn.XLOOKUP(C188,'Data Base'!D:D,'Data Base'!T:T)</f>
        <v>Documento Emitido</v>
      </c>
      <c r="I188" s="56" t="str">
        <f t="shared" si="2"/>
        <v>NO PRAZO</v>
      </c>
    </row>
    <row r="189" spans="2:9" hidden="1" x14ac:dyDescent="0.25">
      <c r="B189" s="53" t="str">
        <f>_xlfn.XLOOKUP(C189,'Data Base'!D:D,'Data Base'!B:B)</f>
        <v>EM - Estrutura Metalica</v>
      </c>
      <c r="C189" s="53" t="s">
        <v>195</v>
      </c>
      <c r="D189" s="53" t="str">
        <f>_xlfn.XLOOKUP(C189,'LD-ELFA'!F:F,'LD-ELFA'!H:H)</f>
        <v>MC-A1-2205-S-PB-4000</v>
      </c>
      <c r="E189" s="53">
        <f>_xlfn.XLOOKUP(C189,'Data Base'!D:D,'Data Base'!G:G)</f>
        <v>0</v>
      </c>
      <c r="F189" s="53" t="str">
        <f>_xlfn.XLOOKUP(C189,'LD-ELFA'!F:F,'LD-ELFA'!Q:Q)</f>
        <v xml:space="preserve">MEMÓRIA DE CÁLCULO </v>
      </c>
      <c r="G189" s="56" t="str">
        <f>_xlfn.XLOOKUP(C189,'Data Base'!D:D,'Data Base'!R:R)</f>
        <v>Documento Emitido</v>
      </c>
      <c r="H189" s="56" t="str">
        <f>_xlfn.XLOOKUP(C189,'Data Base'!D:D,'Data Base'!T:T)</f>
        <v>Documento Emitido</v>
      </c>
      <c r="I189" s="56" t="str">
        <f t="shared" si="2"/>
        <v>NO PRAZO</v>
      </c>
    </row>
    <row r="190" spans="2:9" hidden="1" x14ac:dyDescent="0.25">
      <c r="B190" s="53" t="e">
        <f>_xlfn.XLOOKUP(C190,'Data Base'!D:D,'Data Base'!B:B)</f>
        <v>#N/A</v>
      </c>
      <c r="C190" s="53" t="s">
        <v>196</v>
      </c>
      <c r="D190" s="53" t="e">
        <f>_xlfn.XLOOKUP(C190,'LD-ELFA'!F:F,'LD-ELFA'!H:H)</f>
        <v>#N/A</v>
      </c>
      <c r="E190" s="53" t="e">
        <f>_xlfn.XLOOKUP(C190,'Data Base'!D:D,'Data Base'!G:G)</f>
        <v>#N/A</v>
      </c>
      <c r="F190" s="53" t="e">
        <f>_xlfn.XLOOKUP(C190,'LD-ELFA'!F:F,'LD-ELFA'!Q:Q)</f>
        <v>#N/A</v>
      </c>
      <c r="G190" s="56" t="str">
        <f>_xlfn.XLOOKUP(C190,'Data Base'!D:D,'Data Base'!R:R)</f>
        <v>Documento Removido</v>
      </c>
      <c r="H190" s="56" t="str">
        <f>_xlfn.XLOOKUP(C190,'Data Base'!D:D,'Data Base'!T:T)</f>
        <v>Documento Removido</v>
      </c>
      <c r="I190" s="56" t="str">
        <f t="shared" si="2"/>
        <v>NO PRAZO</v>
      </c>
    </row>
    <row r="191" spans="2:9" hidden="1" x14ac:dyDescent="0.25">
      <c r="B191" s="53" t="str">
        <f>_xlfn.XLOOKUP(C191,'Data Base'!D:D,'Data Base'!B:B)</f>
        <v>EM - Estrutura Metalica</v>
      </c>
      <c r="C191" s="53" t="s">
        <v>197</v>
      </c>
      <c r="D191" s="53" t="str">
        <f>_xlfn.XLOOKUP(C191,'LD-ELFA'!F:F,'LD-ELFA'!H:H)</f>
        <v>PQ-A1-1411-S-PB-4000</v>
      </c>
      <c r="E191" s="53">
        <f>_xlfn.XLOOKUP(C191,'Data Base'!D:D,'Data Base'!G:G)</f>
        <v>0</v>
      </c>
      <c r="F191" s="53" t="str">
        <f>_xlfn.XLOOKUP(C191,'LD-ELFA'!F:F,'LD-ELFA'!Q:Q)</f>
        <v>PLANILHA DE QUANTIDADES</v>
      </c>
      <c r="G191" s="56">
        <f>_xlfn.XLOOKUP(C191,'Data Base'!D:D,'Data Base'!R:R)</f>
        <v>46274</v>
      </c>
      <c r="H191" s="56">
        <f>_xlfn.XLOOKUP(C191,'Data Base'!D:D,'Data Base'!T:T)</f>
        <v>46234</v>
      </c>
      <c r="I191" s="56" t="str">
        <f t="shared" si="2"/>
        <v>ATRASADO</v>
      </c>
    </row>
    <row r="192" spans="2:9" hidden="1" x14ac:dyDescent="0.25">
      <c r="B192" s="53" t="str">
        <f>_xlfn.XLOOKUP(C192,'Data Base'!D:D,'Data Base'!B:B)</f>
        <v>EM - Estrutura Metalica</v>
      </c>
      <c r="C192" s="53" t="s">
        <v>198</v>
      </c>
      <c r="D192" s="53" t="str">
        <f>_xlfn.XLOOKUP(C192,'LD-ELFA'!F:F,'LD-ELFA'!H:H)</f>
        <v>PQ-A1-1000-S-PB-0001</v>
      </c>
      <c r="E192" s="53">
        <f>_xlfn.XLOOKUP(C192,'Data Base'!D:D,'Data Base'!G:G)</f>
        <v>0</v>
      </c>
      <c r="F192" s="53" t="str">
        <f>_xlfn.XLOOKUP(C192,'LD-ELFA'!F:F,'LD-ELFA'!Q:Q)</f>
        <v>PLANILHA DE QUANTIDADES</v>
      </c>
      <c r="G192" s="56">
        <f>_xlfn.XLOOKUP(C192,'Data Base'!D:D,'Data Base'!R:R)</f>
        <v>46259</v>
      </c>
      <c r="H192" s="56">
        <f>_xlfn.XLOOKUP(C192,'Data Base'!D:D,'Data Base'!T:T)</f>
        <v>46247</v>
      </c>
      <c r="I192" s="56" t="str">
        <f t="shared" si="2"/>
        <v>ATRASADO</v>
      </c>
    </row>
    <row r="193" spans="2:9" hidden="1" x14ac:dyDescent="0.25">
      <c r="B193" s="53" t="e">
        <f>_xlfn.XLOOKUP(C193,'Data Base'!D:D,'Data Base'!B:B)</f>
        <v>#N/A</v>
      </c>
      <c r="C193" s="53" t="s">
        <v>199</v>
      </c>
      <c r="D193" s="53" t="e">
        <f>_xlfn.XLOOKUP(C193,'LD-ELFA'!F:F,'LD-ELFA'!H:H)</f>
        <v>#N/A</v>
      </c>
      <c r="E193" s="53" t="e">
        <f>_xlfn.XLOOKUP(C193,'Data Base'!D:D,'Data Base'!G:G)</f>
        <v>#N/A</v>
      </c>
      <c r="F193" s="53" t="e">
        <f>_xlfn.XLOOKUP(C193,'LD-ELFA'!F:F,'LD-ELFA'!Q:Q)</f>
        <v>#N/A</v>
      </c>
      <c r="G193" s="56" t="str">
        <f>_xlfn.XLOOKUP(C193,'Data Base'!D:D,'Data Base'!R:R)</f>
        <v>Documento Removido</v>
      </c>
      <c r="H193" s="56" t="str">
        <f>_xlfn.XLOOKUP(C193,'Data Base'!D:D,'Data Base'!T:T)</f>
        <v>Documento Removido</v>
      </c>
      <c r="I193" s="56" t="str">
        <f t="shared" si="2"/>
        <v>NO PRAZO</v>
      </c>
    </row>
    <row r="194" spans="2:9" hidden="1" x14ac:dyDescent="0.25">
      <c r="B194" s="53" t="str">
        <f>_xlfn.XLOOKUP(C194,'Data Base'!D:D,'Data Base'!B:B)</f>
        <v>GE - Gestao De Engenharia</v>
      </c>
      <c r="C194" s="53" t="s">
        <v>200</v>
      </c>
      <c r="D194" s="53" t="str">
        <f>_xlfn.XLOOKUP(C194,'LD-ELFA'!F:F,'LD-ELFA'!H:H)</f>
        <v>AR-A1-1000-G-PB-4000</v>
      </c>
      <c r="E194" s="53">
        <f>_xlfn.XLOOKUP(C194,'Data Base'!D:D,'Data Base'!G:G)</f>
        <v>1</v>
      </c>
      <c r="F194" s="53" t="str">
        <f>_xlfn.XLOOKUP(C194,'LD-ELFA'!F:F,'LD-ELFA'!Q:Q)</f>
        <v>ATA - APRESENTAÇÃO PROJETO</v>
      </c>
      <c r="G194" s="56" t="str">
        <f>_xlfn.XLOOKUP(C194,'Data Base'!D:D,'Data Base'!R:R)</f>
        <v>Documento Emitido</v>
      </c>
      <c r="H194" s="56" t="str">
        <f>_xlfn.XLOOKUP(C194,'Data Base'!D:D,'Data Base'!T:T)</f>
        <v>Documento Emitido</v>
      </c>
      <c r="I194" s="56" t="str">
        <f t="shared" si="2"/>
        <v>NO PRAZO</v>
      </c>
    </row>
    <row r="195" spans="2:9" hidden="1" x14ac:dyDescent="0.25">
      <c r="B195" s="53" t="str">
        <f>_xlfn.XLOOKUP(C195,'Data Base'!D:D,'Data Base'!B:B)</f>
        <v>GE - Gestao De Engenharia</v>
      </c>
      <c r="C195" s="53" t="s">
        <v>201</v>
      </c>
      <c r="D195" s="53" t="str">
        <f>_xlfn.XLOOKUP(C195,'LD-ELFA'!F:F,'LD-ELFA'!H:H)</f>
        <v>AR-A1-1000-G-PB-4001</v>
      </c>
      <c r="E195" s="53">
        <f>_xlfn.XLOOKUP(C195,'Data Base'!D:D,'Data Base'!G:G)</f>
        <v>0</v>
      </c>
      <c r="F195" s="53" t="str">
        <f>_xlfn.XLOOKUP(C195,'LD-ELFA'!F:F,'LD-ELFA'!Q:Q)</f>
        <v>ATA - APRESENTAÇÃO PROJETO</v>
      </c>
      <c r="G195" s="56" t="str">
        <f>_xlfn.XLOOKUP(C195,'Data Base'!D:D,'Data Base'!R:R)</f>
        <v>Documento Emitido</v>
      </c>
      <c r="H195" s="56" t="str">
        <f>_xlfn.XLOOKUP(C195,'Data Base'!D:D,'Data Base'!T:T)</f>
        <v>Documento Emitido</v>
      </c>
      <c r="I195" s="56" t="str">
        <f t="shared" ref="I195:I258" si="3">IF(G195&gt;H195,"ATRASADO","NO PRAZO")</f>
        <v>NO PRAZO</v>
      </c>
    </row>
    <row r="196" spans="2:9" hidden="1" x14ac:dyDescent="0.25">
      <c r="B196" s="53" t="str">
        <f>_xlfn.XLOOKUP(C196,'Data Base'!D:D,'Data Base'!B:B)</f>
        <v>GE - Gestao De Engenharia</v>
      </c>
      <c r="C196" s="53" t="s">
        <v>202</v>
      </c>
      <c r="D196" s="53" t="str">
        <f>_xlfn.XLOOKUP(C196,'LD-ELFA'!F:F,'LD-ELFA'!H:H)</f>
        <v>AR-A1-1000-G-PB-4002</v>
      </c>
      <c r="E196" s="53">
        <f>_xlfn.XLOOKUP(C196,'Data Base'!D:D,'Data Base'!G:G)</f>
        <v>0</v>
      </c>
      <c r="F196" s="53" t="str">
        <f>_xlfn.XLOOKUP(C196,'LD-ELFA'!F:F,'LD-ELFA'!Q:Q)</f>
        <v>ATA - APRESENTAÇÃO PROJETO</v>
      </c>
      <c r="G196" s="56" t="str">
        <f>_xlfn.XLOOKUP(C196,'Data Base'!D:D,'Data Base'!R:R)</f>
        <v>Documento Emitido</v>
      </c>
      <c r="H196" s="56" t="str">
        <f>_xlfn.XLOOKUP(C196,'Data Base'!D:D,'Data Base'!T:T)</f>
        <v>Documento Emitido</v>
      </c>
      <c r="I196" s="56" t="str">
        <f t="shared" si="3"/>
        <v>NO PRAZO</v>
      </c>
    </row>
    <row r="197" spans="2:9" hidden="1" x14ac:dyDescent="0.25">
      <c r="B197" s="53" t="str">
        <f>_xlfn.XLOOKUP(C197,'Data Base'!D:D,'Data Base'!B:B)</f>
        <v>GE - Gestao De Engenharia</v>
      </c>
      <c r="C197" s="53" t="s">
        <v>203</v>
      </c>
      <c r="D197" s="53" t="str">
        <f>_xlfn.XLOOKUP(C197,'LD-ELFA'!F:F,'LD-ELFA'!H:H)</f>
        <v>AR-A1-1000-G-PB-4003</v>
      </c>
      <c r="E197" s="53">
        <f>_xlfn.XLOOKUP(C197,'Data Base'!D:D,'Data Base'!G:G)</f>
        <v>0</v>
      </c>
      <c r="F197" s="53" t="str">
        <f>_xlfn.XLOOKUP(C197,'LD-ELFA'!F:F,'LD-ELFA'!Q:Q)</f>
        <v>ATA - APRESENTAÇÃO PROJETO</v>
      </c>
      <c r="G197" s="56" t="str">
        <f>_xlfn.XLOOKUP(C197,'Data Base'!D:D,'Data Base'!R:R)</f>
        <v>Documento Emitido</v>
      </c>
      <c r="H197" s="56" t="str">
        <f>_xlfn.XLOOKUP(C197,'Data Base'!D:D,'Data Base'!T:T)</f>
        <v>Documento Emitido</v>
      </c>
      <c r="I197" s="56" t="str">
        <f t="shared" si="3"/>
        <v>NO PRAZO</v>
      </c>
    </row>
    <row r="198" spans="2:9" hidden="1" x14ac:dyDescent="0.25">
      <c r="B198" s="53" t="str">
        <f>_xlfn.XLOOKUP(C198,'Data Base'!D:D,'Data Base'!B:B)</f>
        <v>GE - Gestao De Engenharia</v>
      </c>
      <c r="C198" s="53" t="s">
        <v>204</v>
      </c>
      <c r="D198" s="53" t="str">
        <f>_xlfn.XLOOKUP(C198,'LD-ELFA'!F:F,'LD-ELFA'!H:H)</f>
        <v>AR-A1-1000-G-PB-4004</v>
      </c>
      <c r="E198" s="53">
        <f>_xlfn.XLOOKUP(C198,'Data Base'!D:D,'Data Base'!G:G)</f>
        <v>0</v>
      </c>
      <c r="F198" s="53" t="str">
        <f>_xlfn.XLOOKUP(C198,'LD-ELFA'!F:F,'LD-ELFA'!Q:Q)</f>
        <v>ATA - APRESENTAÇÃO PROJETO</v>
      </c>
      <c r="G198" s="56" t="str">
        <f>_xlfn.XLOOKUP(C198,'Data Base'!D:D,'Data Base'!R:R)</f>
        <v>Documento Removido</v>
      </c>
      <c r="H198" s="56" t="str">
        <f>_xlfn.XLOOKUP(C198,'Data Base'!D:D,'Data Base'!T:T)</f>
        <v>Documento Removido</v>
      </c>
      <c r="I198" s="56" t="str">
        <f t="shared" si="3"/>
        <v>NO PRAZO</v>
      </c>
    </row>
    <row r="199" spans="2:9" hidden="1" x14ac:dyDescent="0.25">
      <c r="B199" s="53" t="str">
        <f>_xlfn.XLOOKUP(C199,'Data Base'!D:D,'Data Base'!B:B)</f>
        <v>GE - Gestao De Engenharia</v>
      </c>
      <c r="C199" s="53" t="s">
        <v>205</v>
      </c>
      <c r="D199" s="53" t="str">
        <f>_xlfn.XLOOKUP(C199,'LD-ELFA'!F:F,'LD-ELFA'!H:H)</f>
        <v>AR-A1-1000-G-PB-4005</v>
      </c>
      <c r="E199" s="53">
        <f>_xlfn.XLOOKUP(C199,'Data Base'!D:D,'Data Base'!G:G)</f>
        <v>0</v>
      </c>
      <c r="F199" s="53" t="str">
        <f>_xlfn.XLOOKUP(C199,'LD-ELFA'!F:F,'LD-ELFA'!Q:Q)</f>
        <v>ATA - APRESENTAÇÃO PROJETO</v>
      </c>
      <c r="G199" s="56" t="str">
        <f>_xlfn.XLOOKUP(C199,'Data Base'!D:D,'Data Base'!R:R)</f>
        <v>Documento Removido</v>
      </c>
      <c r="H199" s="56" t="str">
        <f>_xlfn.XLOOKUP(C199,'Data Base'!D:D,'Data Base'!T:T)</f>
        <v>Documento Removido</v>
      </c>
      <c r="I199" s="56" t="str">
        <f t="shared" si="3"/>
        <v>NO PRAZO</v>
      </c>
    </row>
    <row r="200" spans="2:9" hidden="1" x14ac:dyDescent="0.25">
      <c r="B200" s="53" t="str">
        <f>_xlfn.XLOOKUP(C200,'Data Base'!D:D,'Data Base'!B:B)</f>
        <v>GE - Gestao De Engenharia</v>
      </c>
      <c r="C200" s="53" t="s">
        <v>206</v>
      </c>
      <c r="D200" s="53" t="str">
        <f>_xlfn.XLOOKUP(C200,'LD-ELFA'!F:F,'LD-ELFA'!H:H)</f>
        <v>AR-A1-1000-G-PB-4006</v>
      </c>
      <c r="E200" s="53">
        <f>_xlfn.XLOOKUP(C200,'Data Base'!D:D,'Data Base'!G:G)</f>
        <v>0</v>
      </c>
      <c r="F200" s="53" t="str">
        <f>_xlfn.XLOOKUP(C200,'LD-ELFA'!F:F,'LD-ELFA'!Q:Q)</f>
        <v>ATA - APRESENTAÇÃO PROJETO</v>
      </c>
      <c r="G200" s="56" t="str">
        <f>_xlfn.XLOOKUP(C200,'Data Base'!D:D,'Data Base'!R:R)</f>
        <v>Documento Removido</v>
      </c>
      <c r="H200" s="56" t="str">
        <f>_xlfn.XLOOKUP(C200,'Data Base'!D:D,'Data Base'!T:T)</f>
        <v>Documento Removido</v>
      </c>
      <c r="I200" s="56" t="str">
        <f t="shared" si="3"/>
        <v>NO PRAZO</v>
      </c>
    </row>
    <row r="201" spans="2:9" hidden="1" x14ac:dyDescent="0.25">
      <c r="B201" s="53" t="str">
        <f>_xlfn.XLOOKUP(C201,'Data Base'!D:D,'Data Base'!B:B)</f>
        <v>GE - Gestao De Engenharia</v>
      </c>
      <c r="C201" s="53" t="s">
        <v>207</v>
      </c>
      <c r="D201" s="53" t="str">
        <f>_xlfn.XLOOKUP(C201,'LD-ELFA'!F:F,'LD-ELFA'!H:H)</f>
        <v>AR-A1-1000-G-PB-4007</v>
      </c>
      <c r="E201" s="53">
        <f>_xlfn.XLOOKUP(C201,'Data Base'!D:D,'Data Base'!G:G)</f>
        <v>0</v>
      </c>
      <c r="F201" s="53" t="str">
        <f>_xlfn.XLOOKUP(C201,'LD-ELFA'!F:F,'LD-ELFA'!Q:Q)</f>
        <v>ATA - APRESENTAÇÃO PROJETO</v>
      </c>
      <c r="G201" s="56" t="str">
        <f>_xlfn.XLOOKUP(C201,'Data Base'!D:D,'Data Base'!R:R)</f>
        <v>Documento Removido</v>
      </c>
      <c r="H201" s="56" t="str">
        <f>_xlfn.XLOOKUP(C201,'Data Base'!D:D,'Data Base'!T:T)</f>
        <v>Documento Removido</v>
      </c>
      <c r="I201" s="56" t="str">
        <f t="shared" si="3"/>
        <v>NO PRAZO</v>
      </c>
    </row>
    <row r="202" spans="2:9" hidden="1" x14ac:dyDescent="0.25">
      <c r="B202" s="53" t="str">
        <f>_xlfn.XLOOKUP(C202,'Data Base'!D:D,'Data Base'!B:B)</f>
        <v>GE - Gestao De Engenharia</v>
      </c>
      <c r="C202" s="53" t="s">
        <v>208</v>
      </c>
      <c r="D202" s="53" t="str">
        <f>_xlfn.XLOOKUP(C202,'LD-ELFA'!F:F,'LD-ELFA'!H:H)</f>
        <v>AR-A1-1000-G-PB-4008</v>
      </c>
      <c r="E202" s="53">
        <f>_xlfn.XLOOKUP(C202,'Data Base'!D:D,'Data Base'!G:G)</f>
        <v>0</v>
      </c>
      <c r="F202" s="53" t="str">
        <f>_xlfn.XLOOKUP(C202,'LD-ELFA'!F:F,'LD-ELFA'!Q:Q)</f>
        <v>ATA - APRESENTAÇÃO PROJETO</v>
      </c>
      <c r="G202" s="56" t="str">
        <f>_xlfn.XLOOKUP(C202,'Data Base'!D:D,'Data Base'!R:R)</f>
        <v>Documento Removido</v>
      </c>
      <c r="H202" s="56" t="str">
        <f>_xlfn.XLOOKUP(C202,'Data Base'!D:D,'Data Base'!T:T)</f>
        <v>Documento Removido</v>
      </c>
      <c r="I202" s="56" t="str">
        <f t="shared" si="3"/>
        <v>NO PRAZO</v>
      </c>
    </row>
    <row r="203" spans="2:9" hidden="1" x14ac:dyDescent="0.25">
      <c r="B203" s="53" t="str">
        <f>_xlfn.XLOOKUP(C203,'Data Base'!D:D,'Data Base'!B:B)</f>
        <v>GE - Gestao De Engenharia</v>
      </c>
      <c r="C203" s="53" t="s">
        <v>209</v>
      </c>
      <c r="D203" s="53" t="str">
        <f>_xlfn.XLOOKUP(C203,'LD-ELFA'!F:F,'LD-ELFA'!H:H)</f>
        <v>AR-A1-1000-G-PB-4009</v>
      </c>
      <c r="E203" s="53">
        <f>_xlfn.XLOOKUP(C203,'Data Base'!D:D,'Data Base'!G:G)</f>
        <v>0</v>
      </c>
      <c r="F203" s="53" t="str">
        <f>_xlfn.XLOOKUP(C203,'LD-ELFA'!F:F,'LD-ELFA'!Q:Q)</f>
        <v>ATA - APRESENTAÇÃO PROJETO</v>
      </c>
      <c r="G203" s="56" t="str">
        <f>_xlfn.XLOOKUP(C203,'Data Base'!D:D,'Data Base'!R:R)</f>
        <v>Documento Removido</v>
      </c>
      <c r="H203" s="56" t="str">
        <f>_xlfn.XLOOKUP(C203,'Data Base'!D:D,'Data Base'!T:T)</f>
        <v>Documento Removido</v>
      </c>
      <c r="I203" s="56" t="str">
        <f t="shared" si="3"/>
        <v>NO PRAZO</v>
      </c>
    </row>
    <row r="204" spans="2:9" hidden="1" x14ac:dyDescent="0.25">
      <c r="B204" s="53" t="str">
        <f>_xlfn.XLOOKUP(C204,'Data Base'!D:D,'Data Base'!B:B)</f>
        <v>GE - Gestao De Engenharia</v>
      </c>
      <c r="C204" s="53" t="s">
        <v>210</v>
      </c>
      <c r="D204" s="53" t="str">
        <f>_xlfn.XLOOKUP(C204,'LD-ELFA'!F:F,'LD-ELFA'!H:H)</f>
        <v>AR-A1-1000-G-PB-4010</v>
      </c>
      <c r="E204" s="53">
        <f>_xlfn.XLOOKUP(C204,'Data Base'!D:D,'Data Base'!G:G)</f>
        <v>0</v>
      </c>
      <c r="F204" s="53" t="str">
        <f>_xlfn.XLOOKUP(C204,'LD-ELFA'!F:F,'LD-ELFA'!Q:Q)</f>
        <v>ATA - APRESENTAÇÃO PROJETO</v>
      </c>
      <c r="G204" s="56" t="str">
        <f>_xlfn.XLOOKUP(C204,'Data Base'!D:D,'Data Base'!R:R)</f>
        <v>Documento Removido</v>
      </c>
      <c r="H204" s="56" t="str">
        <f>_xlfn.XLOOKUP(C204,'Data Base'!D:D,'Data Base'!T:T)</f>
        <v>Documento Removido</v>
      </c>
      <c r="I204" s="56" t="str">
        <f t="shared" si="3"/>
        <v>NO PRAZO</v>
      </c>
    </row>
    <row r="205" spans="2:9" hidden="1" x14ac:dyDescent="0.25">
      <c r="B205" s="53" t="str">
        <f>_xlfn.XLOOKUP(C205,'Data Base'!D:D,'Data Base'!B:B)</f>
        <v>GE - Gestao De Engenharia</v>
      </c>
      <c r="C205" s="53" t="s">
        <v>211</v>
      </c>
      <c r="D205" s="53" t="str">
        <f>_xlfn.XLOOKUP(C205,'LD-ELFA'!F:F,'LD-ELFA'!H:H)</f>
        <v>AR-A1-1000-G-PB-4011</v>
      </c>
      <c r="E205" s="53">
        <f>_xlfn.XLOOKUP(C205,'Data Base'!D:D,'Data Base'!G:G)</f>
        <v>0</v>
      </c>
      <c r="F205" s="53" t="str">
        <f>_xlfn.XLOOKUP(C205,'LD-ELFA'!F:F,'LD-ELFA'!Q:Q)</f>
        <v>ATA - APRESENTAÇÃO PROJETO</v>
      </c>
      <c r="G205" s="56" t="str">
        <f>_xlfn.XLOOKUP(C205,'Data Base'!D:D,'Data Base'!R:R)</f>
        <v>Documento Removido</v>
      </c>
      <c r="H205" s="56" t="str">
        <f>_xlfn.XLOOKUP(C205,'Data Base'!D:D,'Data Base'!T:T)</f>
        <v>Documento Removido</v>
      </c>
      <c r="I205" s="56" t="str">
        <f t="shared" si="3"/>
        <v>NO PRAZO</v>
      </c>
    </row>
    <row r="206" spans="2:9" hidden="1" x14ac:dyDescent="0.25">
      <c r="B206" s="53" t="str">
        <f>_xlfn.XLOOKUP(C206,'Data Base'!D:D,'Data Base'!B:B)</f>
        <v>GE - Gestao De Engenharia</v>
      </c>
      <c r="C206" s="53" t="s">
        <v>212</v>
      </c>
      <c r="D206" s="53" t="str">
        <f>_xlfn.XLOOKUP(C206,'LD-ELFA'!F:F,'LD-ELFA'!H:H)</f>
        <v>AR-A1-1000-G-PB-4012</v>
      </c>
      <c r="E206" s="53">
        <f>_xlfn.XLOOKUP(C206,'Data Base'!D:D,'Data Base'!G:G)</f>
        <v>0</v>
      </c>
      <c r="F206" s="53" t="str">
        <f>_xlfn.XLOOKUP(C206,'LD-ELFA'!F:F,'LD-ELFA'!Q:Q)</f>
        <v>ATA - APRESENTAÇÃO PROJETO</v>
      </c>
      <c r="G206" s="56" t="str">
        <f>_xlfn.XLOOKUP(C206,'Data Base'!D:D,'Data Base'!R:R)</f>
        <v>Documento Removido</v>
      </c>
      <c r="H206" s="56" t="str">
        <f>_xlfn.XLOOKUP(C206,'Data Base'!D:D,'Data Base'!T:T)</f>
        <v>Documento Removido</v>
      </c>
      <c r="I206" s="56" t="str">
        <f t="shared" si="3"/>
        <v>NO PRAZO</v>
      </c>
    </row>
    <row r="207" spans="2:9" hidden="1" x14ac:dyDescent="0.25">
      <c r="B207" s="53" t="str">
        <f>_xlfn.XLOOKUP(C207,'Data Base'!D:D,'Data Base'!B:B)</f>
        <v>GE - Gestao De Engenharia</v>
      </c>
      <c r="C207" s="53" t="s">
        <v>213</v>
      </c>
      <c r="D207" s="53" t="str">
        <f>_xlfn.XLOOKUP(C207,'LD-ELFA'!F:F,'LD-ELFA'!H:H)</f>
        <v>AR-A1-1000-G-PB-4013</v>
      </c>
      <c r="E207" s="53">
        <f>_xlfn.XLOOKUP(C207,'Data Base'!D:D,'Data Base'!G:G)</f>
        <v>0</v>
      </c>
      <c r="F207" s="53" t="str">
        <f>_xlfn.XLOOKUP(C207,'LD-ELFA'!F:F,'LD-ELFA'!Q:Q)</f>
        <v>ATA - APRESENTAÇÃO PROJETO</v>
      </c>
      <c r="G207" s="56" t="str">
        <f>_xlfn.XLOOKUP(C207,'Data Base'!D:D,'Data Base'!R:R)</f>
        <v>Documento Removido</v>
      </c>
      <c r="H207" s="56" t="str">
        <f>_xlfn.XLOOKUP(C207,'Data Base'!D:D,'Data Base'!T:T)</f>
        <v>Documento Removido</v>
      </c>
      <c r="I207" s="56" t="str">
        <f t="shared" si="3"/>
        <v>NO PRAZO</v>
      </c>
    </row>
    <row r="208" spans="2:9" hidden="1" x14ac:dyDescent="0.25">
      <c r="B208" s="53" t="str">
        <f>_xlfn.XLOOKUP(C208,'Data Base'!D:D,'Data Base'!B:B)</f>
        <v>GE - Gestao De Engenharia</v>
      </c>
      <c r="C208" s="53" t="s">
        <v>214</v>
      </c>
      <c r="D208" s="53" t="str">
        <f>_xlfn.XLOOKUP(C208,'LD-ELFA'!F:F,'LD-ELFA'!H:H)</f>
        <v>AR-A1-1000-G-PB-4014</v>
      </c>
      <c r="E208" s="53">
        <f>_xlfn.XLOOKUP(C208,'Data Base'!D:D,'Data Base'!G:G)</f>
        <v>0</v>
      </c>
      <c r="F208" s="53" t="str">
        <f>_xlfn.XLOOKUP(C208,'LD-ELFA'!F:F,'LD-ELFA'!Q:Q)</f>
        <v>ATA - APRESENTAÇÃO PROJETO</v>
      </c>
      <c r="G208" s="56" t="str">
        <f>_xlfn.XLOOKUP(C208,'Data Base'!D:D,'Data Base'!R:R)</f>
        <v>Documento Removido</v>
      </c>
      <c r="H208" s="56" t="str">
        <f>_xlfn.XLOOKUP(C208,'Data Base'!D:D,'Data Base'!T:T)</f>
        <v>Documento Removido</v>
      </c>
      <c r="I208" s="56" t="str">
        <f t="shared" si="3"/>
        <v>NO PRAZO</v>
      </c>
    </row>
    <row r="209" spans="2:9" hidden="1" x14ac:dyDescent="0.25">
      <c r="B209" s="53" t="str">
        <f>_xlfn.XLOOKUP(C209,'Data Base'!D:D,'Data Base'!B:B)</f>
        <v>GE - Gestao De Engenharia</v>
      </c>
      <c r="C209" s="53" t="s">
        <v>215</v>
      </c>
      <c r="D209" s="53" t="str">
        <f>_xlfn.XLOOKUP(C209,'LD-ELFA'!F:F,'LD-ELFA'!H:H)</f>
        <v>AR-A1-1000-G-PB-4015</v>
      </c>
      <c r="E209" s="53">
        <f>_xlfn.XLOOKUP(C209,'Data Base'!D:D,'Data Base'!G:G)</f>
        <v>0</v>
      </c>
      <c r="F209" s="53" t="str">
        <f>_xlfn.XLOOKUP(C209,'LD-ELFA'!F:F,'LD-ELFA'!Q:Q)</f>
        <v>ATA - APRESENTAÇÃO PROJETO</v>
      </c>
      <c r="G209" s="56" t="str">
        <f>_xlfn.XLOOKUP(C209,'Data Base'!D:D,'Data Base'!R:R)</f>
        <v>Documento Removido</v>
      </c>
      <c r="H209" s="56" t="str">
        <f>_xlfn.XLOOKUP(C209,'Data Base'!D:D,'Data Base'!T:T)</f>
        <v>Documento Removido</v>
      </c>
      <c r="I209" s="56" t="str">
        <f t="shared" si="3"/>
        <v>NO PRAZO</v>
      </c>
    </row>
    <row r="210" spans="2:9" hidden="1" x14ac:dyDescent="0.25">
      <c r="B210" s="53" t="str">
        <f>_xlfn.XLOOKUP(C210,'Data Base'!D:D,'Data Base'!B:B)</f>
        <v>GE - Gestao De Engenharia</v>
      </c>
      <c r="C210" s="53" t="s">
        <v>216</v>
      </c>
      <c r="D210" s="53" t="str">
        <f>_xlfn.XLOOKUP(C210,'LD-ELFA'!F:F,'LD-ELFA'!H:H)</f>
        <v>AR-A1-1000-G-PB-4016</v>
      </c>
      <c r="E210" s="53">
        <f>_xlfn.XLOOKUP(C210,'Data Base'!D:D,'Data Base'!G:G)</f>
        <v>0</v>
      </c>
      <c r="F210" s="53" t="str">
        <f>_xlfn.XLOOKUP(C210,'LD-ELFA'!F:F,'LD-ELFA'!Q:Q)</f>
        <v>ATA - APRESENTAÇÃO PROJETO</v>
      </c>
      <c r="G210" s="56" t="str">
        <f>_xlfn.XLOOKUP(C210,'Data Base'!D:D,'Data Base'!R:R)</f>
        <v>Documento Removido</v>
      </c>
      <c r="H210" s="56" t="str">
        <f>_xlfn.XLOOKUP(C210,'Data Base'!D:D,'Data Base'!T:T)</f>
        <v>Documento Removido</v>
      </c>
      <c r="I210" s="56" t="str">
        <f t="shared" si="3"/>
        <v>NO PRAZO</v>
      </c>
    </row>
    <row r="211" spans="2:9" hidden="1" x14ac:dyDescent="0.25">
      <c r="B211" s="53" t="str">
        <f>_xlfn.XLOOKUP(C211,'Data Base'!D:D,'Data Base'!B:B)</f>
        <v>GE - Gestao De Engenharia</v>
      </c>
      <c r="C211" s="53" t="s">
        <v>217</v>
      </c>
      <c r="D211" s="53" t="str">
        <f>_xlfn.XLOOKUP(C211,'LD-ELFA'!F:F,'LD-ELFA'!H:H)</f>
        <v>AR-A1-1000-G-PB-4017</v>
      </c>
      <c r="E211" s="53">
        <f>_xlfn.XLOOKUP(C211,'Data Base'!D:D,'Data Base'!G:G)</f>
        <v>0</v>
      </c>
      <c r="F211" s="53" t="str">
        <f>_xlfn.XLOOKUP(C211,'LD-ELFA'!F:F,'LD-ELFA'!Q:Q)</f>
        <v>ATA - APRESENTAÇÃO PROJETO</v>
      </c>
      <c r="G211" s="56" t="str">
        <f>_xlfn.XLOOKUP(C211,'Data Base'!D:D,'Data Base'!R:R)</f>
        <v>Documento Removido</v>
      </c>
      <c r="H211" s="56" t="str">
        <f>_xlfn.XLOOKUP(C211,'Data Base'!D:D,'Data Base'!T:T)</f>
        <v>Documento Removido</v>
      </c>
      <c r="I211" s="56" t="str">
        <f t="shared" si="3"/>
        <v>NO PRAZO</v>
      </c>
    </row>
    <row r="212" spans="2:9" hidden="1" x14ac:dyDescent="0.25">
      <c r="B212" s="53" t="str">
        <f>_xlfn.XLOOKUP(C212,'Data Base'!D:D,'Data Base'!B:B)</f>
        <v>GE - Gestao De Engenharia</v>
      </c>
      <c r="C212" s="53" t="s">
        <v>218</v>
      </c>
      <c r="D212" s="53" t="str">
        <f>_xlfn.XLOOKUP(C212,'LD-ELFA'!F:F,'LD-ELFA'!H:H)</f>
        <v>AR-A1-1000-G-PB-4018</v>
      </c>
      <c r="E212" s="53">
        <f>_xlfn.XLOOKUP(C212,'Data Base'!D:D,'Data Base'!G:G)</f>
        <v>0</v>
      </c>
      <c r="F212" s="53" t="str">
        <f>_xlfn.XLOOKUP(C212,'LD-ELFA'!F:F,'LD-ELFA'!Q:Q)</f>
        <v>ATA - APRESENTAÇÃO PROJETO</v>
      </c>
      <c r="G212" s="56" t="str">
        <f>_xlfn.XLOOKUP(C212,'Data Base'!D:D,'Data Base'!R:R)</f>
        <v>Documento Removido</v>
      </c>
      <c r="H212" s="56" t="str">
        <f>_xlfn.XLOOKUP(C212,'Data Base'!D:D,'Data Base'!T:T)</f>
        <v>Documento Removido</v>
      </c>
      <c r="I212" s="56" t="str">
        <f t="shared" si="3"/>
        <v>NO PRAZO</v>
      </c>
    </row>
    <row r="213" spans="2:9" hidden="1" x14ac:dyDescent="0.25">
      <c r="B213" s="53" t="str">
        <f>_xlfn.XLOOKUP(C213,'Data Base'!D:D,'Data Base'!B:B)</f>
        <v>GE - Gestao De Engenharia</v>
      </c>
      <c r="C213" s="53" t="s">
        <v>219</v>
      </c>
      <c r="D213" s="53" t="str">
        <f>_xlfn.XLOOKUP(C213,'LD-ELFA'!F:F,'LD-ELFA'!H:H)</f>
        <v>AR-A1-1000-G-PB-4019</v>
      </c>
      <c r="E213" s="53">
        <f>_xlfn.XLOOKUP(C213,'Data Base'!D:D,'Data Base'!G:G)</f>
        <v>0</v>
      </c>
      <c r="F213" s="53" t="str">
        <f>_xlfn.XLOOKUP(C213,'LD-ELFA'!F:F,'LD-ELFA'!Q:Q)</f>
        <v>ATA - APRESENTAÇÃO PROJETO</v>
      </c>
      <c r="G213" s="56" t="str">
        <f>_xlfn.XLOOKUP(C213,'Data Base'!D:D,'Data Base'!R:R)</f>
        <v>Documento Removido</v>
      </c>
      <c r="H213" s="56" t="str">
        <f>_xlfn.XLOOKUP(C213,'Data Base'!D:D,'Data Base'!T:T)</f>
        <v>Documento Removido</v>
      </c>
      <c r="I213" s="56" t="str">
        <f t="shared" si="3"/>
        <v>NO PRAZO</v>
      </c>
    </row>
    <row r="214" spans="2:9" hidden="1" x14ac:dyDescent="0.25">
      <c r="B214" s="53" t="e">
        <f>_xlfn.XLOOKUP(C214,'Data Base'!D:D,'Data Base'!B:B)</f>
        <v>#N/A</v>
      </c>
      <c r="C214" s="53" t="s">
        <v>220</v>
      </c>
      <c r="D214" s="53" t="e">
        <f>_xlfn.XLOOKUP(C214,'LD-ELFA'!F:F,'LD-ELFA'!H:H)</f>
        <v>#N/A</v>
      </c>
      <c r="E214" s="53" t="e">
        <f>_xlfn.XLOOKUP(C214,'Data Base'!D:D,'Data Base'!G:G)</f>
        <v>#N/A</v>
      </c>
      <c r="F214" s="53" t="e">
        <f>_xlfn.XLOOKUP(C214,'LD-ELFA'!F:F,'LD-ELFA'!Q:Q)</f>
        <v>#N/A</v>
      </c>
      <c r="G214" s="56" t="str">
        <f>_xlfn.XLOOKUP(C214,'Data Base'!D:D,'Data Base'!R:R)</f>
        <v>Documento Removido</v>
      </c>
      <c r="H214" s="56" t="str">
        <f>_xlfn.XLOOKUP(C214,'Data Base'!D:D,'Data Base'!T:T)</f>
        <v>Documento Removido</v>
      </c>
      <c r="I214" s="56" t="str">
        <f t="shared" si="3"/>
        <v>NO PRAZO</v>
      </c>
    </row>
    <row r="215" spans="2:9" hidden="1" x14ac:dyDescent="0.25">
      <c r="B215" s="53" t="e">
        <f>_xlfn.XLOOKUP(C215,'Data Base'!D:D,'Data Base'!B:B)</f>
        <v>#N/A</v>
      </c>
      <c r="C215" s="53" t="s">
        <v>221</v>
      </c>
      <c r="D215" s="53" t="e">
        <f>_xlfn.XLOOKUP(C215,'LD-ELFA'!F:F,'LD-ELFA'!H:H)</f>
        <v>#N/A</v>
      </c>
      <c r="E215" s="53" t="e">
        <f>_xlfn.XLOOKUP(C215,'Data Base'!D:D,'Data Base'!G:G)</f>
        <v>#N/A</v>
      </c>
      <c r="F215" s="53" t="e">
        <f>_xlfn.XLOOKUP(C215,'LD-ELFA'!F:F,'LD-ELFA'!Q:Q)</f>
        <v>#N/A</v>
      </c>
      <c r="G215" s="56" t="str">
        <f>_xlfn.XLOOKUP(C215,'Data Base'!D:D,'Data Base'!R:R)</f>
        <v>Documento Removido</v>
      </c>
      <c r="H215" s="56" t="str">
        <f>_xlfn.XLOOKUP(C215,'Data Base'!D:D,'Data Base'!T:T)</f>
        <v>Documento Removido</v>
      </c>
      <c r="I215" s="56" t="str">
        <f t="shared" si="3"/>
        <v>NO PRAZO</v>
      </c>
    </row>
    <row r="216" spans="2:9" hidden="1" x14ac:dyDescent="0.25">
      <c r="B216" s="53" t="e">
        <f>_xlfn.XLOOKUP(C216,'Data Base'!D:D,'Data Base'!B:B)</f>
        <v>#N/A</v>
      </c>
      <c r="C216" s="53" t="s">
        <v>222</v>
      </c>
      <c r="D216" s="53" t="e">
        <f>_xlfn.XLOOKUP(C216,'LD-ELFA'!F:F,'LD-ELFA'!H:H)</f>
        <v>#N/A</v>
      </c>
      <c r="E216" s="53" t="e">
        <f>_xlfn.XLOOKUP(C216,'Data Base'!D:D,'Data Base'!G:G)</f>
        <v>#N/A</v>
      </c>
      <c r="F216" s="53" t="e">
        <f>_xlfn.XLOOKUP(C216,'LD-ELFA'!F:F,'LD-ELFA'!Q:Q)</f>
        <v>#N/A</v>
      </c>
      <c r="G216" s="56" t="str">
        <f>_xlfn.XLOOKUP(C216,'Data Base'!D:D,'Data Base'!R:R)</f>
        <v>Documento Removido</v>
      </c>
      <c r="H216" s="56" t="str">
        <f>_xlfn.XLOOKUP(C216,'Data Base'!D:D,'Data Base'!T:T)</f>
        <v>Documento Removido</v>
      </c>
      <c r="I216" s="56" t="str">
        <f t="shared" si="3"/>
        <v>NO PRAZO</v>
      </c>
    </row>
    <row r="217" spans="2:9" hidden="1" x14ac:dyDescent="0.25">
      <c r="B217" s="53" t="str">
        <f>_xlfn.XLOOKUP(C217,'Data Base'!D:D,'Data Base'!B:B)</f>
        <v>GP - Gestao De Projetos</v>
      </c>
      <c r="C217" s="53" t="s">
        <v>223</v>
      </c>
      <c r="D217" s="53" t="str">
        <f>_xlfn.XLOOKUP(C217,'LD-ELFA'!F:F,'LD-ELFA'!H:H)</f>
        <v>RL-A1-1000-G-PB-4002</v>
      </c>
      <c r="E217" s="53">
        <f>_xlfn.XLOOKUP(C217,'Data Base'!D:D,'Data Base'!G:G)</f>
        <v>1</v>
      </c>
      <c r="F217" s="53" t="str">
        <f>_xlfn.XLOOKUP(C217,'LD-ELFA'!F:F,'LD-ELFA'!Q:Q)</f>
        <v>NORMA DE COORDENAÇÃO</v>
      </c>
      <c r="G217" s="56" t="str">
        <f>_xlfn.XLOOKUP(C217,'Data Base'!D:D,'Data Base'!R:R)</f>
        <v>Documento Emitido</v>
      </c>
      <c r="H217" s="56" t="str">
        <f>_xlfn.XLOOKUP(C217,'Data Base'!D:D,'Data Base'!T:T)</f>
        <v>Documento Emitido</v>
      </c>
      <c r="I217" s="56" t="str">
        <f t="shared" si="3"/>
        <v>NO PRAZO</v>
      </c>
    </row>
    <row r="218" spans="2:9" hidden="1" x14ac:dyDescent="0.25">
      <c r="B218" s="53" t="str">
        <f>_xlfn.XLOOKUP(C218,'Data Base'!D:D,'Data Base'!B:B)</f>
        <v>GP - Gestao De Projetos</v>
      </c>
      <c r="C218" s="1" t="s">
        <v>224</v>
      </c>
      <c r="D218" s="53" t="str">
        <f>_xlfn.XLOOKUP(C218,'LD-ELFA'!F:F,'LD-ELFA'!H:H)</f>
        <v>RL-A1-1000-G-PB-4003</v>
      </c>
      <c r="E218" s="53">
        <f>_xlfn.XLOOKUP(C218,'Data Base'!D:D,'Data Base'!G:G)</f>
        <v>0</v>
      </c>
      <c r="F218" s="53" t="str">
        <f>_xlfn.XLOOKUP(C218,'LD-ELFA'!F:F,'LD-ELFA'!Q:Q)</f>
        <v>RELATÓRIO DE ACOMPANHAMENTO PARA PRÓXIMAS FASES</v>
      </c>
      <c r="G218" s="56">
        <f>_xlfn.XLOOKUP(C218,'Data Base'!D:D,'Data Base'!R:R)</f>
        <v>46275</v>
      </c>
      <c r="H218" s="56">
        <f>_xlfn.XLOOKUP(C218,'Data Base'!D:D,'Data Base'!T:T)</f>
        <v>46275</v>
      </c>
      <c r="I218" s="56" t="str">
        <f t="shared" si="3"/>
        <v>NO PRAZO</v>
      </c>
    </row>
    <row r="219" spans="2:9" hidden="1" x14ac:dyDescent="0.25">
      <c r="B219" s="53" t="str">
        <f>_xlfn.XLOOKUP(C219,'Data Base'!D:D,'Data Base'!B:B)</f>
        <v>ME - Mecanica</v>
      </c>
      <c r="C219" s="1" t="s">
        <v>225</v>
      </c>
      <c r="D219" s="53" t="str">
        <f>_xlfn.XLOOKUP(C219,'LD-ELFA'!F:F,'LD-ELFA'!H:H)</f>
        <v>DE-A1-1802-M-PB-0001</v>
      </c>
      <c r="E219" s="53">
        <f>_xlfn.XLOOKUP(C219,'Data Base'!D:D,'Data Base'!G:G)</f>
        <v>0</v>
      </c>
      <c r="F219" s="53" t="str">
        <f>_xlfn.XLOOKUP(C219,'LD-ELFA'!F:F,'LD-ELFA'!Q:Q)</f>
        <v>PLANTA DE LOCAÇÃO</v>
      </c>
      <c r="G219" s="56" t="str">
        <f>_xlfn.XLOOKUP(C219,'Data Base'!D:D,'Data Base'!R:R)</f>
        <v>Documento Emitido</v>
      </c>
      <c r="H219" s="56" t="str">
        <f>_xlfn.XLOOKUP(C219,'Data Base'!D:D,'Data Base'!T:T)</f>
        <v>Documento Emitido</v>
      </c>
      <c r="I219" s="56" t="str">
        <f t="shared" si="3"/>
        <v>NO PRAZO</v>
      </c>
    </row>
    <row r="220" spans="2:9" hidden="1" x14ac:dyDescent="0.25">
      <c r="B220" s="53" t="str">
        <f>_xlfn.XLOOKUP(C220,'Data Base'!D:D,'Data Base'!B:B)</f>
        <v>ME - Mecanica</v>
      </c>
      <c r="C220" s="1" t="s">
        <v>226</v>
      </c>
      <c r="D220" s="53" t="str">
        <f>_xlfn.XLOOKUP(C220,'LD-ELFA'!F:F,'LD-ELFA'!H:H)</f>
        <v>DE-A1-1000-M-PB-0001</v>
      </c>
      <c r="E220" s="53">
        <f>_xlfn.XLOOKUP(C220,'Data Base'!D:D,'Data Base'!G:G)</f>
        <v>0</v>
      </c>
      <c r="F220" s="53" t="str">
        <f>_xlfn.XLOOKUP(C220,'LD-ELFA'!F:F,'LD-ELFA'!Q:Q)</f>
        <v>PLANO DIRETOR</v>
      </c>
      <c r="G220" s="56">
        <f>_xlfn.XLOOKUP(C220,'Data Base'!D:D,'Data Base'!R:R)</f>
        <v>46275</v>
      </c>
      <c r="H220" s="56">
        <f>_xlfn.XLOOKUP(C220,'Data Base'!D:D,'Data Base'!T:T)</f>
        <v>46275</v>
      </c>
      <c r="I220" s="56" t="str">
        <f t="shared" si="3"/>
        <v>NO PRAZO</v>
      </c>
    </row>
    <row r="221" spans="2:9" x14ac:dyDescent="0.25">
      <c r="B221" s="53" t="str">
        <f>_xlfn.XLOOKUP(C221,'Data Base'!D:D,'Data Base'!B:B)</f>
        <v>ME - Mecanica</v>
      </c>
      <c r="C221" s="1" t="s">
        <v>227</v>
      </c>
      <c r="D221" s="53" t="str">
        <f>_xlfn.XLOOKUP(C221,'LD-ELFA'!F:F,'LD-ELFA'!H:H)</f>
        <v>ET-A1-1201-M-PB-4000</v>
      </c>
      <c r="E221" s="53">
        <f>_xlfn.XLOOKUP(C221,'Data Base'!D:D,'Data Base'!G:G)</f>
        <v>0</v>
      </c>
      <c r="F221" s="53" t="str">
        <f>_xlfn.XLOOKUP(C221,'LD-ELFA'!F:F,'LD-ELFA'!Q:Q)</f>
        <v>ESPECIFICAÇÃO TÉCNICA</v>
      </c>
      <c r="G221" s="56">
        <f>_xlfn.XLOOKUP(C221,'Data Base'!D:D,'Data Base'!R:R)</f>
        <v>46219</v>
      </c>
      <c r="H221" s="56">
        <f>_xlfn.XLOOKUP(C221,'Data Base'!D:D,'Data Base'!T:T)</f>
        <v>46212</v>
      </c>
      <c r="I221" s="56" t="str">
        <f t="shared" si="3"/>
        <v>ATRASADO</v>
      </c>
    </row>
    <row r="222" spans="2:9" hidden="1" x14ac:dyDescent="0.25">
      <c r="B222" s="53" t="str">
        <f>_xlfn.XLOOKUP(C222,'Data Base'!D:D,'Data Base'!B:B)</f>
        <v>ME - Mecanica</v>
      </c>
      <c r="C222" s="1" t="s">
        <v>228</v>
      </c>
      <c r="D222" s="53" t="str">
        <f>_xlfn.XLOOKUP(C222,'LD-ELFA'!F:F,'LD-ELFA'!H:H)</f>
        <v>ET-A1-1602-M-PB-4000</v>
      </c>
      <c r="E222" s="53">
        <f>_xlfn.XLOOKUP(C222,'Data Base'!D:D,'Data Base'!G:G)</f>
        <v>0</v>
      </c>
      <c r="F222" s="53" t="str">
        <f>_xlfn.XLOOKUP(C222,'LD-ELFA'!F:F,'LD-ELFA'!Q:Q)</f>
        <v>ESPECIFICAÇÃO TÉCNICA</v>
      </c>
      <c r="G222" s="56">
        <f>_xlfn.XLOOKUP(C222,'Data Base'!D:D,'Data Base'!R:R)</f>
        <v>46224</v>
      </c>
      <c r="H222" s="56">
        <f>_xlfn.XLOOKUP(C222,'Data Base'!D:D,'Data Base'!T:T)</f>
        <v>46223</v>
      </c>
      <c r="I222" s="56" t="str">
        <f t="shared" si="3"/>
        <v>ATRASADO</v>
      </c>
    </row>
    <row r="223" spans="2:9" hidden="1" x14ac:dyDescent="0.25">
      <c r="B223" s="53" t="str">
        <f>_xlfn.XLOOKUP(C223,'Data Base'!D:D,'Data Base'!B:B)</f>
        <v>ME - Mecanica</v>
      </c>
      <c r="C223" s="1" t="s">
        <v>229</v>
      </c>
      <c r="D223" s="53" t="str">
        <f>_xlfn.XLOOKUP(C223,'LD-ELFA'!F:F,'LD-ELFA'!H:H)</f>
        <v>ET-A1-1000-G-PB-0004</v>
      </c>
      <c r="E223" s="53">
        <f>_xlfn.XLOOKUP(C223,'Data Base'!D:D,'Data Base'!G:G)</f>
        <v>0</v>
      </c>
      <c r="F223" s="53" t="str">
        <f>_xlfn.XLOOKUP(C223,'LD-ELFA'!F:F,'LD-ELFA'!Q:Q)</f>
        <v>ESPECIFICAÇÃO DE SERVIÇO</v>
      </c>
      <c r="G223" s="56" t="str">
        <f>_xlfn.XLOOKUP(C223,'Data Base'!D:D,'Data Base'!R:R)</f>
        <v>Documento Emitido</v>
      </c>
      <c r="H223" s="56" t="str">
        <f>_xlfn.XLOOKUP(C223,'Data Base'!D:D,'Data Base'!T:T)</f>
        <v>Documento Emitido</v>
      </c>
      <c r="I223" s="56" t="str">
        <f t="shared" si="3"/>
        <v>NO PRAZO</v>
      </c>
    </row>
    <row r="224" spans="2:9" hidden="1" x14ac:dyDescent="0.25">
      <c r="B224" s="53" t="str">
        <f>_xlfn.XLOOKUP(C224,'Data Base'!D:D,'Data Base'!B:B)</f>
        <v>ME - Mecanica</v>
      </c>
      <c r="C224" s="1" t="s">
        <v>230</v>
      </c>
      <c r="D224" s="53" t="str">
        <f>_xlfn.XLOOKUP(C224,'LD-ELFA'!F:F,'LD-ELFA'!H:H)</f>
        <v>ET-A1-1411-M-PB-4000</v>
      </c>
      <c r="E224" s="53">
        <f>_xlfn.XLOOKUP(C224,'Data Base'!D:D,'Data Base'!G:G)</f>
        <v>0</v>
      </c>
      <c r="F224" s="53" t="str">
        <f>_xlfn.XLOOKUP(C224,'LD-ELFA'!F:F,'LD-ELFA'!Q:Q)</f>
        <v>ESPECIFICAÇÃO TÉCNICA</v>
      </c>
      <c r="G224" s="56">
        <f>_xlfn.XLOOKUP(C224,'Data Base'!D:D,'Data Base'!R:R)</f>
        <v>46223</v>
      </c>
      <c r="H224" s="56">
        <f>_xlfn.XLOOKUP(C224,'Data Base'!D:D,'Data Base'!T:T)</f>
        <v>46211</v>
      </c>
      <c r="I224" s="56" t="str">
        <f t="shared" si="3"/>
        <v>ATRASADO</v>
      </c>
    </row>
    <row r="225" spans="2:9" hidden="1" x14ac:dyDescent="0.25">
      <c r="B225" s="53" t="e">
        <f>_xlfn.XLOOKUP(C225,'Data Base'!D:D,'Data Base'!B:B)</f>
        <v>#N/A</v>
      </c>
      <c r="C225" s="1" t="s">
        <v>231</v>
      </c>
      <c r="D225" s="53" t="e">
        <f>_xlfn.XLOOKUP(C225,'LD-ELFA'!F:F,'LD-ELFA'!H:H)</f>
        <v>#N/A</v>
      </c>
      <c r="E225" s="53" t="e">
        <f>_xlfn.XLOOKUP(C225,'Data Base'!D:D,'Data Base'!G:G)</f>
        <v>#N/A</v>
      </c>
      <c r="F225" s="53" t="e">
        <f>_xlfn.XLOOKUP(C225,'LD-ELFA'!F:F,'LD-ELFA'!Q:Q)</f>
        <v>#N/A</v>
      </c>
      <c r="G225" s="56" t="str">
        <f>_xlfn.XLOOKUP(C225,'Data Base'!D:D,'Data Base'!R:R)</f>
        <v>Documento Removido</v>
      </c>
      <c r="H225" s="56" t="str">
        <f>_xlfn.XLOOKUP(C225,'Data Base'!D:D,'Data Base'!T:T)</f>
        <v>Documento Removido</v>
      </c>
      <c r="I225" s="56" t="str">
        <f t="shared" si="3"/>
        <v>NO PRAZO</v>
      </c>
    </row>
    <row r="226" spans="2:9" hidden="1" x14ac:dyDescent="0.25">
      <c r="B226" s="53" t="str">
        <f>_xlfn.XLOOKUP(C226,'Data Base'!D:D,'Data Base'!B:B)</f>
        <v>ME - Mecanica</v>
      </c>
      <c r="C226" s="1" t="s">
        <v>232</v>
      </c>
      <c r="D226" s="53" t="str">
        <f>_xlfn.XLOOKUP(C226,'LD-ELFA'!F:F,'LD-ELFA'!H:H)</f>
        <v>FD-A1-1000-M-PB-0004</v>
      </c>
      <c r="E226" s="53">
        <f>_xlfn.XLOOKUP(C226,'Data Base'!D:D,'Data Base'!G:G)</f>
        <v>0</v>
      </c>
      <c r="F226" s="53" t="str">
        <f>_xlfn.XLOOKUP(C226,'LD-ELFA'!F:F,'LD-ELFA'!Q:Q)</f>
        <v>FOLHA DE DADOS</v>
      </c>
      <c r="G226" s="56" t="str">
        <f>_xlfn.XLOOKUP(C226,'Data Base'!D:D,'Data Base'!R:R)</f>
        <v>Documento Emitido</v>
      </c>
      <c r="H226" s="56" t="str">
        <f>_xlfn.XLOOKUP(C226,'Data Base'!D:D,'Data Base'!T:T)</f>
        <v>Documento Emitido</v>
      </c>
      <c r="I226" s="56" t="str">
        <f t="shared" si="3"/>
        <v>NO PRAZO</v>
      </c>
    </row>
    <row r="227" spans="2:9" hidden="1" x14ac:dyDescent="0.25">
      <c r="B227" s="53" t="str">
        <f>_xlfn.XLOOKUP(C227,'Data Base'!D:D,'Data Base'!B:B)</f>
        <v>ME - Mecanica</v>
      </c>
      <c r="C227" s="1" t="s">
        <v>233</v>
      </c>
      <c r="D227" s="53" t="str">
        <f>_xlfn.XLOOKUP(C227,'LD-ELFA'!F:F,'LD-ELFA'!H:H)</f>
        <v>FD-A1-1411-M-PB-4000</v>
      </c>
      <c r="E227" s="53">
        <f>_xlfn.XLOOKUP(C227,'Data Base'!D:D,'Data Base'!G:G)</f>
        <v>0</v>
      </c>
      <c r="F227" s="53" t="str">
        <f>_xlfn.XLOOKUP(C227,'LD-ELFA'!F:F,'LD-ELFA'!Q:Q)</f>
        <v>FOLHA DE DADOS</v>
      </c>
      <c r="G227" s="56">
        <f>_xlfn.XLOOKUP(C227,'Data Base'!D:D,'Data Base'!R:R)</f>
        <v>46226</v>
      </c>
      <c r="H227" s="56">
        <f>_xlfn.XLOOKUP(C227,'Data Base'!D:D,'Data Base'!T:T)</f>
        <v>46216</v>
      </c>
      <c r="I227" s="56" t="str">
        <f t="shared" si="3"/>
        <v>ATRASADO</v>
      </c>
    </row>
    <row r="228" spans="2:9" hidden="1" x14ac:dyDescent="0.25">
      <c r="B228" s="53" t="e">
        <f>_xlfn.XLOOKUP(C228,'Data Base'!D:D,'Data Base'!B:B)</f>
        <v>#N/A</v>
      </c>
      <c r="C228" s="1" t="s">
        <v>234</v>
      </c>
      <c r="D228" s="53" t="e">
        <f>_xlfn.XLOOKUP(C228,'LD-ELFA'!F:F,'LD-ELFA'!H:H)</f>
        <v>#N/A</v>
      </c>
      <c r="E228" s="53" t="e">
        <f>_xlfn.XLOOKUP(C228,'Data Base'!D:D,'Data Base'!G:G)</f>
        <v>#N/A</v>
      </c>
      <c r="F228" s="53" t="e">
        <f>_xlfn.XLOOKUP(C228,'LD-ELFA'!F:F,'LD-ELFA'!Q:Q)</f>
        <v>#N/A</v>
      </c>
      <c r="G228" s="56" t="str">
        <f>_xlfn.XLOOKUP(C228,'Data Base'!D:D,'Data Base'!R:R)</f>
        <v>Documento Removido</v>
      </c>
      <c r="H228" s="56" t="str">
        <f>_xlfn.XLOOKUP(C228,'Data Base'!D:D,'Data Base'!T:T)</f>
        <v>Documento Removido</v>
      </c>
      <c r="I228" s="56" t="str">
        <f t="shared" si="3"/>
        <v>NO PRAZO</v>
      </c>
    </row>
    <row r="229" spans="2:9" hidden="1" x14ac:dyDescent="0.25">
      <c r="B229" s="53" t="str">
        <f>_xlfn.XLOOKUP(C229,'Data Base'!D:D,'Data Base'!B:B)</f>
        <v>ME - Mecanica</v>
      </c>
      <c r="C229" s="1" t="s">
        <v>235</v>
      </c>
      <c r="D229" s="53" t="str">
        <f>_xlfn.XLOOKUP(C229,'LD-ELFA'!F:F,'LD-ELFA'!H:H)</f>
        <v>FD-A1-1411-M-PB-4001</v>
      </c>
      <c r="E229" s="53">
        <f>_xlfn.XLOOKUP(C229,'Data Base'!D:D,'Data Base'!G:G)</f>
        <v>0</v>
      </c>
      <c r="F229" s="53" t="str">
        <f>_xlfn.XLOOKUP(C229,'LD-ELFA'!F:F,'LD-ELFA'!Q:Q)</f>
        <v>FOLHA DE DADOS</v>
      </c>
      <c r="G229" s="56">
        <f>_xlfn.XLOOKUP(C229,'Data Base'!D:D,'Data Base'!R:R)</f>
        <v>46223</v>
      </c>
      <c r="H229" s="56">
        <f>_xlfn.XLOOKUP(C229,'Data Base'!D:D,'Data Base'!T:T)</f>
        <v>46203</v>
      </c>
      <c r="I229" s="56" t="str">
        <f t="shared" si="3"/>
        <v>ATRASADO</v>
      </c>
    </row>
    <row r="230" spans="2:9" x14ac:dyDescent="0.25">
      <c r="B230" s="53" t="str">
        <f>_xlfn.XLOOKUP(C230,'Data Base'!D:D,'Data Base'!B:B)</f>
        <v>ME - Mecanica</v>
      </c>
      <c r="C230" s="1" t="s">
        <v>236</v>
      </c>
      <c r="D230" s="53" t="str">
        <f>_xlfn.XLOOKUP(C230,'LD-ELFA'!F:F,'LD-ELFA'!H:H)</f>
        <v>FD-A1-1201-M-PB-4000</v>
      </c>
      <c r="E230" s="53">
        <f>_xlfn.XLOOKUP(C230,'Data Base'!D:D,'Data Base'!G:G)</f>
        <v>0</v>
      </c>
      <c r="F230" s="53" t="str">
        <f>_xlfn.XLOOKUP(C230,'LD-ELFA'!F:F,'LD-ELFA'!Q:Q)</f>
        <v>ESPECIFICAÇÃO TÉCNICA</v>
      </c>
      <c r="G230" s="56">
        <f>_xlfn.XLOOKUP(C230,'Data Base'!D:D,'Data Base'!R:R)</f>
        <v>46219</v>
      </c>
      <c r="H230" s="56">
        <f>_xlfn.XLOOKUP(C230,'Data Base'!D:D,'Data Base'!T:T)</f>
        <v>46212</v>
      </c>
      <c r="I230" s="56" t="str">
        <f t="shared" si="3"/>
        <v>ATRASADO</v>
      </c>
    </row>
    <row r="231" spans="2:9" hidden="1" x14ac:dyDescent="0.25">
      <c r="B231" s="53" t="str">
        <f>_xlfn.XLOOKUP(C231,'Data Base'!D:D,'Data Base'!B:B)</f>
        <v>ME - Mecanica</v>
      </c>
      <c r="C231" s="1" t="s">
        <v>237</v>
      </c>
      <c r="D231" s="53" t="str">
        <f>_xlfn.XLOOKUP(C231,'LD-ELFA'!F:F,'LD-ELFA'!H:H)</f>
        <v>FD-A1-1602-M-PB-4000</v>
      </c>
      <c r="E231" s="53">
        <f>_xlfn.XLOOKUP(C231,'Data Base'!D:D,'Data Base'!G:G)</f>
        <v>0</v>
      </c>
      <c r="F231" s="53" t="str">
        <f>_xlfn.XLOOKUP(C231,'LD-ELFA'!F:F,'LD-ELFA'!Q:Q)</f>
        <v>FOLHA DE DADOS</v>
      </c>
      <c r="G231" s="56">
        <f>_xlfn.XLOOKUP(C231,'Data Base'!D:D,'Data Base'!R:R)</f>
        <v>46224</v>
      </c>
      <c r="H231" s="56">
        <f>_xlfn.XLOOKUP(C231,'Data Base'!D:D,'Data Base'!T:T)</f>
        <v>46223</v>
      </c>
      <c r="I231" s="56" t="str">
        <f t="shared" si="3"/>
        <v>ATRASADO</v>
      </c>
    </row>
    <row r="232" spans="2:9" hidden="1" x14ac:dyDescent="0.25">
      <c r="B232" s="53" t="str">
        <f>_xlfn.XLOOKUP(C232,'Data Base'!D:D,'Data Base'!B:B)</f>
        <v>ME - Mecanica</v>
      </c>
      <c r="C232" s="1" t="s">
        <v>238</v>
      </c>
      <c r="D232" s="53" t="str">
        <f>_xlfn.XLOOKUP(C232,'LD-ELFA'!F:F,'LD-ELFA'!H:H)</f>
        <v>LE-A1-1000-M-PB-0001</v>
      </c>
      <c r="E232" s="53">
        <f>_xlfn.XLOOKUP(C232,'Data Base'!D:D,'Data Base'!G:G)</f>
        <v>1</v>
      </c>
      <c r="F232" s="53" t="str">
        <f>_xlfn.XLOOKUP(C232,'LD-ELFA'!F:F,'LD-ELFA'!Q:Q)</f>
        <v>LISTA DE EQUIPAMENTOS MECÂNICOS</v>
      </c>
      <c r="G232" s="56" t="str">
        <f>_xlfn.XLOOKUP(C232,'Data Base'!D:D,'Data Base'!R:R)</f>
        <v>Documento Emitido</v>
      </c>
      <c r="H232" s="56" t="str">
        <f>_xlfn.XLOOKUP(C232,'Data Base'!D:D,'Data Base'!T:T)</f>
        <v>Documento Emitido</v>
      </c>
      <c r="I232" s="56" t="str">
        <f t="shared" si="3"/>
        <v>NO PRAZO</v>
      </c>
    </row>
    <row r="233" spans="2:9" hidden="1" x14ac:dyDescent="0.25">
      <c r="B233" s="53" t="e">
        <f>_xlfn.XLOOKUP(C233,'Data Base'!D:D,'Data Base'!B:B)</f>
        <v>#N/A</v>
      </c>
      <c r="C233" s="1" t="s">
        <v>239</v>
      </c>
      <c r="D233" s="53" t="e">
        <f>_xlfn.XLOOKUP(C233,'LD-ELFA'!F:F,'LD-ELFA'!H:H)</f>
        <v>#N/A</v>
      </c>
      <c r="E233" s="53" t="e">
        <f>_xlfn.XLOOKUP(C233,'Data Base'!D:D,'Data Base'!G:G)</f>
        <v>#N/A</v>
      </c>
      <c r="F233" s="53" t="e">
        <f>_xlfn.XLOOKUP(C233,'LD-ELFA'!F:F,'LD-ELFA'!Q:Q)</f>
        <v>#N/A</v>
      </c>
      <c r="G233" s="56" t="str">
        <f>_xlfn.XLOOKUP(C233,'Data Base'!D:D,'Data Base'!R:R)</f>
        <v>Documento Removido</v>
      </c>
      <c r="H233" s="56" t="str">
        <f>_xlfn.XLOOKUP(C233,'Data Base'!D:D,'Data Base'!T:T)</f>
        <v>Documento Removido</v>
      </c>
      <c r="I233" s="56" t="str">
        <f t="shared" si="3"/>
        <v>NO PRAZO</v>
      </c>
    </row>
    <row r="234" spans="2:9" hidden="1" x14ac:dyDescent="0.25">
      <c r="B234" s="53" t="str">
        <f>_xlfn.XLOOKUP(C234,'Data Base'!D:D,'Data Base'!B:B)</f>
        <v>ME - Mecanica</v>
      </c>
      <c r="C234" s="1" t="s">
        <v>240</v>
      </c>
      <c r="D234" s="53" t="str">
        <f>_xlfn.XLOOKUP(C234,'LD-ELFA'!F:F,'LD-ELFA'!H:H)</f>
        <v>MC-A1-1000-M-PB-0001</v>
      </c>
      <c r="E234" s="53">
        <f>_xlfn.XLOOKUP(C234,'Data Base'!D:D,'Data Base'!G:G)</f>
        <v>0</v>
      </c>
      <c r="F234" s="53" t="str">
        <f>_xlfn.XLOOKUP(C234,'LD-ELFA'!F:F,'LD-ELFA'!Q:Q)</f>
        <v>MEMÓRIA DE CÁLCULO</v>
      </c>
      <c r="G234" s="56">
        <f>_xlfn.XLOOKUP(C234,'Data Base'!D:D,'Data Base'!R:R)</f>
        <v>46255</v>
      </c>
      <c r="H234" s="56">
        <f>_xlfn.XLOOKUP(C234,'Data Base'!D:D,'Data Base'!T:T)</f>
        <v>46239</v>
      </c>
      <c r="I234" s="56" t="str">
        <f t="shared" si="3"/>
        <v>ATRASADO</v>
      </c>
    </row>
    <row r="235" spans="2:9" hidden="1" x14ac:dyDescent="0.25">
      <c r="B235" s="53" t="str">
        <f>_xlfn.XLOOKUP(C235,'Data Base'!D:D,'Data Base'!B:B)</f>
        <v>ME - Mecanica</v>
      </c>
      <c r="C235" s="1" t="s">
        <v>241</v>
      </c>
      <c r="D235" s="53" t="str">
        <f>_xlfn.XLOOKUP(C235,'LD-ELFA'!F:F,'LD-ELFA'!H:H)</f>
        <v>MC-A1-1000-M-PB-0002</v>
      </c>
      <c r="E235" s="53">
        <f>_xlfn.XLOOKUP(C235,'Data Base'!D:D,'Data Base'!G:G)</f>
        <v>0</v>
      </c>
      <c r="F235" s="53" t="str">
        <f>_xlfn.XLOOKUP(C235,'LD-ELFA'!F:F,'LD-ELFA'!Q:Q)</f>
        <v>MEMÓRIAL DE CÁLCULO</v>
      </c>
      <c r="G235" s="56" t="str">
        <f>_xlfn.XLOOKUP(C235,'Data Base'!D:D,'Data Base'!R:R)</f>
        <v>Documento Emitido</v>
      </c>
      <c r="H235" s="56" t="str">
        <f>_xlfn.XLOOKUP(C235,'Data Base'!D:D,'Data Base'!T:T)</f>
        <v>Documento Emitido</v>
      </c>
      <c r="I235" s="56" t="str">
        <f t="shared" si="3"/>
        <v>NO PRAZO</v>
      </c>
    </row>
    <row r="236" spans="2:9" hidden="1" x14ac:dyDescent="0.25">
      <c r="B236" s="53" t="e">
        <f>_xlfn.XLOOKUP(C236,'Data Base'!D:D,'Data Base'!B:B)</f>
        <v>#N/A</v>
      </c>
      <c r="C236" s="1" t="s">
        <v>242</v>
      </c>
      <c r="D236" s="53" t="e">
        <f>_xlfn.XLOOKUP(C236,'LD-ELFA'!F:F,'LD-ELFA'!H:H)</f>
        <v>#N/A</v>
      </c>
      <c r="E236" s="53" t="e">
        <f>_xlfn.XLOOKUP(C236,'Data Base'!D:D,'Data Base'!G:G)</f>
        <v>#N/A</v>
      </c>
      <c r="F236" s="53" t="e">
        <f>_xlfn.XLOOKUP(C236,'LD-ELFA'!F:F,'LD-ELFA'!Q:Q)</f>
        <v>#N/A</v>
      </c>
      <c r="G236" s="56" t="str">
        <f>_xlfn.XLOOKUP(C236,'Data Base'!D:D,'Data Base'!R:R)</f>
        <v>Documento Removido</v>
      </c>
      <c r="H236" s="56" t="str">
        <f>_xlfn.XLOOKUP(C236,'Data Base'!D:D,'Data Base'!T:T)</f>
        <v>Documento Removido</v>
      </c>
      <c r="I236" s="56" t="str">
        <f t="shared" si="3"/>
        <v>NO PRAZO</v>
      </c>
    </row>
    <row r="237" spans="2:9" hidden="1" x14ac:dyDescent="0.25">
      <c r="B237" s="53" t="str">
        <f>_xlfn.XLOOKUP(C237,'Data Base'!D:D,'Data Base'!B:B)</f>
        <v>ME - Mecanica</v>
      </c>
      <c r="C237" s="1" t="s">
        <v>243</v>
      </c>
      <c r="D237" s="53" t="str">
        <f>_xlfn.XLOOKUP(C237,'LD-ELFA'!F:F,'LD-ELFA'!H:H)</f>
        <v>MC-A1-1411-M-PB-4000</v>
      </c>
      <c r="E237" s="53">
        <f>_xlfn.XLOOKUP(C237,'Data Base'!D:D,'Data Base'!G:G)</f>
        <v>0</v>
      </c>
      <c r="F237" s="53" t="str">
        <f>_xlfn.XLOOKUP(C237,'LD-ELFA'!F:F,'LD-ELFA'!Q:Q)</f>
        <v>MEMÓRIA DE CÁLCULO</v>
      </c>
      <c r="G237" s="56">
        <f>_xlfn.XLOOKUP(C237,'Data Base'!D:D,'Data Base'!R:R)</f>
        <v>46232</v>
      </c>
      <c r="H237" s="56">
        <f>_xlfn.XLOOKUP(C237,'Data Base'!D:D,'Data Base'!T:T)</f>
        <v>46206</v>
      </c>
      <c r="I237" s="56" t="str">
        <f t="shared" si="3"/>
        <v>ATRASADO</v>
      </c>
    </row>
    <row r="238" spans="2:9" hidden="1" x14ac:dyDescent="0.25">
      <c r="B238" s="53" t="str">
        <f>_xlfn.XLOOKUP(C238,'Data Base'!D:D,'Data Base'!B:B)</f>
        <v>ME - Mecanica</v>
      </c>
      <c r="C238" s="1" t="s">
        <v>244</v>
      </c>
      <c r="D238" s="53" t="str">
        <f>_xlfn.XLOOKUP(C238,'LD-ELFA'!F:F,'LD-ELFA'!H:H)</f>
        <v>MC-A1-1411-M-PB-4001</v>
      </c>
      <c r="E238" s="53">
        <f>_xlfn.XLOOKUP(C238,'Data Base'!D:D,'Data Base'!G:G)</f>
        <v>0</v>
      </c>
      <c r="F238" s="53" t="str">
        <f>_xlfn.XLOOKUP(C238,'LD-ELFA'!F:F,'LD-ELFA'!Q:Q)</f>
        <v>MEMÓRIA DE CÁLCULO</v>
      </c>
      <c r="G238" s="56" t="str">
        <f>_xlfn.XLOOKUP(C238,'Data Base'!D:D,'Data Base'!R:R)</f>
        <v>Documento Emitido</v>
      </c>
      <c r="H238" s="56" t="str">
        <f>_xlfn.XLOOKUP(C238,'Data Base'!D:D,'Data Base'!T:T)</f>
        <v>Documento Emitido</v>
      </c>
      <c r="I238" s="56" t="str">
        <f t="shared" si="3"/>
        <v>NO PRAZO</v>
      </c>
    </row>
    <row r="239" spans="2:9" hidden="1" x14ac:dyDescent="0.25">
      <c r="B239" s="53" t="str">
        <f>_xlfn.XLOOKUP(C239,'Data Base'!D:D,'Data Base'!B:B)</f>
        <v>ME - Mecanica</v>
      </c>
      <c r="C239" s="1" t="s">
        <v>245</v>
      </c>
      <c r="D239" s="53" t="str">
        <f>_xlfn.XLOOKUP(C239,'LD-ELFA'!F:F,'LD-ELFA'!H:H)</f>
        <v>MC-A1-1411-M-PB-4002</v>
      </c>
      <c r="E239" s="53">
        <f>_xlfn.XLOOKUP(C239,'Data Base'!D:D,'Data Base'!G:G)</f>
        <v>0</v>
      </c>
      <c r="F239" s="53" t="str">
        <f>_xlfn.XLOOKUP(C239,'LD-ELFA'!F:F,'LD-ELFA'!Q:Q)</f>
        <v>MEMÓRIA DE CÁLCULO</v>
      </c>
      <c r="G239" s="56" t="str">
        <f>_xlfn.XLOOKUP(C239,'Data Base'!D:D,'Data Base'!R:R)</f>
        <v>Documento Emitido</v>
      </c>
      <c r="H239" s="56" t="str">
        <f>_xlfn.XLOOKUP(C239,'Data Base'!D:D,'Data Base'!T:T)</f>
        <v>Documento Emitido</v>
      </c>
      <c r="I239" s="56" t="str">
        <f t="shared" si="3"/>
        <v>NO PRAZO</v>
      </c>
    </row>
    <row r="240" spans="2:9" hidden="1" x14ac:dyDescent="0.25">
      <c r="B240" s="53" t="e">
        <f>_xlfn.XLOOKUP(C240,'Data Base'!D:D,'Data Base'!B:B)</f>
        <v>#N/A</v>
      </c>
      <c r="C240" s="1" t="s">
        <v>246</v>
      </c>
      <c r="D240" s="53" t="e">
        <f>_xlfn.XLOOKUP(C240,'LD-ELFA'!F:F,'LD-ELFA'!H:H)</f>
        <v>#N/A</v>
      </c>
      <c r="E240" s="53" t="e">
        <f>_xlfn.XLOOKUP(C240,'Data Base'!D:D,'Data Base'!G:G)</f>
        <v>#N/A</v>
      </c>
      <c r="F240" s="53" t="e">
        <f>_xlfn.XLOOKUP(C240,'LD-ELFA'!F:F,'LD-ELFA'!Q:Q)</f>
        <v>#N/A</v>
      </c>
      <c r="G240" s="56" t="str">
        <f>_xlfn.XLOOKUP(C240,'Data Base'!D:D,'Data Base'!R:R)</f>
        <v>Documento Removido</v>
      </c>
      <c r="H240" s="56" t="str">
        <f>_xlfn.XLOOKUP(C240,'Data Base'!D:D,'Data Base'!T:T)</f>
        <v>Documento Removido</v>
      </c>
      <c r="I240" s="56" t="str">
        <f t="shared" si="3"/>
        <v>NO PRAZO</v>
      </c>
    </row>
    <row r="241" spans="2:9" hidden="1" x14ac:dyDescent="0.25">
      <c r="B241" s="53" t="e">
        <f>_xlfn.XLOOKUP(C241,'Data Base'!D:D,'Data Base'!B:B)</f>
        <v>#N/A</v>
      </c>
      <c r="C241" s="1" t="s">
        <v>247</v>
      </c>
      <c r="D241" s="53" t="e">
        <f>_xlfn.XLOOKUP(C241,'LD-ELFA'!F:F,'LD-ELFA'!H:H)</f>
        <v>#N/A</v>
      </c>
      <c r="E241" s="53" t="e">
        <f>_xlfn.XLOOKUP(C241,'Data Base'!D:D,'Data Base'!G:G)</f>
        <v>#N/A</v>
      </c>
      <c r="F241" s="53" t="e">
        <f>_xlfn.XLOOKUP(C241,'LD-ELFA'!F:F,'LD-ELFA'!Q:Q)</f>
        <v>#N/A</v>
      </c>
      <c r="G241" s="56" t="str">
        <f>_xlfn.XLOOKUP(C241,'Data Base'!D:D,'Data Base'!R:R)</f>
        <v>Documento Removido</v>
      </c>
      <c r="H241" s="56" t="str">
        <f>_xlfn.XLOOKUP(C241,'Data Base'!D:D,'Data Base'!T:T)</f>
        <v>Documento Removido</v>
      </c>
      <c r="I241" s="56" t="str">
        <f t="shared" si="3"/>
        <v>NO PRAZO</v>
      </c>
    </row>
    <row r="242" spans="2:9" hidden="1" x14ac:dyDescent="0.25">
      <c r="B242" s="53" t="e">
        <f>_xlfn.XLOOKUP(C242,'Data Base'!D:D,'Data Base'!B:B)</f>
        <v>#N/A</v>
      </c>
      <c r="C242" s="1" t="s">
        <v>248</v>
      </c>
      <c r="D242" s="53" t="e">
        <f>_xlfn.XLOOKUP(C242,'LD-ELFA'!F:F,'LD-ELFA'!H:H)</f>
        <v>#N/A</v>
      </c>
      <c r="E242" s="53" t="e">
        <f>_xlfn.XLOOKUP(C242,'Data Base'!D:D,'Data Base'!G:G)</f>
        <v>#N/A</v>
      </c>
      <c r="F242" s="53" t="e">
        <f>_xlfn.XLOOKUP(C242,'LD-ELFA'!F:F,'LD-ELFA'!Q:Q)</f>
        <v>#N/A</v>
      </c>
      <c r="G242" s="56" t="str">
        <f>_xlfn.XLOOKUP(C242,'Data Base'!D:D,'Data Base'!R:R)</f>
        <v>Documento Removido</v>
      </c>
      <c r="H242" s="56" t="str">
        <f>_xlfn.XLOOKUP(C242,'Data Base'!D:D,'Data Base'!T:T)</f>
        <v>Documento Removido</v>
      </c>
      <c r="I242" s="56" t="str">
        <f t="shared" si="3"/>
        <v>NO PRAZO</v>
      </c>
    </row>
    <row r="243" spans="2:9" hidden="1" x14ac:dyDescent="0.25">
      <c r="B243" s="53" t="str">
        <f>_xlfn.XLOOKUP(C243,'Data Base'!D:D,'Data Base'!B:B)</f>
        <v>ME - Mecanica</v>
      </c>
      <c r="C243" s="1" t="s">
        <v>249</v>
      </c>
      <c r="D243" s="53" t="str">
        <f>_xlfn.XLOOKUP(C243,'LD-ELFA'!F:F,'LD-ELFA'!H:H)</f>
        <v>MC-A1-1001-M-PB-4000</v>
      </c>
      <c r="E243" s="53">
        <f>_xlfn.XLOOKUP(C243,'Data Base'!D:D,'Data Base'!G:G)</f>
        <v>0</v>
      </c>
      <c r="F243" s="53" t="str">
        <f>_xlfn.XLOOKUP(C243,'LD-ELFA'!F:F,'LD-ELFA'!Q:Q)</f>
        <v>MEMÓRIA DE CÁLCULO</v>
      </c>
      <c r="G243" s="56">
        <f>_xlfn.XLOOKUP(C243,'Data Base'!D:D,'Data Base'!R:R)</f>
        <v>46227</v>
      </c>
      <c r="H243" s="56">
        <f>_xlfn.XLOOKUP(C243,'Data Base'!D:D,'Data Base'!T:T)</f>
        <v>46224</v>
      </c>
      <c r="I243" s="56" t="str">
        <f t="shared" si="3"/>
        <v>ATRASADO</v>
      </c>
    </row>
    <row r="244" spans="2:9" hidden="1" x14ac:dyDescent="0.25">
      <c r="B244" s="53" t="str">
        <f>_xlfn.XLOOKUP(C244,'Data Base'!D:D,'Data Base'!B:B)</f>
        <v>ME - Mecanica</v>
      </c>
      <c r="C244" s="1" t="s">
        <v>250</v>
      </c>
      <c r="D244" s="53" t="str">
        <f>_xlfn.XLOOKUP(C244,'LD-ELFA'!F:F,'LD-ELFA'!H:H)</f>
        <v>MC-A1-1803-M-PB-0001</v>
      </c>
      <c r="E244" s="53">
        <f>_xlfn.XLOOKUP(C244,'Data Base'!D:D,'Data Base'!G:G)</f>
        <v>0</v>
      </c>
      <c r="F244" s="53" t="str">
        <f>_xlfn.XLOOKUP(C244,'LD-ELFA'!F:F,'LD-ELFA'!Q:Q)</f>
        <v>MEMÓRIA DE CÁLCULO</v>
      </c>
      <c r="G244" s="56">
        <f>_xlfn.XLOOKUP(C244,'Data Base'!D:D,'Data Base'!R:R)</f>
        <v>46248</v>
      </c>
      <c r="H244" s="56">
        <f>_xlfn.XLOOKUP(C244,'Data Base'!D:D,'Data Base'!T:T)</f>
        <v>46232</v>
      </c>
      <c r="I244" s="56" t="str">
        <f t="shared" si="3"/>
        <v>ATRASADO</v>
      </c>
    </row>
    <row r="245" spans="2:9" hidden="1" x14ac:dyDescent="0.25">
      <c r="B245" s="53" t="str">
        <f>_xlfn.XLOOKUP(C245,'Data Base'!D:D,'Data Base'!B:B)</f>
        <v>ME - Mecanica</v>
      </c>
      <c r="C245" s="1" t="s">
        <v>251</v>
      </c>
      <c r="D245" s="53" t="str">
        <f>_xlfn.XLOOKUP(C245,'LD-ELFA'!F:F,'LD-ELFA'!H:H)</f>
        <v>MC-A1-1000-M-PB-0003</v>
      </c>
      <c r="E245" s="53">
        <f>_xlfn.XLOOKUP(C245,'Data Base'!D:D,'Data Base'!G:G)</f>
        <v>0</v>
      </c>
      <c r="F245" s="53" t="str">
        <f>_xlfn.XLOOKUP(C245,'LD-ELFA'!F:F,'LD-ELFA'!Q:Q)</f>
        <v xml:space="preserve">MEMÓRIA DE CÁLCULO </v>
      </c>
      <c r="G245" s="56" t="str">
        <f>_xlfn.XLOOKUP(C245,'Data Base'!D:D,'Data Base'!R:R)</f>
        <v>Documento Emitido</v>
      </c>
      <c r="H245" s="56" t="str">
        <f>_xlfn.XLOOKUP(C245,'Data Base'!D:D,'Data Base'!T:T)</f>
        <v>Documento Emitido</v>
      </c>
      <c r="I245" s="56" t="str">
        <f t="shared" si="3"/>
        <v>NO PRAZO</v>
      </c>
    </row>
    <row r="246" spans="2:9" hidden="1" x14ac:dyDescent="0.25">
      <c r="B246" s="53" t="str">
        <f>_xlfn.XLOOKUP(C246,'Data Base'!D:D,'Data Base'!B:B)</f>
        <v>ME - Mecanica</v>
      </c>
      <c r="C246" s="1" t="s">
        <v>252</v>
      </c>
      <c r="D246" s="53" t="str">
        <f>_xlfn.XLOOKUP(C246,'LD-ELFA'!F:F,'LD-ELFA'!H:H)</f>
        <v>MC-A1-1316-M-PB-4000</v>
      </c>
      <c r="E246" s="53">
        <f>_xlfn.XLOOKUP(C246,'Data Base'!D:D,'Data Base'!G:G)</f>
        <v>0</v>
      </c>
      <c r="F246" s="53" t="str">
        <f>_xlfn.XLOOKUP(C246,'LD-ELFA'!F:F,'LD-ELFA'!Q:Q)</f>
        <v>MEMÓRIA DE CÁLCULO</v>
      </c>
      <c r="G246" s="56" t="str">
        <f>_xlfn.XLOOKUP(C246,'Data Base'!D:D,'Data Base'!R:R)</f>
        <v>Documento Emitido</v>
      </c>
      <c r="H246" s="56" t="str">
        <f>_xlfn.XLOOKUP(C246,'Data Base'!D:D,'Data Base'!T:T)</f>
        <v>Documento Emitido</v>
      </c>
      <c r="I246" s="56" t="str">
        <f t="shared" si="3"/>
        <v>NO PRAZO</v>
      </c>
    </row>
    <row r="247" spans="2:9" hidden="1" x14ac:dyDescent="0.25">
      <c r="B247" s="53" t="str">
        <f>_xlfn.XLOOKUP(C247,'Data Base'!D:D,'Data Base'!B:B)</f>
        <v>ME - Mecanica</v>
      </c>
      <c r="C247" s="1" t="s">
        <v>253</v>
      </c>
      <c r="D247" s="53" t="str">
        <f>_xlfn.XLOOKUP(C247,'LD-ELFA'!F:F,'LD-ELFA'!H:H)</f>
        <v>MC-A1-1201-M-PB-0001</v>
      </c>
      <c r="E247" s="53">
        <f>_xlfn.XLOOKUP(C247,'Data Base'!D:D,'Data Base'!G:G)</f>
        <v>0</v>
      </c>
      <c r="F247" s="53" t="str">
        <f>_xlfn.XLOOKUP(C247,'LD-ELFA'!F:F,'LD-ELFA'!Q:Q)</f>
        <v xml:space="preserve">MEMÓRIA DE CÁLCULO </v>
      </c>
      <c r="G247" s="56" t="str">
        <f>_xlfn.XLOOKUP(C247,'Data Base'!D:D,'Data Base'!R:R)</f>
        <v>Documento Emitido</v>
      </c>
      <c r="H247" s="56" t="str">
        <f>_xlfn.XLOOKUP(C247,'Data Base'!D:D,'Data Base'!T:T)</f>
        <v>Documento Emitido</v>
      </c>
      <c r="I247" s="56" t="str">
        <f t="shared" si="3"/>
        <v>NO PRAZO</v>
      </c>
    </row>
    <row r="248" spans="2:9" hidden="1" x14ac:dyDescent="0.25">
      <c r="B248" s="53" t="str">
        <f>_xlfn.XLOOKUP(C248,'Data Base'!D:D,'Data Base'!B:B)</f>
        <v>ME - Mecanica</v>
      </c>
      <c r="C248" s="1" t="s">
        <v>254</v>
      </c>
      <c r="D248" s="53" t="str">
        <f>_xlfn.XLOOKUP(C248,'LD-ELFA'!F:F,'LD-ELFA'!H:H)</f>
        <v>PQ-A1-1000-M-PB-0001</v>
      </c>
      <c r="E248" s="53">
        <f>_xlfn.XLOOKUP(C248,'Data Base'!D:D,'Data Base'!G:G)</f>
        <v>0</v>
      </c>
      <c r="F248" s="53" t="str">
        <f>_xlfn.XLOOKUP(C248,'LD-ELFA'!F:F,'LD-ELFA'!Q:Q)</f>
        <v>PLANILHA DE QUANTIDADES</v>
      </c>
      <c r="G248" s="56">
        <f>_xlfn.XLOOKUP(C248,'Data Base'!D:D,'Data Base'!R:R)</f>
        <v>46260</v>
      </c>
      <c r="H248" s="56">
        <f>_xlfn.XLOOKUP(C248,'Data Base'!D:D,'Data Base'!T:T)</f>
        <v>46265</v>
      </c>
      <c r="I248" s="56" t="str">
        <f t="shared" si="3"/>
        <v>NO PRAZO</v>
      </c>
    </row>
    <row r="249" spans="2:9" hidden="1" x14ac:dyDescent="0.25">
      <c r="B249" s="53" t="str">
        <f>_xlfn.XLOOKUP(C249,'Data Base'!D:D,'Data Base'!B:B)</f>
        <v>ME - Mecanica</v>
      </c>
      <c r="C249" s="1" t="s">
        <v>255</v>
      </c>
      <c r="D249" s="53" t="str">
        <f>_xlfn.XLOOKUP(C249,'LD-ELFA'!F:F,'LD-ELFA'!H:H)</f>
        <v>PQ-A1-1000-M-PB-0002</v>
      </c>
      <c r="E249" s="53">
        <f>_xlfn.XLOOKUP(C249,'Data Base'!D:D,'Data Base'!G:G)</f>
        <v>0</v>
      </c>
      <c r="F249" s="53" t="str">
        <f>_xlfn.XLOOKUP(C249,'LD-ELFA'!F:F,'LD-ELFA'!Q:Q)</f>
        <v>PLANILHA DE QUANTIDADES</v>
      </c>
      <c r="G249" s="56">
        <f>_xlfn.XLOOKUP(C249,'Data Base'!D:D,'Data Base'!R:R)</f>
        <v>46260</v>
      </c>
      <c r="H249" s="56">
        <f>_xlfn.XLOOKUP(C249,'Data Base'!D:D,'Data Base'!T:T)</f>
        <v>46265</v>
      </c>
      <c r="I249" s="56" t="str">
        <f t="shared" si="3"/>
        <v>NO PRAZO</v>
      </c>
    </row>
    <row r="250" spans="2:9" hidden="1" x14ac:dyDescent="0.25">
      <c r="B250" s="53" t="str">
        <f>_xlfn.XLOOKUP(C250,'Data Base'!D:D,'Data Base'!B:B)</f>
        <v>ME - Mecanica</v>
      </c>
      <c r="C250" s="1" t="s">
        <v>256</v>
      </c>
      <c r="D250" s="53" t="str">
        <f>_xlfn.XLOOKUP(C250,'LD-ELFA'!F:F,'LD-ELFA'!H:H)</f>
        <v>PQ-A1-1000-G-PB-0005</v>
      </c>
      <c r="E250" s="53">
        <f>_xlfn.XLOOKUP(C250,'Data Base'!D:D,'Data Base'!G:G)</f>
        <v>0</v>
      </c>
      <c r="F250" s="53" t="str">
        <f>_xlfn.XLOOKUP(C250,'LD-ELFA'!F:F,'LD-ELFA'!Q:Q)</f>
        <v>PLANILHA QUANTIDADES</v>
      </c>
      <c r="G250" s="56">
        <f>_xlfn.XLOOKUP(C250,'Data Base'!D:D,'Data Base'!R:R)</f>
        <v>46260</v>
      </c>
      <c r="H250" s="56">
        <f>_xlfn.XLOOKUP(C250,'Data Base'!D:D,'Data Base'!T:T)</f>
        <v>46265</v>
      </c>
      <c r="I250" s="56" t="str">
        <f t="shared" si="3"/>
        <v>NO PRAZO</v>
      </c>
    </row>
    <row r="251" spans="2:9" hidden="1" x14ac:dyDescent="0.25">
      <c r="B251" s="53" t="str">
        <f>_xlfn.XLOOKUP(C251,'Data Base'!D:D,'Data Base'!B:B)</f>
        <v>PC - Planejamento E Controle</v>
      </c>
      <c r="C251" s="1" t="s">
        <v>257</v>
      </c>
      <c r="D251" s="53" t="str">
        <f>_xlfn.XLOOKUP(C251,'LD-ELFA'!F:F,'LD-ELFA'!H:H)</f>
        <v>CR-A1-1000-F-PB-4000</v>
      </c>
      <c r="E251" s="53">
        <f>_xlfn.XLOOKUP(C251,'Data Base'!D:D,'Data Base'!G:G)</f>
        <v>1</v>
      </c>
      <c r="F251" s="53" t="str">
        <f>_xlfn.XLOOKUP(C251,'LD-ELFA'!F:F,'LD-ELFA'!Q:Q)</f>
        <v>CRONOGRAMA DETALHADO</v>
      </c>
      <c r="G251" s="56" t="str">
        <f>_xlfn.XLOOKUP(C251,'Data Base'!D:D,'Data Base'!R:R)</f>
        <v>Documento Emitido</v>
      </c>
      <c r="H251" s="56" t="str">
        <f>_xlfn.XLOOKUP(C251,'Data Base'!D:D,'Data Base'!T:T)</f>
        <v>Documento Emitido</v>
      </c>
      <c r="I251" s="56" t="str">
        <f t="shared" si="3"/>
        <v>NO PRAZO</v>
      </c>
    </row>
    <row r="252" spans="2:9" hidden="1" x14ac:dyDescent="0.25">
      <c r="B252" s="53" t="str">
        <f>_xlfn.XLOOKUP(C252,'Data Base'!D:D,'Data Base'!B:B)</f>
        <v>TU - Tubulacao</v>
      </c>
      <c r="C252" s="1" t="s">
        <v>258</v>
      </c>
      <c r="D252" s="53" t="str">
        <f>_xlfn.XLOOKUP(C252,'LD-ELFA'!F:F,'LD-ELFA'!H:H)</f>
        <v>EG-A1-1000-T-PB-0001</v>
      </c>
      <c r="E252" s="53">
        <f>_xlfn.XLOOKUP(C252,'Data Base'!D:D,'Data Base'!G:G)</f>
        <v>0</v>
      </c>
      <c r="F252" s="53" t="str">
        <f>_xlfn.XLOOKUP(C252,'LD-ELFA'!F:F,'LD-ELFA'!Q:Q)</f>
        <v>ESPECIFICAÇÃO GERAL</v>
      </c>
      <c r="G252" s="56">
        <f>_xlfn.XLOOKUP(C252,'Data Base'!D:D,'Data Base'!R:R)</f>
        <v>46259</v>
      </c>
      <c r="H252" s="56">
        <f>_xlfn.XLOOKUP(C252,'Data Base'!D:D,'Data Base'!T:T)</f>
        <v>46255</v>
      </c>
      <c r="I252" s="56" t="str">
        <f t="shared" si="3"/>
        <v>ATRASADO</v>
      </c>
    </row>
    <row r="253" spans="2:9" hidden="1" x14ac:dyDescent="0.25">
      <c r="B253" s="53" t="e">
        <f>_xlfn.XLOOKUP(C253,'Data Base'!D:D,'Data Base'!B:B)</f>
        <v>#N/A</v>
      </c>
      <c r="C253" s="1" t="s">
        <v>259</v>
      </c>
      <c r="D253" s="53" t="e">
        <f>_xlfn.XLOOKUP(C253,'LD-ELFA'!F:F,'LD-ELFA'!H:H)</f>
        <v>#N/A</v>
      </c>
      <c r="E253" s="53" t="e">
        <f>_xlfn.XLOOKUP(C253,'Data Base'!D:D,'Data Base'!G:G)</f>
        <v>#N/A</v>
      </c>
      <c r="F253" s="53" t="e">
        <f>_xlfn.XLOOKUP(C253,'LD-ELFA'!F:F,'LD-ELFA'!Q:Q)</f>
        <v>#N/A</v>
      </c>
      <c r="G253" s="56" t="str">
        <f>_xlfn.XLOOKUP(C253,'Data Base'!D:D,'Data Base'!R:R)</f>
        <v>Documento Removido</v>
      </c>
      <c r="H253" s="56" t="str">
        <f>_xlfn.XLOOKUP(C253,'Data Base'!D:D,'Data Base'!T:T)</f>
        <v>Documento Removido</v>
      </c>
      <c r="I253" s="56" t="str">
        <f t="shared" si="3"/>
        <v>NO PRAZO</v>
      </c>
    </row>
    <row r="254" spans="2:9" hidden="1" x14ac:dyDescent="0.25">
      <c r="B254" s="53" t="str">
        <f>_xlfn.XLOOKUP(C254,'Data Base'!D:D,'Data Base'!B:B)</f>
        <v>TU - Tubulacao</v>
      </c>
      <c r="C254" s="1" t="s">
        <v>260</v>
      </c>
      <c r="D254" s="53" t="str">
        <f>_xlfn.XLOOKUP(C254,'LD-ELFA'!F:F,'LD-ELFA'!H:H)</f>
        <v>MC-A1-1000-T-PB-0001</v>
      </c>
      <c r="E254" s="53">
        <f>_xlfn.XLOOKUP(C254,'Data Base'!D:D,'Data Base'!G:G)</f>
        <v>0</v>
      </c>
      <c r="F254" s="53" t="str">
        <f>_xlfn.XLOOKUP(C254,'LD-ELFA'!F:F,'LD-ELFA'!Q:Q)</f>
        <v>MEMÓRIA DE CÁLCULO</v>
      </c>
      <c r="G254" s="56">
        <f>_xlfn.XLOOKUP(C254,'Data Base'!D:D,'Data Base'!R:R)</f>
        <v>46252</v>
      </c>
      <c r="H254" s="56">
        <f>_xlfn.XLOOKUP(C254,'Data Base'!D:D,'Data Base'!T:T)</f>
        <v>46248</v>
      </c>
      <c r="I254" s="56" t="str">
        <f t="shared" si="3"/>
        <v>ATRASADO</v>
      </c>
    </row>
    <row r="255" spans="2:9" hidden="1" x14ac:dyDescent="0.25">
      <c r="B255" s="53" t="str">
        <f>_xlfn.XLOOKUP(C255,'Data Base'!D:D,'Data Base'!B:B)</f>
        <v>TU - Tubulacao</v>
      </c>
      <c r="C255" s="1" t="s">
        <v>261</v>
      </c>
      <c r="D255" s="53" t="str">
        <f>_xlfn.XLOOKUP(C255,'LD-ELFA'!F:F,'LD-ELFA'!H:H)</f>
        <v>PQ-A1-1000-T-PB-0001</v>
      </c>
      <c r="E255" s="53">
        <f>_xlfn.XLOOKUP(C255,'Data Base'!D:D,'Data Base'!G:G)</f>
        <v>0</v>
      </c>
      <c r="F255" s="53" t="str">
        <f>_xlfn.XLOOKUP(C255,'LD-ELFA'!F:F,'LD-ELFA'!Q:Q)</f>
        <v>PLANILHA DE QUANTIDADES</v>
      </c>
      <c r="G255" s="56">
        <f>_xlfn.XLOOKUP(C255,'Data Base'!D:D,'Data Base'!R:R)</f>
        <v>46267</v>
      </c>
      <c r="H255" s="56">
        <f>_xlfn.XLOOKUP(C255,'Data Base'!D:D,'Data Base'!T:T)</f>
        <v>46265</v>
      </c>
      <c r="I255" s="56" t="str">
        <f t="shared" si="3"/>
        <v>ATRASADO</v>
      </c>
    </row>
    <row r="256" spans="2:9" hidden="1" x14ac:dyDescent="0.25">
      <c r="B256" s="53" t="str">
        <f>_xlfn.XLOOKUP(C256,'Data Base'!D:D,'Data Base'!B:B)</f>
        <v>UT - Sistema De Utilidades</v>
      </c>
      <c r="C256" s="1" t="s">
        <v>262</v>
      </c>
      <c r="D256" s="53" t="str">
        <f>_xlfn.XLOOKUP(C256,'LD-ELFA'!F:F,'LD-ELFA'!H:H)</f>
        <v>ET-A1-1803-M-PB-0001</v>
      </c>
      <c r="E256" s="53">
        <f>_xlfn.XLOOKUP(C256,'Data Base'!D:D,'Data Base'!G:G)</f>
        <v>0</v>
      </c>
      <c r="F256" s="53" t="str">
        <f>_xlfn.XLOOKUP(C256,'LD-ELFA'!F:F,'LD-ELFA'!Q:Q)</f>
        <v>ESPECIFICAÇÃO TÉCNICA</v>
      </c>
      <c r="G256" s="56">
        <f>_xlfn.XLOOKUP(C256,'Data Base'!D:D,'Data Base'!R:R)</f>
        <v>46239</v>
      </c>
      <c r="H256" s="56">
        <f>_xlfn.XLOOKUP(C256,'Data Base'!D:D,'Data Base'!T:T)</f>
        <v>46247</v>
      </c>
      <c r="I256" s="56" t="str">
        <f t="shared" si="3"/>
        <v>NO PRAZO</v>
      </c>
    </row>
    <row r="257" spans="2:9" hidden="1" x14ac:dyDescent="0.25">
      <c r="B257" s="53" t="str">
        <f>_xlfn.XLOOKUP(C257,'Data Base'!D:D,'Data Base'!B:B)</f>
        <v>UT - Sistema De Utilidades</v>
      </c>
      <c r="C257" s="1" t="s">
        <v>263</v>
      </c>
      <c r="D257" s="53" t="str">
        <f>_xlfn.XLOOKUP(C257,'LD-ELFA'!F:F,'LD-ELFA'!H:H)</f>
        <v>ET-A1-1805-M-PB-0001</v>
      </c>
      <c r="E257" s="53">
        <f>_xlfn.XLOOKUP(C257,'Data Base'!D:D,'Data Base'!G:G)</f>
        <v>0</v>
      </c>
      <c r="F257" s="53" t="str">
        <f>_xlfn.XLOOKUP(C257,'LD-ELFA'!F:F,'LD-ELFA'!Q:Q)</f>
        <v>ESPECIFICAÇÃO TÉCNICA</v>
      </c>
      <c r="G257" s="56">
        <f>_xlfn.XLOOKUP(C257,'Data Base'!D:D,'Data Base'!R:R)</f>
        <v>46239</v>
      </c>
      <c r="H257" s="56">
        <f>_xlfn.XLOOKUP(C257,'Data Base'!D:D,'Data Base'!T:T)</f>
        <v>46245</v>
      </c>
      <c r="I257" s="56" t="str">
        <f t="shared" si="3"/>
        <v>NO PRAZO</v>
      </c>
    </row>
    <row r="258" spans="2:9" hidden="1" x14ac:dyDescent="0.25">
      <c r="B258" s="53" t="str">
        <f>_xlfn.XLOOKUP(C258,'Data Base'!D:D,'Data Base'!B:B)</f>
        <v>UT - Sistema De Utilidades</v>
      </c>
      <c r="C258" s="1" t="s">
        <v>264</v>
      </c>
      <c r="D258" s="53" t="str">
        <f>_xlfn.XLOOKUP(C258,'LD-ELFA'!F:F,'LD-ELFA'!H:H)</f>
        <v>FD-A1-1803-M-PB-0001</v>
      </c>
      <c r="E258" s="53">
        <f>_xlfn.XLOOKUP(C258,'Data Base'!D:D,'Data Base'!G:G)</f>
        <v>0</v>
      </c>
      <c r="F258" s="53" t="str">
        <f>_xlfn.XLOOKUP(C258,'LD-ELFA'!F:F,'LD-ELFA'!Q:Q)</f>
        <v>FOLHA DE DADOS</v>
      </c>
      <c r="G258" s="56">
        <f>_xlfn.XLOOKUP(C258,'Data Base'!D:D,'Data Base'!R:R)</f>
        <v>46244</v>
      </c>
      <c r="H258" s="56">
        <f>_xlfn.XLOOKUP(C258,'Data Base'!D:D,'Data Base'!T:T)</f>
        <v>46252</v>
      </c>
      <c r="I258" s="56" t="str">
        <f t="shared" si="3"/>
        <v>NO PRAZO</v>
      </c>
    </row>
    <row r="259" spans="2:9" hidden="1" x14ac:dyDescent="0.25">
      <c r="B259" s="53" t="str">
        <f>_xlfn.XLOOKUP(C259,'Data Base'!D:D,'Data Base'!B:B)</f>
        <v>UT - Sistema De Utilidades</v>
      </c>
      <c r="C259" s="1" t="s">
        <v>265</v>
      </c>
      <c r="D259" s="53" t="str">
        <f>_xlfn.XLOOKUP(C259,'LD-ELFA'!F:F,'LD-ELFA'!H:H)</f>
        <v>DE-A1-1000-U-PB-0013</v>
      </c>
      <c r="E259" s="53">
        <f>_xlfn.XLOOKUP(C259,'Data Base'!D:D,'Data Base'!G:G)</f>
        <v>0</v>
      </c>
      <c r="F259" s="53" t="str">
        <f>_xlfn.XLOOKUP(C259,'LD-ELFA'!F:F,'LD-ELFA'!Q:Q)</f>
        <v>FLUXOGRAMA DE ENGENHARIA - P&amp;ID</v>
      </c>
      <c r="G259" s="56">
        <f>_xlfn.XLOOKUP(C259,'Data Base'!D:D,'Data Base'!R:R)</f>
        <v>46246</v>
      </c>
      <c r="H259" s="56">
        <f>_xlfn.XLOOKUP(C259,'Data Base'!D:D,'Data Base'!T:T)</f>
        <v>46213</v>
      </c>
      <c r="I259" s="56" t="str">
        <f t="shared" ref="I259:I322" si="4">IF(G259&gt;H259,"ATRASADO","NO PRAZO")</f>
        <v>ATRASADO</v>
      </c>
    </row>
    <row r="260" spans="2:9" hidden="1" x14ac:dyDescent="0.25">
      <c r="B260" s="53" t="str">
        <f>_xlfn.XLOOKUP(C260,'Data Base'!D:D,'Data Base'!B:B)</f>
        <v>UT - Sistema De Utilidades</v>
      </c>
      <c r="C260" s="1" t="s">
        <v>266</v>
      </c>
      <c r="D260" s="53" t="str">
        <f>_xlfn.XLOOKUP(C260,'LD-ELFA'!F:F,'LD-ELFA'!H:H)</f>
        <v>DE-A1-1802-U-PB-0001</v>
      </c>
      <c r="E260" s="53">
        <f>_xlfn.XLOOKUP(C260,'Data Base'!D:D,'Data Base'!G:G)</f>
        <v>0</v>
      </c>
      <c r="F260" s="53" t="str">
        <f>_xlfn.XLOOKUP(C260,'LD-ELFA'!F:F,'LD-ELFA'!Q:Q)</f>
        <v>FLUXOGRAMA DE ENGENHARIA - P&amp;ID</v>
      </c>
      <c r="G260" s="56">
        <f>_xlfn.XLOOKUP(C260,'Data Base'!D:D,'Data Base'!R:R)</f>
        <v>46237</v>
      </c>
      <c r="H260" s="56">
        <f>_xlfn.XLOOKUP(C260,'Data Base'!D:D,'Data Base'!T:T)</f>
        <v>46241</v>
      </c>
      <c r="I260" s="56" t="str">
        <f t="shared" si="4"/>
        <v>NO PRAZO</v>
      </c>
    </row>
    <row r="261" spans="2:9" hidden="1" x14ac:dyDescent="0.25">
      <c r="B261" s="53" t="str">
        <f>_xlfn.XLOOKUP(C261,'Data Base'!D:D,'Data Base'!B:B)</f>
        <v>UT - Sistema De Utilidades</v>
      </c>
      <c r="C261" s="1" t="s">
        <v>267</v>
      </c>
      <c r="D261" s="53" t="str">
        <f>_xlfn.XLOOKUP(C261,'LD-ELFA'!F:F,'LD-ELFA'!H:H)</f>
        <v>DE-A1-1803-U-PB-0001</v>
      </c>
      <c r="E261" s="53">
        <f>_xlfn.XLOOKUP(C261,'Data Base'!D:D,'Data Base'!G:G)</f>
        <v>0</v>
      </c>
      <c r="F261" s="53" t="str">
        <f>_xlfn.XLOOKUP(C261,'LD-ELFA'!F:F,'LD-ELFA'!Q:Q)</f>
        <v>FLUXOGRAMA DE ENGENHARIA - P&amp;ID</v>
      </c>
      <c r="G261" s="56">
        <f>_xlfn.XLOOKUP(C261,'Data Base'!D:D,'Data Base'!R:R)</f>
        <v>46225</v>
      </c>
      <c r="H261" s="56">
        <f>_xlfn.XLOOKUP(C261,'Data Base'!D:D,'Data Base'!T:T)</f>
        <v>46233</v>
      </c>
      <c r="I261" s="56" t="str">
        <f t="shared" si="4"/>
        <v>NO PRAZO</v>
      </c>
    </row>
    <row r="262" spans="2:9" hidden="1" x14ac:dyDescent="0.25">
      <c r="B262" s="53" t="str">
        <f>_xlfn.XLOOKUP(C262,'Data Base'!D:D,'Data Base'!B:B)</f>
        <v>UT - Sistema De Utilidades</v>
      </c>
      <c r="C262" s="1" t="s">
        <v>268</v>
      </c>
      <c r="D262" s="53" t="str">
        <f>_xlfn.XLOOKUP(C262,'LD-ELFA'!F:F,'LD-ELFA'!H:H)</f>
        <v>DE-A1-1803-U-PB-0002</v>
      </c>
      <c r="E262" s="53">
        <f>_xlfn.XLOOKUP(C262,'Data Base'!D:D,'Data Base'!G:G)</f>
        <v>0</v>
      </c>
      <c r="F262" s="53" t="str">
        <f>_xlfn.XLOOKUP(C262,'LD-ELFA'!F:F,'LD-ELFA'!Q:Q)</f>
        <v>FLUXOGRAMA DE ENGENHARIA - P&amp;ID</v>
      </c>
      <c r="G262" s="56">
        <f>_xlfn.XLOOKUP(C262,'Data Base'!D:D,'Data Base'!R:R)</f>
        <v>46230</v>
      </c>
      <c r="H262" s="56">
        <f>_xlfn.XLOOKUP(C262,'Data Base'!D:D,'Data Base'!T:T)</f>
        <v>46238</v>
      </c>
      <c r="I262" s="56" t="str">
        <f t="shared" si="4"/>
        <v>NO PRAZO</v>
      </c>
    </row>
    <row r="263" spans="2:9" hidden="1" x14ac:dyDescent="0.25">
      <c r="B263" s="53" t="str">
        <f>_xlfn.XLOOKUP(C263,'Data Base'!D:D,'Data Base'!B:B)</f>
        <v>UT - Sistema De Utilidades</v>
      </c>
      <c r="C263" s="1" t="s">
        <v>269</v>
      </c>
      <c r="D263" s="53" t="str">
        <f>_xlfn.XLOOKUP(C263,'LD-ELFA'!F:F,'LD-ELFA'!H:H)</f>
        <v>DE-A1-1803-U-PB-0003</v>
      </c>
      <c r="E263" s="53">
        <f>_xlfn.XLOOKUP(C263,'Data Base'!D:D,'Data Base'!G:G)</f>
        <v>0</v>
      </c>
      <c r="F263" s="53" t="str">
        <f>_xlfn.XLOOKUP(C263,'LD-ELFA'!F:F,'LD-ELFA'!Q:Q)</f>
        <v>FLUXOGRAMA DE ENGENHARIA - P&amp;ID</v>
      </c>
      <c r="G263" s="56">
        <f>_xlfn.XLOOKUP(C263,'Data Base'!D:D,'Data Base'!R:R)</f>
        <v>46233</v>
      </c>
      <c r="H263" s="56">
        <f>_xlfn.XLOOKUP(C263,'Data Base'!D:D,'Data Base'!T:T)</f>
        <v>46241</v>
      </c>
      <c r="I263" s="56" t="str">
        <f t="shared" si="4"/>
        <v>NO PRAZO</v>
      </c>
    </row>
    <row r="264" spans="2:9" hidden="1" x14ac:dyDescent="0.25">
      <c r="B264" s="53" t="str">
        <f>_xlfn.XLOOKUP(C264,'Data Base'!D:D,'Data Base'!B:B)</f>
        <v>UT - Sistema De Utilidades</v>
      </c>
      <c r="C264" s="1" t="s">
        <v>270</v>
      </c>
      <c r="D264" s="53" t="str">
        <f>_xlfn.XLOOKUP(C264,'LD-ELFA'!F:F,'LD-ELFA'!H:H)</f>
        <v>DE-A1-1802-U-PB-0002</v>
      </c>
      <c r="E264" s="53">
        <f>_xlfn.XLOOKUP(C264,'Data Base'!D:D,'Data Base'!G:G)</f>
        <v>0</v>
      </c>
      <c r="F264" s="53" t="str">
        <f>_xlfn.XLOOKUP(C264,'LD-ELFA'!F:F,'LD-ELFA'!Q:Q)</f>
        <v>FLUXOGRAMA DE ENGENHARIA - P&amp;ID</v>
      </c>
      <c r="G264" s="56">
        <f>_xlfn.XLOOKUP(C264,'Data Base'!D:D,'Data Base'!R:R)</f>
        <v>46237</v>
      </c>
      <c r="H264" s="56">
        <f>_xlfn.XLOOKUP(C264,'Data Base'!D:D,'Data Base'!T:T)</f>
        <v>46241</v>
      </c>
      <c r="I264" s="56" t="str">
        <f t="shared" si="4"/>
        <v>NO PRAZO</v>
      </c>
    </row>
    <row r="265" spans="2:9" hidden="1" x14ac:dyDescent="0.25">
      <c r="B265" s="53" t="str">
        <f>_xlfn.XLOOKUP(C265,'Data Base'!D:D,'Data Base'!B:B)</f>
        <v>UT - Sistema De Utilidades</v>
      </c>
      <c r="C265" s="1" t="s">
        <v>271</v>
      </c>
      <c r="D265" s="53" t="str">
        <f>_xlfn.XLOOKUP(C265,'LD-ELFA'!F:F,'LD-ELFA'!H:H)</f>
        <v>DE-A1-1805-U-PB-0001</v>
      </c>
      <c r="E265" s="53">
        <f>_xlfn.XLOOKUP(C265,'Data Base'!D:D,'Data Base'!G:G)</f>
        <v>0</v>
      </c>
      <c r="F265" s="53" t="str">
        <f>_xlfn.XLOOKUP(C265,'LD-ELFA'!F:F,'LD-ELFA'!Q:Q)</f>
        <v>FLUXOGRAMA DE ENGENHARIA - P&amp;ID</v>
      </c>
      <c r="G265" s="56">
        <f>_xlfn.XLOOKUP(C265,'Data Base'!D:D,'Data Base'!R:R)</f>
        <v>46237</v>
      </c>
      <c r="H265" s="56">
        <f>_xlfn.XLOOKUP(C265,'Data Base'!D:D,'Data Base'!T:T)</f>
        <v>46241</v>
      </c>
      <c r="I265" s="56" t="str">
        <f t="shared" si="4"/>
        <v>NO PRAZO</v>
      </c>
    </row>
    <row r="266" spans="2:9" hidden="1" x14ac:dyDescent="0.25">
      <c r="B266" s="53" t="str">
        <f>_xlfn.XLOOKUP(C266,'Data Base'!D:D,'Data Base'!B:B)</f>
        <v>UT - Sistema De Utilidades</v>
      </c>
      <c r="C266" s="1" t="s">
        <v>272</v>
      </c>
      <c r="D266" s="53" t="str">
        <f>_xlfn.XLOOKUP(C266,'LD-ELFA'!F:F,'LD-ELFA'!H:H)</f>
        <v>DE-A1-1805-U-PB-0003</v>
      </c>
      <c r="E266" s="53">
        <f>_xlfn.XLOOKUP(C266,'Data Base'!D:D,'Data Base'!G:G)</f>
        <v>0</v>
      </c>
      <c r="F266" s="53" t="str">
        <f>_xlfn.XLOOKUP(C266,'LD-ELFA'!F:F,'LD-ELFA'!Q:Q)</f>
        <v>FLUXOGRAMA DE ENGENHARIA - P&amp;ID</v>
      </c>
      <c r="G266" s="56">
        <f>_xlfn.XLOOKUP(C266,'Data Base'!D:D,'Data Base'!R:R)</f>
        <v>46237</v>
      </c>
      <c r="H266" s="56">
        <f>_xlfn.XLOOKUP(C266,'Data Base'!D:D,'Data Base'!T:T)</f>
        <v>46241</v>
      </c>
      <c r="I266" s="56" t="str">
        <f t="shared" si="4"/>
        <v>NO PRAZO</v>
      </c>
    </row>
    <row r="267" spans="2:9" hidden="1" x14ac:dyDescent="0.25">
      <c r="B267" s="53" t="str">
        <f>_xlfn.XLOOKUP(C267,'Data Base'!D:D,'Data Base'!B:B)</f>
        <v>UT - Sistema De Utilidades</v>
      </c>
      <c r="C267" s="1" t="s">
        <v>273</v>
      </c>
      <c r="D267" s="53" t="str">
        <f>_xlfn.XLOOKUP(C267,'LD-ELFA'!F:F,'LD-ELFA'!H:H)</f>
        <v>DE-A1-1805-U-PB-0002</v>
      </c>
      <c r="E267" s="53">
        <f>_xlfn.XLOOKUP(C267,'Data Base'!D:D,'Data Base'!G:G)</f>
        <v>0</v>
      </c>
      <c r="F267" s="53" t="str">
        <f>_xlfn.XLOOKUP(C267,'LD-ELFA'!F:F,'LD-ELFA'!Q:Q)</f>
        <v>UFD</v>
      </c>
      <c r="G267" s="56">
        <f>_xlfn.XLOOKUP(C267,'Data Base'!D:D,'Data Base'!R:R)</f>
        <v>46225</v>
      </c>
      <c r="H267" s="56">
        <f>_xlfn.XLOOKUP(C267,'Data Base'!D:D,'Data Base'!T:T)</f>
        <v>46231</v>
      </c>
      <c r="I267" s="56" t="str">
        <f t="shared" si="4"/>
        <v>NO PRAZO</v>
      </c>
    </row>
    <row r="268" spans="2:9" hidden="1" x14ac:dyDescent="0.25">
      <c r="B268" s="53" t="str">
        <f>_xlfn.XLOOKUP(C268,'Data Base'!D:D,'Data Base'!B:B)</f>
        <v>UT - Sistema De Utilidades</v>
      </c>
      <c r="C268" s="1" t="s">
        <v>274</v>
      </c>
      <c r="D268" s="53" t="str">
        <f>_xlfn.XLOOKUP(C268,'LD-ELFA'!F:F,'LD-ELFA'!H:H)</f>
        <v>DE-A1-1801-U-PB-0003</v>
      </c>
      <c r="E268" s="53">
        <f>_xlfn.XLOOKUP(C268,'Data Base'!D:D,'Data Base'!G:G)</f>
        <v>0</v>
      </c>
      <c r="F268" s="53" t="str">
        <f>_xlfn.XLOOKUP(C268,'LD-ELFA'!F:F,'LD-ELFA'!Q:Q)</f>
        <v>UFD</v>
      </c>
      <c r="G268" s="56">
        <f>_xlfn.XLOOKUP(C268,'Data Base'!D:D,'Data Base'!R:R)</f>
        <v>46239</v>
      </c>
      <c r="H268" s="56">
        <f>_xlfn.XLOOKUP(C268,'Data Base'!D:D,'Data Base'!T:T)</f>
        <v>46245</v>
      </c>
      <c r="I268" s="56" t="str">
        <f t="shared" si="4"/>
        <v>NO PRAZO</v>
      </c>
    </row>
    <row r="269" spans="2:9" hidden="1" x14ac:dyDescent="0.25">
      <c r="B269" s="53" t="str">
        <f>_xlfn.XLOOKUP(C269,'Data Base'!D:D,'Data Base'!B:B)</f>
        <v>UT - Sistema De Utilidades</v>
      </c>
      <c r="C269" s="1" t="s">
        <v>275</v>
      </c>
      <c r="D269" s="53" t="str">
        <f>_xlfn.XLOOKUP(C269,'LD-ELFA'!F:F,'LD-ELFA'!H:H)</f>
        <v>DE-A1-1800-U-PB-0001</v>
      </c>
      <c r="E269" s="53">
        <f>_xlfn.XLOOKUP(C269,'Data Base'!D:D,'Data Base'!G:G)</f>
        <v>0</v>
      </c>
      <c r="F269" s="53" t="str">
        <f>_xlfn.XLOOKUP(C269,'LD-ELFA'!F:F,'LD-ELFA'!Q:Q)</f>
        <v>UFD</v>
      </c>
      <c r="G269" s="56">
        <f>_xlfn.XLOOKUP(C269,'Data Base'!D:D,'Data Base'!R:R)</f>
        <v>46231</v>
      </c>
      <c r="H269" s="56">
        <f>_xlfn.XLOOKUP(C269,'Data Base'!D:D,'Data Base'!T:T)</f>
        <v>46237</v>
      </c>
      <c r="I269" s="56" t="str">
        <f t="shared" si="4"/>
        <v>NO PRAZO</v>
      </c>
    </row>
    <row r="270" spans="2:9" hidden="1" x14ac:dyDescent="0.25">
      <c r="B270" s="53" t="str">
        <f>_xlfn.XLOOKUP(C270,'Data Base'!D:D,'Data Base'!B:B)</f>
        <v>UT - Sistema De Utilidades</v>
      </c>
      <c r="C270" s="1" t="s">
        <v>276</v>
      </c>
      <c r="D270" s="53" t="str">
        <f>_xlfn.XLOOKUP(C270,'LD-ELFA'!F:F,'LD-ELFA'!H:H)</f>
        <v>DE-A1-1801-U-PB-0002</v>
      </c>
      <c r="E270" s="53">
        <f>_xlfn.XLOOKUP(C270,'Data Base'!D:D,'Data Base'!G:G)</f>
        <v>0</v>
      </c>
      <c r="F270" s="53" t="str">
        <f>_xlfn.XLOOKUP(C270,'LD-ELFA'!F:F,'LD-ELFA'!Q:Q)</f>
        <v>FLUXOGRAMA DE ENGENHARIA - P&amp;ID</v>
      </c>
      <c r="G270" s="56">
        <f>_xlfn.XLOOKUP(C270,'Data Base'!D:D,'Data Base'!R:R)</f>
        <v>46245</v>
      </c>
      <c r="H270" s="56">
        <f>_xlfn.XLOOKUP(C270,'Data Base'!D:D,'Data Base'!T:T)</f>
        <v>46251</v>
      </c>
      <c r="I270" s="56" t="str">
        <f t="shared" si="4"/>
        <v>NO PRAZO</v>
      </c>
    </row>
    <row r="271" spans="2:9" hidden="1" x14ac:dyDescent="0.25">
      <c r="B271" s="53" t="str">
        <f>_xlfn.XLOOKUP(C271,'Data Base'!D:D,'Data Base'!B:B)</f>
        <v>UT - Sistema De Utilidades</v>
      </c>
      <c r="C271" s="1" t="s">
        <v>277</v>
      </c>
      <c r="D271" s="53" t="str">
        <f>_xlfn.XLOOKUP(C271,'LD-ELFA'!F:F,'LD-ELFA'!H:H)</f>
        <v>DE-A1-1801-U-PB-0004</v>
      </c>
      <c r="E271" s="53">
        <f>_xlfn.XLOOKUP(C271,'Data Base'!D:D,'Data Base'!G:G)</f>
        <v>0</v>
      </c>
      <c r="F271" s="53" t="str">
        <f>_xlfn.XLOOKUP(C271,'LD-ELFA'!F:F,'LD-ELFA'!Q:Q)</f>
        <v>FLUXOGRAMA DE ENGENHARIA - P&amp;ID</v>
      </c>
      <c r="G271" s="56">
        <f>_xlfn.XLOOKUP(C271,'Data Base'!D:D,'Data Base'!R:R)</f>
        <v>46248</v>
      </c>
      <c r="H271" s="56">
        <f>_xlfn.XLOOKUP(C271,'Data Base'!D:D,'Data Base'!T:T)</f>
        <v>46254</v>
      </c>
      <c r="I271" s="56" t="str">
        <f t="shared" si="4"/>
        <v>NO PRAZO</v>
      </c>
    </row>
    <row r="272" spans="2:9" hidden="1" x14ac:dyDescent="0.25">
      <c r="B272" s="53" t="e">
        <f>_xlfn.XLOOKUP(C272,'Data Base'!D:D,'Data Base'!B:B)</f>
        <v>#N/A</v>
      </c>
      <c r="C272" s="1" t="s">
        <v>278</v>
      </c>
      <c r="D272" s="53" t="e">
        <f>_xlfn.XLOOKUP(C272,'LD-ELFA'!F:F,'LD-ELFA'!H:H)</f>
        <v>#N/A</v>
      </c>
      <c r="E272" s="53" t="e">
        <f>_xlfn.XLOOKUP(C272,'Data Base'!D:D,'Data Base'!G:G)</f>
        <v>#N/A</v>
      </c>
      <c r="F272" s="53" t="e">
        <f>_xlfn.XLOOKUP(C272,'LD-ELFA'!F:F,'LD-ELFA'!Q:Q)</f>
        <v>#N/A</v>
      </c>
      <c r="G272" s="56" t="str">
        <f>_xlfn.XLOOKUP(C272,'Data Base'!D:D,'Data Base'!R:R)</f>
        <v>Documento Removido</v>
      </c>
      <c r="H272" s="56" t="str">
        <f>_xlfn.XLOOKUP(C272,'Data Base'!D:D,'Data Base'!T:T)</f>
        <v>Documento Removido</v>
      </c>
      <c r="I272" s="56" t="str">
        <f t="shared" si="4"/>
        <v>NO PRAZO</v>
      </c>
    </row>
    <row r="273" spans="2:9" hidden="1" x14ac:dyDescent="0.25">
      <c r="B273" s="53" t="str">
        <f>_xlfn.XLOOKUP(C273,'Data Base'!D:D,'Data Base'!B:B)</f>
        <v>UT - Sistema De Utilidades</v>
      </c>
      <c r="C273" s="1" t="s">
        <v>279</v>
      </c>
      <c r="D273" s="53" t="str">
        <f>_xlfn.XLOOKUP(C273,'LD-ELFA'!F:F,'LD-ELFA'!H:H)</f>
        <v>LL-A1-1000-U-PB-0001</v>
      </c>
      <c r="E273" s="53">
        <f>_xlfn.XLOOKUP(C273,'Data Base'!D:D,'Data Base'!G:G)</f>
        <v>0</v>
      </c>
      <c r="F273" s="53" t="str">
        <f>_xlfn.XLOOKUP(C273,'LD-ELFA'!F:F,'LD-ELFA'!Q:Q)</f>
        <v>LISTA DE LINHAS</v>
      </c>
      <c r="G273" s="56">
        <f>_xlfn.XLOOKUP(C273,'Data Base'!D:D,'Data Base'!R:R)</f>
        <v>46248</v>
      </c>
      <c r="H273" s="56">
        <f>_xlfn.XLOOKUP(C273,'Data Base'!D:D,'Data Base'!T:T)</f>
        <v>46254</v>
      </c>
      <c r="I273" s="56" t="str">
        <f t="shared" si="4"/>
        <v>NO PRAZO</v>
      </c>
    </row>
    <row r="274" spans="2:9" x14ac:dyDescent="0.25">
      <c r="B274" s="53" t="str">
        <f>_xlfn.XLOOKUP(C274,'Data Base'!D:D,'Data Base'!B:B)</f>
        <v>UT - Sistema De Utilidades</v>
      </c>
      <c r="C274" s="1" t="s">
        <v>280</v>
      </c>
      <c r="D274" s="53" t="str">
        <f>_xlfn.XLOOKUP(C274,'LD-ELFA'!F:F,'LD-ELFA'!H:H)</f>
        <v>MC-A1-1803-U-PB-0001</v>
      </c>
      <c r="E274" s="53">
        <f>_xlfn.XLOOKUP(C274,'Data Base'!D:D,'Data Base'!G:G)</f>
        <v>0</v>
      </c>
      <c r="F274" s="53" t="str">
        <f>_xlfn.XLOOKUP(C274,'LD-ELFA'!F:F,'LD-ELFA'!Q:Q)</f>
        <v>MEMÓRIA DE CÁLCULO</v>
      </c>
      <c r="G274" s="56">
        <f>_xlfn.XLOOKUP(C274,'Data Base'!D:D,'Data Base'!R:R)</f>
        <v>46220</v>
      </c>
      <c r="H274" s="56">
        <f>_xlfn.XLOOKUP(C274,'Data Base'!D:D,'Data Base'!T:T)</f>
        <v>46226</v>
      </c>
      <c r="I274" s="56" t="str">
        <f t="shared" si="4"/>
        <v>NO PRAZO</v>
      </c>
    </row>
    <row r="275" spans="2:9" hidden="1" x14ac:dyDescent="0.25">
      <c r="B275" s="53" t="str">
        <f>_xlfn.XLOOKUP(C275,'Data Base'!D:D,'Data Base'!B:B)</f>
        <v>UT - Sistema De Utilidades</v>
      </c>
      <c r="C275" s="1" t="s">
        <v>281</v>
      </c>
      <c r="D275" s="53" t="str">
        <f>_xlfn.XLOOKUP(C275,'LD-ELFA'!F:F,'LD-ELFA'!H:H)</f>
        <v>MC-A1-1805-U-PB-0001</v>
      </c>
      <c r="E275" s="53">
        <f>_xlfn.XLOOKUP(C275,'Data Base'!D:D,'Data Base'!G:G)</f>
        <v>0</v>
      </c>
      <c r="F275" s="53" t="str">
        <f>_xlfn.XLOOKUP(C275,'LD-ELFA'!F:F,'LD-ELFA'!Q:Q)</f>
        <v>MEMÓRIA DE CÁLCULO</v>
      </c>
      <c r="G275" s="56" t="str">
        <f>_xlfn.XLOOKUP(C275,'Data Base'!D:D,'Data Base'!R:R)</f>
        <v>Documento Emitido</v>
      </c>
      <c r="H275" s="56" t="str">
        <f>_xlfn.XLOOKUP(C275,'Data Base'!D:D,'Data Base'!T:T)</f>
        <v>Documento Emitido</v>
      </c>
      <c r="I275" s="56" t="str">
        <f t="shared" si="4"/>
        <v>NO PRAZO</v>
      </c>
    </row>
    <row r="276" spans="2:9" hidden="1" x14ac:dyDescent="0.25">
      <c r="B276" s="53" t="e">
        <f>_xlfn.XLOOKUP(C276,'Data Base'!D:D,'Data Base'!B:B)</f>
        <v>#N/A</v>
      </c>
      <c r="C276" s="1" t="s">
        <v>282</v>
      </c>
      <c r="D276" s="53" t="e">
        <f>_xlfn.XLOOKUP(C276,'LD-ELFA'!F:F,'LD-ELFA'!H:H)</f>
        <v>#N/A</v>
      </c>
      <c r="E276" s="53" t="e">
        <f>_xlfn.XLOOKUP(C276,'Data Base'!D:D,'Data Base'!G:G)</f>
        <v>#N/A</v>
      </c>
      <c r="F276" s="53" t="e">
        <f>_xlfn.XLOOKUP(C276,'LD-ELFA'!F:F,'LD-ELFA'!Q:Q)</f>
        <v>#N/A</v>
      </c>
      <c r="G276" s="56" t="str">
        <f>_xlfn.XLOOKUP(C276,'Data Base'!D:D,'Data Base'!R:R)</f>
        <v>Documento Removido</v>
      </c>
      <c r="H276" s="56" t="str">
        <f>_xlfn.XLOOKUP(C276,'Data Base'!D:D,'Data Base'!T:T)</f>
        <v>Documento Removido</v>
      </c>
      <c r="I276" s="56" t="str">
        <f t="shared" si="4"/>
        <v>NO PRAZO</v>
      </c>
    </row>
    <row r="277" spans="2:9" x14ac:dyDescent="0.25">
      <c r="B277" s="53" t="str">
        <f>_xlfn.XLOOKUP(C277,'Data Base'!D:D,'Data Base'!B:B)</f>
        <v>UT - Sistema De Utilidades</v>
      </c>
      <c r="C277" s="1" t="s">
        <v>283</v>
      </c>
      <c r="D277" s="53" t="str">
        <f>_xlfn.XLOOKUP(C277,'LD-ELFA'!F:F,'LD-ELFA'!H:H)</f>
        <v>MC-A1-1800-U-PB-0001</v>
      </c>
      <c r="E277" s="53">
        <f>_xlfn.XLOOKUP(C277,'Data Base'!D:D,'Data Base'!G:G)</f>
        <v>0</v>
      </c>
      <c r="F277" s="53" t="str">
        <f>_xlfn.XLOOKUP(C277,'LD-ELFA'!F:F,'LD-ELFA'!Q:Q)</f>
        <v>MEMÓRIA DE CÁLCULO</v>
      </c>
      <c r="G277" s="56">
        <f>_xlfn.XLOOKUP(C277,'Data Base'!D:D,'Data Base'!R:R)</f>
        <v>46219</v>
      </c>
      <c r="H277" s="56">
        <f>_xlfn.XLOOKUP(C277,'Data Base'!D:D,'Data Base'!T:T)</f>
        <v>46225</v>
      </c>
      <c r="I277" s="56" t="str">
        <f t="shared" si="4"/>
        <v>NO PRAZO</v>
      </c>
    </row>
    <row r="278" spans="2:9" hidden="1" x14ac:dyDescent="0.25">
      <c r="B278" s="53" t="str">
        <f>_xlfn.XLOOKUP(C278,'Data Base'!D:D,'Data Base'!B:B)</f>
        <v>UT - Sistema De Utilidades</v>
      </c>
      <c r="C278" s="1" t="s">
        <v>284</v>
      </c>
      <c r="D278" s="53" t="str">
        <f>_xlfn.XLOOKUP(C278,'LD-ELFA'!F:F,'LD-ELFA'!H:H)</f>
        <v>MC-A1-1801-U-PB-0001</v>
      </c>
      <c r="E278" s="53">
        <f>_xlfn.XLOOKUP(C278,'Data Base'!D:D,'Data Base'!G:G)</f>
        <v>0</v>
      </c>
      <c r="F278" s="53" t="str">
        <f>_xlfn.XLOOKUP(C278,'LD-ELFA'!F:F,'LD-ELFA'!Q:Q)</f>
        <v>MEMÓRIA DE CÁLCULO</v>
      </c>
      <c r="G278" s="56">
        <f>_xlfn.XLOOKUP(C278,'Data Base'!D:D,'Data Base'!R:R)</f>
        <v>46234</v>
      </c>
      <c r="H278" s="56">
        <f>_xlfn.XLOOKUP(C278,'Data Base'!D:D,'Data Base'!T:T)</f>
        <v>46240</v>
      </c>
      <c r="I278" s="56" t="str">
        <f t="shared" si="4"/>
        <v>NO PRAZO</v>
      </c>
    </row>
    <row r="279" spans="2:9" hidden="1" x14ac:dyDescent="0.25">
      <c r="C279" s="1" t="s">
        <v>285</v>
      </c>
    </row>
    <row r="280" spans="2:9" hidden="1" x14ac:dyDescent="0.25">
      <c r="C280" s="1" t="s">
        <v>286</v>
      </c>
    </row>
  </sheetData>
  <autoFilter ref="B2:I280" xr:uid="{00000000-0009-0000-0000-000007000000}">
    <filterColumn colId="5">
      <filters>
        <dateGroupItem year="2026" month="7" day="14" dateTimeGrouping="day"/>
        <dateGroupItem year="2026" month="7" day="15" dateTimeGrouping="day"/>
        <dateGroupItem year="2026" month="7" day="16" dateTimeGrouping="day"/>
        <dateGroupItem year="2026" month="7" day="17" dateTimeGrouping="day"/>
      </filters>
    </filterColumn>
  </autoFilter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B2:J258"/>
  <sheetViews>
    <sheetView zoomScale="70" zoomScaleNormal="70" workbookViewId="0">
      <selection activeCell="C10" sqref="C10:I224"/>
    </sheetView>
  </sheetViews>
  <sheetFormatPr defaultColWidth="8.85546875" defaultRowHeight="15" x14ac:dyDescent="0.25"/>
  <cols>
    <col min="1" max="1" width="8.85546875" style="1" customWidth="1"/>
    <col min="2" max="3" width="34.28515625" style="1" bestFit="1" customWidth="1"/>
    <col min="4" max="4" width="25.85546875" style="1" bestFit="1" customWidth="1"/>
    <col min="5" max="5" width="4.28515625" style="1" bestFit="1" customWidth="1"/>
    <col min="6" max="6" width="62.28515625" style="1" bestFit="1" customWidth="1"/>
    <col min="7" max="7" width="18.28515625" style="1" bestFit="1" customWidth="1"/>
    <col min="8" max="8" width="18.28515625" style="41" bestFit="1" customWidth="1"/>
    <col min="9" max="9" width="18.28515625" style="1" bestFit="1" customWidth="1"/>
    <col min="10" max="10" width="34.28515625" style="1" bestFit="1" customWidth="1"/>
    <col min="11" max="11" width="8.85546875" style="1" customWidth="1"/>
    <col min="12" max="16384" width="8.85546875" style="1"/>
  </cols>
  <sheetData>
    <row r="2" spans="2:10" x14ac:dyDescent="0.25">
      <c r="B2" s="53" t="s">
        <v>0</v>
      </c>
      <c r="C2" s="53" t="s">
        <v>1</v>
      </c>
      <c r="D2" s="53" t="s">
        <v>2219</v>
      </c>
      <c r="E2" s="53" t="s">
        <v>2216</v>
      </c>
      <c r="F2" s="53" t="s">
        <v>3</v>
      </c>
      <c r="G2" s="53" t="s">
        <v>305</v>
      </c>
      <c r="H2" s="56" t="s">
        <v>306</v>
      </c>
      <c r="I2" s="53" t="s">
        <v>2220</v>
      </c>
      <c r="J2" s="53" t="s">
        <v>7</v>
      </c>
    </row>
    <row r="3" spans="2:10" hidden="1" x14ac:dyDescent="0.25">
      <c r="B3" s="53" t="e">
        <f>_xlfn.XLOOKUP(C3,'Data Base'!D:D,'Data Base'!B:B)</f>
        <v>#N/A</v>
      </c>
      <c r="C3" s="53" t="s">
        <v>8</v>
      </c>
      <c r="D3" s="53" t="e">
        <f>_xlfn.XLOOKUP(C3,'LD-ELFA'!F:F,'LD-ELFA'!H:H)</f>
        <v>#N/A</v>
      </c>
      <c r="E3" s="53" t="e">
        <f>_xlfn.XLOOKUP(C3,'Data Base'!D:D,'Data Base'!G:G)</f>
        <v>#N/A</v>
      </c>
      <c r="F3" s="53" t="e">
        <f>_xlfn.XLOOKUP(C3,'LD-ELFA'!F:F,'LD-ELFA'!Q:Q)</f>
        <v>#N/A</v>
      </c>
      <c r="G3" s="56" t="e">
        <f>_xlfn.XLOOKUP(C3,'Data Base'!D:D,'Data Base'!I:I)</f>
        <v>#N/A</v>
      </c>
      <c r="H3" s="56" t="e">
        <f>_xlfn.XLOOKUP(C3,'Data Base'!D:D,'Data Base'!K:K)</f>
        <v>#N/A</v>
      </c>
      <c r="I3" s="57" t="e">
        <f t="shared" ref="I3:I66" ca="1" si="0">IF(G3="",H3,IF((TODAY()-H3)&lt;5,0,((TODAY()-H3)-5)))</f>
        <v>#N/A</v>
      </c>
      <c r="J3" s="57" t="str">
        <f>_xlfn.XLOOKUP(C3,'Data Base'!D:D,'Data Base'!O:O)</f>
        <v>Documento Removido</v>
      </c>
    </row>
    <row r="4" spans="2:10" hidden="1" x14ac:dyDescent="0.25">
      <c r="B4" s="53" t="e">
        <f>_xlfn.XLOOKUP(C4,'Data Base'!D:D,'Data Base'!B:B)</f>
        <v>#N/A</v>
      </c>
      <c r="C4" s="53" t="s">
        <v>9</v>
      </c>
      <c r="D4" s="53" t="e">
        <f>_xlfn.XLOOKUP(C4,'LD-ELFA'!F:F,'LD-ELFA'!H:H)</f>
        <v>#N/A</v>
      </c>
      <c r="E4" s="53" t="e">
        <f>_xlfn.XLOOKUP(C4,'Data Base'!D:D,'Data Base'!G:G)</f>
        <v>#N/A</v>
      </c>
      <c r="F4" s="53" t="e">
        <f>_xlfn.XLOOKUP(C4,'LD-ELFA'!F:F,'LD-ELFA'!Q:Q)</f>
        <v>#N/A</v>
      </c>
      <c r="G4" s="56" t="e">
        <f>_xlfn.XLOOKUP(C4,'Data Base'!D:D,'Data Base'!I:I)</f>
        <v>#N/A</v>
      </c>
      <c r="H4" s="56" t="e">
        <f>_xlfn.XLOOKUP(C4,'Data Base'!D:D,'Data Base'!K:K)</f>
        <v>#N/A</v>
      </c>
      <c r="I4" s="57" t="e">
        <f t="shared" ca="1" si="0"/>
        <v>#N/A</v>
      </c>
      <c r="J4" s="57" t="str">
        <f>_xlfn.XLOOKUP(C4,'Data Base'!D:D,'Data Base'!O:O)</f>
        <v>Documento Removido</v>
      </c>
    </row>
    <row r="5" spans="2:10" hidden="1" x14ac:dyDescent="0.25">
      <c r="B5" s="53" t="e">
        <f>_xlfn.XLOOKUP(C5,'Data Base'!D:D,'Data Base'!B:B)</f>
        <v>#N/A</v>
      </c>
      <c r="C5" s="53" t="s">
        <v>10</v>
      </c>
      <c r="D5" s="53" t="e">
        <f>_xlfn.XLOOKUP(C5,'LD-ELFA'!F:F,'LD-ELFA'!H:H)</f>
        <v>#N/A</v>
      </c>
      <c r="E5" s="53" t="e">
        <f>_xlfn.XLOOKUP(C5,'Data Base'!D:D,'Data Base'!G:G)</f>
        <v>#N/A</v>
      </c>
      <c r="F5" s="53" t="e">
        <f>_xlfn.XLOOKUP(C5,'LD-ELFA'!F:F,'LD-ELFA'!Q:Q)</f>
        <v>#N/A</v>
      </c>
      <c r="G5" s="56" t="e">
        <f>_xlfn.XLOOKUP(C5,'Data Base'!D:D,'Data Base'!I:I)</f>
        <v>#N/A</v>
      </c>
      <c r="H5" s="56" t="e">
        <f>_xlfn.XLOOKUP(C5,'Data Base'!D:D,'Data Base'!K:K)</f>
        <v>#N/A</v>
      </c>
      <c r="I5" s="57" t="e">
        <f t="shared" ca="1" si="0"/>
        <v>#N/A</v>
      </c>
      <c r="J5" s="57" t="str">
        <f>_xlfn.XLOOKUP(C5,'Data Base'!D:D,'Data Base'!O:O)</f>
        <v>Documento Removido</v>
      </c>
    </row>
    <row r="6" spans="2:10" hidden="1" x14ac:dyDescent="0.25">
      <c r="B6" s="53" t="e">
        <f>_xlfn.XLOOKUP(C6,'Data Base'!D:D,'Data Base'!B:B)</f>
        <v>#N/A</v>
      </c>
      <c r="C6" s="53" t="s">
        <v>11</v>
      </c>
      <c r="D6" s="53" t="e">
        <f>_xlfn.XLOOKUP(C6,'LD-ELFA'!F:F,'LD-ELFA'!H:H)</f>
        <v>#N/A</v>
      </c>
      <c r="E6" s="53" t="e">
        <f>_xlfn.XLOOKUP(C6,'Data Base'!D:D,'Data Base'!G:G)</f>
        <v>#N/A</v>
      </c>
      <c r="F6" s="53" t="e">
        <f>_xlfn.XLOOKUP(C6,'LD-ELFA'!F:F,'LD-ELFA'!Q:Q)</f>
        <v>#N/A</v>
      </c>
      <c r="G6" s="56" t="e">
        <f>_xlfn.XLOOKUP(C6,'Data Base'!D:D,'Data Base'!I:I)</f>
        <v>#N/A</v>
      </c>
      <c r="H6" s="56" t="e">
        <f>_xlfn.XLOOKUP(C6,'Data Base'!D:D,'Data Base'!K:K)</f>
        <v>#N/A</v>
      </c>
      <c r="I6" s="57" t="e">
        <f t="shared" ca="1" si="0"/>
        <v>#N/A</v>
      </c>
      <c r="J6" s="57" t="str">
        <f>_xlfn.XLOOKUP(C6,'Data Base'!D:D,'Data Base'!O:O)</f>
        <v>Documento Removido</v>
      </c>
    </row>
    <row r="7" spans="2:10" hidden="1" x14ac:dyDescent="0.25">
      <c r="B7" s="53" t="e">
        <f>_xlfn.XLOOKUP(C7,'Data Base'!D:D,'Data Base'!B:B)</f>
        <v>#N/A</v>
      </c>
      <c r="C7" s="53" t="s">
        <v>12</v>
      </c>
      <c r="D7" s="53" t="e">
        <f>_xlfn.XLOOKUP(C7,'LD-ELFA'!F:F,'LD-ELFA'!H:H)</f>
        <v>#N/A</v>
      </c>
      <c r="E7" s="53" t="e">
        <f>_xlfn.XLOOKUP(C7,'Data Base'!D:D,'Data Base'!G:G)</f>
        <v>#N/A</v>
      </c>
      <c r="F7" s="53" t="e">
        <f>_xlfn.XLOOKUP(C7,'LD-ELFA'!F:F,'LD-ELFA'!Q:Q)</f>
        <v>#N/A</v>
      </c>
      <c r="G7" s="53" t="e">
        <f>_xlfn.XLOOKUP(C7,'Data Base'!D:D,'Data Base'!I:I)</f>
        <v>#N/A</v>
      </c>
      <c r="H7" s="56" t="e">
        <f>_xlfn.XLOOKUP(C7,'Data Base'!D:D,'Data Base'!K:K)</f>
        <v>#N/A</v>
      </c>
      <c r="I7" s="57" t="e">
        <f t="shared" ca="1" si="0"/>
        <v>#N/A</v>
      </c>
      <c r="J7" s="57" t="str">
        <f>_xlfn.XLOOKUP(C7,'Data Base'!D:D,'Data Base'!O:O)</f>
        <v>Documento Removido</v>
      </c>
    </row>
    <row r="8" spans="2:10" hidden="1" x14ac:dyDescent="0.25">
      <c r="B8" s="53" t="e">
        <f>_xlfn.XLOOKUP(C8,'Data Base'!D:D,'Data Base'!B:B)</f>
        <v>#N/A</v>
      </c>
      <c r="C8" s="53" t="s">
        <v>13</v>
      </c>
      <c r="D8" s="53" t="e">
        <f>_xlfn.XLOOKUP(C8,'LD-ELFA'!F:F,'LD-ELFA'!H:H)</f>
        <v>#N/A</v>
      </c>
      <c r="E8" s="53" t="e">
        <f>_xlfn.XLOOKUP(C8,'Data Base'!D:D,'Data Base'!G:G)</f>
        <v>#N/A</v>
      </c>
      <c r="F8" s="53" t="e">
        <f>_xlfn.XLOOKUP(C8,'LD-ELFA'!F:F,'LD-ELFA'!Q:Q)</f>
        <v>#N/A</v>
      </c>
      <c r="G8" s="53" t="e">
        <f>_xlfn.XLOOKUP(C8,'Data Base'!D:D,'Data Base'!I:I)</f>
        <v>#N/A</v>
      </c>
      <c r="H8" s="56" t="e">
        <f>_xlfn.XLOOKUP(C8,'Data Base'!D:D,'Data Base'!K:K)</f>
        <v>#N/A</v>
      </c>
      <c r="I8" s="57" t="e">
        <f t="shared" ca="1" si="0"/>
        <v>#N/A</v>
      </c>
      <c r="J8" s="57" t="str">
        <f>_xlfn.XLOOKUP(C8,'Data Base'!D:D,'Data Base'!O:O)</f>
        <v>Documento Removido</v>
      </c>
    </row>
    <row r="9" spans="2:10" hidden="1" x14ac:dyDescent="0.25">
      <c r="B9" s="53" t="e">
        <f>_xlfn.XLOOKUP(C9,'Data Base'!D:D,'Data Base'!B:B)</f>
        <v>#N/A</v>
      </c>
      <c r="C9" s="53" t="s">
        <v>14</v>
      </c>
      <c r="D9" s="53" t="e">
        <f>_xlfn.XLOOKUP(C9,'LD-ELFA'!F:F,'LD-ELFA'!H:H)</f>
        <v>#N/A</v>
      </c>
      <c r="E9" s="53" t="e">
        <f>_xlfn.XLOOKUP(C9,'Data Base'!D:D,'Data Base'!G:G)</f>
        <v>#N/A</v>
      </c>
      <c r="F9" s="53" t="e">
        <f>_xlfn.XLOOKUP(C9,'LD-ELFA'!F:F,'LD-ELFA'!Q:Q)</f>
        <v>#N/A</v>
      </c>
      <c r="G9" s="53" t="e">
        <f>_xlfn.XLOOKUP(C9,'Data Base'!D:D,'Data Base'!I:I)</f>
        <v>#N/A</v>
      </c>
      <c r="H9" s="56" t="e">
        <f>_xlfn.XLOOKUP(C9,'Data Base'!D:D,'Data Base'!K:K)</f>
        <v>#N/A</v>
      </c>
      <c r="I9" s="57" t="e">
        <f t="shared" ca="1" si="0"/>
        <v>#N/A</v>
      </c>
      <c r="J9" s="57" t="str">
        <f>_xlfn.XLOOKUP(C9,'Data Base'!D:D,'Data Base'!O:O)</f>
        <v>Documento Removido</v>
      </c>
    </row>
    <row r="10" spans="2:10" x14ac:dyDescent="0.25">
      <c r="B10" s="53" t="str">
        <f>_xlfn.XLOOKUP(C10,'Data Base'!D:D,'Data Base'!B:B)</f>
        <v>AI - Automacao E Instrumentacao</v>
      </c>
      <c r="C10" s="53" t="s">
        <v>15</v>
      </c>
      <c r="D10" s="53" t="str">
        <f>_xlfn.XLOOKUP(C10,'LD-ELFA'!F:F,'LD-ELFA'!H:H)</f>
        <v>DE-A1-2000-J-PB-0002</v>
      </c>
      <c r="E10" s="53">
        <f>_xlfn.XLOOKUP(C10,'Data Base'!D:D,'Data Base'!G:G)</f>
        <v>0</v>
      </c>
      <c r="F10" s="53" t="str">
        <f>_xlfn.XLOOKUP(C10,'LD-ELFA'!F:F,'LD-ELFA'!Q:Q)</f>
        <v>carol</v>
      </c>
      <c r="G10" s="53" t="str">
        <f>_xlfn.XLOOKUP(C10,'Data Base'!D:D,'Data Base'!I:I)</f>
        <v>carol</v>
      </c>
      <c r="H10" s="56" t="str">
        <f>_xlfn.XLOOKUP(C10,'Data Base'!D:D,'Data Base'!K:K)</f>
        <v>carol</v>
      </c>
      <c r="I10" s="57" t="e">
        <f t="shared" ca="1" si="0"/>
        <v>#VALUE!</v>
      </c>
      <c r="J10" s="57" t="str">
        <f>_xlfn.XLOOKUP(C10,'Data Base'!D:D,'Data Base'!O:O)</f>
        <v>ERRO</v>
      </c>
    </row>
    <row r="11" spans="2:10" hidden="1" x14ac:dyDescent="0.25">
      <c r="B11" s="53" t="str">
        <f>_xlfn.XLOOKUP(C11,'Data Base'!D:D,'Data Base'!B:B)</f>
        <v>AI - Automacao E Instrumentacao</v>
      </c>
      <c r="C11" s="53" t="s">
        <v>16</v>
      </c>
      <c r="D11" s="53" t="str">
        <f>_xlfn.XLOOKUP(C11,'LD-ELFA'!F:F,'LD-ELFA'!H:H)</f>
        <v>DE-A1-2000-J-PB-0003</v>
      </c>
      <c r="E11" s="53">
        <f>_xlfn.XLOOKUP(C11,'Data Base'!D:D,'Data Base'!G:G)</f>
        <v>0</v>
      </c>
      <c r="F11" s="53" t="str">
        <f>_xlfn.XLOOKUP(C11,'LD-ELFA'!F:F,'LD-ELFA'!Q:Q)</f>
        <v>DIAGRAMA DE CONFIGURAÇÃO SAS/SGE</v>
      </c>
      <c r="G11" s="53" t="str">
        <f>_xlfn.XLOOKUP(C11,'Data Base'!D:D,'Data Base'!I:I)</f>
        <v/>
      </c>
      <c r="H11" s="56" t="str">
        <f>_xlfn.XLOOKUP(C11,'Data Base'!D:D,'Data Base'!K:K)</f>
        <v>Documento a emitir</v>
      </c>
      <c r="I11" s="57" t="str">
        <f t="shared" ca="1" si="0"/>
        <v>Documento a emitir</v>
      </c>
      <c r="J11" s="57" t="str">
        <f>_xlfn.XLOOKUP(C11,'Data Base'!D:D,'Data Base'!O:O)</f>
        <v>Blossom - Documento a emitir</v>
      </c>
    </row>
    <row r="12" spans="2:10" hidden="1" x14ac:dyDescent="0.25">
      <c r="B12" s="53" t="str">
        <f>_xlfn.XLOOKUP(C12,'Data Base'!D:D,'Data Base'!B:B)</f>
        <v>AI - Automacao E Instrumentacao</v>
      </c>
      <c r="C12" s="53" t="s">
        <v>17</v>
      </c>
      <c r="D12" s="53" t="str">
        <f>_xlfn.XLOOKUP(C12,'LD-ELFA'!F:F,'LD-ELFA'!H:H)</f>
        <v>DE-A1-2000-J-PB-0004</v>
      </c>
      <c r="E12" s="53">
        <f>_xlfn.XLOOKUP(C12,'Data Base'!D:D,'Data Base'!G:G)</f>
        <v>0</v>
      </c>
      <c r="F12" s="53" t="str">
        <f>_xlfn.XLOOKUP(C12,'LD-ELFA'!F:F,'LD-ELFA'!Q:Q)</f>
        <v xml:space="preserve">DIAGRAMA DE CONFIGURAÇÃO DE TELECOM </v>
      </c>
      <c r="G12" s="53" t="str">
        <f>_xlfn.XLOOKUP(C12,'Data Base'!D:D,'Data Base'!I:I)</f>
        <v/>
      </c>
      <c r="H12" s="56" t="str">
        <f>_xlfn.XLOOKUP(C12,'Data Base'!D:D,'Data Base'!K:K)</f>
        <v>Documento a emitir</v>
      </c>
      <c r="I12" s="57" t="str">
        <f t="shared" ca="1" si="0"/>
        <v>Documento a emitir</v>
      </c>
      <c r="J12" s="57" t="str">
        <f>_xlfn.XLOOKUP(C12,'Data Base'!D:D,'Data Base'!O:O)</f>
        <v>Blossom - Documento a emitir</v>
      </c>
    </row>
    <row r="13" spans="2:10" hidden="1" x14ac:dyDescent="0.25">
      <c r="B13" s="53" t="str">
        <f>_xlfn.XLOOKUP(C13,'Data Base'!D:D,'Data Base'!B:B)</f>
        <v>AI - Automacao E Instrumentacao</v>
      </c>
      <c r="C13" s="53" t="s">
        <v>18</v>
      </c>
      <c r="D13" s="53" t="str">
        <f>_xlfn.XLOOKUP(C13,'LD-ELFA'!F:F,'LD-ELFA'!H:H)</f>
        <v>DE-A1-2000-J-PB-0005</v>
      </c>
      <c r="E13" s="53">
        <f>_xlfn.XLOOKUP(C13,'Data Base'!D:D,'Data Base'!G:G)</f>
        <v>0</v>
      </c>
      <c r="F13" s="53" t="str">
        <f>_xlfn.XLOOKUP(C13,'LD-ELFA'!F:F,'LD-ELFA'!Q:Q)</f>
        <v xml:space="preserve">DIAGRAMA DE CONFIGURAÇÃO DE TELECOM </v>
      </c>
      <c r="G13" s="53" t="str">
        <f>_xlfn.XLOOKUP(C13,'Data Base'!D:D,'Data Base'!I:I)</f>
        <v/>
      </c>
      <c r="H13" s="56" t="str">
        <f>_xlfn.XLOOKUP(C13,'Data Base'!D:D,'Data Base'!K:K)</f>
        <v>Documento a emitir</v>
      </c>
      <c r="I13" s="57" t="str">
        <f t="shared" ca="1" si="0"/>
        <v>Documento a emitir</v>
      </c>
      <c r="J13" s="57" t="str">
        <f>_xlfn.XLOOKUP(C13,'Data Base'!D:D,'Data Base'!O:O)</f>
        <v>Blossom - Documento a emitir</v>
      </c>
    </row>
    <row r="14" spans="2:10" hidden="1" x14ac:dyDescent="0.25">
      <c r="B14" s="53" t="str">
        <f>_xlfn.XLOOKUP(C14,'Data Base'!D:D,'Data Base'!B:B)</f>
        <v>AI - Automacao E Instrumentacao</v>
      </c>
      <c r="C14" s="53" t="s">
        <v>19</v>
      </c>
      <c r="D14" s="53" t="str">
        <f>_xlfn.XLOOKUP(C14,'LD-ELFA'!F:F,'LD-ELFA'!H:H)</f>
        <v>DE-A1-2000-J-PB-0006</v>
      </c>
      <c r="E14" s="53">
        <f>_xlfn.XLOOKUP(C14,'Data Base'!D:D,'Data Base'!G:G)</f>
        <v>0</v>
      </c>
      <c r="F14" s="53" t="str">
        <f>_xlfn.XLOOKUP(C14,'LD-ELFA'!F:F,'LD-ELFA'!Q:Q)</f>
        <v>DIAGRAMA DE CONFIGURAÇÃO DE TELECOM</v>
      </c>
      <c r="G14" s="53" t="str">
        <f>_xlfn.XLOOKUP(C14,'Data Base'!D:D,'Data Base'!I:I)</f>
        <v/>
      </c>
      <c r="H14" s="56" t="str">
        <f>_xlfn.XLOOKUP(C14,'Data Base'!D:D,'Data Base'!K:K)</f>
        <v>Documento a emitir</v>
      </c>
      <c r="I14" s="57" t="str">
        <f t="shared" ca="1" si="0"/>
        <v>Documento a emitir</v>
      </c>
      <c r="J14" s="57" t="str">
        <f>_xlfn.XLOOKUP(C14,'Data Base'!D:D,'Data Base'!O:O)</f>
        <v>Blossom - Documento a emitir</v>
      </c>
    </row>
    <row r="15" spans="2:10" hidden="1" x14ac:dyDescent="0.25">
      <c r="B15" s="53" t="str">
        <f>_xlfn.XLOOKUP(C15,'Data Base'!D:D,'Data Base'!B:B)</f>
        <v>AI - Automacao E Instrumentacao</v>
      </c>
      <c r="C15" s="53" t="s">
        <v>20</v>
      </c>
      <c r="D15" s="53" t="str">
        <f>_xlfn.XLOOKUP(C15,'LD-ELFA'!F:F,'LD-ELFA'!H:H)</f>
        <v>DE-A1-2000-J-PB-0007</v>
      </c>
      <c r="E15" s="53">
        <f>_xlfn.XLOOKUP(C15,'Data Base'!D:D,'Data Base'!G:G)</f>
        <v>0</v>
      </c>
      <c r="F15" s="53" t="str">
        <f>_xlfn.XLOOKUP(C15,'LD-ELFA'!F:F,'LD-ELFA'!Q:Q)</f>
        <v>DIAGRAMA DE CONFIGURAÇÃO DE TELECOM</v>
      </c>
      <c r="G15" s="56" t="str">
        <f>_xlfn.XLOOKUP(C15,'Data Base'!D:D,'Data Base'!I:I)</f>
        <v/>
      </c>
      <c r="H15" s="56" t="str">
        <f>_xlfn.XLOOKUP(C15,'Data Base'!D:D,'Data Base'!K:K)</f>
        <v>Documento a emitir</v>
      </c>
      <c r="I15" s="57" t="str">
        <f t="shared" ca="1" si="0"/>
        <v>Documento a emitir</v>
      </c>
      <c r="J15" s="57" t="str">
        <f>_xlfn.XLOOKUP(C15,'Data Base'!D:D,'Data Base'!O:O)</f>
        <v>Blossom - Documento a emitir</v>
      </c>
    </row>
    <row r="16" spans="2:10" hidden="1" x14ac:dyDescent="0.25">
      <c r="B16" s="53" t="str">
        <f>_xlfn.XLOOKUP(C16,'Data Base'!D:D,'Data Base'!B:B)</f>
        <v>AI - Automacao E Instrumentacao</v>
      </c>
      <c r="C16" s="53" t="s">
        <v>21</v>
      </c>
      <c r="D16" s="53" t="str">
        <f>_xlfn.XLOOKUP(C16,'LD-ELFA'!F:F,'LD-ELFA'!H:H)</f>
        <v>DE-A1-2006-J-PB-0001</v>
      </c>
      <c r="E16" s="53">
        <f>_xlfn.XLOOKUP(C16,'Data Base'!D:D,'Data Base'!G:G)</f>
        <v>0</v>
      </c>
      <c r="F16" s="53" t="str">
        <f>_xlfn.XLOOKUP(C16,'LD-ELFA'!F:F,'LD-ELFA'!Q:Q)</f>
        <v>DIAGRAMA DE CONFIGURAÇÃO DE TELECOM</v>
      </c>
      <c r="G16" s="53" t="str">
        <f>_xlfn.XLOOKUP(C16,'Data Base'!D:D,'Data Base'!I:I)</f>
        <v/>
      </c>
      <c r="H16" s="56" t="str">
        <f>_xlfn.XLOOKUP(C16,'Data Base'!D:D,'Data Base'!K:K)</f>
        <v>Documento a emitir</v>
      </c>
      <c r="I16" s="57" t="str">
        <f t="shared" ca="1" si="0"/>
        <v>Documento a emitir</v>
      </c>
      <c r="J16" s="57" t="str">
        <f>_xlfn.XLOOKUP(C16,'Data Base'!D:D,'Data Base'!O:O)</f>
        <v>Blossom - Documento a emitir</v>
      </c>
    </row>
    <row r="17" spans="2:10" hidden="1" x14ac:dyDescent="0.25">
      <c r="B17" s="53" t="str">
        <f>_xlfn.XLOOKUP(C17,'Data Base'!D:D,'Data Base'!B:B)</f>
        <v>AI - Automacao E Instrumentacao</v>
      </c>
      <c r="C17" s="53" t="s">
        <v>22</v>
      </c>
      <c r="D17" s="53" t="str">
        <f>_xlfn.XLOOKUP(C17,'LD-ELFA'!F:F,'LD-ELFA'!H:H)</f>
        <v>ET-A1-2000-J-PB-0002</v>
      </c>
      <c r="E17" s="53">
        <f>_xlfn.XLOOKUP(C17,'Data Base'!D:D,'Data Base'!G:G)</f>
        <v>0</v>
      </c>
      <c r="F17" s="53" t="str">
        <f>_xlfn.XLOOKUP(C17,'LD-ELFA'!F:F,'LD-ELFA'!Q:Q)</f>
        <v>ESPECIFICAÇÃO TÉCNICA</v>
      </c>
      <c r="G17" s="56" t="str">
        <f>_xlfn.XLOOKUP(C17,'Data Base'!D:D,'Data Base'!I:I)</f>
        <v/>
      </c>
      <c r="H17" s="56" t="str">
        <f>_xlfn.XLOOKUP(C17,'Data Base'!D:D,'Data Base'!K:K)</f>
        <v>Documento a emitir</v>
      </c>
      <c r="I17" s="57" t="str">
        <f t="shared" ca="1" si="0"/>
        <v>Documento a emitir</v>
      </c>
      <c r="J17" s="57" t="str">
        <f>_xlfn.XLOOKUP(C17,'Data Base'!D:D,'Data Base'!O:O)</f>
        <v>Blossom - Documento a emitir</v>
      </c>
    </row>
    <row r="18" spans="2:10" hidden="1" x14ac:dyDescent="0.25">
      <c r="B18" s="53" t="str">
        <f>_xlfn.XLOOKUP(C18,'Data Base'!D:D,'Data Base'!B:B)</f>
        <v>AI - Automacao E Instrumentacao</v>
      </c>
      <c r="C18" s="53" t="s">
        <v>23</v>
      </c>
      <c r="D18" s="53" t="str">
        <f>_xlfn.XLOOKUP(C18,'LD-ELFA'!F:F,'LD-ELFA'!H:H)</f>
        <v>ET-A1-2006-J-PB-0002</v>
      </c>
      <c r="E18" s="53">
        <f>_xlfn.XLOOKUP(C18,'Data Base'!D:D,'Data Base'!G:G)</f>
        <v>0</v>
      </c>
      <c r="F18" s="53" t="str">
        <f>_xlfn.XLOOKUP(C18,'LD-ELFA'!F:F,'LD-ELFA'!Q:Q)</f>
        <v>ESPECIFICAÇÃO TÉCNICA</v>
      </c>
      <c r="G18" s="56" t="str">
        <f>_xlfn.XLOOKUP(C18,'Data Base'!D:D,'Data Base'!I:I)</f>
        <v/>
      </c>
      <c r="H18" s="56" t="str">
        <f>_xlfn.XLOOKUP(C18,'Data Base'!D:D,'Data Base'!K:K)</f>
        <v>Documento a emitir</v>
      </c>
      <c r="I18" s="57" t="str">
        <f t="shared" ca="1" si="0"/>
        <v>Documento a emitir</v>
      </c>
      <c r="J18" s="57" t="str">
        <f>_xlfn.XLOOKUP(C18,'Data Base'!D:D,'Data Base'!O:O)</f>
        <v>Blossom - Documento a emitir</v>
      </c>
    </row>
    <row r="19" spans="2:10" hidden="1" x14ac:dyDescent="0.25">
      <c r="B19" s="53" t="str">
        <f>_xlfn.XLOOKUP(C19,'Data Base'!D:D,'Data Base'!B:B)</f>
        <v>AI - Automacao E Instrumentacao</v>
      </c>
      <c r="C19" s="53" t="s">
        <v>24</v>
      </c>
      <c r="D19" s="53" t="str">
        <f>_xlfn.XLOOKUP(C19,'LD-ELFA'!F:F,'LD-ELFA'!H:H)</f>
        <v>ET-A1-2006-J-PB-0004</v>
      </c>
      <c r="E19" s="53">
        <f>_xlfn.XLOOKUP(C19,'Data Base'!D:D,'Data Base'!G:G)</f>
        <v>0</v>
      </c>
      <c r="F19" s="53" t="str">
        <f>_xlfn.XLOOKUP(C19,'LD-ELFA'!F:F,'LD-ELFA'!Q:Q)</f>
        <v>ESPECIFICAÇÃO TÉCNICA</v>
      </c>
      <c r="G19" s="53" t="str">
        <f>_xlfn.XLOOKUP(C19,'Data Base'!D:D,'Data Base'!I:I)</f>
        <v/>
      </c>
      <c r="H19" s="56" t="str">
        <f>_xlfn.XLOOKUP(C19,'Data Base'!D:D,'Data Base'!K:K)</f>
        <v>Documento a emitir</v>
      </c>
      <c r="I19" s="57" t="str">
        <f t="shared" ca="1" si="0"/>
        <v>Documento a emitir</v>
      </c>
      <c r="J19" s="57" t="str">
        <f>_xlfn.XLOOKUP(C19,'Data Base'!D:D,'Data Base'!O:O)</f>
        <v>Blossom - Documento a emitir</v>
      </c>
    </row>
    <row r="20" spans="2:10" hidden="1" x14ac:dyDescent="0.25">
      <c r="B20" s="53" t="str">
        <f>_xlfn.XLOOKUP(C20,'Data Base'!D:D,'Data Base'!B:B)</f>
        <v>AI - Automacao E Instrumentacao</v>
      </c>
      <c r="C20" s="53" t="s">
        <v>25</v>
      </c>
      <c r="D20" s="53" t="str">
        <f>_xlfn.XLOOKUP(C20,'LD-ELFA'!F:F,'LD-ELFA'!H:H)</f>
        <v>ET-A1-2007-J-PB-0001</v>
      </c>
      <c r="E20" s="53">
        <f>_xlfn.XLOOKUP(C20,'Data Base'!D:D,'Data Base'!G:G)</f>
        <v>0</v>
      </c>
      <c r="F20" s="53" t="str">
        <f>_xlfn.XLOOKUP(C20,'LD-ELFA'!F:F,'LD-ELFA'!Q:Q)</f>
        <v>ESPECIFICAÇÃO TÉCNICA</v>
      </c>
      <c r="G20" s="56" t="str">
        <f>_xlfn.XLOOKUP(C20,'Data Base'!D:D,'Data Base'!I:I)</f>
        <v/>
      </c>
      <c r="H20" s="56" t="str">
        <f>_xlfn.XLOOKUP(C20,'Data Base'!D:D,'Data Base'!K:K)</f>
        <v>Documento a emitir</v>
      </c>
      <c r="I20" s="57" t="str">
        <f t="shared" ca="1" si="0"/>
        <v>Documento a emitir</v>
      </c>
      <c r="J20" s="57" t="str">
        <f>_xlfn.XLOOKUP(C20,'Data Base'!D:D,'Data Base'!O:O)</f>
        <v>Blossom - Documento a emitir</v>
      </c>
    </row>
    <row r="21" spans="2:10" hidden="1" x14ac:dyDescent="0.25">
      <c r="B21" s="53" t="str">
        <f>_xlfn.XLOOKUP(C21,'Data Base'!D:D,'Data Base'!B:B)</f>
        <v>AI - Automacao E Instrumentacao</v>
      </c>
      <c r="C21" s="53" t="s">
        <v>26</v>
      </c>
      <c r="D21" s="53" t="str">
        <f>_xlfn.XLOOKUP(C21,'LD-ELFA'!F:F,'LD-ELFA'!H:H)</f>
        <v>FD-A1-2000-J-PB-0001</v>
      </c>
      <c r="E21" s="53">
        <f>_xlfn.XLOOKUP(C21,'Data Base'!D:D,'Data Base'!G:G)</f>
        <v>0</v>
      </c>
      <c r="F21" s="53" t="str">
        <f>_xlfn.XLOOKUP(C21,'LD-ELFA'!F:F,'LD-ELFA'!Q:Q)</f>
        <v>FOLHA DE DADOS</v>
      </c>
      <c r="G21" s="56" t="str">
        <f>_xlfn.XLOOKUP(C21,'Data Base'!D:D,'Data Base'!I:I)</f>
        <v/>
      </c>
      <c r="H21" s="56" t="str">
        <f>_xlfn.XLOOKUP(C21,'Data Base'!D:D,'Data Base'!K:K)</f>
        <v>Documento a emitir</v>
      </c>
      <c r="I21" s="57" t="str">
        <f t="shared" ca="1" si="0"/>
        <v>Documento a emitir</v>
      </c>
      <c r="J21" s="57" t="str">
        <f>_xlfn.XLOOKUP(C21,'Data Base'!D:D,'Data Base'!O:O)</f>
        <v>Blossom - Documento a emitir</v>
      </c>
    </row>
    <row r="22" spans="2:10" hidden="1" x14ac:dyDescent="0.25">
      <c r="B22" s="53" t="str">
        <f>_xlfn.XLOOKUP(C22,'Data Base'!D:D,'Data Base'!B:B)</f>
        <v>AI - Automacao E Instrumentacao</v>
      </c>
      <c r="C22" s="53" t="s">
        <v>27</v>
      </c>
      <c r="D22" s="53" t="str">
        <f>_xlfn.XLOOKUP(C22,'LD-ELFA'!F:F,'LD-ELFA'!H:H)</f>
        <v>FD-A1-2000-J-PB-0002</v>
      </c>
      <c r="E22" s="53">
        <f>_xlfn.XLOOKUP(C22,'Data Base'!D:D,'Data Base'!G:G)</f>
        <v>0</v>
      </c>
      <c r="F22" s="53" t="str">
        <f>_xlfn.XLOOKUP(C22,'LD-ELFA'!F:F,'LD-ELFA'!Q:Q)</f>
        <v>FOLHA DE DADOS</v>
      </c>
      <c r="G22" s="56" t="str">
        <f>_xlfn.XLOOKUP(C22,'Data Base'!D:D,'Data Base'!I:I)</f>
        <v/>
      </c>
      <c r="H22" s="56" t="str">
        <f>_xlfn.XLOOKUP(C22,'Data Base'!D:D,'Data Base'!K:K)</f>
        <v>Documento a emitir</v>
      </c>
      <c r="I22" s="57" t="str">
        <f t="shared" ca="1" si="0"/>
        <v>Documento a emitir</v>
      </c>
      <c r="J22" s="57" t="str">
        <f>_xlfn.XLOOKUP(C22,'Data Base'!D:D,'Data Base'!O:O)</f>
        <v>Blossom - Documento a emitir</v>
      </c>
    </row>
    <row r="23" spans="2:10" hidden="1" x14ac:dyDescent="0.25">
      <c r="B23" s="53" t="str">
        <f>_xlfn.XLOOKUP(C23,'Data Base'!D:D,'Data Base'!B:B)</f>
        <v>AI - Automacao E Instrumentacao</v>
      </c>
      <c r="C23" s="53" t="s">
        <v>28</v>
      </c>
      <c r="D23" s="53" t="str">
        <f>_xlfn.XLOOKUP(C23,'LD-ELFA'!F:F,'LD-ELFA'!H:H)</f>
        <v>FD-A1-2000-J-PB-0003</v>
      </c>
      <c r="E23" s="53">
        <f>_xlfn.XLOOKUP(C23,'Data Base'!D:D,'Data Base'!G:G)</f>
        <v>1</v>
      </c>
      <c r="F23" s="53" t="str">
        <f>_xlfn.XLOOKUP(C23,'LD-ELFA'!F:F,'LD-ELFA'!Q:Q)</f>
        <v>FOLHA DE DADOS</v>
      </c>
      <c r="G23" s="56" t="str">
        <f>_xlfn.XLOOKUP(C23,'Data Base'!D:D,'Data Base'!I:I)</f>
        <v>0021</v>
      </c>
      <c r="H23" s="56">
        <f>_xlfn.XLOOKUP(C23,'Data Base'!D:D,'Data Base'!K:K)</f>
        <v>46210.678734525463</v>
      </c>
      <c r="I23" s="57">
        <f t="shared" ca="1" si="0"/>
        <v>1.3212654745366308</v>
      </c>
      <c r="J23" s="57" t="str">
        <f>_xlfn.XLOOKUP(C23,'Data Base'!D:D,'Data Base'!O:O)</f>
        <v>Documento Concluído</v>
      </c>
    </row>
    <row r="24" spans="2:10" hidden="1" x14ac:dyDescent="0.25">
      <c r="B24" s="53" t="str">
        <f>_xlfn.XLOOKUP(C24,'Data Base'!D:D,'Data Base'!B:B)</f>
        <v>AI - Automacao E Instrumentacao</v>
      </c>
      <c r="C24" s="53" t="s">
        <v>29</v>
      </c>
      <c r="D24" s="53" t="str">
        <f>_xlfn.XLOOKUP(C24,'LD-ELFA'!F:F,'LD-ELFA'!H:H)</f>
        <v>FD-A1-2000-J-PB-0004</v>
      </c>
      <c r="E24" s="53">
        <f>_xlfn.XLOOKUP(C24,'Data Base'!D:D,'Data Base'!G:G)</f>
        <v>0</v>
      </c>
      <c r="F24" s="53" t="str">
        <f>_xlfn.XLOOKUP(C24,'LD-ELFA'!F:F,'LD-ELFA'!Q:Q)</f>
        <v>FOLHA DE DADOS</v>
      </c>
      <c r="G24" s="56" t="str">
        <f>_xlfn.XLOOKUP(C24,'Data Base'!D:D,'Data Base'!I:I)</f>
        <v/>
      </c>
      <c r="H24" s="56" t="str">
        <f>_xlfn.XLOOKUP(C24,'Data Base'!D:D,'Data Base'!K:K)</f>
        <v>Documento a emitir</v>
      </c>
      <c r="I24" s="57" t="str">
        <f t="shared" ca="1" si="0"/>
        <v>Documento a emitir</v>
      </c>
      <c r="J24" s="57" t="str">
        <f>_xlfn.XLOOKUP(C24,'Data Base'!D:D,'Data Base'!O:O)</f>
        <v>Blossom - Documento a emitir</v>
      </c>
    </row>
    <row r="25" spans="2:10" hidden="1" x14ac:dyDescent="0.25">
      <c r="B25" s="53" t="str">
        <f>_xlfn.XLOOKUP(C25,'Data Base'!D:D,'Data Base'!B:B)</f>
        <v>AI - Automacao E Instrumentacao</v>
      </c>
      <c r="C25" s="53" t="s">
        <v>30</v>
      </c>
      <c r="D25" s="53" t="str">
        <f>_xlfn.XLOOKUP(C25,'LD-ELFA'!F:F,'LD-ELFA'!H:H)</f>
        <v>FD-A1-2000-J-PB-0005</v>
      </c>
      <c r="E25" s="53">
        <f>_xlfn.XLOOKUP(C25,'Data Base'!D:D,'Data Base'!G:G)</f>
        <v>0</v>
      </c>
      <c r="F25" s="53" t="str">
        <f>_xlfn.XLOOKUP(C25,'LD-ELFA'!F:F,'LD-ELFA'!Q:Q)</f>
        <v>FOLHA DE DADOS</v>
      </c>
      <c r="G25" s="56" t="str">
        <f>_xlfn.XLOOKUP(C25,'Data Base'!D:D,'Data Base'!I:I)</f>
        <v/>
      </c>
      <c r="H25" s="56" t="str">
        <f>_xlfn.XLOOKUP(C25,'Data Base'!D:D,'Data Base'!K:K)</f>
        <v>Documento a emitir</v>
      </c>
      <c r="I25" s="57" t="str">
        <f t="shared" ca="1" si="0"/>
        <v>Documento a emitir</v>
      </c>
      <c r="J25" s="57" t="str">
        <f>_xlfn.XLOOKUP(C25,'Data Base'!D:D,'Data Base'!O:O)</f>
        <v>Blossom - Documento a emitir</v>
      </c>
    </row>
    <row r="26" spans="2:10" hidden="1" x14ac:dyDescent="0.25">
      <c r="B26" s="53" t="str">
        <f>_xlfn.XLOOKUP(C26,'Data Base'!D:D,'Data Base'!B:B)</f>
        <v>AI - Automacao E Instrumentacao</v>
      </c>
      <c r="C26" s="53" t="s">
        <v>31</v>
      </c>
      <c r="D26" s="53" t="str">
        <f>_xlfn.XLOOKUP(C26,'LD-ELFA'!F:F,'LD-ELFA'!H:H)</f>
        <v>FD-A1-2000-J-PB-0006</v>
      </c>
      <c r="E26" s="53">
        <f>_xlfn.XLOOKUP(C26,'Data Base'!D:D,'Data Base'!G:G)</f>
        <v>0</v>
      </c>
      <c r="F26" s="53" t="str">
        <f>_xlfn.XLOOKUP(C26,'LD-ELFA'!F:F,'LD-ELFA'!Q:Q)</f>
        <v>FOLHA DE DADOS</v>
      </c>
      <c r="G26" s="56" t="str">
        <f>_xlfn.XLOOKUP(C26,'Data Base'!D:D,'Data Base'!I:I)</f>
        <v/>
      </c>
      <c r="H26" s="56" t="str">
        <f>_xlfn.XLOOKUP(C26,'Data Base'!D:D,'Data Base'!K:K)</f>
        <v>Documento a emitir</v>
      </c>
      <c r="I26" s="57" t="str">
        <f t="shared" ca="1" si="0"/>
        <v>Documento a emitir</v>
      </c>
      <c r="J26" s="57" t="str">
        <f>_xlfn.XLOOKUP(C26,'Data Base'!D:D,'Data Base'!O:O)</f>
        <v>Blossom - Documento a emitir</v>
      </c>
    </row>
    <row r="27" spans="2:10" hidden="1" x14ac:dyDescent="0.25">
      <c r="B27" s="53" t="str">
        <f>_xlfn.XLOOKUP(C27,'Data Base'!D:D,'Data Base'!B:B)</f>
        <v>AI - Automacao E Instrumentacao</v>
      </c>
      <c r="C27" s="53" t="s">
        <v>32</v>
      </c>
      <c r="D27" s="53" t="str">
        <f>_xlfn.XLOOKUP(C27,'LD-ELFA'!F:F,'LD-ELFA'!H:H)</f>
        <v>FD-A1-2000-J-PB-0007</v>
      </c>
      <c r="E27" s="53">
        <f>_xlfn.XLOOKUP(C27,'Data Base'!D:D,'Data Base'!G:G)</f>
        <v>0</v>
      </c>
      <c r="F27" s="53" t="str">
        <f>_xlfn.XLOOKUP(C27,'LD-ELFA'!F:F,'LD-ELFA'!Q:Q)</f>
        <v>FOLHA DE DADOS</v>
      </c>
      <c r="G27" s="56" t="str">
        <f>_xlfn.XLOOKUP(C27,'Data Base'!D:D,'Data Base'!I:I)</f>
        <v/>
      </c>
      <c r="H27" s="56" t="str">
        <f>_xlfn.XLOOKUP(C27,'Data Base'!D:D,'Data Base'!K:K)</f>
        <v>Documento a emitir</v>
      </c>
      <c r="I27" s="57" t="str">
        <f t="shared" ca="1" si="0"/>
        <v>Documento a emitir</v>
      </c>
      <c r="J27" s="57" t="str">
        <f>_xlfn.XLOOKUP(C27,'Data Base'!D:D,'Data Base'!O:O)</f>
        <v>Blossom - Documento a emitir</v>
      </c>
    </row>
    <row r="28" spans="2:10" hidden="1" x14ac:dyDescent="0.25">
      <c r="B28" s="53" t="str">
        <f>_xlfn.XLOOKUP(C28,'Data Base'!D:D,'Data Base'!B:B)</f>
        <v>AI - Automacao E Instrumentacao</v>
      </c>
      <c r="C28" s="53" t="s">
        <v>33</v>
      </c>
      <c r="D28" s="53" t="str">
        <f>_xlfn.XLOOKUP(C28,'LD-ELFA'!F:F,'LD-ELFA'!H:H)</f>
        <v>FD-A1-2000-J-PB-0008</v>
      </c>
      <c r="E28" s="53">
        <f>_xlfn.XLOOKUP(C28,'Data Base'!D:D,'Data Base'!G:G)</f>
        <v>0</v>
      </c>
      <c r="F28" s="53" t="str">
        <f>_xlfn.XLOOKUP(C28,'LD-ELFA'!F:F,'LD-ELFA'!Q:Q)</f>
        <v>FOLHA DE DADOS</v>
      </c>
      <c r="G28" s="56" t="str">
        <f>_xlfn.XLOOKUP(C28,'Data Base'!D:D,'Data Base'!I:I)</f>
        <v/>
      </c>
      <c r="H28" s="56" t="str">
        <f>_xlfn.XLOOKUP(C28,'Data Base'!D:D,'Data Base'!K:K)</f>
        <v>Documento a emitir</v>
      </c>
      <c r="I28" s="57" t="str">
        <f t="shared" ca="1" si="0"/>
        <v>Documento a emitir</v>
      </c>
      <c r="J28" s="57" t="str">
        <f>_xlfn.XLOOKUP(C28,'Data Base'!D:D,'Data Base'!O:O)</f>
        <v>Blossom - Documento a emitir</v>
      </c>
    </row>
    <row r="29" spans="2:10" hidden="1" x14ac:dyDescent="0.25">
      <c r="B29" s="53" t="str">
        <f>_xlfn.XLOOKUP(C29,'Data Base'!D:D,'Data Base'!B:B)</f>
        <v>AI - Automacao E Instrumentacao</v>
      </c>
      <c r="C29" s="53" t="s">
        <v>34</v>
      </c>
      <c r="D29" s="53" t="str">
        <f>_xlfn.XLOOKUP(C29,'LD-ELFA'!F:F,'LD-ELFA'!H:H)</f>
        <v>FD-A1-2000-J-PB-0009</v>
      </c>
      <c r="E29" s="53">
        <f>_xlfn.XLOOKUP(C29,'Data Base'!D:D,'Data Base'!G:G)</f>
        <v>0</v>
      </c>
      <c r="F29" s="53" t="str">
        <f>_xlfn.XLOOKUP(C29,'LD-ELFA'!F:F,'LD-ELFA'!Q:Q)</f>
        <v>FOLHA DE DADOS</v>
      </c>
      <c r="G29" s="56" t="str">
        <f>_xlfn.XLOOKUP(C29,'Data Base'!D:D,'Data Base'!I:I)</f>
        <v/>
      </c>
      <c r="H29" s="56" t="str">
        <f>_xlfn.XLOOKUP(C29,'Data Base'!D:D,'Data Base'!K:K)</f>
        <v>Documento a emitir</v>
      </c>
      <c r="I29" s="57" t="str">
        <f t="shared" ca="1" si="0"/>
        <v>Documento a emitir</v>
      </c>
      <c r="J29" s="57" t="str">
        <f>_xlfn.XLOOKUP(C29,'Data Base'!D:D,'Data Base'!O:O)</f>
        <v>Blossom - Documento a emitir</v>
      </c>
    </row>
    <row r="30" spans="2:10" hidden="1" x14ac:dyDescent="0.25">
      <c r="B30" s="53" t="str">
        <f>_xlfn.XLOOKUP(C30,'Data Base'!D:D,'Data Base'!B:B)</f>
        <v>AI - Automacao E Instrumentacao</v>
      </c>
      <c r="C30" s="53" t="s">
        <v>35</v>
      </c>
      <c r="D30" s="53" t="str">
        <f>_xlfn.XLOOKUP(C30,'LD-ELFA'!F:F,'LD-ELFA'!H:H)</f>
        <v>FD-A1-2000-J-PB-0010</v>
      </c>
      <c r="E30" s="53">
        <f>_xlfn.XLOOKUP(C30,'Data Base'!D:D,'Data Base'!G:G)</f>
        <v>0</v>
      </c>
      <c r="F30" s="53" t="str">
        <f>_xlfn.XLOOKUP(C30,'LD-ELFA'!F:F,'LD-ELFA'!Q:Q)</f>
        <v>FOLHA DE DADOS</v>
      </c>
      <c r="G30" s="56" t="str">
        <f>_xlfn.XLOOKUP(C30,'Data Base'!D:D,'Data Base'!I:I)</f>
        <v/>
      </c>
      <c r="H30" s="56" t="str">
        <f>_xlfn.XLOOKUP(C30,'Data Base'!D:D,'Data Base'!K:K)</f>
        <v>Documento a emitir</v>
      </c>
      <c r="I30" s="57" t="str">
        <f t="shared" ca="1" si="0"/>
        <v>Documento a emitir</v>
      </c>
      <c r="J30" s="57" t="str">
        <f>_xlfn.XLOOKUP(C30,'Data Base'!D:D,'Data Base'!O:O)</f>
        <v>Blossom - Documento a emitir</v>
      </c>
    </row>
    <row r="31" spans="2:10" hidden="1" x14ac:dyDescent="0.25">
      <c r="B31" s="53" t="str">
        <f>_xlfn.XLOOKUP(C31,'Data Base'!D:D,'Data Base'!B:B)</f>
        <v>AI - Automacao E Instrumentacao</v>
      </c>
      <c r="C31" s="53" t="s">
        <v>36</v>
      </c>
      <c r="D31" s="53" t="str">
        <f>_xlfn.XLOOKUP(C31,'LD-ELFA'!F:F,'LD-ELFA'!H:H)</f>
        <v>FD-A1-2000-J-PB-0011</v>
      </c>
      <c r="E31" s="53">
        <f>_xlfn.XLOOKUP(C31,'Data Base'!D:D,'Data Base'!G:G)</f>
        <v>0</v>
      </c>
      <c r="F31" s="53" t="str">
        <f>_xlfn.XLOOKUP(C31,'LD-ELFA'!F:F,'LD-ELFA'!Q:Q)</f>
        <v>FOLHA DE DADOS</v>
      </c>
      <c r="G31" s="56" t="str">
        <f>_xlfn.XLOOKUP(C31,'Data Base'!D:D,'Data Base'!I:I)</f>
        <v/>
      </c>
      <c r="H31" s="56" t="str">
        <f>_xlfn.XLOOKUP(C31,'Data Base'!D:D,'Data Base'!K:K)</f>
        <v>Documento a emitir</v>
      </c>
      <c r="I31" s="57" t="str">
        <f t="shared" ca="1" si="0"/>
        <v>Documento a emitir</v>
      </c>
      <c r="J31" s="57" t="str">
        <f>_xlfn.XLOOKUP(C31,'Data Base'!D:D,'Data Base'!O:O)</f>
        <v>Blossom - Documento a emitir</v>
      </c>
    </row>
    <row r="32" spans="2:10" hidden="1" x14ac:dyDescent="0.25">
      <c r="B32" s="53" t="str">
        <f>_xlfn.XLOOKUP(C32,'Data Base'!D:D,'Data Base'!B:B)</f>
        <v>AI - Automacao E Instrumentacao</v>
      </c>
      <c r="C32" s="53" t="s">
        <v>37</v>
      </c>
      <c r="D32" s="53" t="str">
        <f>_xlfn.XLOOKUP(C32,'LD-ELFA'!F:F,'LD-ELFA'!H:H)</f>
        <v>FD-A1-2000-J-PB-0012</v>
      </c>
      <c r="E32" s="53">
        <f>_xlfn.XLOOKUP(C32,'Data Base'!D:D,'Data Base'!G:G)</f>
        <v>0</v>
      </c>
      <c r="F32" s="53" t="str">
        <f>_xlfn.XLOOKUP(C32,'LD-ELFA'!F:F,'LD-ELFA'!Q:Q)</f>
        <v>FOLHA DE DADOS</v>
      </c>
      <c r="G32" s="56" t="str">
        <f>_xlfn.XLOOKUP(C32,'Data Base'!D:D,'Data Base'!I:I)</f>
        <v>0007</v>
      </c>
      <c r="H32" s="56">
        <f>_xlfn.XLOOKUP(C32,'Data Base'!D:D,'Data Base'!K:K)</f>
        <v>46202.537889432868</v>
      </c>
      <c r="I32" s="57">
        <f t="shared" ca="1" si="0"/>
        <v>9.4621105671321857</v>
      </c>
      <c r="J32" s="57" t="str">
        <f>_xlfn.XLOOKUP(C32,'Data Base'!D:D,'Data Base'!O:O)</f>
        <v>Documento Concluído</v>
      </c>
    </row>
    <row r="33" spans="2:10" hidden="1" x14ac:dyDescent="0.25">
      <c r="B33" s="53" t="str">
        <f>_xlfn.XLOOKUP(C33,'Data Base'!D:D,'Data Base'!B:B)</f>
        <v>AI - Automacao E Instrumentacao</v>
      </c>
      <c r="C33" s="53" t="s">
        <v>38</v>
      </c>
      <c r="D33" s="53" t="str">
        <f>_xlfn.XLOOKUP(C33,'LD-ELFA'!F:F,'LD-ELFA'!H:H)</f>
        <v>FD-A1-2000-J-PB-0013</v>
      </c>
      <c r="E33" s="53">
        <f>_xlfn.XLOOKUP(C33,'Data Base'!D:D,'Data Base'!G:G)</f>
        <v>0</v>
      </c>
      <c r="F33" s="53" t="str">
        <f>_xlfn.XLOOKUP(C33,'LD-ELFA'!F:F,'LD-ELFA'!Q:Q)</f>
        <v>FOLHA DE DADOS</v>
      </c>
      <c r="G33" s="53" t="str">
        <f>_xlfn.XLOOKUP(C33,'Data Base'!D:D,'Data Base'!I:I)</f>
        <v/>
      </c>
      <c r="H33" s="56" t="str">
        <f>_xlfn.XLOOKUP(C33,'Data Base'!D:D,'Data Base'!K:K)</f>
        <v>Documento a emitir</v>
      </c>
      <c r="I33" s="57" t="str">
        <f t="shared" ca="1" si="0"/>
        <v>Documento a emitir</v>
      </c>
      <c r="J33" s="57" t="str">
        <f>_xlfn.XLOOKUP(C33,'Data Base'!D:D,'Data Base'!O:O)</f>
        <v>Blossom - Documento a emitir</v>
      </c>
    </row>
    <row r="34" spans="2:10" hidden="1" x14ac:dyDescent="0.25">
      <c r="B34" s="53" t="str">
        <f>_xlfn.XLOOKUP(C34,'Data Base'!D:D,'Data Base'!B:B)</f>
        <v>AI - Automacao E Instrumentacao</v>
      </c>
      <c r="C34" s="53" t="s">
        <v>39</v>
      </c>
      <c r="D34" s="53" t="str">
        <f>_xlfn.XLOOKUP(C34,'LD-ELFA'!F:F,'LD-ELFA'!H:H)</f>
        <v>FD-A1-2000-J-PB-0014</v>
      </c>
      <c r="E34" s="53">
        <f>_xlfn.XLOOKUP(C34,'Data Base'!D:D,'Data Base'!G:G)</f>
        <v>0</v>
      </c>
      <c r="F34" s="53" t="str">
        <f>_xlfn.XLOOKUP(C34,'LD-ELFA'!F:F,'LD-ELFA'!Q:Q)</f>
        <v>FOLHA DE DADOS</v>
      </c>
      <c r="G34" s="56" t="str">
        <f>_xlfn.XLOOKUP(C34,'Data Base'!D:D,'Data Base'!I:I)</f>
        <v>0021</v>
      </c>
      <c r="H34" s="56">
        <f>_xlfn.XLOOKUP(C34,'Data Base'!D:D,'Data Base'!K:K)</f>
        <v>46210.67873579861</v>
      </c>
      <c r="I34" s="57">
        <f t="shared" ca="1" si="0"/>
        <v>1.3212642013895675</v>
      </c>
      <c r="J34" s="57" t="str">
        <f>_xlfn.XLOOKUP(C34,'Data Base'!D:D,'Data Base'!O:O)</f>
        <v>Blossom - Atendimento de Comentário</v>
      </c>
    </row>
    <row r="35" spans="2:10" hidden="1" x14ac:dyDescent="0.25">
      <c r="B35" s="53" t="str">
        <f>_xlfn.XLOOKUP(C35,'Data Base'!D:D,'Data Base'!B:B)</f>
        <v>AI - Automacao E Instrumentacao</v>
      </c>
      <c r="C35" s="53" t="s">
        <v>40</v>
      </c>
      <c r="D35" s="53" t="str">
        <f>_xlfn.XLOOKUP(C35,'LD-ELFA'!F:F,'LD-ELFA'!H:H)</f>
        <v>FD-A1-2000-J-PB-0015</v>
      </c>
      <c r="E35" s="53">
        <f>_xlfn.XLOOKUP(C35,'Data Base'!D:D,'Data Base'!G:G)</f>
        <v>1</v>
      </c>
      <c r="F35" s="53" t="str">
        <f>_xlfn.XLOOKUP(C35,'LD-ELFA'!F:F,'LD-ELFA'!Q:Q)</f>
        <v>FOLHA DE DADOS</v>
      </c>
      <c r="G35" s="53" t="str">
        <f>_xlfn.XLOOKUP(C35,'Data Base'!D:D,'Data Base'!I:I)</f>
        <v>0021</v>
      </c>
      <c r="H35" s="56">
        <f>_xlfn.XLOOKUP(C35,'Data Base'!D:D,'Data Base'!K:K)</f>
        <v>46210.678736377318</v>
      </c>
      <c r="I35" s="57">
        <f t="shared" ca="1" si="0"/>
        <v>1.3212636226817267</v>
      </c>
      <c r="J35" s="57" t="str">
        <f>_xlfn.XLOOKUP(C35,'Data Base'!D:D,'Data Base'!O:O)</f>
        <v>Documento Concluído</v>
      </c>
    </row>
    <row r="36" spans="2:10" hidden="1" x14ac:dyDescent="0.25">
      <c r="B36" s="53" t="str">
        <f>_xlfn.XLOOKUP(C36,'Data Base'!D:D,'Data Base'!B:B)</f>
        <v>AI - Automacao E Instrumentacao</v>
      </c>
      <c r="C36" s="53" t="s">
        <v>41</v>
      </c>
      <c r="D36" s="53" t="str">
        <f>_xlfn.XLOOKUP(C36,'LD-ELFA'!F:F,'LD-ELFA'!H:H)</f>
        <v>FD-A1-2000-J-PB-0016</v>
      </c>
      <c r="E36" s="53">
        <f>_xlfn.XLOOKUP(C36,'Data Base'!D:D,'Data Base'!G:G)</f>
        <v>1</v>
      </c>
      <c r="F36" s="53" t="str">
        <f>_xlfn.XLOOKUP(C36,'LD-ELFA'!F:F,'LD-ELFA'!Q:Q)</f>
        <v>FOLHA DE DADOS</v>
      </c>
      <c r="G36" s="53" t="str">
        <f>_xlfn.XLOOKUP(C36,'Data Base'!D:D,'Data Base'!I:I)</f>
        <v>0033</v>
      </c>
      <c r="H36" s="56">
        <f>_xlfn.XLOOKUP(C36,'Data Base'!D:D,'Data Base'!K:K)</f>
        <v>46213.699927858797</v>
      </c>
      <c r="I36" s="57">
        <f t="shared" ca="1" si="0"/>
        <v>0</v>
      </c>
      <c r="J36" s="57" t="str">
        <f>_xlfn.XLOOKUP(C36,'Data Base'!D:D,'Data Base'!O:O)</f>
        <v>Documento Concluído</v>
      </c>
    </row>
    <row r="37" spans="2:10" hidden="1" x14ac:dyDescent="0.25">
      <c r="B37" s="53" t="str">
        <f>_xlfn.XLOOKUP(C37,'Data Base'!D:D,'Data Base'!B:B)</f>
        <v>AI - Automacao E Instrumentacao</v>
      </c>
      <c r="C37" s="53" t="s">
        <v>42</v>
      </c>
      <c r="D37" s="53" t="str">
        <f>_xlfn.XLOOKUP(C37,'LD-ELFA'!F:F,'LD-ELFA'!H:H)</f>
        <v>FD-A1-2000-J-PB-0017</v>
      </c>
      <c r="E37" s="53">
        <f>_xlfn.XLOOKUP(C37,'Data Base'!D:D,'Data Base'!G:G)</f>
        <v>0</v>
      </c>
      <c r="F37" s="53" t="str">
        <f>_xlfn.XLOOKUP(C37,'LD-ELFA'!F:F,'LD-ELFA'!Q:Q)</f>
        <v>FOLHA DE DADOS</v>
      </c>
      <c r="G37" s="56" t="str">
        <f>_xlfn.XLOOKUP(C37,'Data Base'!D:D,'Data Base'!I:I)</f>
        <v/>
      </c>
      <c r="H37" s="56" t="str">
        <f>_xlfn.XLOOKUP(C37,'Data Base'!D:D,'Data Base'!K:K)</f>
        <v>Documento a emitir</v>
      </c>
      <c r="I37" s="57" t="str">
        <f t="shared" ca="1" si="0"/>
        <v>Documento a emitir</v>
      </c>
      <c r="J37" s="57" t="str">
        <f>_xlfn.XLOOKUP(C37,'Data Base'!D:D,'Data Base'!O:O)</f>
        <v>Blossom - Documento a emitir</v>
      </c>
    </row>
    <row r="38" spans="2:10" hidden="1" x14ac:dyDescent="0.25">
      <c r="B38" s="53" t="str">
        <f>_xlfn.XLOOKUP(C38,'Data Base'!D:D,'Data Base'!B:B)</f>
        <v>AI - Automacao E Instrumentacao</v>
      </c>
      <c r="C38" s="53" t="s">
        <v>43</v>
      </c>
      <c r="D38" s="53" t="str">
        <f>_xlfn.XLOOKUP(C38,'LD-ELFA'!F:F,'LD-ELFA'!H:H)</f>
        <v>FD-A1-2000-J-PB-0018</v>
      </c>
      <c r="E38" s="53">
        <f>_xlfn.XLOOKUP(C38,'Data Base'!D:D,'Data Base'!G:G)</f>
        <v>0</v>
      </c>
      <c r="F38" s="53" t="str">
        <f>_xlfn.XLOOKUP(C38,'LD-ELFA'!F:F,'LD-ELFA'!Q:Q)</f>
        <v>FOLHA DE DADOS</v>
      </c>
      <c r="G38" s="56" t="str">
        <f>_xlfn.XLOOKUP(C38,'Data Base'!D:D,'Data Base'!I:I)</f>
        <v/>
      </c>
      <c r="H38" s="56" t="str">
        <f>_xlfn.XLOOKUP(C38,'Data Base'!D:D,'Data Base'!K:K)</f>
        <v>Documento a emitir</v>
      </c>
      <c r="I38" s="57" t="str">
        <f t="shared" ca="1" si="0"/>
        <v>Documento a emitir</v>
      </c>
      <c r="J38" s="57" t="str">
        <f>_xlfn.XLOOKUP(C38,'Data Base'!D:D,'Data Base'!O:O)</f>
        <v>Blossom - Documento a emitir</v>
      </c>
    </row>
    <row r="39" spans="2:10" hidden="1" x14ac:dyDescent="0.25">
      <c r="B39" s="53" t="str">
        <f>_xlfn.XLOOKUP(C39,'Data Base'!D:D,'Data Base'!B:B)</f>
        <v>AI - Automacao E Instrumentacao</v>
      </c>
      <c r="C39" s="53" t="s">
        <v>44</v>
      </c>
      <c r="D39" s="53" t="str">
        <f>_xlfn.XLOOKUP(C39,'LD-ELFA'!F:F,'LD-ELFA'!H:H)</f>
        <v>FD-A1-2000-J-PB-0019</v>
      </c>
      <c r="E39" s="53">
        <f>_xlfn.XLOOKUP(C39,'Data Base'!D:D,'Data Base'!G:G)</f>
        <v>0</v>
      </c>
      <c r="F39" s="53" t="str">
        <f>_xlfn.XLOOKUP(C39,'LD-ELFA'!F:F,'LD-ELFA'!Q:Q)</f>
        <v>FOLHA DE DADOS</v>
      </c>
      <c r="G39" s="56" t="str">
        <f>_xlfn.XLOOKUP(C39,'Data Base'!D:D,'Data Base'!I:I)</f>
        <v/>
      </c>
      <c r="H39" s="56" t="str">
        <f>_xlfn.XLOOKUP(C39,'Data Base'!D:D,'Data Base'!K:K)</f>
        <v>Documento a emitir</v>
      </c>
      <c r="I39" s="57" t="str">
        <f t="shared" ca="1" si="0"/>
        <v>Documento a emitir</v>
      </c>
      <c r="J39" s="57" t="str">
        <f>_xlfn.XLOOKUP(C39,'Data Base'!D:D,'Data Base'!O:O)</f>
        <v>Blossom - Documento a emitir</v>
      </c>
    </row>
    <row r="40" spans="2:10" hidden="1" x14ac:dyDescent="0.25">
      <c r="B40" s="53" t="str">
        <f>_xlfn.XLOOKUP(C40,'Data Base'!D:D,'Data Base'!B:B)</f>
        <v>AI - Automacao E Instrumentacao</v>
      </c>
      <c r="C40" s="53" t="s">
        <v>45</v>
      </c>
      <c r="D40" s="53" t="str">
        <f>_xlfn.XLOOKUP(C40,'LD-ELFA'!F:F,'LD-ELFA'!H:H)</f>
        <v>FD-A1-2000-J-PB-0020</v>
      </c>
      <c r="E40" s="53">
        <f>_xlfn.XLOOKUP(C40,'Data Base'!D:D,'Data Base'!G:G)</f>
        <v>0</v>
      </c>
      <c r="F40" s="53" t="str">
        <f>_xlfn.XLOOKUP(C40,'LD-ELFA'!F:F,'LD-ELFA'!Q:Q)</f>
        <v>FOLHA DE DADOS</v>
      </c>
      <c r="G40" s="53" t="str">
        <f>_xlfn.XLOOKUP(C40,'Data Base'!D:D,'Data Base'!I:I)</f>
        <v/>
      </c>
      <c r="H40" s="56" t="str">
        <f>_xlfn.XLOOKUP(C40,'Data Base'!D:D,'Data Base'!K:K)</f>
        <v>Documento a emitir</v>
      </c>
      <c r="I40" s="57" t="str">
        <f t="shared" ca="1" si="0"/>
        <v>Documento a emitir</v>
      </c>
      <c r="J40" s="57" t="str">
        <f>_xlfn.XLOOKUP(C40,'Data Base'!D:D,'Data Base'!O:O)</f>
        <v>Blossom - Documento a emitir</v>
      </c>
    </row>
    <row r="41" spans="2:10" hidden="1" x14ac:dyDescent="0.25">
      <c r="B41" s="53" t="str">
        <f>_xlfn.XLOOKUP(C41,'Data Base'!D:D,'Data Base'!B:B)</f>
        <v>AI - Automacao E Instrumentacao</v>
      </c>
      <c r="C41" s="53" t="s">
        <v>46</v>
      </c>
      <c r="D41" s="53" t="str">
        <f>_xlfn.XLOOKUP(C41,'LD-ELFA'!F:F,'LD-ELFA'!H:H)</f>
        <v>FD-A1-2000-J-PB-0021</v>
      </c>
      <c r="E41" s="53">
        <f>_xlfn.XLOOKUP(C41,'Data Base'!D:D,'Data Base'!G:G)</f>
        <v>0</v>
      </c>
      <c r="F41" s="53" t="str">
        <f>_xlfn.XLOOKUP(C41,'LD-ELFA'!F:F,'LD-ELFA'!Q:Q)</f>
        <v>FOLHA DE DADOS</v>
      </c>
      <c r="G41" s="56" t="str">
        <f>_xlfn.XLOOKUP(C41,'Data Base'!D:D,'Data Base'!I:I)</f>
        <v/>
      </c>
      <c r="H41" s="56" t="str">
        <f>_xlfn.XLOOKUP(C41,'Data Base'!D:D,'Data Base'!K:K)</f>
        <v>Documento a emitir</v>
      </c>
      <c r="I41" s="57" t="str">
        <f t="shared" ca="1" si="0"/>
        <v>Documento a emitir</v>
      </c>
      <c r="J41" s="57" t="str">
        <f>_xlfn.XLOOKUP(C41,'Data Base'!D:D,'Data Base'!O:O)</f>
        <v>Blossom - Documento a emitir</v>
      </c>
    </row>
    <row r="42" spans="2:10" hidden="1" x14ac:dyDescent="0.25">
      <c r="B42" s="53" t="str">
        <f>_xlfn.XLOOKUP(C42,'Data Base'!D:D,'Data Base'!B:B)</f>
        <v>AI - Automacao E Instrumentacao</v>
      </c>
      <c r="C42" s="53" t="s">
        <v>47</v>
      </c>
      <c r="D42" s="53" t="str">
        <f>_xlfn.XLOOKUP(C42,'LD-ELFA'!F:F,'LD-ELFA'!H:H)</f>
        <v>FD-A1-2000-J-PB-0022</v>
      </c>
      <c r="E42" s="53">
        <f>_xlfn.XLOOKUP(C42,'Data Base'!D:D,'Data Base'!G:G)</f>
        <v>1</v>
      </c>
      <c r="F42" s="53" t="str">
        <f>_xlfn.XLOOKUP(C42,'LD-ELFA'!F:F,'LD-ELFA'!Q:Q)</f>
        <v>FOLHA DE DADOS</v>
      </c>
      <c r="G42" s="53" t="str">
        <f>_xlfn.XLOOKUP(C42,'Data Base'!D:D,'Data Base'!I:I)</f>
        <v>0033</v>
      </c>
      <c r="H42" s="56">
        <f>_xlfn.XLOOKUP(C42,'Data Base'!D:D,'Data Base'!K:K)</f>
        <v>46213.699928275462</v>
      </c>
      <c r="I42" s="57">
        <f t="shared" ca="1" si="0"/>
        <v>0</v>
      </c>
      <c r="J42" s="57" t="str">
        <f>_xlfn.XLOOKUP(C42,'Data Base'!D:D,'Data Base'!O:O)</f>
        <v>Documento Concluído</v>
      </c>
    </row>
    <row r="43" spans="2:10" hidden="1" x14ac:dyDescent="0.25">
      <c r="B43" s="53" t="str">
        <f>_xlfn.XLOOKUP(C43,'Data Base'!D:D,'Data Base'!B:B)</f>
        <v>AI - Automacao E Instrumentacao</v>
      </c>
      <c r="C43" s="53" t="s">
        <v>48</v>
      </c>
      <c r="D43" s="53" t="str">
        <f>_xlfn.XLOOKUP(C43,'LD-ELFA'!F:F,'LD-ELFA'!H:H)</f>
        <v>FD-A1-2000-J-PB-0023</v>
      </c>
      <c r="E43" s="53">
        <f>_xlfn.XLOOKUP(C43,'Data Base'!D:D,'Data Base'!G:G)</f>
        <v>0</v>
      </c>
      <c r="F43" s="53" t="str">
        <f>_xlfn.XLOOKUP(C43,'LD-ELFA'!F:F,'LD-ELFA'!Q:Q)</f>
        <v>FOLHA DE DADOS</v>
      </c>
      <c r="G43" s="56" t="str">
        <f>_xlfn.XLOOKUP(C43,'Data Base'!D:D,'Data Base'!I:I)</f>
        <v/>
      </c>
      <c r="H43" s="56" t="str">
        <f>_xlfn.XLOOKUP(C43,'Data Base'!D:D,'Data Base'!K:K)</f>
        <v>Documento a emitir</v>
      </c>
      <c r="I43" s="57" t="str">
        <f t="shared" ca="1" si="0"/>
        <v>Documento a emitir</v>
      </c>
      <c r="J43" s="57" t="str">
        <f>_xlfn.XLOOKUP(C43,'Data Base'!D:D,'Data Base'!O:O)</f>
        <v>Blossom - Documento a emitir</v>
      </c>
    </row>
    <row r="44" spans="2:10" hidden="1" x14ac:dyDescent="0.25">
      <c r="B44" s="53" t="str">
        <f>_xlfn.XLOOKUP(C44,'Data Base'!D:D,'Data Base'!B:B)</f>
        <v>AI - Automacao E Instrumentacao</v>
      </c>
      <c r="C44" s="53" t="s">
        <v>49</v>
      </c>
      <c r="D44" s="53" t="str">
        <f>_xlfn.XLOOKUP(C44,'LD-ELFA'!F:F,'LD-ELFA'!H:H)</f>
        <v>FD-A1-2004-J-PB-0001</v>
      </c>
      <c r="E44" s="53">
        <f>_xlfn.XLOOKUP(C44,'Data Base'!D:D,'Data Base'!G:G)</f>
        <v>0</v>
      </c>
      <c r="F44" s="53" t="str">
        <f>_xlfn.XLOOKUP(C44,'LD-ELFA'!F:F,'LD-ELFA'!Q:Q)</f>
        <v>FOLHA DE DADOS</v>
      </c>
      <c r="G44" s="56" t="str">
        <f>_xlfn.XLOOKUP(C44,'Data Base'!D:D,'Data Base'!I:I)</f>
        <v/>
      </c>
      <c r="H44" s="56" t="str">
        <f>_xlfn.XLOOKUP(C44,'Data Base'!D:D,'Data Base'!K:K)</f>
        <v>Documento a emitir</v>
      </c>
      <c r="I44" s="57" t="str">
        <f t="shared" ca="1" si="0"/>
        <v>Documento a emitir</v>
      </c>
      <c r="J44" s="57" t="str">
        <f>_xlfn.XLOOKUP(C44,'Data Base'!D:D,'Data Base'!O:O)</f>
        <v>Blossom - Documento a emitir</v>
      </c>
    </row>
    <row r="45" spans="2:10" hidden="1" x14ac:dyDescent="0.25">
      <c r="B45" s="53" t="str">
        <f>_xlfn.XLOOKUP(C45,'Data Base'!D:D,'Data Base'!B:B)</f>
        <v>AI - Automacao E Instrumentacao</v>
      </c>
      <c r="C45" s="53" t="s">
        <v>50</v>
      </c>
      <c r="D45" s="53" t="str">
        <f>_xlfn.XLOOKUP(C45,'LD-ELFA'!F:F,'LD-ELFA'!H:H)</f>
        <v>FD-A1-2006-J-PB-0002</v>
      </c>
      <c r="E45" s="53">
        <f>_xlfn.XLOOKUP(C45,'Data Base'!D:D,'Data Base'!G:G)</f>
        <v>0</v>
      </c>
      <c r="F45" s="53" t="str">
        <f>_xlfn.XLOOKUP(C45,'LD-ELFA'!F:F,'LD-ELFA'!Q:Q)</f>
        <v>FOLHA DE DADOS</v>
      </c>
      <c r="G45" s="56" t="str">
        <f>_xlfn.XLOOKUP(C45,'Data Base'!D:D,'Data Base'!I:I)</f>
        <v/>
      </c>
      <c r="H45" s="56" t="str">
        <f>_xlfn.XLOOKUP(C45,'Data Base'!D:D,'Data Base'!K:K)</f>
        <v>Documento a emitir</v>
      </c>
      <c r="I45" s="57" t="str">
        <f t="shared" ca="1" si="0"/>
        <v>Documento a emitir</v>
      </c>
      <c r="J45" s="57" t="str">
        <f>_xlfn.XLOOKUP(C45,'Data Base'!D:D,'Data Base'!O:O)</f>
        <v>Blossom - Documento a emitir</v>
      </c>
    </row>
    <row r="46" spans="2:10" hidden="1" x14ac:dyDescent="0.25">
      <c r="B46" s="53" t="str">
        <f>_xlfn.XLOOKUP(C46,'Data Base'!D:D,'Data Base'!B:B)</f>
        <v>AI - Automacao E Instrumentacao</v>
      </c>
      <c r="C46" s="53" t="s">
        <v>51</v>
      </c>
      <c r="D46" s="53" t="str">
        <f>_xlfn.XLOOKUP(C46,'LD-ELFA'!F:F,'LD-ELFA'!H:H)</f>
        <v>FD-A1-2006-J-PB-0004</v>
      </c>
      <c r="E46" s="53">
        <f>_xlfn.XLOOKUP(C46,'Data Base'!D:D,'Data Base'!G:G)</f>
        <v>0</v>
      </c>
      <c r="F46" s="53" t="str">
        <f>_xlfn.XLOOKUP(C46,'LD-ELFA'!F:F,'LD-ELFA'!Q:Q)</f>
        <v>FOLHA DE DADOS</v>
      </c>
      <c r="G46" s="53" t="str">
        <f>_xlfn.XLOOKUP(C46,'Data Base'!D:D,'Data Base'!I:I)</f>
        <v/>
      </c>
      <c r="H46" s="56" t="str">
        <f>_xlfn.XLOOKUP(C46,'Data Base'!D:D,'Data Base'!K:K)</f>
        <v>Documento a emitir</v>
      </c>
      <c r="I46" s="57" t="str">
        <f t="shared" ca="1" si="0"/>
        <v>Documento a emitir</v>
      </c>
      <c r="J46" s="57" t="str">
        <f>_xlfn.XLOOKUP(C46,'Data Base'!D:D,'Data Base'!O:O)</f>
        <v>Blossom - Documento a emitir</v>
      </c>
    </row>
    <row r="47" spans="2:10" hidden="1" x14ac:dyDescent="0.25">
      <c r="B47" s="53" t="str">
        <f>_xlfn.XLOOKUP(C47,'Data Base'!D:D,'Data Base'!B:B)</f>
        <v>AI - Automacao E Instrumentacao</v>
      </c>
      <c r="C47" s="53" t="s">
        <v>52</v>
      </c>
      <c r="D47" s="53" t="str">
        <f>_xlfn.XLOOKUP(C47,'LD-ELFA'!F:F,'LD-ELFA'!H:H)</f>
        <v>FD-A1-2006-J-PB-0005</v>
      </c>
      <c r="E47" s="53">
        <f>_xlfn.XLOOKUP(C47,'Data Base'!D:D,'Data Base'!G:G)</f>
        <v>0</v>
      </c>
      <c r="F47" s="53" t="str">
        <f>_xlfn.XLOOKUP(C47,'LD-ELFA'!F:F,'LD-ELFA'!Q:Q)</f>
        <v>FOLHA DE DADOS</v>
      </c>
      <c r="G47" s="56" t="str">
        <f>_xlfn.XLOOKUP(C47,'Data Base'!D:D,'Data Base'!I:I)</f>
        <v/>
      </c>
      <c r="H47" s="56" t="str">
        <f>_xlfn.XLOOKUP(C47,'Data Base'!D:D,'Data Base'!K:K)</f>
        <v>Documento a emitir</v>
      </c>
      <c r="I47" s="57" t="str">
        <f t="shared" ca="1" si="0"/>
        <v>Documento a emitir</v>
      </c>
      <c r="J47" s="57" t="str">
        <f>_xlfn.XLOOKUP(C47,'Data Base'!D:D,'Data Base'!O:O)</f>
        <v>Blossom - Documento a emitir</v>
      </c>
    </row>
    <row r="48" spans="2:10" hidden="1" x14ac:dyDescent="0.25">
      <c r="B48" s="53" t="str">
        <f>_xlfn.XLOOKUP(C48,'Data Base'!D:D,'Data Base'!B:B)</f>
        <v>AI - Automacao E Instrumentacao</v>
      </c>
      <c r="C48" s="53" t="s">
        <v>53</v>
      </c>
      <c r="D48" s="53" t="str">
        <f>_xlfn.XLOOKUP(C48,'LD-ELFA'!F:F,'LD-ELFA'!H:H)</f>
        <v>FD-A1-2006-J-PB-0006</v>
      </c>
      <c r="E48" s="53">
        <f>_xlfn.XLOOKUP(C48,'Data Base'!D:D,'Data Base'!G:G)</f>
        <v>0</v>
      </c>
      <c r="F48" s="53" t="str">
        <f>_xlfn.XLOOKUP(C48,'LD-ELFA'!F:F,'LD-ELFA'!Q:Q)</f>
        <v>FOLHA DE DADOS</v>
      </c>
      <c r="G48" s="56" t="str">
        <f>_xlfn.XLOOKUP(C48,'Data Base'!D:D,'Data Base'!I:I)</f>
        <v/>
      </c>
      <c r="H48" s="56" t="str">
        <f>_xlfn.XLOOKUP(C48,'Data Base'!D:D,'Data Base'!K:K)</f>
        <v>Documento a emitir</v>
      </c>
      <c r="I48" s="57" t="str">
        <f t="shared" ca="1" si="0"/>
        <v>Documento a emitir</v>
      </c>
      <c r="J48" s="57" t="str">
        <f>_xlfn.XLOOKUP(C48,'Data Base'!D:D,'Data Base'!O:O)</f>
        <v>Blossom - Documento a emitir</v>
      </c>
    </row>
    <row r="49" spans="2:10" hidden="1" x14ac:dyDescent="0.25">
      <c r="B49" s="53" t="str">
        <f>_xlfn.XLOOKUP(C49,'Data Base'!D:D,'Data Base'!B:B)</f>
        <v>AI - Automacao E Instrumentacao</v>
      </c>
      <c r="C49" s="53" t="s">
        <v>54</v>
      </c>
      <c r="D49" s="53" t="str">
        <f>_xlfn.XLOOKUP(C49,'LD-ELFA'!F:F,'LD-ELFA'!H:H)</f>
        <v>FD-A1-2007-J-PB-0001</v>
      </c>
      <c r="E49" s="53">
        <f>_xlfn.XLOOKUP(C49,'Data Base'!D:D,'Data Base'!G:G)</f>
        <v>0</v>
      </c>
      <c r="F49" s="53" t="str">
        <f>_xlfn.XLOOKUP(C49,'LD-ELFA'!F:F,'LD-ELFA'!Q:Q)</f>
        <v>FOLHA DE DADOS</v>
      </c>
      <c r="G49" s="56" t="str">
        <f>_xlfn.XLOOKUP(C49,'Data Base'!D:D,'Data Base'!I:I)</f>
        <v/>
      </c>
      <c r="H49" s="56" t="str">
        <f>_xlfn.XLOOKUP(C49,'Data Base'!D:D,'Data Base'!K:K)</f>
        <v>Documento a emitir</v>
      </c>
      <c r="I49" s="57" t="str">
        <f t="shared" ca="1" si="0"/>
        <v>Documento a emitir</v>
      </c>
      <c r="J49" s="57" t="str">
        <f>_xlfn.XLOOKUP(C49,'Data Base'!D:D,'Data Base'!O:O)</f>
        <v>Blossom - Documento a emitir</v>
      </c>
    </row>
    <row r="50" spans="2:10" hidden="1" x14ac:dyDescent="0.25">
      <c r="B50" s="53" t="str">
        <f>_xlfn.XLOOKUP(C50,'Data Base'!D:D,'Data Base'!B:B)</f>
        <v>AI - Automacao E Instrumentacao</v>
      </c>
      <c r="C50" s="53" t="s">
        <v>55</v>
      </c>
      <c r="D50" s="53" t="str">
        <f>_xlfn.XLOOKUP(C50,'LD-ELFA'!F:F,'LD-ELFA'!H:H)</f>
        <v>FD-A1-2008-J-PB-0001</v>
      </c>
      <c r="E50" s="53">
        <f>_xlfn.XLOOKUP(C50,'Data Base'!D:D,'Data Base'!G:G)</f>
        <v>0</v>
      </c>
      <c r="F50" s="53" t="str">
        <f>_xlfn.XLOOKUP(C50,'LD-ELFA'!F:F,'LD-ELFA'!Q:Q)</f>
        <v>FOLHA DE DADOS</v>
      </c>
      <c r="G50" s="56" t="str">
        <f>_xlfn.XLOOKUP(C50,'Data Base'!D:D,'Data Base'!I:I)</f>
        <v/>
      </c>
      <c r="H50" s="56" t="str">
        <f>_xlfn.XLOOKUP(C50,'Data Base'!D:D,'Data Base'!K:K)</f>
        <v>Documento a emitir</v>
      </c>
      <c r="I50" s="57" t="str">
        <f t="shared" ca="1" si="0"/>
        <v>Documento a emitir</v>
      </c>
      <c r="J50" s="57" t="str">
        <f>_xlfn.XLOOKUP(C50,'Data Base'!D:D,'Data Base'!O:O)</f>
        <v>Blossom - Documento a emitir</v>
      </c>
    </row>
    <row r="51" spans="2:10" hidden="1" x14ac:dyDescent="0.25">
      <c r="B51" s="53" t="e">
        <f>_xlfn.XLOOKUP(C51,'Data Base'!D:D,'Data Base'!B:B)</f>
        <v>#N/A</v>
      </c>
      <c r="C51" s="53" t="s">
        <v>56</v>
      </c>
      <c r="D51" s="53" t="e">
        <f>_xlfn.XLOOKUP(C51,'LD-ELFA'!F:F,'LD-ELFA'!H:H)</f>
        <v>#N/A</v>
      </c>
      <c r="E51" s="53" t="e">
        <f>_xlfn.XLOOKUP(C51,'Data Base'!D:D,'Data Base'!G:G)</f>
        <v>#N/A</v>
      </c>
      <c r="F51" s="53" t="e">
        <f>_xlfn.XLOOKUP(C51,'LD-ELFA'!F:F,'LD-ELFA'!Q:Q)</f>
        <v>#N/A</v>
      </c>
      <c r="G51" s="56" t="e">
        <f>_xlfn.XLOOKUP(C51,'Data Base'!D:D,'Data Base'!I:I)</f>
        <v>#N/A</v>
      </c>
      <c r="H51" s="56" t="e">
        <f>_xlfn.XLOOKUP(C51,'Data Base'!D:D,'Data Base'!K:K)</f>
        <v>#N/A</v>
      </c>
      <c r="I51" s="57" t="e">
        <f t="shared" ca="1" si="0"/>
        <v>#N/A</v>
      </c>
      <c r="J51" s="57" t="str">
        <f>_xlfn.XLOOKUP(C51,'Data Base'!D:D,'Data Base'!O:O)</f>
        <v>Documento Removido</v>
      </c>
    </row>
    <row r="52" spans="2:10" hidden="1" x14ac:dyDescent="0.25">
      <c r="B52" s="53" t="e">
        <f>_xlfn.XLOOKUP(C52,'Data Base'!D:D,'Data Base'!B:B)</f>
        <v>#N/A</v>
      </c>
      <c r="C52" s="53" t="s">
        <v>57</v>
      </c>
      <c r="D52" s="53" t="e">
        <f>_xlfn.XLOOKUP(C52,'LD-ELFA'!F:F,'LD-ELFA'!H:H)</f>
        <v>#N/A</v>
      </c>
      <c r="E52" s="53" t="e">
        <f>_xlfn.XLOOKUP(C52,'Data Base'!D:D,'Data Base'!G:G)</f>
        <v>#N/A</v>
      </c>
      <c r="F52" s="53" t="e">
        <f>_xlfn.XLOOKUP(C52,'LD-ELFA'!F:F,'LD-ELFA'!Q:Q)</f>
        <v>#N/A</v>
      </c>
      <c r="G52" s="56" t="e">
        <f>_xlfn.XLOOKUP(C52,'Data Base'!D:D,'Data Base'!I:I)</f>
        <v>#N/A</v>
      </c>
      <c r="H52" s="56" t="e">
        <f>_xlfn.XLOOKUP(C52,'Data Base'!D:D,'Data Base'!K:K)</f>
        <v>#N/A</v>
      </c>
      <c r="I52" s="57" t="e">
        <f t="shared" ca="1" si="0"/>
        <v>#N/A</v>
      </c>
      <c r="J52" s="57" t="str">
        <f>_xlfn.XLOOKUP(C52,'Data Base'!D:D,'Data Base'!O:O)</f>
        <v>Documento Removido</v>
      </c>
    </row>
    <row r="53" spans="2:10" hidden="1" x14ac:dyDescent="0.25">
      <c r="B53" s="53" t="e">
        <f>_xlfn.XLOOKUP(C53,'Data Base'!D:D,'Data Base'!B:B)</f>
        <v>#N/A</v>
      </c>
      <c r="C53" s="53" t="s">
        <v>58</v>
      </c>
      <c r="D53" s="53" t="e">
        <f>_xlfn.XLOOKUP(C53,'LD-ELFA'!F:F,'LD-ELFA'!H:H)</f>
        <v>#N/A</v>
      </c>
      <c r="E53" s="53" t="e">
        <f>_xlfn.XLOOKUP(C53,'Data Base'!D:D,'Data Base'!G:G)</f>
        <v>#N/A</v>
      </c>
      <c r="F53" s="53" t="e">
        <f>_xlfn.XLOOKUP(C53,'LD-ELFA'!F:F,'LD-ELFA'!Q:Q)</f>
        <v>#N/A</v>
      </c>
      <c r="G53" s="56" t="e">
        <f>_xlfn.XLOOKUP(C53,'Data Base'!D:D,'Data Base'!I:I)</f>
        <v>#N/A</v>
      </c>
      <c r="H53" s="56" t="e">
        <f>_xlfn.XLOOKUP(C53,'Data Base'!D:D,'Data Base'!K:K)</f>
        <v>#N/A</v>
      </c>
      <c r="I53" s="57" t="e">
        <f t="shared" ca="1" si="0"/>
        <v>#N/A</v>
      </c>
      <c r="J53" s="57" t="str">
        <f>_xlfn.XLOOKUP(C53,'Data Base'!D:D,'Data Base'!O:O)</f>
        <v>Documento Removido</v>
      </c>
    </row>
    <row r="54" spans="2:10" hidden="1" x14ac:dyDescent="0.25">
      <c r="B54" s="53" t="e">
        <f>_xlfn.XLOOKUP(C54,'Data Base'!D:D,'Data Base'!B:B)</f>
        <v>#N/A</v>
      </c>
      <c r="C54" s="53" t="s">
        <v>59</v>
      </c>
      <c r="D54" s="53" t="e">
        <f>_xlfn.XLOOKUP(C54,'LD-ELFA'!F:F,'LD-ELFA'!H:H)</f>
        <v>#N/A</v>
      </c>
      <c r="E54" s="53" t="e">
        <f>_xlfn.XLOOKUP(C54,'Data Base'!D:D,'Data Base'!G:G)</f>
        <v>#N/A</v>
      </c>
      <c r="F54" s="53" t="e">
        <f>_xlfn.XLOOKUP(C54,'LD-ELFA'!F:F,'LD-ELFA'!Q:Q)</f>
        <v>#N/A</v>
      </c>
      <c r="G54" s="53" t="e">
        <f>_xlfn.XLOOKUP(C54,'Data Base'!D:D,'Data Base'!I:I)</f>
        <v>#N/A</v>
      </c>
      <c r="H54" s="56" t="e">
        <f>_xlfn.XLOOKUP(C54,'Data Base'!D:D,'Data Base'!K:K)</f>
        <v>#N/A</v>
      </c>
      <c r="I54" s="57" t="e">
        <f t="shared" ca="1" si="0"/>
        <v>#N/A</v>
      </c>
      <c r="J54" s="57" t="str">
        <f>_xlfn.XLOOKUP(C54,'Data Base'!D:D,'Data Base'!O:O)</f>
        <v>Documento Removido</v>
      </c>
    </row>
    <row r="55" spans="2:10" hidden="1" x14ac:dyDescent="0.25">
      <c r="B55" s="53" t="e">
        <f>_xlfn.XLOOKUP(C55,'Data Base'!D:D,'Data Base'!B:B)</f>
        <v>#N/A</v>
      </c>
      <c r="C55" s="53" t="s">
        <v>60</v>
      </c>
      <c r="D55" s="53" t="e">
        <f>_xlfn.XLOOKUP(C55,'LD-ELFA'!F:F,'LD-ELFA'!H:H)</f>
        <v>#N/A</v>
      </c>
      <c r="E55" s="53" t="e">
        <f>_xlfn.XLOOKUP(C55,'Data Base'!D:D,'Data Base'!G:G)</f>
        <v>#N/A</v>
      </c>
      <c r="F55" s="53" t="e">
        <f>_xlfn.XLOOKUP(C55,'LD-ELFA'!F:F,'LD-ELFA'!Q:Q)</f>
        <v>#N/A</v>
      </c>
      <c r="G55" s="53" t="e">
        <f>_xlfn.XLOOKUP(C55,'Data Base'!D:D,'Data Base'!I:I)</f>
        <v>#N/A</v>
      </c>
      <c r="H55" s="56" t="e">
        <f>_xlfn.XLOOKUP(C55,'Data Base'!D:D,'Data Base'!K:K)</f>
        <v>#N/A</v>
      </c>
      <c r="I55" s="57" t="e">
        <f t="shared" ca="1" si="0"/>
        <v>#N/A</v>
      </c>
      <c r="J55" s="57" t="str">
        <f>_xlfn.XLOOKUP(C55,'Data Base'!D:D,'Data Base'!O:O)</f>
        <v>Documento Removido</v>
      </c>
    </row>
    <row r="56" spans="2:10" hidden="1" x14ac:dyDescent="0.25">
      <c r="B56" s="53" t="e">
        <f>_xlfn.XLOOKUP(C56,'Data Base'!D:D,'Data Base'!B:B)</f>
        <v>#N/A</v>
      </c>
      <c r="C56" s="53" t="s">
        <v>61</v>
      </c>
      <c r="D56" s="53" t="e">
        <f>_xlfn.XLOOKUP(C56,'LD-ELFA'!F:F,'LD-ELFA'!H:H)</f>
        <v>#N/A</v>
      </c>
      <c r="E56" s="53" t="e">
        <f>_xlfn.XLOOKUP(C56,'Data Base'!D:D,'Data Base'!G:G)</f>
        <v>#N/A</v>
      </c>
      <c r="F56" s="53" t="e">
        <f>_xlfn.XLOOKUP(C56,'LD-ELFA'!F:F,'LD-ELFA'!Q:Q)</f>
        <v>#N/A</v>
      </c>
      <c r="G56" s="56" t="e">
        <f>_xlfn.XLOOKUP(C56,'Data Base'!D:D,'Data Base'!I:I)</f>
        <v>#N/A</v>
      </c>
      <c r="H56" s="56" t="e">
        <f>_xlfn.XLOOKUP(C56,'Data Base'!D:D,'Data Base'!K:K)</f>
        <v>#N/A</v>
      </c>
      <c r="I56" s="57" t="e">
        <f t="shared" ca="1" si="0"/>
        <v>#N/A</v>
      </c>
      <c r="J56" s="57" t="str">
        <f>_xlfn.XLOOKUP(C56,'Data Base'!D:D,'Data Base'!O:O)</f>
        <v>Documento Removido</v>
      </c>
    </row>
    <row r="57" spans="2:10" hidden="1" x14ac:dyDescent="0.25">
      <c r="B57" s="53" t="e">
        <f>_xlfn.XLOOKUP(C57,'Data Base'!D:D,'Data Base'!B:B)</f>
        <v>#N/A</v>
      </c>
      <c r="C57" s="53" t="s">
        <v>62</v>
      </c>
      <c r="D57" s="53" t="e">
        <f>_xlfn.XLOOKUP(C57,'LD-ELFA'!F:F,'LD-ELFA'!H:H)</f>
        <v>#N/A</v>
      </c>
      <c r="E57" s="53" t="e">
        <f>_xlfn.XLOOKUP(C57,'Data Base'!D:D,'Data Base'!G:G)</f>
        <v>#N/A</v>
      </c>
      <c r="F57" s="53" t="e">
        <f>_xlfn.XLOOKUP(C57,'LD-ELFA'!F:F,'LD-ELFA'!Q:Q)</f>
        <v>#N/A</v>
      </c>
      <c r="G57" s="56" t="e">
        <f>_xlfn.XLOOKUP(C57,'Data Base'!D:D,'Data Base'!I:I)</f>
        <v>#N/A</v>
      </c>
      <c r="H57" s="56" t="e">
        <f>_xlfn.XLOOKUP(C57,'Data Base'!D:D,'Data Base'!K:K)</f>
        <v>#N/A</v>
      </c>
      <c r="I57" s="57" t="e">
        <f t="shared" ca="1" si="0"/>
        <v>#N/A</v>
      </c>
      <c r="J57" s="57" t="str">
        <f>_xlfn.XLOOKUP(C57,'Data Base'!D:D,'Data Base'!O:O)</f>
        <v>Documento Removido</v>
      </c>
    </row>
    <row r="58" spans="2:10" x14ac:dyDescent="0.25">
      <c r="B58" s="53" t="str">
        <f>_xlfn.XLOOKUP(C58,'Data Base'!D:D,'Data Base'!B:B)</f>
        <v>AI - Automacao E Instrumentacao</v>
      </c>
      <c r="C58" s="53" t="s">
        <v>63</v>
      </c>
      <c r="D58" s="53" t="str">
        <f>_xlfn.XLOOKUP(C58,'LD-ELFA'!F:F,'LD-ELFA'!H:H)</f>
        <v>FD-A1-2000-J-PB-4000</v>
      </c>
      <c r="E58" s="53">
        <f>_xlfn.XLOOKUP(C58,'Data Base'!D:D,'Data Base'!G:G)</f>
        <v>0</v>
      </c>
      <c r="F58" s="53" t="str">
        <f>_xlfn.XLOOKUP(C58,'LD-ELFA'!F:F,'LD-ELFA'!Q:Q)</f>
        <v>FOLHA DE DADOS</v>
      </c>
      <c r="G58" s="56" t="str">
        <f>_xlfn.XLOOKUP(C58,'Data Base'!D:D,'Data Base'!I:I)</f>
        <v>0033</v>
      </c>
      <c r="H58" s="56">
        <f>_xlfn.XLOOKUP(C58,'Data Base'!D:D,'Data Base'!K:K)</f>
        <v>46213.699928784721</v>
      </c>
      <c r="I58" s="57">
        <f t="shared" ca="1" si="0"/>
        <v>0</v>
      </c>
      <c r="J58" s="57" t="str">
        <f>_xlfn.XLOOKUP(C58,'Data Base'!D:D,'Data Base'!O:O)</f>
        <v>Cliente - Atendimento de Comentário</v>
      </c>
    </row>
    <row r="59" spans="2:10" hidden="1" x14ac:dyDescent="0.25">
      <c r="B59" s="53" t="str">
        <f>_xlfn.XLOOKUP(C59,'Data Base'!D:D,'Data Base'!B:B)</f>
        <v>AI - Automacao E Instrumentacao</v>
      </c>
      <c r="C59" s="53" t="s">
        <v>64</v>
      </c>
      <c r="D59" s="53" t="str">
        <f>_xlfn.XLOOKUP(C59,'LD-ELFA'!F:F,'LD-ELFA'!H:H)</f>
        <v>LE-A1-2000-J-PB-0001</v>
      </c>
      <c r="E59" s="53">
        <f>_xlfn.XLOOKUP(C59,'Data Base'!D:D,'Data Base'!G:G)</f>
        <v>0</v>
      </c>
      <c r="F59" s="53" t="str">
        <f>_xlfn.XLOOKUP(C59,'LD-ELFA'!F:F,'LD-ELFA'!Q:Q)</f>
        <v>LISTA DE EQUIPAMENTOS DE AUTOMAÇÃO</v>
      </c>
      <c r="G59" s="56" t="str">
        <f>_xlfn.XLOOKUP(C59,'Data Base'!D:D,'Data Base'!I:I)</f>
        <v/>
      </c>
      <c r="H59" s="56" t="str">
        <f>_xlfn.XLOOKUP(C59,'Data Base'!D:D,'Data Base'!K:K)</f>
        <v>Documento a emitir</v>
      </c>
      <c r="I59" s="57" t="str">
        <f t="shared" ca="1" si="0"/>
        <v>Documento a emitir</v>
      </c>
      <c r="J59" s="57" t="str">
        <f>_xlfn.XLOOKUP(C59,'Data Base'!D:D,'Data Base'!O:O)</f>
        <v>Blossom - Documento a emitir</v>
      </c>
    </row>
    <row r="60" spans="2:10" hidden="1" x14ac:dyDescent="0.25">
      <c r="B60" s="53" t="str">
        <f>_xlfn.XLOOKUP(C60,'Data Base'!D:D,'Data Base'!B:B)</f>
        <v>AI - Automacao E Instrumentacao</v>
      </c>
      <c r="C60" s="53" t="s">
        <v>65</v>
      </c>
      <c r="D60" s="53" t="str">
        <f>_xlfn.XLOOKUP(C60,'LD-ELFA'!F:F,'LD-ELFA'!H:H)</f>
        <v>LE-A1-2006-J-PB-0001</v>
      </c>
      <c r="E60" s="53">
        <f>_xlfn.XLOOKUP(C60,'Data Base'!D:D,'Data Base'!G:G)</f>
        <v>0</v>
      </c>
      <c r="F60" s="53" t="str">
        <f>_xlfn.XLOOKUP(C60,'LD-ELFA'!F:F,'LD-ELFA'!Q:Q)</f>
        <v>LISTA DE EQUIPAMENTOS DE TELECOM</v>
      </c>
      <c r="G60" s="56" t="str">
        <f>_xlfn.XLOOKUP(C60,'Data Base'!D:D,'Data Base'!I:I)</f>
        <v/>
      </c>
      <c r="H60" s="56" t="str">
        <f>_xlfn.XLOOKUP(C60,'Data Base'!D:D,'Data Base'!K:K)</f>
        <v>Documento a emitir</v>
      </c>
      <c r="I60" s="57" t="str">
        <f t="shared" ca="1" si="0"/>
        <v>Documento a emitir</v>
      </c>
      <c r="J60" s="57" t="str">
        <f>_xlfn.XLOOKUP(C60,'Data Base'!D:D,'Data Base'!O:O)</f>
        <v>Blossom - Documento a emitir</v>
      </c>
    </row>
    <row r="61" spans="2:10" hidden="1" x14ac:dyDescent="0.25">
      <c r="B61" s="53" t="str">
        <f>_xlfn.XLOOKUP(C61,'Data Base'!D:D,'Data Base'!B:B)</f>
        <v>AI - Automacao E Instrumentacao</v>
      </c>
      <c r="C61" s="53" t="s">
        <v>66</v>
      </c>
      <c r="D61" s="53" t="str">
        <f>_xlfn.XLOOKUP(C61,'LD-ELFA'!F:F,'LD-ELFA'!H:H)</f>
        <v>LI-A1-2000-J-PB-0001</v>
      </c>
      <c r="E61" s="53">
        <f>_xlfn.XLOOKUP(C61,'Data Base'!D:D,'Data Base'!G:G)</f>
        <v>0</v>
      </c>
      <c r="F61" s="53" t="str">
        <f>_xlfn.XLOOKUP(C61,'LD-ELFA'!F:F,'LD-ELFA'!Q:Q)</f>
        <v>LISTA DE INSTRUMENTOS</v>
      </c>
      <c r="G61" s="56" t="str">
        <f>_xlfn.XLOOKUP(C61,'Data Base'!D:D,'Data Base'!I:I)</f>
        <v>0005</v>
      </c>
      <c r="H61" s="56">
        <f>_xlfn.XLOOKUP(C61,'Data Base'!D:D,'Data Base'!K:K)</f>
        <v>46199.699325266207</v>
      </c>
      <c r="I61" s="57">
        <f t="shared" ca="1" si="0"/>
        <v>12.30067473379313</v>
      </c>
      <c r="J61" s="57" t="str">
        <f>_xlfn.XLOOKUP(C61,'Data Base'!D:D,'Data Base'!O:O)</f>
        <v>Blossom - Atendimento de Comentário</v>
      </c>
    </row>
    <row r="62" spans="2:10" hidden="1" x14ac:dyDescent="0.25">
      <c r="B62" s="53" t="e">
        <f>_xlfn.XLOOKUP(C62,'Data Base'!D:D,'Data Base'!B:B)</f>
        <v>#N/A</v>
      </c>
      <c r="C62" s="53" t="s">
        <v>67</v>
      </c>
      <c r="D62" s="53" t="e">
        <f>_xlfn.XLOOKUP(C62,'LD-ELFA'!F:F,'LD-ELFA'!H:H)</f>
        <v>#N/A</v>
      </c>
      <c r="E62" s="53" t="e">
        <f>_xlfn.XLOOKUP(C62,'Data Base'!D:D,'Data Base'!G:G)</f>
        <v>#N/A</v>
      </c>
      <c r="F62" s="53" t="e">
        <f>_xlfn.XLOOKUP(C62,'LD-ELFA'!F:F,'LD-ELFA'!Q:Q)</f>
        <v>#N/A</v>
      </c>
      <c r="G62" s="56" t="e">
        <f>_xlfn.XLOOKUP(C62,'Data Base'!D:D,'Data Base'!I:I)</f>
        <v>#N/A</v>
      </c>
      <c r="H62" s="56" t="e">
        <f>_xlfn.XLOOKUP(C62,'Data Base'!D:D,'Data Base'!K:K)</f>
        <v>#N/A</v>
      </c>
      <c r="I62" s="57" t="e">
        <f t="shared" ca="1" si="0"/>
        <v>#N/A</v>
      </c>
      <c r="J62" s="57" t="str">
        <f>_xlfn.XLOOKUP(C62,'Data Base'!D:D,'Data Base'!O:O)</f>
        <v>Documento Removido</v>
      </c>
    </row>
    <row r="63" spans="2:10" hidden="1" x14ac:dyDescent="0.25">
      <c r="B63" s="53" t="e">
        <f>_xlfn.XLOOKUP(C63,'Data Base'!D:D,'Data Base'!B:B)</f>
        <v>#N/A</v>
      </c>
      <c r="C63" s="53" t="s">
        <v>68</v>
      </c>
      <c r="D63" s="53" t="e">
        <f>_xlfn.XLOOKUP(C63,'LD-ELFA'!F:F,'LD-ELFA'!H:H)</f>
        <v>#N/A</v>
      </c>
      <c r="E63" s="53" t="e">
        <f>_xlfn.XLOOKUP(C63,'Data Base'!D:D,'Data Base'!G:G)</f>
        <v>#N/A</v>
      </c>
      <c r="F63" s="53" t="e">
        <f>_xlfn.XLOOKUP(C63,'LD-ELFA'!F:F,'LD-ELFA'!Q:Q)</f>
        <v>#N/A</v>
      </c>
      <c r="G63" s="56" t="e">
        <f>_xlfn.XLOOKUP(C63,'Data Base'!D:D,'Data Base'!I:I)</f>
        <v>#N/A</v>
      </c>
      <c r="H63" s="56" t="e">
        <f>_xlfn.XLOOKUP(C63,'Data Base'!D:D,'Data Base'!K:K)</f>
        <v>#N/A</v>
      </c>
      <c r="I63" s="57" t="e">
        <f t="shared" ca="1" si="0"/>
        <v>#N/A</v>
      </c>
      <c r="J63" s="57" t="str">
        <f>_xlfn.XLOOKUP(C63,'Data Base'!D:D,'Data Base'!O:O)</f>
        <v>Documento Removido</v>
      </c>
    </row>
    <row r="64" spans="2:10" hidden="1" x14ac:dyDescent="0.25">
      <c r="B64" s="53" t="e">
        <f>_xlfn.XLOOKUP(C64,'Data Base'!D:D,'Data Base'!B:B)</f>
        <v>#N/A</v>
      </c>
      <c r="C64" s="53" t="s">
        <v>69</v>
      </c>
      <c r="D64" s="53" t="e">
        <f>_xlfn.XLOOKUP(C64,'LD-ELFA'!F:F,'LD-ELFA'!H:H)</f>
        <v>#N/A</v>
      </c>
      <c r="E64" s="53" t="e">
        <f>_xlfn.XLOOKUP(C64,'Data Base'!D:D,'Data Base'!G:G)</f>
        <v>#N/A</v>
      </c>
      <c r="F64" s="53" t="e">
        <f>_xlfn.XLOOKUP(C64,'LD-ELFA'!F:F,'LD-ELFA'!Q:Q)</f>
        <v>#N/A</v>
      </c>
      <c r="G64" s="56" t="e">
        <f>_xlfn.XLOOKUP(C64,'Data Base'!D:D,'Data Base'!I:I)</f>
        <v>#N/A</v>
      </c>
      <c r="H64" s="56" t="e">
        <f>_xlfn.XLOOKUP(C64,'Data Base'!D:D,'Data Base'!K:K)</f>
        <v>#N/A</v>
      </c>
      <c r="I64" s="57" t="e">
        <f t="shared" ca="1" si="0"/>
        <v>#N/A</v>
      </c>
      <c r="J64" s="57" t="str">
        <f>_xlfn.XLOOKUP(C64,'Data Base'!D:D,'Data Base'!O:O)</f>
        <v>Documento Removido</v>
      </c>
    </row>
    <row r="65" spans="2:10" hidden="1" x14ac:dyDescent="0.25">
      <c r="B65" s="53" t="str">
        <f>_xlfn.XLOOKUP(C65,'Data Base'!D:D,'Data Base'!B:B)</f>
        <v>AI - Automacao E Instrumentacao</v>
      </c>
      <c r="C65" s="53" t="s">
        <v>70</v>
      </c>
      <c r="D65" s="53" t="str">
        <f>_xlfn.XLOOKUP(C65,'LD-ELFA'!F:F,'LD-ELFA'!H:H)</f>
        <v>RE-A1-2000-J-PB-0001</v>
      </c>
      <c r="E65" s="53">
        <f>_xlfn.XLOOKUP(C65,'Data Base'!D:D,'Data Base'!G:G)</f>
        <v>0</v>
      </c>
      <c r="F65" s="53" t="str">
        <f>_xlfn.XLOOKUP(C65,'LD-ELFA'!F:F,'LD-ELFA'!Q:Q)</f>
        <v>LISTA PRELIMINAR DE ENTRADAS E SAÍDAS</v>
      </c>
      <c r="G65" s="53" t="str">
        <f>_xlfn.XLOOKUP(C65,'Data Base'!D:D,'Data Base'!I:I)</f>
        <v/>
      </c>
      <c r="H65" s="56" t="str">
        <f>_xlfn.XLOOKUP(C65,'Data Base'!D:D,'Data Base'!K:K)</f>
        <v>Documento a emitir</v>
      </c>
      <c r="I65" s="57" t="str">
        <f t="shared" ca="1" si="0"/>
        <v>Documento a emitir</v>
      </c>
      <c r="J65" s="57" t="str">
        <f>_xlfn.XLOOKUP(C65,'Data Base'!D:D,'Data Base'!O:O)</f>
        <v>Blossom - Documento a emitir</v>
      </c>
    </row>
    <row r="66" spans="2:10" hidden="1" x14ac:dyDescent="0.25">
      <c r="B66" s="53" t="e">
        <f>_xlfn.XLOOKUP(C66,'Data Base'!D:D,'Data Base'!B:B)</f>
        <v>#N/A</v>
      </c>
      <c r="C66" s="53" t="s">
        <v>71</v>
      </c>
      <c r="D66" s="53" t="e">
        <f>_xlfn.XLOOKUP(C66,'LD-ELFA'!F:F,'LD-ELFA'!H:H)</f>
        <v>#N/A</v>
      </c>
      <c r="E66" s="53" t="e">
        <f>_xlfn.XLOOKUP(C66,'Data Base'!D:D,'Data Base'!G:G)</f>
        <v>#N/A</v>
      </c>
      <c r="F66" s="53" t="e">
        <f>_xlfn.XLOOKUP(C66,'LD-ELFA'!F:F,'LD-ELFA'!Q:Q)</f>
        <v>#N/A</v>
      </c>
      <c r="G66" s="56" t="e">
        <f>_xlfn.XLOOKUP(C66,'Data Base'!D:D,'Data Base'!I:I)</f>
        <v>#N/A</v>
      </c>
      <c r="H66" s="56" t="e">
        <f>_xlfn.XLOOKUP(C66,'Data Base'!D:D,'Data Base'!K:K)</f>
        <v>#N/A</v>
      </c>
      <c r="I66" s="57" t="e">
        <f t="shared" ca="1" si="0"/>
        <v>#N/A</v>
      </c>
      <c r="J66" s="57" t="str">
        <f>_xlfn.XLOOKUP(C66,'Data Base'!D:D,'Data Base'!O:O)</f>
        <v>Documento Removido</v>
      </c>
    </row>
    <row r="67" spans="2:10" hidden="1" x14ac:dyDescent="0.25">
      <c r="B67" s="53" t="str">
        <f>_xlfn.XLOOKUP(C67,'Data Base'!D:D,'Data Base'!B:B)</f>
        <v>AR - Arquitetura</v>
      </c>
      <c r="C67" s="53" t="s">
        <v>72</v>
      </c>
      <c r="D67" s="53" t="str">
        <f>_xlfn.XLOOKUP(C67,'LD-ELFA'!F:F,'LD-ELFA'!H:H)</f>
        <v>CP-A1-1000-A-PB-0001</v>
      </c>
      <c r="E67" s="53">
        <f>_xlfn.XLOOKUP(C67,'Data Base'!D:D,'Data Base'!G:G)</f>
        <v>2</v>
      </c>
      <c r="F67" s="53" t="str">
        <f>_xlfn.XLOOKUP(C67,'LD-ELFA'!F:F,'LD-ELFA'!Q:Q)</f>
        <v>CRITÉRIOS DE PROJETO</v>
      </c>
      <c r="G67" s="56" t="str">
        <f>_xlfn.XLOOKUP(C67,'Data Base'!D:D,'Data Base'!I:I)</f>
        <v>0032</v>
      </c>
      <c r="H67" s="56">
        <f>_xlfn.XLOOKUP(C67,'Data Base'!D:D,'Data Base'!K:K)</f>
        <v>46213.699656053243</v>
      </c>
      <c r="I67" s="57">
        <f t="shared" ref="I67:I130" ca="1" si="1">IF(G67="",H67,IF((TODAY()-H67)&lt;5,0,((TODAY()-H67)-5)))</f>
        <v>0</v>
      </c>
      <c r="J67" s="57" t="str">
        <f>_xlfn.XLOOKUP(C67,'Data Base'!D:D,'Data Base'!O:O)</f>
        <v>Documento Concluído</v>
      </c>
    </row>
    <row r="68" spans="2:10" hidden="1" x14ac:dyDescent="0.25">
      <c r="B68" s="53" t="str">
        <f>_xlfn.XLOOKUP(C68,'Data Base'!D:D,'Data Base'!B:B)</f>
        <v>AR - Arquitetura</v>
      </c>
      <c r="C68" s="53" t="s">
        <v>73</v>
      </c>
      <c r="D68" s="53" t="str">
        <f>_xlfn.XLOOKUP(C68,'LD-ELFA'!F:F,'LD-ELFA'!H:H)</f>
        <v>DE-A1-1911-A-PB-4000</v>
      </c>
      <c r="E68" s="53">
        <f>_xlfn.XLOOKUP(C68,'Data Base'!D:D,'Data Base'!G:G)</f>
        <v>0</v>
      </c>
      <c r="F68" s="53" t="str">
        <f>_xlfn.XLOOKUP(C68,'LD-ELFA'!F:F,'LD-ELFA'!Q:Q)</f>
        <v>PLANTA E CORTES</v>
      </c>
      <c r="G68" s="56" t="str">
        <f>_xlfn.XLOOKUP(C68,'Data Base'!D:D,'Data Base'!I:I)</f>
        <v/>
      </c>
      <c r="H68" s="56" t="str">
        <f>_xlfn.XLOOKUP(C68,'Data Base'!D:D,'Data Base'!K:K)</f>
        <v>Documento a emitir</v>
      </c>
      <c r="I68" s="57" t="str">
        <f t="shared" ca="1" si="1"/>
        <v>Documento a emitir</v>
      </c>
      <c r="J68" s="57" t="str">
        <f>_xlfn.XLOOKUP(C68,'Data Base'!D:D,'Data Base'!O:O)</f>
        <v>Blossom - Documento a emitir</v>
      </c>
    </row>
    <row r="69" spans="2:10" hidden="1" x14ac:dyDescent="0.25">
      <c r="B69" s="53" t="str">
        <f>_xlfn.XLOOKUP(C69,'Data Base'!D:D,'Data Base'!B:B)</f>
        <v>AR - Arquitetura</v>
      </c>
      <c r="C69" s="53" t="s">
        <v>74</v>
      </c>
      <c r="D69" s="53" t="str">
        <f>_xlfn.XLOOKUP(C69,'LD-ELFA'!F:F,'LD-ELFA'!H:H)</f>
        <v>DE-A1-1912-A-PB-4000</v>
      </c>
      <c r="E69" s="53">
        <f>_xlfn.XLOOKUP(C69,'Data Base'!D:D,'Data Base'!G:G)</f>
        <v>0</v>
      </c>
      <c r="F69" s="53" t="str">
        <f>_xlfn.XLOOKUP(C69,'LD-ELFA'!F:F,'LD-ELFA'!Q:Q)</f>
        <v>PLANTA E CORTES</v>
      </c>
      <c r="G69" s="56" t="str">
        <f>_xlfn.XLOOKUP(C69,'Data Base'!D:D,'Data Base'!I:I)</f>
        <v/>
      </c>
      <c r="H69" s="56" t="str">
        <f>_xlfn.XLOOKUP(C69,'Data Base'!D:D,'Data Base'!K:K)</f>
        <v>Documento a emitir</v>
      </c>
      <c r="I69" s="57" t="str">
        <f t="shared" ca="1" si="1"/>
        <v>Documento a emitir</v>
      </c>
      <c r="J69" s="57" t="str">
        <f>_xlfn.XLOOKUP(C69,'Data Base'!D:D,'Data Base'!O:O)</f>
        <v>Blossom - Documento a emitir</v>
      </c>
    </row>
    <row r="70" spans="2:10" hidden="1" x14ac:dyDescent="0.25">
      <c r="B70" s="53" t="str">
        <f>_xlfn.XLOOKUP(C70,'Data Base'!D:D,'Data Base'!B:B)</f>
        <v>AR - Arquitetura</v>
      </c>
      <c r="C70" s="53" t="s">
        <v>75</v>
      </c>
      <c r="D70" s="53" t="str">
        <f>_xlfn.XLOOKUP(C70,'LD-ELFA'!F:F,'LD-ELFA'!H:H)</f>
        <v>DE-A1-1913-A-PB-4000</v>
      </c>
      <c r="E70" s="53">
        <f>_xlfn.XLOOKUP(C70,'Data Base'!D:D,'Data Base'!G:G)</f>
        <v>0</v>
      </c>
      <c r="F70" s="53" t="str">
        <f>_xlfn.XLOOKUP(C70,'LD-ELFA'!F:F,'LD-ELFA'!Q:Q)</f>
        <v>PLANTA E CORTES</v>
      </c>
      <c r="G70" s="56" t="str">
        <f>_xlfn.XLOOKUP(C70,'Data Base'!D:D,'Data Base'!I:I)</f>
        <v/>
      </c>
      <c r="H70" s="56" t="str">
        <f>_xlfn.XLOOKUP(C70,'Data Base'!D:D,'Data Base'!K:K)</f>
        <v>Documento a emitir</v>
      </c>
      <c r="I70" s="57" t="str">
        <f t="shared" ca="1" si="1"/>
        <v>Documento a emitir</v>
      </c>
      <c r="J70" s="57" t="str">
        <f>_xlfn.XLOOKUP(C70,'Data Base'!D:D,'Data Base'!O:O)</f>
        <v>Blossom - Documento a emitir</v>
      </c>
    </row>
    <row r="71" spans="2:10" hidden="1" x14ac:dyDescent="0.25">
      <c r="B71" s="53" t="str">
        <f>_xlfn.XLOOKUP(C71,'Data Base'!D:D,'Data Base'!B:B)</f>
        <v>AR - Arquitetura</v>
      </c>
      <c r="C71" s="53" t="s">
        <v>76</v>
      </c>
      <c r="D71" s="53" t="str">
        <f>_xlfn.XLOOKUP(C71,'LD-ELFA'!F:F,'LD-ELFA'!H:H)</f>
        <v>DE-A1-2201-A-PB-4000</v>
      </c>
      <c r="E71" s="53">
        <f>_xlfn.XLOOKUP(C71,'Data Base'!D:D,'Data Base'!G:G)</f>
        <v>0</v>
      </c>
      <c r="F71" s="53" t="str">
        <f>_xlfn.XLOOKUP(C71,'LD-ELFA'!F:F,'LD-ELFA'!Q:Q)</f>
        <v>PLANTA E CORTES</v>
      </c>
      <c r="G71" s="56" t="str">
        <f>_xlfn.XLOOKUP(C71,'Data Base'!D:D,'Data Base'!I:I)</f>
        <v/>
      </c>
      <c r="H71" s="56" t="str">
        <f>_xlfn.XLOOKUP(C71,'Data Base'!D:D,'Data Base'!K:K)</f>
        <v>Documento a emitir</v>
      </c>
      <c r="I71" s="57" t="str">
        <f t="shared" ca="1" si="1"/>
        <v>Documento a emitir</v>
      </c>
      <c r="J71" s="57" t="str">
        <f>_xlfn.XLOOKUP(C71,'Data Base'!D:D,'Data Base'!O:O)</f>
        <v>Blossom - Documento a emitir</v>
      </c>
    </row>
    <row r="72" spans="2:10" hidden="1" x14ac:dyDescent="0.25">
      <c r="B72" s="53" t="str">
        <f>_xlfn.XLOOKUP(C72,'Data Base'!D:D,'Data Base'!B:B)</f>
        <v>AR - Arquitetura</v>
      </c>
      <c r="C72" s="53" t="s">
        <v>77</v>
      </c>
      <c r="D72" s="53" t="str">
        <f>_xlfn.XLOOKUP(C72,'LD-ELFA'!F:F,'LD-ELFA'!H:H)</f>
        <v>DE-A1-2202-A-PB-4000</v>
      </c>
      <c r="E72" s="53">
        <f>_xlfn.XLOOKUP(C72,'Data Base'!D:D,'Data Base'!G:G)</f>
        <v>0</v>
      </c>
      <c r="F72" s="53" t="str">
        <f>_xlfn.XLOOKUP(C72,'LD-ELFA'!F:F,'LD-ELFA'!Q:Q)</f>
        <v>PLANTA E CORTES</v>
      </c>
      <c r="G72" s="56" t="str">
        <f>_xlfn.XLOOKUP(C72,'Data Base'!D:D,'Data Base'!I:I)</f>
        <v/>
      </c>
      <c r="H72" s="56" t="str">
        <f>_xlfn.XLOOKUP(C72,'Data Base'!D:D,'Data Base'!K:K)</f>
        <v>Documento a emitir</v>
      </c>
      <c r="I72" s="57" t="str">
        <f t="shared" ca="1" si="1"/>
        <v>Documento a emitir</v>
      </c>
      <c r="J72" s="57" t="str">
        <f>_xlfn.XLOOKUP(C72,'Data Base'!D:D,'Data Base'!O:O)</f>
        <v>Blossom - Documento a emitir</v>
      </c>
    </row>
    <row r="73" spans="2:10" hidden="1" x14ac:dyDescent="0.25">
      <c r="B73" s="53" t="str">
        <f>_xlfn.XLOOKUP(C73,'Data Base'!D:D,'Data Base'!B:B)</f>
        <v>AR - Arquitetura</v>
      </c>
      <c r="C73" s="53" t="s">
        <v>78</v>
      </c>
      <c r="D73" s="53" t="str">
        <f>_xlfn.XLOOKUP(C73,'LD-ELFA'!F:F,'LD-ELFA'!H:H)</f>
        <v>DE-A1-2203-A-PB-4000</v>
      </c>
      <c r="E73" s="53">
        <f>_xlfn.XLOOKUP(C73,'Data Base'!D:D,'Data Base'!G:G)</f>
        <v>0</v>
      </c>
      <c r="F73" s="53" t="str">
        <f>_xlfn.XLOOKUP(C73,'LD-ELFA'!F:F,'LD-ELFA'!Q:Q)</f>
        <v>PLANTA E CORTES</v>
      </c>
      <c r="G73" s="56" t="str">
        <f>_xlfn.XLOOKUP(C73,'Data Base'!D:D,'Data Base'!I:I)</f>
        <v/>
      </c>
      <c r="H73" s="56" t="str">
        <f>_xlfn.XLOOKUP(C73,'Data Base'!D:D,'Data Base'!K:K)</f>
        <v>Documento a emitir</v>
      </c>
      <c r="I73" s="57" t="str">
        <f t="shared" ca="1" si="1"/>
        <v>Documento a emitir</v>
      </c>
      <c r="J73" s="57" t="str">
        <f>_xlfn.XLOOKUP(C73,'Data Base'!D:D,'Data Base'!O:O)</f>
        <v>Blossom - Documento a emitir</v>
      </c>
    </row>
    <row r="74" spans="2:10" hidden="1" x14ac:dyDescent="0.25">
      <c r="B74" s="53" t="str">
        <f>_xlfn.XLOOKUP(C74,'Data Base'!D:D,'Data Base'!B:B)</f>
        <v>AR - Arquitetura</v>
      </c>
      <c r="C74" s="53" t="s">
        <v>79</v>
      </c>
      <c r="D74" s="53" t="str">
        <f>_xlfn.XLOOKUP(C74,'LD-ELFA'!F:F,'LD-ELFA'!H:H)</f>
        <v>DE-A1-2204-A-PB-4000</v>
      </c>
      <c r="E74" s="53">
        <f>_xlfn.XLOOKUP(C74,'Data Base'!D:D,'Data Base'!G:G)</f>
        <v>0</v>
      </c>
      <c r="F74" s="53" t="str">
        <f>_xlfn.XLOOKUP(C74,'LD-ELFA'!F:F,'LD-ELFA'!Q:Q)</f>
        <v>PLANTA E CORTES</v>
      </c>
      <c r="G74" s="56" t="str">
        <f>_xlfn.XLOOKUP(C74,'Data Base'!D:D,'Data Base'!I:I)</f>
        <v/>
      </c>
      <c r="H74" s="56" t="str">
        <f>_xlfn.XLOOKUP(C74,'Data Base'!D:D,'Data Base'!K:K)</f>
        <v>Documento a emitir</v>
      </c>
      <c r="I74" s="57" t="str">
        <f t="shared" ca="1" si="1"/>
        <v>Documento a emitir</v>
      </c>
      <c r="J74" s="57" t="str">
        <f>_xlfn.XLOOKUP(C74,'Data Base'!D:D,'Data Base'!O:O)</f>
        <v>Blossom - Documento a emitir</v>
      </c>
    </row>
    <row r="75" spans="2:10" hidden="1" x14ac:dyDescent="0.25">
      <c r="B75" s="53" t="str">
        <f>_xlfn.XLOOKUP(C75,'Data Base'!D:D,'Data Base'!B:B)</f>
        <v>AR - Arquitetura</v>
      </c>
      <c r="C75" s="53" t="s">
        <v>80</v>
      </c>
      <c r="D75" s="53" t="str">
        <f>_xlfn.XLOOKUP(C75,'LD-ELFA'!F:F,'LD-ELFA'!H:H)</f>
        <v>PQ-A1-1000-C-PB-0800</v>
      </c>
      <c r="E75" s="53">
        <f>_xlfn.XLOOKUP(C75,'Data Base'!D:D,'Data Base'!G:G)</f>
        <v>0</v>
      </c>
      <c r="F75" s="53" t="str">
        <f>_xlfn.XLOOKUP(C75,'LD-ELFA'!F:F,'LD-ELFA'!Q:Q)</f>
        <v>PLANILHA DE QUANTIDADES -PACOTE DE OBRAS CIVIS-ESCRITÓRIO CENTRAL / SALA DE CONTROLE E LABORATÓRIO</v>
      </c>
      <c r="G75" s="56" t="str">
        <f>_xlfn.XLOOKUP(C75,'Data Base'!D:D,'Data Base'!I:I)</f>
        <v/>
      </c>
      <c r="H75" s="56" t="str">
        <f>_xlfn.XLOOKUP(C75,'Data Base'!D:D,'Data Base'!K:K)</f>
        <v>Documento a emitir</v>
      </c>
      <c r="I75" s="57" t="str">
        <f t="shared" ca="1" si="1"/>
        <v>Documento a emitir</v>
      </c>
      <c r="J75" s="57" t="str">
        <f>_xlfn.XLOOKUP(C75,'Data Base'!D:D,'Data Base'!O:O)</f>
        <v>Blossom - Documento a emitir</v>
      </c>
    </row>
    <row r="76" spans="2:10" hidden="1" x14ac:dyDescent="0.25">
      <c r="B76" s="53" t="str">
        <f>_xlfn.XLOOKUP(C76,'Data Base'!D:D,'Data Base'!B:B)</f>
        <v>AR - Arquitetura</v>
      </c>
      <c r="C76" s="53" t="s">
        <v>81</v>
      </c>
      <c r="D76" s="53" t="str">
        <f>_xlfn.XLOOKUP(C76,'LD-ELFA'!F:F,'LD-ELFA'!H:H)</f>
        <v>PQ-A1-1000-C-PB-0801</v>
      </c>
      <c r="E76" s="53">
        <f>_xlfn.XLOOKUP(C76,'Data Base'!D:D,'Data Base'!G:G)</f>
        <v>0</v>
      </c>
      <c r="F76" s="53" t="str">
        <f>_xlfn.XLOOKUP(C76,'LD-ELFA'!F:F,'LD-ELFA'!Q:Q)</f>
        <v>PLANILHA DE QUANTIDADES -PACOTE DE OBRAS CIVIS-VEST. / PAR. ÔNIBUS / REFEIT. / P. MÉDICO E B. INCÊNDIO</v>
      </c>
      <c r="G76" s="56" t="str">
        <f>_xlfn.XLOOKUP(C76,'Data Base'!D:D,'Data Base'!I:I)</f>
        <v/>
      </c>
      <c r="H76" s="56" t="str">
        <f>_xlfn.XLOOKUP(C76,'Data Base'!D:D,'Data Base'!K:K)</f>
        <v>Documento a emitir</v>
      </c>
      <c r="I76" s="57" t="str">
        <f t="shared" ca="1" si="1"/>
        <v>Documento a emitir</v>
      </c>
      <c r="J76" s="57" t="str">
        <f>_xlfn.XLOOKUP(C76,'Data Base'!D:D,'Data Base'!O:O)</f>
        <v>Blossom - Documento a emitir</v>
      </c>
    </row>
    <row r="77" spans="2:10" hidden="1" x14ac:dyDescent="0.25">
      <c r="B77" s="53" t="str">
        <f>_xlfn.XLOOKUP(C77,'Data Base'!D:D,'Data Base'!B:B)</f>
        <v>AR - Arquitetura</v>
      </c>
      <c r="C77" s="53" t="s">
        <v>82</v>
      </c>
      <c r="D77" s="53" t="str">
        <f>_xlfn.XLOOKUP(C77,'LD-ELFA'!F:F,'LD-ELFA'!H:H)</f>
        <v>RL-A1-1000-G-PB-0016</v>
      </c>
      <c r="E77" s="53">
        <f>_xlfn.XLOOKUP(C77,'Data Base'!D:D,'Data Base'!G:G)</f>
        <v>0</v>
      </c>
      <c r="F77" s="53" t="str">
        <f>_xlfn.XLOOKUP(C77,'LD-ELFA'!F:F,'LD-ELFA'!Q:Q)</f>
        <v xml:space="preserve">RELATÓRIO DO SISTEMA DE PROTEÇÃO E COMBATE A INCÊNDIO </v>
      </c>
      <c r="G77" s="56" t="str">
        <f>_xlfn.XLOOKUP(C77,'Data Base'!D:D,'Data Base'!I:I)</f>
        <v/>
      </c>
      <c r="H77" s="56" t="str">
        <f>_xlfn.XLOOKUP(C77,'Data Base'!D:D,'Data Base'!K:K)</f>
        <v>Documento a emitir</v>
      </c>
      <c r="I77" s="57" t="str">
        <f t="shared" ca="1" si="1"/>
        <v>Documento a emitir</v>
      </c>
      <c r="J77" s="57" t="str">
        <f>_xlfn.XLOOKUP(C77,'Data Base'!D:D,'Data Base'!O:O)</f>
        <v>Blossom - Documento a emitir</v>
      </c>
    </row>
    <row r="78" spans="2:10" hidden="1" x14ac:dyDescent="0.25">
      <c r="B78" s="53" t="str">
        <f>_xlfn.XLOOKUP(C78,'Data Base'!D:D,'Data Base'!B:B)</f>
        <v>CC - Concreto</v>
      </c>
      <c r="C78" s="53" t="s">
        <v>83</v>
      </c>
      <c r="D78" s="53" t="str">
        <f>_xlfn.XLOOKUP(C78,'LD-ELFA'!F:F,'LD-ELFA'!H:H)</f>
        <v>DE-A1-2303-C-PB-4000</v>
      </c>
      <c r="E78" s="53">
        <f>_xlfn.XLOOKUP(C78,'Data Base'!D:D,'Data Base'!G:G)</f>
        <v>0</v>
      </c>
      <c r="F78" s="53" t="str">
        <f>_xlfn.XLOOKUP(C78,'LD-ELFA'!F:F,'LD-ELFA'!Q:Q)</f>
        <v>LOCAÇÃO E FORMA</v>
      </c>
      <c r="G78" s="56" t="str">
        <f>_xlfn.XLOOKUP(C78,'Data Base'!D:D,'Data Base'!I:I)</f>
        <v/>
      </c>
      <c r="H78" s="56" t="str">
        <f>_xlfn.XLOOKUP(C78,'Data Base'!D:D,'Data Base'!K:K)</f>
        <v>Documento a emitir</v>
      </c>
      <c r="I78" s="57" t="str">
        <f t="shared" ca="1" si="1"/>
        <v>Documento a emitir</v>
      </c>
      <c r="J78" s="57" t="str">
        <f>_xlfn.XLOOKUP(C78,'Data Base'!D:D,'Data Base'!O:O)</f>
        <v>Blossom - Documento a emitir</v>
      </c>
    </row>
    <row r="79" spans="2:10" hidden="1" x14ac:dyDescent="0.25">
      <c r="B79" s="53" t="str">
        <f>_xlfn.XLOOKUP(C79,'Data Base'!D:D,'Data Base'!B:B)</f>
        <v>CC - Concreto</v>
      </c>
      <c r="C79" s="53" t="s">
        <v>84</v>
      </c>
      <c r="D79" s="53" t="str">
        <f>_xlfn.XLOOKUP(C79,'LD-ELFA'!F:F,'LD-ELFA'!H:H)</f>
        <v>DE-A1-2303-C-PB-4001</v>
      </c>
      <c r="E79" s="53">
        <f>_xlfn.XLOOKUP(C79,'Data Base'!D:D,'Data Base'!G:G)</f>
        <v>0</v>
      </c>
      <c r="F79" s="53" t="str">
        <f>_xlfn.XLOOKUP(C79,'LD-ELFA'!F:F,'LD-ELFA'!Q:Q)</f>
        <v>LOCAÇÃO E FORMA</v>
      </c>
      <c r="G79" s="56" t="str">
        <f>_xlfn.XLOOKUP(C79,'Data Base'!D:D,'Data Base'!I:I)</f>
        <v/>
      </c>
      <c r="H79" s="56" t="str">
        <f>_xlfn.XLOOKUP(C79,'Data Base'!D:D,'Data Base'!K:K)</f>
        <v>Documento a emitir</v>
      </c>
      <c r="I79" s="57" t="str">
        <f t="shared" ca="1" si="1"/>
        <v>Documento a emitir</v>
      </c>
      <c r="J79" s="57" t="str">
        <f>_xlfn.XLOOKUP(C79,'Data Base'!D:D,'Data Base'!O:O)</f>
        <v>Blossom - Documento a emitir</v>
      </c>
    </row>
    <row r="80" spans="2:10" hidden="1" x14ac:dyDescent="0.25">
      <c r="B80" s="53" t="str">
        <f>_xlfn.XLOOKUP(C80,'Data Base'!D:D,'Data Base'!B:B)</f>
        <v>CC - Concreto</v>
      </c>
      <c r="C80" s="53" t="s">
        <v>85</v>
      </c>
      <c r="D80" s="53" t="str">
        <f>_xlfn.XLOOKUP(C80,'LD-ELFA'!F:F,'LD-ELFA'!H:H)</f>
        <v>DE-A1-2303-C-PB-4002</v>
      </c>
      <c r="E80" s="53">
        <f>_xlfn.XLOOKUP(C80,'Data Base'!D:D,'Data Base'!G:G)</f>
        <v>0</v>
      </c>
      <c r="F80" s="53" t="str">
        <f>_xlfn.XLOOKUP(C80,'LD-ELFA'!F:F,'LD-ELFA'!Q:Q)</f>
        <v>LOCAÇÃO E FORMA</v>
      </c>
      <c r="G80" s="56" t="str">
        <f>_xlfn.XLOOKUP(C80,'Data Base'!D:D,'Data Base'!I:I)</f>
        <v/>
      </c>
      <c r="H80" s="56" t="str">
        <f>_xlfn.XLOOKUP(C80,'Data Base'!D:D,'Data Base'!K:K)</f>
        <v>Documento a emitir</v>
      </c>
      <c r="I80" s="57" t="str">
        <f t="shared" ca="1" si="1"/>
        <v>Documento a emitir</v>
      </c>
      <c r="J80" s="57" t="str">
        <f>_xlfn.XLOOKUP(C80,'Data Base'!D:D,'Data Base'!O:O)</f>
        <v>Blossom - Documento a emitir</v>
      </c>
    </row>
    <row r="81" spans="2:10" hidden="1" x14ac:dyDescent="0.25">
      <c r="B81" s="53" t="str">
        <f>_xlfn.XLOOKUP(C81,'Data Base'!D:D,'Data Base'!B:B)</f>
        <v>CC - Concreto</v>
      </c>
      <c r="C81" s="53" t="s">
        <v>86</v>
      </c>
      <c r="D81" s="53" t="str">
        <f>_xlfn.XLOOKUP(C81,'LD-ELFA'!F:F,'LD-ELFA'!H:H)</f>
        <v>DE-A1-2303-C-PB-4003</v>
      </c>
      <c r="E81" s="53">
        <f>_xlfn.XLOOKUP(C81,'Data Base'!D:D,'Data Base'!G:G)</f>
        <v>0</v>
      </c>
      <c r="F81" s="53" t="str">
        <f>_xlfn.XLOOKUP(C81,'LD-ELFA'!F:F,'LD-ELFA'!Q:Q)</f>
        <v>LOCAÇÃO E FORMA</v>
      </c>
      <c r="G81" s="56" t="str">
        <f>_xlfn.XLOOKUP(C81,'Data Base'!D:D,'Data Base'!I:I)</f>
        <v/>
      </c>
      <c r="H81" s="56" t="str">
        <f>_xlfn.XLOOKUP(C81,'Data Base'!D:D,'Data Base'!K:K)</f>
        <v>Documento a emitir</v>
      </c>
      <c r="I81" s="57" t="str">
        <f t="shared" ca="1" si="1"/>
        <v>Documento a emitir</v>
      </c>
      <c r="J81" s="57" t="str">
        <f>_xlfn.XLOOKUP(C81,'Data Base'!D:D,'Data Base'!O:O)</f>
        <v>Blossom - Documento a emitir</v>
      </c>
    </row>
    <row r="82" spans="2:10" hidden="1" x14ac:dyDescent="0.25">
      <c r="B82" s="53" t="str">
        <f>_xlfn.XLOOKUP(C82,'Data Base'!D:D,'Data Base'!B:B)</f>
        <v>CC - Concreto</v>
      </c>
      <c r="C82" s="53" t="s">
        <v>87</v>
      </c>
      <c r="D82" s="53" t="str">
        <f>_xlfn.XLOOKUP(C82,'LD-ELFA'!F:F,'LD-ELFA'!H:H)</f>
        <v>DE-A1-2303-C-PB-4004</v>
      </c>
      <c r="E82" s="53">
        <f>_xlfn.XLOOKUP(C82,'Data Base'!D:D,'Data Base'!G:G)</f>
        <v>0</v>
      </c>
      <c r="F82" s="53" t="str">
        <f>_xlfn.XLOOKUP(C82,'LD-ELFA'!F:F,'LD-ELFA'!Q:Q)</f>
        <v>LOCAÇÃO E FORMA</v>
      </c>
      <c r="G82" s="56" t="str">
        <f>_xlfn.XLOOKUP(C82,'Data Base'!D:D,'Data Base'!I:I)</f>
        <v/>
      </c>
      <c r="H82" s="56" t="str">
        <f>_xlfn.XLOOKUP(C82,'Data Base'!D:D,'Data Base'!K:K)</f>
        <v>Documento a emitir</v>
      </c>
      <c r="I82" s="57" t="str">
        <f t="shared" ca="1" si="1"/>
        <v>Documento a emitir</v>
      </c>
      <c r="J82" s="57" t="str">
        <f>_xlfn.XLOOKUP(C82,'Data Base'!D:D,'Data Base'!O:O)</f>
        <v>Blossom - Documento a emitir</v>
      </c>
    </row>
    <row r="83" spans="2:10" hidden="1" x14ac:dyDescent="0.25">
      <c r="B83" s="53" t="str">
        <f>_xlfn.XLOOKUP(C83,'Data Base'!D:D,'Data Base'!B:B)</f>
        <v>CC - Concreto</v>
      </c>
      <c r="C83" s="53" t="s">
        <v>88</v>
      </c>
      <c r="D83" s="53" t="str">
        <f>_xlfn.XLOOKUP(C83,'LD-ELFA'!F:F,'LD-ELFA'!H:H)</f>
        <v>DE-A1-2303-C-PB-4005</v>
      </c>
      <c r="E83" s="53">
        <f>_xlfn.XLOOKUP(C83,'Data Base'!D:D,'Data Base'!G:G)</f>
        <v>0</v>
      </c>
      <c r="F83" s="53" t="str">
        <f>_xlfn.XLOOKUP(C83,'LD-ELFA'!F:F,'LD-ELFA'!Q:Q)</f>
        <v>LOCAÇÃO E FORMA</v>
      </c>
      <c r="G83" s="56" t="str">
        <f>_xlfn.XLOOKUP(C83,'Data Base'!D:D,'Data Base'!I:I)</f>
        <v/>
      </c>
      <c r="H83" s="56" t="str">
        <f>_xlfn.XLOOKUP(C83,'Data Base'!D:D,'Data Base'!K:K)</f>
        <v>Documento a emitir</v>
      </c>
      <c r="I83" s="57" t="str">
        <f t="shared" ca="1" si="1"/>
        <v>Documento a emitir</v>
      </c>
      <c r="J83" s="57" t="str">
        <f>_xlfn.XLOOKUP(C83,'Data Base'!D:D,'Data Base'!O:O)</f>
        <v>Blossom - Documento a emitir</v>
      </c>
    </row>
    <row r="84" spans="2:10" hidden="1" x14ac:dyDescent="0.25">
      <c r="B84" s="53" t="str">
        <f>_xlfn.XLOOKUP(C84,'Data Base'!D:D,'Data Base'!B:B)</f>
        <v>CC - Concreto</v>
      </c>
      <c r="C84" s="53" t="s">
        <v>89</v>
      </c>
      <c r="D84" s="53" t="str">
        <f>_xlfn.XLOOKUP(C84,'LD-ELFA'!F:F,'LD-ELFA'!H:H)</f>
        <v>DE-A1-2303-C-PB-0001</v>
      </c>
      <c r="E84" s="53">
        <f>_xlfn.XLOOKUP(C84,'Data Base'!D:D,'Data Base'!G:G)</f>
        <v>0</v>
      </c>
      <c r="F84" s="53" t="str">
        <f>_xlfn.XLOOKUP(C84,'LD-ELFA'!F:F,'LD-ELFA'!Q:Q)</f>
        <v>VIADUTO SOBRE ESTRADA DE FERRO CARAJÁS - ALTERNATIVA 1</v>
      </c>
      <c r="G84" s="56" t="str">
        <f>_xlfn.XLOOKUP(C84,'Data Base'!D:D,'Data Base'!I:I)</f>
        <v/>
      </c>
      <c r="H84" s="56" t="str">
        <f>_xlfn.XLOOKUP(C84,'Data Base'!D:D,'Data Base'!K:K)</f>
        <v>Documento a emitir</v>
      </c>
      <c r="I84" s="57" t="str">
        <f t="shared" ca="1" si="1"/>
        <v>Documento a emitir</v>
      </c>
      <c r="J84" s="57" t="str">
        <f>_xlfn.XLOOKUP(C84,'Data Base'!D:D,'Data Base'!O:O)</f>
        <v>Blossom - Documento a emitir</v>
      </c>
    </row>
    <row r="85" spans="2:10" hidden="1" x14ac:dyDescent="0.25">
      <c r="B85" s="53" t="str">
        <f>_xlfn.XLOOKUP(C85,'Data Base'!D:D,'Data Base'!B:B)</f>
        <v>CC - Concreto</v>
      </c>
      <c r="C85" s="53" t="s">
        <v>90</v>
      </c>
      <c r="D85" s="53" t="str">
        <f>_xlfn.XLOOKUP(C85,'LD-ELFA'!F:F,'LD-ELFA'!H:H)</f>
        <v>DE-A1-1000-C-PB-4000</v>
      </c>
      <c r="E85" s="53">
        <f>_xlfn.XLOOKUP(C85,'Data Base'!D:D,'Data Base'!G:G)</f>
        <v>0</v>
      </c>
      <c r="F85" s="53" t="str">
        <f>_xlfn.XLOOKUP(C85,'LD-ELFA'!F:F,'LD-ELFA'!Q:Q)</f>
        <v>LOCAÇÃO E FORMA</v>
      </c>
      <c r="G85" s="56" t="str">
        <f>_xlfn.XLOOKUP(C85,'Data Base'!D:D,'Data Base'!I:I)</f>
        <v/>
      </c>
      <c r="H85" s="56" t="str">
        <f>_xlfn.XLOOKUP(C85,'Data Base'!D:D,'Data Base'!K:K)</f>
        <v>Documento a emitir</v>
      </c>
      <c r="I85" s="57" t="str">
        <f t="shared" ca="1" si="1"/>
        <v>Documento a emitir</v>
      </c>
      <c r="J85" s="57" t="str">
        <f>_xlfn.XLOOKUP(C85,'Data Base'!D:D,'Data Base'!O:O)</f>
        <v>Blossom - Documento a emitir</v>
      </c>
    </row>
    <row r="86" spans="2:10" hidden="1" x14ac:dyDescent="0.25">
      <c r="B86" s="53" t="str">
        <f>_xlfn.XLOOKUP(C86,'Data Base'!D:D,'Data Base'!B:B)</f>
        <v>CC - Concreto</v>
      </c>
      <c r="C86" s="53" t="s">
        <v>91</v>
      </c>
      <c r="D86" s="53" t="str">
        <f>_xlfn.XLOOKUP(C86,'LD-ELFA'!F:F,'LD-ELFA'!H:H)</f>
        <v>MC-A1-1911-C-PB-4000</v>
      </c>
      <c r="E86" s="53">
        <f>_xlfn.XLOOKUP(C86,'Data Base'!D:D,'Data Base'!G:G)</f>
        <v>0</v>
      </c>
      <c r="F86" s="53" t="str">
        <f>_xlfn.XLOOKUP(C86,'LD-ELFA'!F:F,'LD-ELFA'!Q:Q)</f>
        <v>MEMÓRIA DE CÁLCULO</v>
      </c>
      <c r="G86" s="56" t="str">
        <f>_xlfn.XLOOKUP(C86,'Data Base'!D:D,'Data Base'!I:I)</f>
        <v/>
      </c>
      <c r="H86" s="56" t="str">
        <f>_xlfn.XLOOKUP(C86,'Data Base'!D:D,'Data Base'!K:K)</f>
        <v>Documento a emitir</v>
      </c>
      <c r="I86" s="57" t="str">
        <f t="shared" ca="1" si="1"/>
        <v>Documento a emitir</v>
      </c>
      <c r="J86" s="57" t="str">
        <f>_xlfn.XLOOKUP(C86,'Data Base'!D:D,'Data Base'!O:O)</f>
        <v>Blossom - Documento a emitir</v>
      </c>
    </row>
    <row r="87" spans="2:10" hidden="1" x14ac:dyDescent="0.25">
      <c r="B87" s="53" t="str">
        <f>_xlfn.XLOOKUP(C87,'Data Base'!D:D,'Data Base'!B:B)</f>
        <v>CC - Concreto</v>
      </c>
      <c r="C87" s="53" t="s">
        <v>92</v>
      </c>
      <c r="D87" s="53" t="str">
        <f>_xlfn.XLOOKUP(C87,'LD-ELFA'!F:F,'LD-ELFA'!H:H)</f>
        <v>MC-A1-1912-C-PB-4000</v>
      </c>
      <c r="E87" s="53">
        <f>_xlfn.XLOOKUP(C87,'Data Base'!D:D,'Data Base'!G:G)</f>
        <v>0</v>
      </c>
      <c r="F87" s="53" t="str">
        <f>_xlfn.XLOOKUP(C87,'LD-ELFA'!F:F,'LD-ELFA'!Q:Q)</f>
        <v>MEMÓRIA DE CÁLCULO</v>
      </c>
      <c r="G87" s="56" t="str">
        <f>_xlfn.XLOOKUP(C87,'Data Base'!D:D,'Data Base'!I:I)</f>
        <v/>
      </c>
      <c r="H87" s="56" t="str">
        <f>_xlfn.XLOOKUP(C87,'Data Base'!D:D,'Data Base'!K:K)</f>
        <v>Documento a emitir</v>
      </c>
      <c r="I87" s="57" t="str">
        <f t="shared" ca="1" si="1"/>
        <v>Documento a emitir</v>
      </c>
      <c r="J87" s="57" t="str">
        <f>_xlfn.XLOOKUP(C87,'Data Base'!D:D,'Data Base'!O:O)</f>
        <v>Blossom - Documento a emitir</v>
      </c>
    </row>
    <row r="88" spans="2:10" hidden="1" x14ac:dyDescent="0.25">
      <c r="B88" s="53" t="str">
        <f>_xlfn.XLOOKUP(C88,'Data Base'!D:D,'Data Base'!B:B)</f>
        <v>CC - Concreto</v>
      </c>
      <c r="C88" s="53" t="s">
        <v>93</v>
      </c>
      <c r="D88" s="53" t="str">
        <f>_xlfn.XLOOKUP(C88,'LD-ELFA'!F:F,'LD-ELFA'!H:H)</f>
        <v>MC-A1-1913-C-PB-4000</v>
      </c>
      <c r="E88" s="53">
        <f>_xlfn.XLOOKUP(C88,'Data Base'!D:D,'Data Base'!G:G)</f>
        <v>0</v>
      </c>
      <c r="F88" s="53" t="str">
        <f>_xlfn.XLOOKUP(C88,'LD-ELFA'!F:F,'LD-ELFA'!Q:Q)</f>
        <v>MEMÓRIA DE CÁLCULO</v>
      </c>
      <c r="G88" s="56" t="str">
        <f>_xlfn.XLOOKUP(C88,'Data Base'!D:D,'Data Base'!I:I)</f>
        <v/>
      </c>
      <c r="H88" s="56" t="str">
        <f>_xlfn.XLOOKUP(C88,'Data Base'!D:D,'Data Base'!K:K)</f>
        <v>Documento a emitir</v>
      </c>
      <c r="I88" s="57" t="str">
        <f t="shared" ca="1" si="1"/>
        <v>Documento a emitir</v>
      </c>
      <c r="J88" s="57" t="str">
        <f>_xlfn.XLOOKUP(C88,'Data Base'!D:D,'Data Base'!O:O)</f>
        <v>Blossom - Documento a emitir</v>
      </c>
    </row>
    <row r="89" spans="2:10" hidden="1" x14ac:dyDescent="0.25">
      <c r="B89" s="53" t="str">
        <f>_xlfn.XLOOKUP(C89,'Data Base'!D:D,'Data Base'!B:B)</f>
        <v>CC - Concreto</v>
      </c>
      <c r="C89" s="53" t="s">
        <v>94</v>
      </c>
      <c r="D89" s="53" t="str">
        <f>_xlfn.XLOOKUP(C89,'LD-ELFA'!F:F,'LD-ELFA'!H:H)</f>
        <v>MC-A1-1315-C-PB-4000</v>
      </c>
      <c r="E89" s="53">
        <f>_xlfn.XLOOKUP(C89,'Data Base'!D:D,'Data Base'!G:G)</f>
        <v>0</v>
      </c>
      <c r="F89" s="53" t="str">
        <f>_xlfn.XLOOKUP(C89,'LD-ELFA'!F:F,'LD-ELFA'!Q:Q)</f>
        <v>MEMÓRIA DE CÁLCULO</v>
      </c>
      <c r="G89" s="56" t="str">
        <f>_xlfn.XLOOKUP(C89,'Data Base'!D:D,'Data Base'!I:I)</f>
        <v/>
      </c>
      <c r="H89" s="56" t="str">
        <f>_xlfn.XLOOKUP(C89,'Data Base'!D:D,'Data Base'!K:K)</f>
        <v>Documento a emitir</v>
      </c>
      <c r="I89" s="57" t="str">
        <f t="shared" ca="1" si="1"/>
        <v>Documento a emitir</v>
      </c>
      <c r="J89" s="57" t="str">
        <f>_xlfn.XLOOKUP(C89,'Data Base'!D:D,'Data Base'!O:O)</f>
        <v>Blossom - Documento a emitir</v>
      </c>
    </row>
    <row r="90" spans="2:10" hidden="1" x14ac:dyDescent="0.25">
      <c r="B90" s="53" t="e">
        <f>_xlfn.XLOOKUP(C90,'Data Base'!D:D,'Data Base'!B:B)</f>
        <v>#N/A</v>
      </c>
      <c r="C90" s="53" t="s">
        <v>95</v>
      </c>
      <c r="D90" s="53" t="e">
        <f>_xlfn.XLOOKUP(C90,'LD-ELFA'!F:F,'LD-ELFA'!H:H)</f>
        <v>#N/A</v>
      </c>
      <c r="E90" s="53" t="e">
        <f>_xlfn.XLOOKUP(C90,'Data Base'!D:D,'Data Base'!G:G)</f>
        <v>#N/A</v>
      </c>
      <c r="F90" s="53" t="e">
        <f>_xlfn.XLOOKUP(C90,'LD-ELFA'!F:F,'LD-ELFA'!Q:Q)</f>
        <v>#N/A</v>
      </c>
      <c r="G90" s="56" t="e">
        <f>_xlfn.XLOOKUP(C90,'Data Base'!D:D,'Data Base'!I:I)</f>
        <v>#N/A</v>
      </c>
      <c r="H90" s="56" t="e">
        <f>_xlfn.XLOOKUP(C90,'Data Base'!D:D,'Data Base'!K:K)</f>
        <v>#N/A</v>
      </c>
      <c r="I90" s="57" t="e">
        <f t="shared" ca="1" si="1"/>
        <v>#N/A</v>
      </c>
      <c r="J90" s="57" t="str">
        <f>_xlfn.XLOOKUP(C90,'Data Base'!D:D,'Data Base'!O:O)</f>
        <v>Documento Removido</v>
      </c>
    </row>
    <row r="91" spans="2:10" hidden="1" x14ac:dyDescent="0.25">
      <c r="B91" s="53" t="e">
        <f>_xlfn.XLOOKUP(C91,'Data Base'!D:D,'Data Base'!B:B)</f>
        <v>#N/A</v>
      </c>
      <c r="C91" s="53" t="s">
        <v>96</v>
      </c>
      <c r="D91" s="53" t="e">
        <f>_xlfn.XLOOKUP(C91,'LD-ELFA'!F:F,'LD-ELFA'!H:H)</f>
        <v>#N/A</v>
      </c>
      <c r="E91" s="53" t="e">
        <f>_xlfn.XLOOKUP(C91,'Data Base'!D:D,'Data Base'!G:G)</f>
        <v>#N/A</v>
      </c>
      <c r="F91" s="53" t="e">
        <f>_xlfn.XLOOKUP(C91,'LD-ELFA'!F:F,'LD-ELFA'!Q:Q)</f>
        <v>#N/A</v>
      </c>
      <c r="G91" s="56" t="e">
        <f>_xlfn.XLOOKUP(C91,'Data Base'!D:D,'Data Base'!I:I)</f>
        <v>#N/A</v>
      </c>
      <c r="H91" s="56" t="e">
        <f>_xlfn.XLOOKUP(C91,'Data Base'!D:D,'Data Base'!K:K)</f>
        <v>#N/A</v>
      </c>
      <c r="I91" s="57" t="e">
        <f t="shared" ca="1" si="1"/>
        <v>#N/A</v>
      </c>
      <c r="J91" s="57" t="str">
        <f>_xlfn.XLOOKUP(C91,'Data Base'!D:D,'Data Base'!O:O)</f>
        <v>Documento Removido</v>
      </c>
    </row>
    <row r="92" spans="2:10" hidden="1" x14ac:dyDescent="0.25">
      <c r="B92" s="53" t="e">
        <f>_xlfn.XLOOKUP(C92,'Data Base'!D:D,'Data Base'!B:B)</f>
        <v>#N/A</v>
      </c>
      <c r="C92" s="53" t="s">
        <v>97</v>
      </c>
      <c r="D92" s="53" t="e">
        <f>_xlfn.XLOOKUP(C92,'LD-ELFA'!F:F,'LD-ELFA'!H:H)</f>
        <v>#N/A</v>
      </c>
      <c r="E92" s="53" t="e">
        <f>_xlfn.XLOOKUP(C92,'Data Base'!D:D,'Data Base'!G:G)</f>
        <v>#N/A</v>
      </c>
      <c r="F92" s="53" t="e">
        <f>_xlfn.XLOOKUP(C92,'LD-ELFA'!F:F,'LD-ELFA'!Q:Q)</f>
        <v>#N/A</v>
      </c>
      <c r="G92" s="56" t="e">
        <f>_xlfn.XLOOKUP(C92,'Data Base'!D:D,'Data Base'!I:I)</f>
        <v>#N/A</v>
      </c>
      <c r="H92" s="56" t="e">
        <f>_xlfn.XLOOKUP(C92,'Data Base'!D:D,'Data Base'!K:K)</f>
        <v>#N/A</v>
      </c>
      <c r="I92" s="57" t="e">
        <f t="shared" ca="1" si="1"/>
        <v>#N/A</v>
      </c>
      <c r="J92" s="57" t="str">
        <f>_xlfn.XLOOKUP(C92,'Data Base'!D:D,'Data Base'!O:O)</f>
        <v>Documento Removido</v>
      </c>
    </row>
    <row r="93" spans="2:10" hidden="1" x14ac:dyDescent="0.25">
      <c r="B93" s="53" t="str">
        <f>_xlfn.XLOOKUP(C93,'Data Base'!D:D,'Data Base'!B:B)</f>
        <v>CC - Concreto</v>
      </c>
      <c r="C93" s="53" t="s">
        <v>98</v>
      </c>
      <c r="D93" s="53" t="str">
        <f>_xlfn.XLOOKUP(C93,'LD-ELFA'!F:F,'LD-ELFA'!H:H)</f>
        <v>MC-A1-1500-C-PB-4000</v>
      </c>
      <c r="E93" s="53">
        <f>_xlfn.XLOOKUP(C93,'Data Base'!D:D,'Data Base'!G:G)</f>
        <v>0</v>
      </c>
      <c r="F93" s="53" t="str">
        <f>_xlfn.XLOOKUP(C93,'LD-ELFA'!F:F,'LD-ELFA'!Q:Q)</f>
        <v>MEMÓRIA DE CÁLCULO</v>
      </c>
      <c r="G93" s="56" t="str">
        <f>_xlfn.XLOOKUP(C93,'Data Base'!D:D,'Data Base'!I:I)</f>
        <v/>
      </c>
      <c r="H93" s="56" t="str">
        <f>_xlfn.XLOOKUP(C93,'Data Base'!D:D,'Data Base'!K:K)</f>
        <v>Documento a emitir</v>
      </c>
      <c r="I93" s="57" t="str">
        <f t="shared" ca="1" si="1"/>
        <v>Documento a emitir</v>
      </c>
      <c r="J93" s="57" t="str">
        <f>_xlfn.XLOOKUP(C93,'Data Base'!D:D,'Data Base'!O:O)</f>
        <v>Blossom - Documento a emitir</v>
      </c>
    </row>
    <row r="94" spans="2:10" hidden="1" x14ac:dyDescent="0.25">
      <c r="B94" s="53" t="str">
        <f>_xlfn.XLOOKUP(C94,'Data Base'!D:D,'Data Base'!B:B)</f>
        <v>CC - Concreto</v>
      </c>
      <c r="C94" s="53" t="s">
        <v>99</v>
      </c>
      <c r="D94" s="53" t="str">
        <f>_xlfn.XLOOKUP(C94,'LD-ELFA'!F:F,'LD-ELFA'!H:H)</f>
        <v>MC-A1-1000-C-PB-4000</v>
      </c>
      <c r="E94" s="53">
        <f>_xlfn.XLOOKUP(C94,'Data Base'!D:D,'Data Base'!G:G)</f>
        <v>0</v>
      </c>
      <c r="F94" s="53" t="str">
        <f>_xlfn.XLOOKUP(C94,'LD-ELFA'!F:F,'LD-ELFA'!Q:Q)</f>
        <v>MEMÓRIA DE CÁLCULO</v>
      </c>
      <c r="G94" s="56" t="str">
        <f>_xlfn.XLOOKUP(C94,'Data Base'!D:D,'Data Base'!I:I)</f>
        <v/>
      </c>
      <c r="H94" s="56" t="str">
        <f>_xlfn.XLOOKUP(C94,'Data Base'!D:D,'Data Base'!K:K)</f>
        <v>Documento a emitir</v>
      </c>
      <c r="I94" s="57" t="str">
        <f t="shared" ca="1" si="1"/>
        <v>Documento a emitir</v>
      </c>
      <c r="J94" s="57" t="str">
        <f>_xlfn.XLOOKUP(C94,'Data Base'!D:D,'Data Base'!O:O)</f>
        <v>Blossom - Documento a emitir</v>
      </c>
    </row>
    <row r="95" spans="2:10" hidden="1" x14ac:dyDescent="0.25">
      <c r="B95" s="53" t="str">
        <f>_xlfn.XLOOKUP(C95,'Data Base'!D:D,'Data Base'!B:B)</f>
        <v>CC - Concreto</v>
      </c>
      <c r="C95" s="53" t="s">
        <v>100</v>
      </c>
      <c r="D95" s="53" t="str">
        <f>_xlfn.XLOOKUP(C95,'LD-ELFA'!F:F,'LD-ELFA'!H:H)</f>
        <v>MC-A1-2303-C-PB-0001</v>
      </c>
      <c r="E95" s="53">
        <f>_xlfn.XLOOKUP(C95,'Data Base'!D:D,'Data Base'!G:G)</f>
        <v>0</v>
      </c>
      <c r="F95" s="53" t="str">
        <f>_xlfn.XLOOKUP(C95,'LD-ELFA'!F:F,'LD-ELFA'!Q:Q)</f>
        <v>MEMÓRIA DE CÁLCULO</v>
      </c>
      <c r="G95" s="56" t="str">
        <f>_xlfn.XLOOKUP(C95,'Data Base'!D:D,'Data Base'!I:I)</f>
        <v/>
      </c>
      <c r="H95" s="56" t="str">
        <f>_xlfn.XLOOKUP(C95,'Data Base'!D:D,'Data Base'!K:K)</f>
        <v>Documento a emitir</v>
      </c>
      <c r="I95" s="57" t="str">
        <f t="shared" ca="1" si="1"/>
        <v>Documento a emitir</v>
      </c>
      <c r="J95" s="57" t="str">
        <f>_xlfn.XLOOKUP(C95,'Data Base'!D:D,'Data Base'!O:O)</f>
        <v>Blossom - Documento a emitir</v>
      </c>
    </row>
    <row r="96" spans="2:10" hidden="1" x14ac:dyDescent="0.25">
      <c r="B96" s="53" t="str">
        <f>_xlfn.XLOOKUP(C96,'Data Base'!D:D,'Data Base'!B:B)</f>
        <v>CC - Concreto</v>
      </c>
      <c r="C96" s="53" t="s">
        <v>101</v>
      </c>
      <c r="D96" s="53" t="str">
        <f>_xlfn.XLOOKUP(C96,'LD-ELFA'!F:F,'LD-ELFA'!H:H)</f>
        <v>MC-A1-1200-C-PB-0001</v>
      </c>
      <c r="E96" s="53">
        <f>_xlfn.XLOOKUP(C96,'Data Base'!D:D,'Data Base'!G:G)</f>
        <v>0</v>
      </c>
      <c r="F96" s="53" t="str">
        <f>_xlfn.XLOOKUP(C96,'LD-ELFA'!F:F,'LD-ELFA'!Q:Q)</f>
        <v>MEMÓRIA DE CÁLCULO</v>
      </c>
      <c r="G96" s="56" t="str">
        <f>_xlfn.XLOOKUP(C96,'Data Base'!D:D,'Data Base'!I:I)</f>
        <v/>
      </c>
      <c r="H96" s="56" t="str">
        <f>_xlfn.XLOOKUP(C96,'Data Base'!D:D,'Data Base'!K:K)</f>
        <v>Documento a emitir</v>
      </c>
      <c r="I96" s="57" t="str">
        <f t="shared" ca="1" si="1"/>
        <v>Documento a emitir</v>
      </c>
      <c r="J96" s="57" t="str">
        <f>_xlfn.XLOOKUP(C96,'Data Base'!D:D,'Data Base'!O:O)</f>
        <v>Blossom - Documento a emitir</v>
      </c>
    </row>
    <row r="97" spans="2:10" hidden="1" x14ac:dyDescent="0.25">
      <c r="B97" s="53" t="str">
        <f>_xlfn.XLOOKUP(C97,'Data Base'!D:D,'Data Base'!B:B)</f>
        <v>CC - Concreto</v>
      </c>
      <c r="C97" s="53" t="s">
        <v>102</v>
      </c>
      <c r="D97" s="53" t="str">
        <f>_xlfn.XLOOKUP(C97,'LD-ELFA'!F:F,'LD-ELFA'!H:H)</f>
        <v>MC-A1-1201-C-PB-0001</v>
      </c>
      <c r="E97" s="53">
        <f>_xlfn.XLOOKUP(C97,'Data Base'!D:D,'Data Base'!G:G)</f>
        <v>0</v>
      </c>
      <c r="F97" s="53" t="str">
        <f>_xlfn.XLOOKUP(C97,'LD-ELFA'!F:F,'LD-ELFA'!Q:Q)</f>
        <v xml:space="preserve"> MEMÓRIA DE CÁLCULO</v>
      </c>
      <c r="G97" s="56" t="str">
        <f>_xlfn.XLOOKUP(C97,'Data Base'!D:D,'Data Base'!I:I)</f>
        <v/>
      </c>
      <c r="H97" s="56" t="str">
        <f>_xlfn.XLOOKUP(C97,'Data Base'!D:D,'Data Base'!K:K)</f>
        <v>Documento a emitir</v>
      </c>
      <c r="I97" s="57" t="str">
        <f t="shared" ca="1" si="1"/>
        <v>Documento a emitir</v>
      </c>
      <c r="J97" s="57" t="str">
        <f>_xlfn.XLOOKUP(C97,'Data Base'!D:D,'Data Base'!O:O)</f>
        <v>Blossom - Documento a emitir</v>
      </c>
    </row>
    <row r="98" spans="2:10" hidden="1" x14ac:dyDescent="0.25">
      <c r="B98" s="53" t="str">
        <f>_xlfn.XLOOKUP(C98,'Data Base'!D:D,'Data Base'!B:B)</f>
        <v>CC - Concreto</v>
      </c>
      <c r="C98" s="53" t="s">
        <v>103</v>
      </c>
      <c r="D98" s="53" t="str">
        <f>_xlfn.XLOOKUP(C98,'LD-ELFA'!F:F,'LD-ELFA'!H:H)</f>
        <v>MC-A1-1800-C-PB-0001</v>
      </c>
      <c r="E98" s="53">
        <f>_xlfn.XLOOKUP(C98,'Data Base'!D:D,'Data Base'!G:G)</f>
        <v>0</v>
      </c>
      <c r="F98" s="53" t="str">
        <f>_xlfn.XLOOKUP(C98,'LD-ELFA'!F:F,'LD-ELFA'!Q:Q)</f>
        <v>MEMÓRIA DE CÁLCULO</v>
      </c>
      <c r="G98" s="56" t="str">
        <f>_xlfn.XLOOKUP(C98,'Data Base'!D:D,'Data Base'!I:I)</f>
        <v/>
      </c>
      <c r="H98" s="56" t="str">
        <f>_xlfn.XLOOKUP(C98,'Data Base'!D:D,'Data Base'!K:K)</f>
        <v>Documento a emitir</v>
      </c>
      <c r="I98" s="57" t="str">
        <f t="shared" ca="1" si="1"/>
        <v>Documento a emitir</v>
      </c>
      <c r="J98" s="57" t="str">
        <f>_xlfn.XLOOKUP(C98,'Data Base'!D:D,'Data Base'!O:O)</f>
        <v>Blossom - Documento a emitir</v>
      </c>
    </row>
    <row r="99" spans="2:10" hidden="1" x14ac:dyDescent="0.25">
      <c r="B99" s="53" t="str">
        <f>_xlfn.XLOOKUP(C99,'Data Base'!D:D,'Data Base'!B:B)</f>
        <v>CC - Concreto</v>
      </c>
      <c r="C99" s="53" t="s">
        <v>104</v>
      </c>
      <c r="D99" s="53" t="str">
        <f>_xlfn.XLOOKUP(C99,'LD-ELFA'!F:F,'LD-ELFA'!H:H)</f>
        <v>MC-A1-2304-C-PB-0001</v>
      </c>
      <c r="E99" s="53">
        <f>_xlfn.XLOOKUP(C99,'Data Base'!D:D,'Data Base'!G:G)</f>
        <v>0</v>
      </c>
      <c r="F99" s="53" t="str">
        <f>_xlfn.XLOOKUP(C99,'LD-ELFA'!F:F,'LD-ELFA'!Q:Q)</f>
        <v>MEMÓRIA DE CÁLCULO</v>
      </c>
      <c r="G99" s="56" t="str">
        <f>_xlfn.XLOOKUP(C99,'Data Base'!D:D,'Data Base'!I:I)</f>
        <v/>
      </c>
      <c r="H99" s="56" t="str">
        <f>_xlfn.XLOOKUP(C99,'Data Base'!D:D,'Data Base'!K:K)</f>
        <v>Documento a emitir</v>
      </c>
      <c r="I99" s="57" t="str">
        <f t="shared" ca="1" si="1"/>
        <v>Documento a emitir</v>
      </c>
      <c r="J99" s="57" t="str">
        <f>_xlfn.XLOOKUP(C99,'Data Base'!D:D,'Data Base'!O:O)</f>
        <v>Blossom - Documento a emitir</v>
      </c>
    </row>
    <row r="100" spans="2:10" hidden="1" x14ac:dyDescent="0.25">
      <c r="B100" s="53" t="str">
        <f>_xlfn.XLOOKUP(C100,'Data Base'!D:D,'Data Base'!B:B)</f>
        <v>CC - Concreto</v>
      </c>
      <c r="C100" s="53" t="s">
        <v>105</v>
      </c>
      <c r="D100" s="53" t="str">
        <f>_xlfn.XLOOKUP(C100,'LD-ELFA'!F:F,'LD-ELFA'!H:H)</f>
        <v>MC-A1-1000-C-PB-0003</v>
      </c>
      <c r="E100" s="53">
        <f>_xlfn.XLOOKUP(C100,'Data Base'!D:D,'Data Base'!G:G)</f>
        <v>0</v>
      </c>
      <c r="F100" s="53" t="str">
        <f>_xlfn.XLOOKUP(C100,'LD-ELFA'!F:F,'LD-ELFA'!Q:Q)</f>
        <v>MEMÓRIA DE CÁLCULO</v>
      </c>
      <c r="G100" s="56" t="str">
        <f>_xlfn.XLOOKUP(C100,'Data Base'!D:D,'Data Base'!I:I)</f>
        <v/>
      </c>
      <c r="H100" s="56" t="str">
        <f>_xlfn.XLOOKUP(C100,'Data Base'!D:D,'Data Base'!K:K)</f>
        <v>Documento a emitir</v>
      </c>
      <c r="I100" s="57" t="str">
        <f t="shared" ca="1" si="1"/>
        <v>Documento a emitir</v>
      </c>
      <c r="J100" s="57" t="str">
        <f>_xlfn.XLOOKUP(C100,'Data Base'!D:D,'Data Base'!O:O)</f>
        <v>Blossom - Documento a emitir</v>
      </c>
    </row>
    <row r="101" spans="2:10" hidden="1" x14ac:dyDescent="0.25">
      <c r="B101" s="53" t="str">
        <f>_xlfn.XLOOKUP(C101,'Data Base'!D:D,'Data Base'!B:B)</f>
        <v>CC - Concreto</v>
      </c>
      <c r="C101" s="53" t="s">
        <v>106</v>
      </c>
      <c r="D101" s="53" t="str">
        <f>_xlfn.XLOOKUP(C101,'LD-ELFA'!F:F,'LD-ELFA'!H:H)</f>
        <v>MC-A1-1000-C-PB-0002</v>
      </c>
      <c r="E101" s="53">
        <f>_xlfn.XLOOKUP(C101,'Data Base'!D:D,'Data Base'!G:G)</f>
        <v>0</v>
      </c>
      <c r="F101" s="53" t="str">
        <f>_xlfn.XLOOKUP(C101,'LD-ELFA'!F:F,'LD-ELFA'!Q:Q)</f>
        <v>MEMÓRIA DE CÁLCULO</v>
      </c>
      <c r="G101" s="56" t="str">
        <f>_xlfn.XLOOKUP(C101,'Data Base'!D:D,'Data Base'!I:I)</f>
        <v/>
      </c>
      <c r="H101" s="56" t="str">
        <f>_xlfn.XLOOKUP(C101,'Data Base'!D:D,'Data Base'!K:K)</f>
        <v>Documento a emitir</v>
      </c>
      <c r="I101" s="57" t="str">
        <f t="shared" ca="1" si="1"/>
        <v>Documento a emitir</v>
      </c>
      <c r="J101" s="57" t="str">
        <f>_xlfn.XLOOKUP(C101,'Data Base'!D:D,'Data Base'!O:O)</f>
        <v>Blossom - Documento a emitir</v>
      </c>
    </row>
    <row r="102" spans="2:10" hidden="1" x14ac:dyDescent="0.25">
      <c r="B102" s="53" t="str">
        <f>_xlfn.XLOOKUP(C102,'Data Base'!D:D,'Data Base'!B:B)</f>
        <v>CC - Concreto</v>
      </c>
      <c r="C102" s="53" t="s">
        <v>107</v>
      </c>
      <c r="D102" s="53" t="str">
        <f>_xlfn.XLOOKUP(C102,'LD-ELFA'!F:F,'LD-ELFA'!H:H)</f>
        <v>MC-A1-1601-C-PB-0001</v>
      </c>
      <c r="E102" s="53">
        <f>_xlfn.XLOOKUP(C102,'Data Base'!D:D,'Data Base'!G:G)</f>
        <v>0</v>
      </c>
      <c r="F102" s="53" t="str">
        <f>_xlfn.XLOOKUP(C102,'LD-ELFA'!F:F,'LD-ELFA'!Q:Q)</f>
        <v>MEMÓRIA DE CÁLCULO</v>
      </c>
      <c r="G102" s="56" t="str">
        <f>_xlfn.XLOOKUP(C102,'Data Base'!D:D,'Data Base'!I:I)</f>
        <v/>
      </c>
      <c r="H102" s="56" t="str">
        <f>_xlfn.XLOOKUP(C102,'Data Base'!D:D,'Data Base'!K:K)</f>
        <v>Documento a emitir</v>
      </c>
      <c r="I102" s="57" t="str">
        <f t="shared" ca="1" si="1"/>
        <v>Documento a emitir</v>
      </c>
      <c r="J102" s="57" t="str">
        <f>_xlfn.XLOOKUP(C102,'Data Base'!D:D,'Data Base'!O:O)</f>
        <v>Blossom - Documento a emitir</v>
      </c>
    </row>
    <row r="103" spans="2:10" hidden="1" x14ac:dyDescent="0.25">
      <c r="B103" s="53" t="str">
        <f>_xlfn.XLOOKUP(C103,'Data Base'!D:D,'Data Base'!B:B)</f>
        <v>CC - Concreto</v>
      </c>
      <c r="C103" s="53" t="s">
        <v>108</v>
      </c>
      <c r="D103" s="53" t="str">
        <f>_xlfn.XLOOKUP(C103,'LD-ELFA'!F:F,'LD-ELFA'!H:H)</f>
        <v>MC-A1-1411-C-PB-4000</v>
      </c>
      <c r="E103" s="53">
        <f>_xlfn.XLOOKUP(C103,'Data Base'!D:D,'Data Base'!G:G)</f>
        <v>0</v>
      </c>
      <c r="F103" s="53" t="str">
        <f>_xlfn.XLOOKUP(C103,'LD-ELFA'!F:F,'LD-ELFA'!Q:Q)</f>
        <v>MEMÓRIA DE CÁLCULO</v>
      </c>
      <c r="G103" s="56" t="str">
        <f>_xlfn.XLOOKUP(C103,'Data Base'!D:D,'Data Base'!I:I)</f>
        <v/>
      </c>
      <c r="H103" s="56" t="str">
        <f>_xlfn.XLOOKUP(C103,'Data Base'!D:D,'Data Base'!K:K)</f>
        <v>Documento a emitir</v>
      </c>
      <c r="I103" s="57" t="str">
        <f t="shared" ca="1" si="1"/>
        <v>Documento a emitir</v>
      </c>
      <c r="J103" s="57" t="str">
        <f>_xlfn.XLOOKUP(C103,'Data Base'!D:D,'Data Base'!O:O)</f>
        <v>Blossom - Documento a emitir</v>
      </c>
    </row>
    <row r="104" spans="2:10" hidden="1" x14ac:dyDescent="0.25">
      <c r="B104" s="53" t="str">
        <f>_xlfn.XLOOKUP(C104,'Data Base'!D:D,'Data Base'!B:B)</f>
        <v>CC - Concreto</v>
      </c>
      <c r="C104" s="53" t="s">
        <v>109</v>
      </c>
      <c r="D104" s="53" t="str">
        <f>_xlfn.XLOOKUP(C104,'LD-ELFA'!F:F,'LD-ELFA'!H:H)</f>
        <v>MC-A1-1001-C-PB-4000</v>
      </c>
      <c r="E104" s="53">
        <f>_xlfn.XLOOKUP(C104,'Data Base'!D:D,'Data Base'!G:G)</f>
        <v>0</v>
      </c>
      <c r="F104" s="53" t="str">
        <f>_xlfn.XLOOKUP(C104,'LD-ELFA'!F:F,'LD-ELFA'!Q:Q)</f>
        <v>BALANÇA - FUNDAÇÕES - MEMÓRIA DE CÁLCULO - 11</v>
      </c>
      <c r="G104" s="56" t="str">
        <f>_xlfn.XLOOKUP(C104,'Data Base'!D:D,'Data Base'!I:I)</f>
        <v/>
      </c>
      <c r="H104" s="56" t="str">
        <f>_xlfn.XLOOKUP(C104,'Data Base'!D:D,'Data Base'!K:K)</f>
        <v>Documento a emitir</v>
      </c>
      <c r="I104" s="57" t="str">
        <f t="shared" ca="1" si="1"/>
        <v>Documento a emitir</v>
      </c>
      <c r="J104" s="57" t="str">
        <f>_xlfn.XLOOKUP(C104,'Data Base'!D:D,'Data Base'!O:O)</f>
        <v>Blossom - Documento a emitir</v>
      </c>
    </row>
    <row r="105" spans="2:10" hidden="1" x14ac:dyDescent="0.25">
      <c r="B105" s="53" t="str">
        <f>_xlfn.XLOOKUP(C105,'Data Base'!D:D,'Data Base'!B:B)</f>
        <v>CC - Concreto</v>
      </c>
      <c r="C105" s="53" t="s">
        <v>110</v>
      </c>
      <c r="D105" s="53" t="str">
        <f>_xlfn.XLOOKUP(C105,'LD-ELFA'!F:F,'LD-ELFA'!H:H)</f>
        <v>MC-A1-2201-C-PB-4000</v>
      </c>
      <c r="E105" s="53">
        <f>_xlfn.XLOOKUP(C105,'Data Base'!D:D,'Data Base'!G:G)</f>
        <v>0</v>
      </c>
      <c r="F105" s="53" t="str">
        <f>_xlfn.XLOOKUP(C105,'LD-ELFA'!F:F,'LD-ELFA'!Q:Q)</f>
        <v>MEMÓRIA DE CÁLCULO</v>
      </c>
      <c r="G105" s="56" t="str">
        <f>_xlfn.XLOOKUP(C105,'Data Base'!D:D,'Data Base'!I:I)</f>
        <v>0027</v>
      </c>
      <c r="H105" s="56">
        <f>_xlfn.XLOOKUP(C105,'Data Base'!D:D,'Data Base'!K:K)</f>
        <v>46211.677941400463</v>
      </c>
      <c r="I105" s="57">
        <f t="shared" ca="1" si="1"/>
        <v>0.32205859953683103</v>
      </c>
      <c r="J105" s="57" t="str">
        <f>_xlfn.XLOOKUP(C105,'Data Base'!D:D,'Data Base'!O:O)</f>
        <v>Blossom - Atendimento de Comentário</v>
      </c>
    </row>
    <row r="106" spans="2:10" hidden="1" x14ac:dyDescent="0.25">
      <c r="B106" s="53" t="str">
        <f>_xlfn.XLOOKUP(C106,'Data Base'!D:D,'Data Base'!B:B)</f>
        <v>CC - Concreto</v>
      </c>
      <c r="C106" s="53" t="s">
        <v>111</v>
      </c>
      <c r="D106" s="53" t="str">
        <f>_xlfn.XLOOKUP(C106,'LD-ELFA'!F:F,'LD-ELFA'!H:H)</f>
        <v>MC-A1-2202-C-PB-4000</v>
      </c>
      <c r="E106" s="53">
        <f>_xlfn.XLOOKUP(C106,'Data Base'!D:D,'Data Base'!G:G)</f>
        <v>0</v>
      </c>
      <c r="F106" s="53" t="str">
        <f>_xlfn.XLOOKUP(C106,'LD-ELFA'!F:F,'LD-ELFA'!Q:Q)</f>
        <v>MEMÓRIA DE CÁLCULO</v>
      </c>
      <c r="G106" s="56" t="str">
        <f>_xlfn.XLOOKUP(C106,'Data Base'!D:D,'Data Base'!I:I)</f>
        <v>0022</v>
      </c>
      <c r="H106" s="56">
        <f>_xlfn.XLOOKUP(C106,'Data Base'!D:D,'Data Base'!K:K)</f>
        <v>46210.678921678242</v>
      </c>
      <c r="I106" s="57">
        <f t="shared" ca="1" si="1"/>
        <v>1.3210783217582502</v>
      </c>
      <c r="J106" s="57" t="str">
        <f>_xlfn.XLOOKUP(C106,'Data Base'!D:D,'Data Base'!O:O)</f>
        <v>Blossom - Atendimento de Comentário</v>
      </c>
    </row>
    <row r="107" spans="2:10" hidden="1" x14ac:dyDescent="0.25">
      <c r="B107" s="53" t="str">
        <f>_xlfn.XLOOKUP(C107,'Data Base'!D:D,'Data Base'!B:B)</f>
        <v>CC - Concreto</v>
      </c>
      <c r="C107" s="53" t="s">
        <v>112</v>
      </c>
      <c r="D107" s="53" t="str">
        <f>_xlfn.XLOOKUP(C107,'LD-ELFA'!F:F,'LD-ELFA'!H:H)</f>
        <v>MC-A1-2203-C-PB-4000</v>
      </c>
      <c r="E107" s="53">
        <f>_xlfn.XLOOKUP(C107,'Data Base'!D:D,'Data Base'!G:G)</f>
        <v>0</v>
      </c>
      <c r="F107" s="53" t="str">
        <f>_xlfn.XLOOKUP(C107,'LD-ELFA'!F:F,'LD-ELFA'!Q:Q)</f>
        <v>MEMÓRIA DE CÁLCULO</v>
      </c>
      <c r="G107" s="56" t="str">
        <f>_xlfn.XLOOKUP(C107,'Data Base'!D:D,'Data Base'!I:I)</f>
        <v>0022</v>
      </c>
      <c r="H107" s="56">
        <f>_xlfn.XLOOKUP(C107,'Data Base'!D:D,'Data Base'!K:K)</f>
        <v>46210.678922800929</v>
      </c>
      <c r="I107" s="57">
        <f t="shared" ca="1" si="1"/>
        <v>1.3210771990707144</v>
      </c>
      <c r="J107" s="57" t="str">
        <f>_xlfn.XLOOKUP(C107,'Data Base'!D:D,'Data Base'!O:O)</f>
        <v>Blossom - Atendimento de Comentário</v>
      </c>
    </row>
    <row r="108" spans="2:10" hidden="1" x14ac:dyDescent="0.25">
      <c r="B108" s="53" t="str">
        <f>_xlfn.XLOOKUP(C108,'Data Base'!D:D,'Data Base'!B:B)</f>
        <v>CC - Concreto</v>
      </c>
      <c r="C108" s="53" t="s">
        <v>113</v>
      </c>
      <c r="D108" s="53" t="str">
        <f>_xlfn.XLOOKUP(C108,'LD-ELFA'!F:F,'LD-ELFA'!H:H)</f>
        <v>MC-A1-2204-C-PB-4000</v>
      </c>
      <c r="E108" s="53">
        <f>_xlfn.XLOOKUP(C108,'Data Base'!D:D,'Data Base'!G:G)</f>
        <v>0</v>
      </c>
      <c r="F108" s="53" t="str">
        <f>_xlfn.XLOOKUP(C108,'LD-ELFA'!F:F,'LD-ELFA'!Q:Q)</f>
        <v>MEMÓRIA DE CÁLCULO</v>
      </c>
      <c r="G108" s="56" t="str">
        <f>_xlfn.XLOOKUP(C108,'Data Base'!D:D,'Data Base'!I:I)</f>
        <v>0022</v>
      </c>
      <c r="H108" s="56">
        <f>_xlfn.XLOOKUP(C108,'Data Base'!D:D,'Data Base'!K:K)</f>
        <v>46210.678923460648</v>
      </c>
      <c r="I108" s="57">
        <f t="shared" ca="1" si="1"/>
        <v>1.3210765393523616</v>
      </c>
      <c r="J108" s="57" t="str">
        <f>_xlfn.XLOOKUP(C108,'Data Base'!D:D,'Data Base'!O:O)</f>
        <v>Blossom - Atendimento de Comentário</v>
      </c>
    </row>
    <row r="109" spans="2:10" hidden="1" x14ac:dyDescent="0.25">
      <c r="B109" s="53" t="str">
        <f>_xlfn.XLOOKUP(C109,'Data Base'!D:D,'Data Base'!B:B)</f>
        <v>CC - Concreto</v>
      </c>
      <c r="C109" s="53" t="s">
        <v>114</v>
      </c>
      <c r="D109" s="53" t="str">
        <f>_xlfn.XLOOKUP(C109,'LD-ELFA'!F:F,'LD-ELFA'!H:H)</f>
        <v>MC-A1-1000-C-PB-4001</v>
      </c>
      <c r="E109" s="53">
        <f>_xlfn.XLOOKUP(C109,'Data Base'!D:D,'Data Base'!G:G)</f>
        <v>0</v>
      </c>
      <c r="F109" s="53" t="str">
        <f>_xlfn.XLOOKUP(C109,'LD-ELFA'!F:F,'LD-ELFA'!Q:Q)</f>
        <v>MEMORIAL DESCRITIVO</v>
      </c>
      <c r="G109" s="56" t="str">
        <f>_xlfn.XLOOKUP(C109,'Data Base'!D:D,'Data Base'!I:I)</f>
        <v/>
      </c>
      <c r="H109" s="56" t="str">
        <f>_xlfn.XLOOKUP(C109,'Data Base'!D:D,'Data Base'!K:K)</f>
        <v>Documento a emitir</v>
      </c>
      <c r="I109" s="57" t="str">
        <f t="shared" ca="1" si="1"/>
        <v>Documento a emitir</v>
      </c>
      <c r="J109" s="57" t="str">
        <f>_xlfn.XLOOKUP(C109,'Data Base'!D:D,'Data Base'!O:O)</f>
        <v>Blossom - Documento a emitir</v>
      </c>
    </row>
    <row r="110" spans="2:10" hidden="1" x14ac:dyDescent="0.25">
      <c r="B110" s="53" t="str">
        <f>_xlfn.XLOOKUP(C110,'Data Base'!D:D,'Data Base'!B:B)</f>
        <v>CC - Concreto</v>
      </c>
      <c r="C110" s="53" t="s">
        <v>115</v>
      </c>
      <c r="D110" s="53" t="str">
        <f>_xlfn.XLOOKUP(C110,'LD-ELFA'!F:F,'LD-ELFA'!H:H)</f>
        <v>PQ-A1-1000-C-PB-4000</v>
      </c>
      <c r="E110" s="53">
        <f>_xlfn.XLOOKUP(C110,'Data Base'!D:D,'Data Base'!G:G)</f>
        <v>0</v>
      </c>
      <c r="F110" s="53" t="str">
        <f>_xlfn.XLOOKUP(C110,'LD-ELFA'!F:F,'LD-ELFA'!Q:Q)</f>
        <v>PLANILHA DE QUANTIDADES</v>
      </c>
      <c r="G110" s="56" t="str">
        <f>_xlfn.XLOOKUP(C110,'Data Base'!D:D,'Data Base'!I:I)</f>
        <v/>
      </c>
      <c r="H110" s="56" t="str">
        <f>_xlfn.XLOOKUP(C110,'Data Base'!D:D,'Data Base'!K:K)</f>
        <v>Documento a emitir</v>
      </c>
      <c r="I110" s="57" t="str">
        <f t="shared" ca="1" si="1"/>
        <v>Documento a emitir</v>
      </c>
      <c r="J110" s="57" t="str">
        <f>_xlfn.XLOOKUP(C110,'Data Base'!D:D,'Data Base'!O:O)</f>
        <v>Blossom - Documento a emitir</v>
      </c>
    </row>
    <row r="111" spans="2:10" hidden="1" x14ac:dyDescent="0.25">
      <c r="B111" s="53" t="str">
        <f>_xlfn.XLOOKUP(C111,'Data Base'!D:D,'Data Base'!B:B)</f>
        <v>CC - Concreto</v>
      </c>
      <c r="C111" s="53" t="s">
        <v>116</v>
      </c>
      <c r="D111" s="53" t="str">
        <f>_xlfn.XLOOKUP(C111,'LD-ELFA'!F:F,'LD-ELFA'!H:H)</f>
        <v>PQ-A1-1000-C-PB-0001</v>
      </c>
      <c r="E111" s="53">
        <f>_xlfn.XLOOKUP(C111,'Data Base'!D:D,'Data Base'!G:G)</f>
        <v>0</v>
      </c>
      <c r="F111" s="53" t="str">
        <f>_xlfn.XLOOKUP(C111,'LD-ELFA'!F:F,'LD-ELFA'!Q:Q)</f>
        <v>PLANILHA DE QUANTIDADES</v>
      </c>
      <c r="G111" s="56" t="str">
        <f>_xlfn.XLOOKUP(C111,'Data Base'!D:D,'Data Base'!I:I)</f>
        <v/>
      </c>
      <c r="H111" s="56" t="str">
        <f>_xlfn.XLOOKUP(C111,'Data Base'!D:D,'Data Base'!K:K)</f>
        <v>Documento a emitir</v>
      </c>
      <c r="I111" s="57" t="str">
        <f t="shared" ca="1" si="1"/>
        <v>Documento a emitir</v>
      </c>
      <c r="J111" s="57" t="str">
        <f>_xlfn.XLOOKUP(C111,'Data Base'!D:D,'Data Base'!O:O)</f>
        <v>Blossom - Documento a emitir</v>
      </c>
    </row>
    <row r="112" spans="2:10" hidden="1" x14ac:dyDescent="0.25">
      <c r="B112" s="53" t="str">
        <f>_xlfn.XLOOKUP(C112,'Data Base'!D:D,'Data Base'!B:B)</f>
        <v>CI - Infraestrutura</v>
      </c>
      <c r="C112" s="53" t="s">
        <v>117</v>
      </c>
      <c r="D112" s="53" t="str">
        <f>_xlfn.XLOOKUP(C112,'LD-ELFA'!F:F,'LD-ELFA'!H:H)</f>
        <v>DE-A1-1102-B-PC-4000</v>
      </c>
      <c r="E112" s="53">
        <f>_xlfn.XLOOKUP(C112,'Data Base'!D:D,'Data Base'!G:G)</f>
        <v>0</v>
      </c>
      <c r="F112" s="53" t="str">
        <f>_xlfn.XLOOKUP(C112,'LD-ELFA'!F:F,'LD-ELFA'!Q:Q)</f>
        <v>PROJETO DE TERRAPLENAGEM</v>
      </c>
      <c r="G112" s="56" t="str">
        <f>_xlfn.XLOOKUP(C112,'Data Base'!D:D,'Data Base'!I:I)</f>
        <v/>
      </c>
      <c r="H112" s="56" t="str">
        <f>_xlfn.XLOOKUP(C112,'Data Base'!D:D,'Data Base'!K:K)</f>
        <v>Documento a emitir</v>
      </c>
      <c r="I112" s="57" t="str">
        <f t="shared" ca="1" si="1"/>
        <v>Documento a emitir</v>
      </c>
      <c r="J112" s="57" t="str">
        <f>_xlfn.XLOOKUP(C112,'Data Base'!D:D,'Data Base'!O:O)</f>
        <v>Blossom - Documento a emitir</v>
      </c>
    </row>
    <row r="113" spans="2:10" hidden="1" x14ac:dyDescent="0.25">
      <c r="B113" s="53" t="str">
        <f>_xlfn.XLOOKUP(C113,'Data Base'!D:D,'Data Base'!B:B)</f>
        <v>CI - Infraestrutura</v>
      </c>
      <c r="C113" s="53" t="s">
        <v>118</v>
      </c>
      <c r="D113" s="53" t="str">
        <f>_xlfn.XLOOKUP(C113,'LD-ELFA'!F:F,'LD-ELFA'!H:H)</f>
        <v>DE-A1-1102-B-PC-4001</v>
      </c>
      <c r="E113" s="53">
        <f>_xlfn.XLOOKUP(C113,'Data Base'!D:D,'Data Base'!G:G)</f>
        <v>0</v>
      </c>
      <c r="F113" s="53" t="str">
        <f>_xlfn.XLOOKUP(C113,'LD-ELFA'!F:F,'LD-ELFA'!Q:Q)</f>
        <v>PROJETO GEOMÉTRICO - ACESSO</v>
      </c>
      <c r="G113" s="56" t="str">
        <f>_xlfn.XLOOKUP(C113,'Data Base'!D:D,'Data Base'!I:I)</f>
        <v/>
      </c>
      <c r="H113" s="56" t="str">
        <f>_xlfn.XLOOKUP(C113,'Data Base'!D:D,'Data Base'!K:K)</f>
        <v>Documento a emitir</v>
      </c>
      <c r="I113" s="57" t="str">
        <f t="shared" ca="1" si="1"/>
        <v>Documento a emitir</v>
      </c>
      <c r="J113" s="57" t="str">
        <f>_xlfn.XLOOKUP(C113,'Data Base'!D:D,'Data Base'!O:O)</f>
        <v>Blossom - Documento a emitir</v>
      </c>
    </row>
    <row r="114" spans="2:10" hidden="1" x14ac:dyDescent="0.25">
      <c r="B114" s="53" t="str">
        <f>_xlfn.XLOOKUP(C114,'Data Base'!D:D,'Data Base'!B:B)</f>
        <v>CI - Infraestrutura</v>
      </c>
      <c r="C114" s="53" t="s">
        <v>119</v>
      </c>
      <c r="D114" s="53" t="str">
        <f>_xlfn.XLOOKUP(C114,'LD-ELFA'!F:F,'LD-ELFA'!H:H)</f>
        <v>MC-A1-1102-B-PB-4000</v>
      </c>
      <c r="E114" s="53">
        <f>_xlfn.XLOOKUP(C114,'Data Base'!D:D,'Data Base'!G:G)</f>
        <v>0</v>
      </c>
      <c r="F114" s="53" t="str">
        <f>_xlfn.XLOOKUP(C114,'LD-ELFA'!F:F,'LD-ELFA'!Q:Q)</f>
        <v>MEMÓRIA DE CÁLCULO DE TERRAPLENAGEM</v>
      </c>
      <c r="G114" s="56" t="str">
        <f>_xlfn.XLOOKUP(C114,'Data Base'!D:D,'Data Base'!I:I)</f>
        <v/>
      </c>
      <c r="H114" s="56" t="str">
        <f>_xlfn.XLOOKUP(C114,'Data Base'!D:D,'Data Base'!K:K)</f>
        <v>Documento a emitir</v>
      </c>
      <c r="I114" s="57" t="str">
        <f t="shared" ca="1" si="1"/>
        <v>Documento a emitir</v>
      </c>
      <c r="J114" s="57" t="str">
        <f>_xlfn.XLOOKUP(C114,'Data Base'!D:D,'Data Base'!O:O)</f>
        <v>Blossom - Documento a emitir</v>
      </c>
    </row>
    <row r="115" spans="2:10" hidden="1" x14ac:dyDescent="0.25">
      <c r="B115" s="53" t="str">
        <f>_xlfn.XLOOKUP(C115,'Data Base'!D:D,'Data Base'!B:B)</f>
        <v>CI - Infraestrutura</v>
      </c>
      <c r="C115" s="53" t="s">
        <v>120</v>
      </c>
      <c r="D115" s="53" t="str">
        <f>_xlfn.XLOOKUP(C115,'LD-ELFA'!F:F,'LD-ELFA'!H:H)</f>
        <v>MC-A1-1102-B-PB-4001</v>
      </c>
      <c r="E115" s="53">
        <f>_xlfn.XLOOKUP(C115,'Data Base'!D:D,'Data Base'!G:G)</f>
        <v>0</v>
      </c>
      <c r="F115" s="53" t="str">
        <f>_xlfn.XLOOKUP(C115,'LD-ELFA'!F:F,'LD-ELFA'!Q:Q)</f>
        <v>MEMÓRIA DE CÁLCULO DE DRENAGEM</v>
      </c>
      <c r="G115" s="56" t="str">
        <f>_xlfn.XLOOKUP(C115,'Data Base'!D:D,'Data Base'!I:I)</f>
        <v/>
      </c>
      <c r="H115" s="56" t="str">
        <f>_xlfn.XLOOKUP(C115,'Data Base'!D:D,'Data Base'!K:K)</f>
        <v>Documento a emitir</v>
      </c>
      <c r="I115" s="57" t="str">
        <f t="shared" ca="1" si="1"/>
        <v>Documento a emitir</v>
      </c>
      <c r="J115" s="57" t="str">
        <f>_xlfn.XLOOKUP(C115,'Data Base'!D:D,'Data Base'!O:O)</f>
        <v>Blossom - Documento a emitir</v>
      </c>
    </row>
    <row r="116" spans="2:10" hidden="1" x14ac:dyDescent="0.25">
      <c r="B116" s="53" t="str">
        <f>_xlfn.XLOOKUP(C116,'Data Base'!D:D,'Data Base'!B:B)</f>
        <v>CI - Infraestrutura</v>
      </c>
      <c r="C116" s="53" t="s">
        <v>121</v>
      </c>
      <c r="D116" s="53" t="str">
        <f>_xlfn.XLOOKUP(C116,'LD-ELFA'!F:F,'LD-ELFA'!H:H)</f>
        <v>MC-A1-1000-B-PB-0002</v>
      </c>
      <c r="E116" s="53">
        <f>_xlfn.XLOOKUP(C116,'Data Base'!D:D,'Data Base'!G:G)</f>
        <v>0</v>
      </c>
      <c r="F116" s="53" t="str">
        <f>_xlfn.XLOOKUP(C116,'LD-ELFA'!F:F,'LD-ELFA'!Q:Q)</f>
        <v>MEMÓRIA DE CÁLCULO DE DRENAGEM</v>
      </c>
      <c r="G116" s="56" t="str">
        <f>_xlfn.XLOOKUP(C116,'Data Base'!D:D,'Data Base'!I:I)</f>
        <v/>
      </c>
      <c r="H116" s="56" t="str">
        <f>_xlfn.XLOOKUP(C116,'Data Base'!D:D,'Data Base'!K:K)</f>
        <v>Documento a emitir</v>
      </c>
      <c r="I116" s="57" t="str">
        <f t="shared" ca="1" si="1"/>
        <v>Documento a emitir</v>
      </c>
      <c r="J116" s="57" t="str">
        <f>_xlfn.XLOOKUP(C116,'Data Base'!D:D,'Data Base'!O:O)</f>
        <v>Blossom - Documento a emitir</v>
      </c>
    </row>
    <row r="117" spans="2:10" hidden="1" x14ac:dyDescent="0.25">
      <c r="B117" s="53" t="str">
        <f>_xlfn.XLOOKUP(C117,'Data Base'!D:D,'Data Base'!B:B)</f>
        <v>CI - Infraestrutura</v>
      </c>
      <c r="C117" s="53" t="s">
        <v>122</v>
      </c>
      <c r="D117" s="53" t="str">
        <f>_xlfn.XLOOKUP(C117,'LD-ELFA'!F:F,'LD-ELFA'!H:H)</f>
        <v>MC-A1-1000-B-PB-0001</v>
      </c>
      <c r="E117" s="53">
        <f>_xlfn.XLOOKUP(C117,'Data Base'!D:D,'Data Base'!G:G)</f>
        <v>0</v>
      </c>
      <c r="F117" s="53" t="str">
        <f>_xlfn.XLOOKUP(C117,'LD-ELFA'!F:F,'LD-ELFA'!Q:Q)</f>
        <v>MEMÓRIA DE CÁLCULO DE TERRAPLENAGEM</v>
      </c>
      <c r="G117" s="56" t="str">
        <f>_xlfn.XLOOKUP(C117,'Data Base'!D:D,'Data Base'!I:I)</f>
        <v/>
      </c>
      <c r="H117" s="56" t="str">
        <f>_xlfn.XLOOKUP(C117,'Data Base'!D:D,'Data Base'!K:K)</f>
        <v>Documento a emitir</v>
      </c>
      <c r="I117" s="57" t="str">
        <f t="shared" ca="1" si="1"/>
        <v>Documento a emitir</v>
      </c>
      <c r="J117" s="57" t="str">
        <f>_xlfn.XLOOKUP(C117,'Data Base'!D:D,'Data Base'!O:O)</f>
        <v>Blossom - Documento a emitir</v>
      </c>
    </row>
    <row r="118" spans="2:10" hidden="1" x14ac:dyDescent="0.25">
      <c r="B118" s="53" t="str">
        <f>_xlfn.XLOOKUP(C118,'Data Base'!D:D,'Data Base'!B:B)</f>
        <v>CI - Infraestrutura</v>
      </c>
      <c r="C118" s="53" t="s">
        <v>123</v>
      </c>
      <c r="D118" s="53" t="str">
        <f>_xlfn.XLOOKUP(C118,'LD-ELFA'!F:F,'LD-ELFA'!H:H)</f>
        <v>MC-A1-1000-B-PB-0003</v>
      </c>
      <c r="E118" s="53">
        <f>_xlfn.XLOOKUP(C118,'Data Base'!D:D,'Data Base'!G:G)</f>
        <v>0</v>
      </c>
      <c r="F118" s="53" t="str">
        <f>_xlfn.XLOOKUP(C118,'LD-ELFA'!F:F,'LD-ELFA'!Q:Q)</f>
        <v>MEMÓRIA DE CÁLCULO DE PAVIMENTAÇÃO</v>
      </c>
      <c r="G118" s="56" t="str">
        <f>_xlfn.XLOOKUP(C118,'Data Base'!D:D,'Data Base'!I:I)</f>
        <v/>
      </c>
      <c r="H118" s="56" t="str">
        <f>_xlfn.XLOOKUP(C118,'Data Base'!D:D,'Data Base'!K:K)</f>
        <v>Documento a emitir</v>
      </c>
      <c r="I118" s="57" t="str">
        <f t="shared" ca="1" si="1"/>
        <v>Documento a emitir</v>
      </c>
      <c r="J118" s="57" t="str">
        <f>_xlfn.XLOOKUP(C118,'Data Base'!D:D,'Data Base'!O:O)</f>
        <v>Blossom - Documento a emitir</v>
      </c>
    </row>
    <row r="119" spans="2:10" hidden="1" x14ac:dyDescent="0.25">
      <c r="B119" s="53" t="str">
        <f>_xlfn.XLOOKUP(C119,'Data Base'!D:D,'Data Base'!B:B)</f>
        <v>CI - Infraestrutura</v>
      </c>
      <c r="C119" s="53" t="s">
        <v>124</v>
      </c>
      <c r="D119" s="53" t="str">
        <f>_xlfn.XLOOKUP(C119,'LD-ELFA'!F:F,'LD-ELFA'!H:H)</f>
        <v>MC-A1-1600-B-PB-4000</v>
      </c>
      <c r="E119" s="53">
        <f>_xlfn.XLOOKUP(C119,'Data Base'!D:D,'Data Base'!G:G)</f>
        <v>0</v>
      </c>
      <c r="F119" s="53" t="str">
        <f>_xlfn.XLOOKUP(C119,'LD-ELFA'!F:F,'LD-ELFA'!Q:Q)</f>
        <v xml:space="preserve"> MEMÓRIA DE CÁLCULO - GEOTECNIA - ANÁLISE DE ESTABILIDADE</v>
      </c>
      <c r="G119" s="56" t="str">
        <f>_xlfn.XLOOKUP(C119,'Data Base'!D:D,'Data Base'!I:I)</f>
        <v/>
      </c>
      <c r="H119" s="56" t="str">
        <f>_xlfn.XLOOKUP(C119,'Data Base'!D:D,'Data Base'!K:K)</f>
        <v>Documento a emitir</v>
      </c>
      <c r="I119" s="57" t="str">
        <f t="shared" ca="1" si="1"/>
        <v>Documento a emitir</v>
      </c>
      <c r="J119" s="57" t="str">
        <f>_xlfn.XLOOKUP(C119,'Data Base'!D:D,'Data Base'!O:O)</f>
        <v>Blossom - Documento a emitir</v>
      </c>
    </row>
    <row r="120" spans="2:10" hidden="1" x14ac:dyDescent="0.25">
      <c r="B120" s="53" t="str">
        <f>_xlfn.XLOOKUP(C120,'Data Base'!D:D,'Data Base'!B:B)</f>
        <v>CI - Infraestrutura</v>
      </c>
      <c r="C120" s="53" t="s">
        <v>125</v>
      </c>
      <c r="D120" s="53" t="str">
        <f>_xlfn.XLOOKUP(C120,'LD-ELFA'!F:F,'LD-ELFA'!H:H)</f>
        <v>PQ-A1-1000-G-PB-0002</v>
      </c>
      <c r="E120" s="53">
        <f>_xlfn.XLOOKUP(C120,'Data Base'!D:D,'Data Base'!G:G)</f>
        <v>0</v>
      </c>
      <c r="F120" s="53" t="str">
        <f>_xlfn.XLOOKUP(C120,'LD-ELFA'!F:F,'LD-ELFA'!Q:Q)</f>
        <v>PLANILHA DE QUANTIDADES</v>
      </c>
      <c r="G120" s="56" t="str">
        <f>_xlfn.XLOOKUP(C120,'Data Base'!D:D,'Data Base'!I:I)</f>
        <v/>
      </c>
      <c r="H120" s="56" t="str">
        <f>_xlfn.XLOOKUP(C120,'Data Base'!D:D,'Data Base'!K:K)</f>
        <v>Documento a emitir</v>
      </c>
      <c r="I120" s="57" t="str">
        <f t="shared" ca="1" si="1"/>
        <v>Documento a emitir</v>
      </c>
      <c r="J120" s="57" t="str">
        <f>_xlfn.XLOOKUP(C120,'Data Base'!D:D,'Data Base'!O:O)</f>
        <v>Blossom - Documento a emitir</v>
      </c>
    </row>
    <row r="121" spans="2:10" hidden="1" x14ac:dyDescent="0.25">
      <c r="B121" s="53" t="str">
        <f>_xlfn.XLOOKUP(C121,'Data Base'!D:D,'Data Base'!B:B)</f>
        <v>CI - Infraestrutura</v>
      </c>
      <c r="C121" s="53" t="s">
        <v>126</v>
      </c>
      <c r="D121" s="53" t="str">
        <f>_xlfn.XLOOKUP(C121,'LD-ELFA'!F:F,'LD-ELFA'!H:H)</f>
        <v>RL-A1-1000-B-PB-0001</v>
      </c>
      <c r="E121" s="53">
        <f>_xlfn.XLOOKUP(C121,'Data Base'!D:D,'Data Base'!G:G)</f>
        <v>0</v>
      </c>
      <c r="F121" s="53" t="str">
        <f>_xlfn.XLOOKUP(C121,'LD-ELFA'!F:F,'LD-ELFA'!Q:Q)</f>
        <v>RELATÓRIO TÉCNICO - DISPOSITIVOS AMORTECIMENTO DE CHEIAS</v>
      </c>
      <c r="G121" s="56" t="str">
        <f>_xlfn.XLOOKUP(C121,'Data Base'!D:D,'Data Base'!I:I)</f>
        <v/>
      </c>
      <c r="H121" s="56" t="str">
        <f>_xlfn.XLOOKUP(C121,'Data Base'!D:D,'Data Base'!K:K)</f>
        <v>Documento a emitir</v>
      </c>
      <c r="I121" s="57" t="str">
        <f t="shared" ca="1" si="1"/>
        <v>Documento a emitir</v>
      </c>
      <c r="J121" s="57" t="str">
        <f>_xlfn.XLOOKUP(C121,'Data Base'!D:D,'Data Base'!O:O)</f>
        <v>Blossom - Documento a emitir</v>
      </c>
    </row>
    <row r="122" spans="2:10" hidden="1" x14ac:dyDescent="0.25">
      <c r="B122" s="53" t="e">
        <f>_xlfn.XLOOKUP(C122,'Data Base'!D:D,'Data Base'!B:B)</f>
        <v>#N/A</v>
      </c>
      <c r="C122" s="53" t="s">
        <v>127</v>
      </c>
      <c r="D122" s="53" t="e">
        <f>_xlfn.XLOOKUP(C122,'LD-ELFA'!F:F,'LD-ELFA'!H:H)</f>
        <v>#N/A</v>
      </c>
      <c r="E122" s="53" t="e">
        <f>_xlfn.XLOOKUP(C122,'Data Base'!D:D,'Data Base'!G:G)</f>
        <v>#N/A</v>
      </c>
      <c r="F122" s="53" t="e">
        <f>_xlfn.XLOOKUP(C122,'LD-ELFA'!F:F,'LD-ELFA'!Q:Q)</f>
        <v>#N/A</v>
      </c>
      <c r="G122" s="56" t="e">
        <f>_xlfn.XLOOKUP(C122,'Data Base'!D:D,'Data Base'!I:I)</f>
        <v>#N/A</v>
      </c>
      <c r="H122" s="56" t="e">
        <f>_xlfn.XLOOKUP(C122,'Data Base'!D:D,'Data Base'!K:K)</f>
        <v>#N/A</v>
      </c>
      <c r="I122" s="57" t="e">
        <f t="shared" ca="1" si="1"/>
        <v>#N/A</v>
      </c>
      <c r="J122" s="57" t="str">
        <f>_xlfn.XLOOKUP(C122,'Data Base'!D:D,'Data Base'!O:O)</f>
        <v>Documento Removido</v>
      </c>
    </row>
    <row r="123" spans="2:10" hidden="1" x14ac:dyDescent="0.25">
      <c r="B123" s="53" t="e">
        <f>_xlfn.XLOOKUP(C123,'Data Base'!D:D,'Data Base'!B:B)</f>
        <v>#N/A</v>
      </c>
      <c r="C123" s="53" t="s">
        <v>128</v>
      </c>
      <c r="D123" s="53" t="e">
        <f>_xlfn.XLOOKUP(C123,'LD-ELFA'!F:F,'LD-ELFA'!H:H)</f>
        <v>#N/A</v>
      </c>
      <c r="E123" s="53" t="e">
        <f>_xlfn.XLOOKUP(C123,'Data Base'!D:D,'Data Base'!G:G)</f>
        <v>#N/A</v>
      </c>
      <c r="F123" s="53" t="e">
        <f>_xlfn.XLOOKUP(C123,'LD-ELFA'!F:F,'LD-ELFA'!Q:Q)</f>
        <v>#N/A</v>
      </c>
      <c r="G123" s="56" t="e">
        <f>_xlfn.XLOOKUP(C123,'Data Base'!D:D,'Data Base'!I:I)</f>
        <v>#N/A</v>
      </c>
      <c r="H123" s="56" t="e">
        <f>_xlfn.XLOOKUP(C123,'Data Base'!D:D,'Data Base'!K:K)</f>
        <v>#N/A</v>
      </c>
      <c r="I123" s="57" t="e">
        <f t="shared" ca="1" si="1"/>
        <v>#N/A</v>
      </c>
      <c r="J123" s="57" t="str">
        <f>_xlfn.XLOOKUP(C123,'Data Base'!D:D,'Data Base'!O:O)</f>
        <v>Documento Removido</v>
      </c>
    </row>
    <row r="124" spans="2:10" hidden="1" x14ac:dyDescent="0.25">
      <c r="B124" s="53" t="str">
        <f>_xlfn.XLOOKUP(C124,'Data Base'!D:D,'Data Base'!B:B)</f>
        <v>DC - Controle De Documentos</v>
      </c>
      <c r="C124" s="53" t="s">
        <v>129</v>
      </c>
      <c r="D124" s="53" t="str">
        <f>_xlfn.XLOOKUP(C124,'LD-ELFA'!F:F,'LD-ELFA'!H:H)</f>
        <v>LD-A1-1000-G-PB-4000</v>
      </c>
      <c r="E124" s="53">
        <f>_xlfn.XLOOKUP(C124,'Data Base'!D:D,'Data Base'!G:G)</f>
        <v>1</v>
      </c>
      <c r="F124" s="53" t="str">
        <f>_xlfn.XLOOKUP(C124,'LD-ELFA'!F:F,'LD-ELFA'!Q:Q)</f>
        <v>LISTA DE DOCUMENTOS</v>
      </c>
      <c r="G124" s="56" t="str">
        <f>_xlfn.XLOOKUP(C124,'Data Base'!D:D,'Data Base'!I:I)</f>
        <v>0013</v>
      </c>
      <c r="H124" s="56">
        <f>_xlfn.XLOOKUP(C124,'Data Base'!D:D,'Data Base'!K:K)</f>
        <v>46204.700379363429</v>
      </c>
      <c r="I124" s="57">
        <f t="shared" ca="1" si="1"/>
        <v>7.2996206365714897</v>
      </c>
      <c r="J124" s="57" t="str">
        <f>_xlfn.XLOOKUP(C124,'Data Base'!D:D,'Data Base'!O:O)</f>
        <v>Documento Concluído</v>
      </c>
    </row>
    <row r="125" spans="2:10" hidden="1" x14ac:dyDescent="0.25">
      <c r="B125" s="53" t="str">
        <f>_xlfn.XLOOKUP(C125,'Data Base'!D:D,'Data Base'!B:B)</f>
        <v>ED - Engenharia Digital</v>
      </c>
      <c r="C125" s="53" t="s">
        <v>130</v>
      </c>
      <c r="D125" s="53" t="str">
        <f>_xlfn.XLOOKUP(C125,'LD-ELFA'!F:F,'LD-ELFA'!H:H)</f>
        <v>ML-A1-1000-G-PB-4000</v>
      </c>
      <c r="E125" s="53">
        <f>_xlfn.XLOOKUP(C125,'Data Base'!D:D,'Data Base'!G:G)</f>
        <v>0</v>
      </c>
      <c r="F125" s="53" t="str">
        <f>_xlfn.XLOOKUP(C125,'LD-ELFA'!F:F,'LD-ELFA'!Q:Q)</f>
        <v>MODELO 3D</v>
      </c>
      <c r="G125" s="56" t="str">
        <f>_xlfn.XLOOKUP(C125,'Data Base'!D:D,'Data Base'!I:I)</f>
        <v/>
      </c>
      <c r="H125" s="56" t="str">
        <f>_xlfn.XLOOKUP(C125,'Data Base'!D:D,'Data Base'!K:K)</f>
        <v>Documento a emitir</v>
      </c>
      <c r="I125" s="57" t="str">
        <f t="shared" ca="1" si="1"/>
        <v>Documento a emitir</v>
      </c>
      <c r="J125" s="57" t="str">
        <f>_xlfn.XLOOKUP(C125,'Data Base'!D:D,'Data Base'!O:O)</f>
        <v>Blossom - Documento a emitir</v>
      </c>
    </row>
    <row r="126" spans="2:10" hidden="1" x14ac:dyDescent="0.25">
      <c r="B126" s="53" t="str">
        <f>_xlfn.XLOOKUP(C126,'Data Base'!D:D,'Data Base'!B:B)</f>
        <v>ED - Engenharia Digital</v>
      </c>
      <c r="C126" s="53" t="s">
        <v>131</v>
      </c>
      <c r="D126" s="53" t="str">
        <f>_xlfn.XLOOKUP(C126,'LD-ELFA'!F:F,'LD-ELFA'!H:H)</f>
        <v>RL-A1-1000-G-PB-4000</v>
      </c>
      <c r="E126" s="53">
        <f>_xlfn.XLOOKUP(C126,'Data Base'!D:D,'Data Base'!G:G)</f>
        <v>0</v>
      </c>
      <c r="F126" s="53" t="str">
        <f>_xlfn.XLOOKUP(C126,'LD-ELFA'!F:F,'LD-ELFA'!Q:Q)</f>
        <v>BEP</v>
      </c>
      <c r="G126" s="56" t="str">
        <f>_xlfn.XLOOKUP(C126,'Data Base'!D:D,'Data Base'!I:I)</f>
        <v>0001</v>
      </c>
      <c r="H126" s="56">
        <f>_xlfn.XLOOKUP(C126,'Data Base'!D:D,'Data Base'!K:K)</f>
        <v>46193.521099305559</v>
      </c>
      <c r="I126" s="57">
        <f t="shared" ca="1" si="1"/>
        <v>18.478900694441108</v>
      </c>
      <c r="J126" s="57" t="str">
        <f>_xlfn.XLOOKUP(C126,'Data Base'!D:D,'Data Base'!O:O)</f>
        <v>Blossom - Atendimento de Comentário</v>
      </c>
    </row>
    <row r="127" spans="2:10" hidden="1" x14ac:dyDescent="0.25">
      <c r="B127" s="53" t="str">
        <f>_xlfn.XLOOKUP(C127,'Data Base'!D:D,'Data Base'!B:B)</f>
        <v>ED - Engenharia Digital</v>
      </c>
      <c r="C127" s="53" t="s">
        <v>132</v>
      </c>
      <c r="D127" s="53" t="str">
        <f>_xlfn.XLOOKUP(C127,'LD-ELFA'!F:F,'LD-ELFA'!H:H)</f>
        <v>RL-A1-1000-G-PB-4001</v>
      </c>
      <c r="E127" s="53">
        <f>_xlfn.XLOOKUP(C127,'Data Base'!D:D,'Data Base'!G:G)</f>
        <v>0</v>
      </c>
      <c r="F127" s="53" t="str">
        <f>_xlfn.XLOOKUP(C127,'LD-ELFA'!F:F,'LD-ELFA'!Q:Q)</f>
        <v>RELATÓRIO DE INTERFERÊNCIAS</v>
      </c>
      <c r="G127" s="56" t="str">
        <f>_xlfn.XLOOKUP(C127,'Data Base'!D:D,'Data Base'!I:I)</f>
        <v/>
      </c>
      <c r="H127" s="56" t="str">
        <f>_xlfn.XLOOKUP(C127,'Data Base'!D:D,'Data Base'!K:K)</f>
        <v>Documento a emitir</v>
      </c>
      <c r="I127" s="57" t="str">
        <f t="shared" ca="1" si="1"/>
        <v>Documento a emitir</v>
      </c>
      <c r="J127" s="57" t="str">
        <f>_xlfn.XLOOKUP(C127,'Data Base'!D:D,'Data Base'!O:O)</f>
        <v>Blossom - Documento a emitir</v>
      </c>
    </row>
    <row r="128" spans="2:10" hidden="1" x14ac:dyDescent="0.25">
      <c r="B128" s="53" t="str">
        <f>_xlfn.XLOOKUP(C128,'Data Base'!D:D,'Data Base'!B:B)</f>
        <v>ED - Engenharia Digital</v>
      </c>
      <c r="C128" s="53" t="s">
        <v>133</v>
      </c>
      <c r="D128" s="53" t="str">
        <f>_xlfn.XLOOKUP(C128,'LD-ELFA'!F:F,'LD-ELFA'!H:H)</f>
        <v>RL-A1-1000-G-PB-4004</v>
      </c>
      <c r="E128" s="53">
        <f>_xlfn.XLOOKUP(C128,'Data Base'!D:D,'Data Base'!G:G)</f>
        <v>1</v>
      </c>
      <c r="F128" s="53" t="str">
        <f>_xlfn.XLOOKUP(C128,'LD-ELFA'!F:F,'LD-ELFA'!Q:Q)</f>
        <v>FICHA DE SETUP - 3D</v>
      </c>
      <c r="G128" s="56" t="str">
        <f>_xlfn.XLOOKUP(C128,'Data Base'!D:D,'Data Base'!I:I)</f>
        <v>0030</v>
      </c>
      <c r="H128" s="56">
        <f>_xlfn.XLOOKUP(C128,'Data Base'!D:D,'Data Base'!K:K)</f>
        <v>46212.676366701387</v>
      </c>
      <c r="I128" s="57">
        <f t="shared" ca="1" si="1"/>
        <v>0</v>
      </c>
      <c r="J128" s="57" t="str">
        <f>_xlfn.XLOOKUP(C128,'Data Base'!D:D,'Data Base'!O:O)</f>
        <v>Documento Concluído</v>
      </c>
    </row>
    <row r="129" spans="2:10" hidden="1" x14ac:dyDescent="0.25">
      <c r="B129" s="53" t="str">
        <f>_xlfn.XLOOKUP(C129,'Data Base'!D:D,'Data Base'!B:B)</f>
        <v>EL - Eletrica</v>
      </c>
      <c r="C129" s="53" t="s">
        <v>134</v>
      </c>
      <c r="D129" s="53" t="str">
        <f>_xlfn.XLOOKUP(C129,'LD-ELFA'!F:F,'LD-ELFA'!H:H)</f>
        <v>DE-A1-1900-E-PB-4000</v>
      </c>
      <c r="E129" s="53">
        <f>_xlfn.XLOOKUP(C129,'Data Base'!D:D,'Data Base'!G:G)</f>
        <v>0</v>
      </c>
      <c r="F129" s="53" t="str">
        <f>_xlfn.XLOOKUP(C129,'LD-ELFA'!F:F,'LD-ELFA'!Q:Q)</f>
        <v>DIAGRAMA UNIFILAR  GERAL SIMPLIFICADO</v>
      </c>
      <c r="G129" s="56" t="str">
        <f>_xlfn.XLOOKUP(C129,'Data Base'!D:D,'Data Base'!I:I)</f>
        <v>0006</v>
      </c>
      <c r="H129" s="56">
        <f>_xlfn.XLOOKUP(C129,'Data Base'!D:D,'Data Base'!K:K)</f>
        <v>46199.69948116898</v>
      </c>
      <c r="I129" s="57">
        <f t="shared" ca="1" si="1"/>
        <v>12.300518831019872</v>
      </c>
      <c r="J129" s="57" t="str">
        <f>_xlfn.XLOOKUP(C129,'Data Base'!D:D,'Data Base'!O:O)</f>
        <v>Blossom - Atendimento de Comentário</v>
      </c>
    </row>
    <row r="130" spans="2:10" x14ac:dyDescent="0.25">
      <c r="B130" s="53" t="str">
        <f>_xlfn.XLOOKUP(C130,'Data Base'!D:D,'Data Base'!B:B)</f>
        <v>EL - Eletrica</v>
      </c>
      <c r="C130" s="53" t="s">
        <v>135</v>
      </c>
      <c r="D130" s="53" t="str">
        <f>_xlfn.XLOOKUP(C130,'LD-ELFA'!F:F,'LD-ELFA'!H:H)</f>
        <v>DE-A1-1901-E-PB-4000</v>
      </c>
      <c r="E130" s="53">
        <f>_xlfn.XLOOKUP(C130,'Data Base'!D:D,'Data Base'!G:G)</f>
        <v>0</v>
      </c>
      <c r="F130" s="53" t="str">
        <f>_xlfn.XLOOKUP(C130,'LD-ELFA'!F:F,'LD-ELFA'!Q:Q)</f>
        <v>DIAGRAMA UNIFILAR SUBESTAÇÃO 1901-SE-001</v>
      </c>
      <c r="G130" s="56" t="str">
        <f>_xlfn.XLOOKUP(C130,'Data Base'!D:D,'Data Base'!I:I)</f>
        <v>0018</v>
      </c>
      <c r="H130" s="56">
        <f>_xlfn.XLOOKUP(C130,'Data Base'!D:D,'Data Base'!K:K)</f>
        <v>46209.706576273151</v>
      </c>
      <c r="I130" s="57">
        <f t="shared" ca="1" si="1"/>
        <v>2.2934237268491415</v>
      </c>
      <c r="J130" s="57" t="str">
        <f>_xlfn.XLOOKUP(C130,'Data Base'!D:D,'Data Base'!O:O)</f>
        <v>Cliente - Atendimento de Comentário</v>
      </c>
    </row>
    <row r="131" spans="2:10" hidden="1" x14ac:dyDescent="0.25">
      <c r="B131" s="53" t="str">
        <f>_xlfn.XLOOKUP(C131,'Data Base'!D:D,'Data Base'!B:B)</f>
        <v>EL - Eletrica</v>
      </c>
      <c r="C131" s="53" t="s">
        <v>136</v>
      </c>
      <c r="D131" s="53" t="str">
        <f>_xlfn.XLOOKUP(C131,'LD-ELFA'!F:F,'LD-ELFA'!H:H)</f>
        <v>DE-A1-1901-E-PB-4001</v>
      </c>
      <c r="E131" s="53">
        <f>_xlfn.XLOOKUP(C131,'Data Base'!D:D,'Data Base'!G:G)</f>
        <v>0</v>
      </c>
      <c r="F131" s="53" t="str">
        <f>_xlfn.XLOOKUP(C131,'LD-ELFA'!F:F,'LD-ELFA'!Q:Q)</f>
        <v>DIAGRAMA UNIFILAR SUBESTAÇÃO 1901-SE-001</v>
      </c>
      <c r="G131" s="56" t="str">
        <f>_xlfn.XLOOKUP(C131,'Data Base'!D:D,'Data Base'!I:I)</f>
        <v>0029</v>
      </c>
      <c r="H131" s="56">
        <f>_xlfn.XLOOKUP(C131,'Data Base'!D:D,'Data Base'!K:K)</f>
        <v>46212.676169131948</v>
      </c>
      <c r="I131" s="57">
        <f t="shared" ref="I131:I194" ca="1" si="2">IF(G131="",H131,IF((TODAY()-H131)&lt;5,0,((TODAY()-H131)-5)))</f>
        <v>0</v>
      </c>
      <c r="J131" s="57" t="str">
        <f>_xlfn.XLOOKUP(C131,'Data Base'!D:D,'Data Base'!O:O)</f>
        <v>Blossom - Atendimento de Comentário</v>
      </c>
    </row>
    <row r="132" spans="2:10" hidden="1" x14ac:dyDescent="0.25">
      <c r="B132" s="53" t="str">
        <f>_xlfn.XLOOKUP(C132,'Data Base'!D:D,'Data Base'!B:B)</f>
        <v>EL - Eletrica</v>
      </c>
      <c r="C132" s="53" t="s">
        <v>137</v>
      </c>
      <c r="D132" s="53" t="str">
        <f>_xlfn.XLOOKUP(C132,'LD-ELFA'!F:F,'LD-ELFA'!H:H)</f>
        <v>DE-A1-1911-E-PB-4000</v>
      </c>
      <c r="E132" s="53">
        <f>_xlfn.XLOOKUP(C132,'Data Base'!D:D,'Data Base'!G:G)</f>
        <v>0</v>
      </c>
      <c r="F132" s="53" t="str">
        <f>_xlfn.XLOOKUP(C132,'LD-ELFA'!F:F,'LD-ELFA'!Q:Q)</f>
        <v>DIAGRAMA UNIFILAR SUBESTAÇÃO 1911-SE-001</v>
      </c>
      <c r="G132" s="56" t="str">
        <f>_xlfn.XLOOKUP(C132,'Data Base'!D:D,'Data Base'!I:I)</f>
        <v/>
      </c>
      <c r="H132" s="56" t="str">
        <f>_xlfn.XLOOKUP(C132,'Data Base'!D:D,'Data Base'!K:K)</f>
        <v>Documento a emitir</v>
      </c>
      <c r="I132" s="57" t="str">
        <f t="shared" ca="1" si="2"/>
        <v>Documento a emitir</v>
      </c>
      <c r="J132" s="57" t="str">
        <f>_xlfn.XLOOKUP(C132,'Data Base'!D:D,'Data Base'!O:O)</f>
        <v>Blossom - Documento a emitir</v>
      </c>
    </row>
    <row r="133" spans="2:10" hidden="1" x14ac:dyDescent="0.25">
      <c r="B133" s="53" t="str">
        <f>_xlfn.XLOOKUP(C133,'Data Base'!D:D,'Data Base'!B:B)</f>
        <v>EL - Eletrica</v>
      </c>
      <c r="C133" s="53" t="s">
        <v>138</v>
      </c>
      <c r="D133" s="53" t="str">
        <f>_xlfn.XLOOKUP(C133,'LD-ELFA'!F:F,'LD-ELFA'!H:H)</f>
        <v>DE-A1-1911-E-PB-4001</v>
      </c>
      <c r="E133" s="53">
        <f>_xlfn.XLOOKUP(C133,'Data Base'!D:D,'Data Base'!G:G)</f>
        <v>0</v>
      </c>
      <c r="F133" s="53" t="str">
        <f>_xlfn.XLOOKUP(C133,'LD-ELFA'!F:F,'LD-ELFA'!Q:Q)</f>
        <v>DIAGRAMA UNIFILAR SUBESTAÇÃO 1911-SE-001</v>
      </c>
      <c r="G133" s="56" t="str">
        <f>_xlfn.XLOOKUP(C133,'Data Base'!D:D,'Data Base'!I:I)</f>
        <v/>
      </c>
      <c r="H133" s="56" t="str">
        <f>_xlfn.XLOOKUP(C133,'Data Base'!D:D,'Data Base'!K:K)</f>
        <v>Documento a emitir</v>
      </c>
      <c r="I133" s="57" t="str">
        <f t="shared" ca="1" si="2"/>
        <v>Documento a emitir</v>
      </c>
      <c r="J133" s="57" t="str">
        <f>_xlfn.XLOOKUP(C133,'Data Base'!D:D,'Data Base'!O:O)</f>
        <v>Blossom - Documento a emitir</v>
      </c>
    </row>
    <row r="134" spans="2:10" hidden="1" x14ac:dyDescent="0.25">
      <c r="B134" s="53" t="str">
        <f>_xlfn.XLOOKUP(C134,'Data Base'!D:D,'Data Base'!B:B)</f>
        <v>EL - Eletrica</v>
      </c>
      <c r="C134" s="53" t="s">
        <v>139</v>
      </c>
      <c r="D134" s="53" t="str">
        <f>_xlfn.XLOOKUP(C134,'LD-ELFA'!F:F,'LD-ELFA'!H:H)</f>
        <v>DE-A1-1911-E-PB-4002</v>
      </c>
      <c r="E134" s="53">
        <f>_xlfn.XLOOKUP(C134,'Data Base'!D:D,'Data Base'!G:G)</f>
        <v>0</v>
      </c>
      <c r="F134" s="53" t="str">
        <f>_xlfn.XLOOKUP(C134,'LD-ELFA'!F:F,'LD-ELFA'!Q:Q)</f>
        <v>DIAGRAMA UNIFILAR SUBESTAÇÃO 1911-SE-001</v>
      </c>
      <c r="G134" s="56" t="str">
        <f>_xlfn.XLOOKUP(C134,'Data Base'!D:D,'Data Base'!I:I)</f>
        <v/>
      </c>
      <c r="H134" s="56" t="str">
        <f>_xlfn.XLOOKUP(C134,'Data Base'!D:D,'Data Base'!K:K)</f>
        <v>Documento a emitir</v>
      </c>
      <c r="I134" s="57" t="str">
        <f t="shared" ca="1" si="2"/>
        <v>Documento a emitir</v>
      </c>
      <c r="J134" s="57" t="str">
        <f>_xlfn.XLOOKUP(C134,'Data Base'!D:D,'Data Base'!O:O)</f>
        <v>Blossom - Documento a emitir</v>
      </c>
    </row>
    <row r="135" spans="2:10" hidden="1" x14ac:dyDescent="0.25">
      <c r="B135" s="53" t="str">
        <f>_xlfn.XLOOKUP(C135,'Data Base'!D:D,'Data Base'!B:B)</f>
        <v>EL - Eletrica</v>
      </c>
      <c r="C135" s="53" t="s">
        <v>140</v>
      </c>
      <c r="D135" s="53" t="str">
        <f>_xlfn.XLOOKUP(C135,'LD-ELFA'!F:F,'LD-ELFA'!H:H)</f>
        <v>DE-A1-1912-E-PB-4000</v>
      </c>
      <c r="E135" s="53">
        <f>_xlfn.XLOOKUP(C135,'Data Base'!D:D,'Data Base'!G:G)</f>
        <v>0</v>
      </c>
      <c r="F135" s="53" t="str">
        <f>_xlfn.XLOOKUP(C135,'LD-ELFA'!F:F,'LD-ELFA'!Q:Q)</f>
        <v>DIAGRAMA UNIFILAR SUBESTAÇÃO 1912-SE-001</v>
      </c>
      <c r="G135" s="56" t="str">
        <f>_xlfn.XLOOKUP(C135,'Data Base'!D:D,'Data Base'!I:I)</f>
        <v/>
      </c>
      <c r="H135" s="56" t="str">
        <f>_xlfn.XLOOKUP(C135,'Data Base'!D:D,'Data Base'!K:K)</f>
        <v>Documento a emitir</v>
      </c>
      <c r="I135" s="57" t="str">
        <f t="shared" ca="1" si="2"/>
        <v>Documento a emitir</v>
      </c>
      <c r="J135" s="57" t="str">
        <f>_xlfn.XLOOKUP(C135,'Data Base'!D:D,'Data Base'!O:O)</f>
        <v>Blossom - Documento a emitir</v>
      </c>
    </row>
    <row r="136" spans="2:10" hidden="1" x14ac:dyDescent="0.25">
      <c r="B136" s="53" t="str">
        <f>_xlfn.XLOOKUP(C136,'Data Base'!D:D,'Data Base'!B:B)</f>
        <v>EL - Eletrica</v>
      </c>
      <c r="C136" s="53" t="s">
        <v>141</v>
      </c>
      <c r="D136" s="53" t="str">
        <f>_xlfn.XLOOKUP(C136,'LD-ELFA'!F:F,'LD-ELFA'!H:H)</f>
        <v>DE-A1-1912-E-PB-4001</v>
      </c>
      <c r="E136" s="53">
        <f>_xlfn.XLOOKUP(C136,'Data Base'!D:D,'Data Base'!G:G)</f>
        <v>0</v>
      </c>
      <c r="F136" s="53" t="str">
        <f>_xlfn.XLOOKUP(C136,'LD-ELFA'!F:F,'LD-ELFA'!Q:Q)</f>
        <v>DIAGRAMA UNIFILAR SUBESTAÇÃO 1912-SE-001</v>
      </c>
      <c r="G136" s="56" t="str">
        <f>_xlfn.XLOOKUP(C136,'Data Base'!D:D,'Data Base'!I:I)</f>
        <v/>
      </c>
      <c r="H136" s="56" t="str">
        <f>_xlfn.XLOOKUP(C136,'Data Base'!D:D,'Data Base'!K:K)</f>
        <v>Documento a emitir</v>
      </c>
      <c r="I136" s="57" t="str">
        <f t="shared" ca="1" si="2"/>
        <v>Documento a emitir</v>
      </c>
      <c r="J136" s="57" t="str">
        <f>_xlfn.XLOOKUP(C136,'Data Base'!D:D,'Data Base'!O:O)</f>
        <v>Blossom - Documento a emitir</v>
      </c>
    </row>
    <row r="137" spans="2:10" hidden="1" x14ac:dyDescent="0.25">
      <c r="B137" s="53" t="str">
        <f>_xlfn.XLOOKUP(C137,'Data Base'!D:D,'Data Base'!B:B)</f>
        <v>EL - Eletrica</v>
      </c>
      <c r="C137" s="53" t="s">
        <v>142</v>
      </c>
      <c r="D137" s="53" t="str">
        <f>_xlfn.XLOOKUP(C137,'LD-ELFA'!F:F,'LD-ELFA'!H:H)</f>
        <v>DE-A1-1912-E-PB-4002</v>
      </c>
      <c r="E137" s="53">
        <f>_xlfn.XLOOKUP(C137,'Data Base'!D:D,'Data Base'!G:G)</f>
        <v>0</v>
      </c>
      <c r="F137" s="53" t="str">
        <f>_xlfn.XLOOKUP(C137,'LD-ELFA'!F:F,'LD-ELFA'!Q:Q)</f>
        <v>DIAGRAMA UNIFILAR SUBESTAÇÃO 1912-SE-001</v>
      </c>
      <c r="G137" s="56" t="str">
        <f>_xlfn.XLOOKUP(C137,'Data Base'!D:D,'Data Base'!I:I)</f>
        <v/>
      </c>
      <c r="H137" s="56" t="str">
        <f>_xlfn.XLOOKUP(C137,'Data Base'!D:D,'Data Base'!K:K)</f>
        <v>Documento a emitir</v>
      </c>
      <c r="I137" s="57" t="str">
        <f t="shared" ca="1" si="2"/>
        <v>Documento a emitir</v>
      </c>
      <c r="J137" s="57" t="str">
        <f>_xlfn.XLOOKUP(C137,'Data Base'!D:D,'Data Base'!O:O)</f>
        <v>Blossom - Documento a emitir</v>
      </c>
    </row>
    <row r="138" spans="2:10" hidden="1" x14ac:dyDescent="0.25">
      <c r="B138" s="53" t="str">
        <f>_xlfn.XLOOKUP(C138,'Data Base'!D:D,'Data Base'!B:B)</f>
        <v>EL - Eletrica</v>
      </c>
      <c r="C138" s="53" t="s">
        <v>143</v>
      </c>
      <c r="D138" s="53" t="str">
        <f>_xlfn.XLOOKUP(C138,'LD-ELFA'!F:F,'LD-ELFA'!H:H)</f>
        <v>DE-A1-1913-E-PB-4000</v>
      </c>
      <c r="E138" s="53">
        <f>_xlfn.XLOOKUP(C138,'Data Base'!D:D,'Data Base'!G:G)</f>
        <v>0</v>
      </c>
      <c r="F138" s="53" t="str">
        <f>_xlfn.XLOOKUP(C138,'LD-ELFA'!F:F,'LD-ELFA'!Q:Q)</f>
        <v>DIAGRAMA UNIFILAR SUBESTAÇÃO 1913-SE-001</v>
      </c>
      <c r="G138" s="56" t="str">
        <f>_xlfn.XLOOKUP(C138,'Data Base'!D:D,'Data Base'!I:I)</f>
        <v/>
      </c>
      <c r="H138" s="56" t="str">
        <f>_xlfn.XLOOKUP(C138,'Data Base'!D:D,'Data Base'!K:K)</f>
        <v>Documento a emitir</v>
      </c>
      <c r="I138" s="57" t="str">
        <f t="shared" ca="1" si="2"/>
        <v>Documento a emitir</v>
      </c>
      <c r="J138" s="57" t="str">
        <f>_xlfn.XLOOKUP(C138,'Data Base'!D:D,'Data Base'!O:O)</f>
        <v>Blossom - Documento a emitir</v>
      </c>
    </row>
    <row r="139" spans="2:10" hidden="1" x14ac:dyDescent="0.25">
      <c r="B139" s="53" t="str">
        <f>_xlfn.XLOOKUP(C139,'Data Base'!D:D,'Data Base'!B:B)</f>
        <v>EL - Eletrica</v>
      </c>
      <c r="C139" s="53" t="s">
        <v>144</v>
      </c>
      <c r="D139" s="53" t="str">
        <f>_xlfn.XLOOKUP(C139,'LD-ELFA'!F:F,'LD-ELFA'!H:H)</f>
        <v>DE-A1-1913-E-PB-4001</v>
      </c>
      <c r="E139" s="53">
        <f>_xlfn.XLOOKUP(C139,'Data Base'!D:D,'Data Base'!G:G)</f>
        <v>0</v>
      </c>
      <c r="F139" s="53" t="str">
        <f>_xlfn.XLOOKUP(C139,'LD-ELFA'!F:F,'LD-ELFA'!Q:Q)</f>
        <v>DIAGRAMA UNIFILAR SUBESTAÇÃO 1913-SE-001</v>
      </c>
      <c r="G139" s="56" t="str">
        <f>_xlfn.XLOOKUP(C139,'Data Base'!D:D,'Data Base'!I:I)</f>
        <v/>
      </c>
      <c r="H139" s="56" t="str">
        <f>_xlfn.XLOOKUP(C139,'Data Base'!D:D,'Data Base'!K:K)</f>
        <v>Documento a emitir</v>
      </c>
      <c r="I139" s="57" t="str">
        <f t="shared" ca="1" si="2"/>
        <v>Documento a emitir</v>
      </c>
      <c r="J139" s="57" t="str">
        <f>_xlfn.XLOOKUP(C139,'Data Base'!D:D,'Data Base'!O:O)</f>
        <v>Blossom - Documento a emitir</v>
      </c>
    </row>
    <row r="140" spans="2:10" hidden="1" x14ac:dyDescent="0.25">
      <c r="B140" s="53" t="str">
        <f>_xlfn.XLOOKUP(C140,'Data Base'!D:D,'Data Base'!B:B)</f>
        <v>EL - Eletrica</v>
      </c>
      <c r="C140" s="53" t="s">
        <v>145</v>
      </c>
      <c r="D140" s="53" t="str">
        <f>_xlfn.XLOOKUP(C140,'LD-ELFA'!F:F,'LD-ELFA'!H:H)</f>
        <v>DE-A1-1913-E-PB-4002</v>
      </c>
      <c r="E140" s="53">
        <f>_xlfn.XLOOKUP(C140,'Data Base'!D:D,'Data Base'!G:G)</f>
        <v>0</v>
      </c>
      <c r="F140" s="53" t="str">
        <f>_xlfn.XLOOKUP(C140,'LD-ELFA'!F:F,'LD-ELFA'!Q:Q)</f>
        <v>DIAGRAMA UNIFILAR SUBESTAÇÃO 1913-SE-001</v>
      </c>
      <c r="G140" s="56" t="str">
        <f>_xlfn.XLOOKUP(C140,'Data Base'!D:D,'Data Base'!I:I)</f>
        <v/>
      </c>
      <c r="H140" s="56" t="str">
        <f>_xlfn.XLOOKUP(C140,'Data Base'!D:D,'Data Base'!K:K)</f>
        <v>Documento a emitir</v>
      </c>
      <c r="I140" s="57" t="str">
        <f t="shared" ca="1" si="2"/>
        <v>Documento a emitir</v>
      </c>
      <c r="J140" s="57" t="str">
        <f>_xlfn.XLOOKUP(C140,'Data Base'!D:D,'Data Base'!O:O)</f>
        <v>Blossom - Documento a emitir</v>
      </c>
    </row>
    <row r="141" spans="2:10" hidden="1" x14ac:dyDescent="0.25">
      <c r="B141" s="53" t="e">
        <f>_xlfn.XLOOKUP(C141,'Data Base'!D:D,'Data Base'!B:B)</f>
        <v>#N/A</v>
      </c>
      <c r="C141" s="53" t="s">
        <v>146</v>
      </c>
      <c r="D141" s="53" t="e">
        <f>_xlfn.XLOOKUP(C141,'LD-ELFA'!F:F,'LD-ELFA'!H:H)</f>
        <v>#N/A</v>
      </c>
      <c r="E141" s="53" t="e">
        <f>_xlfn.XLOOKUP(C141,'Data Base'!D:D,'Data Base'!G:G)</f>
        <v>#N/A</v>
      </c>
      <c r="F141" s="53" t="e">
        <f>_xlfn.XLOOKUP(C141,'LD-ELFA'!F:F,'LD-ELFA'!Q:Q)</f>
        <v>#N/A</v>
      </c>
      <c r="G141" s="56" t="e">
        <f>_xlfn.XLOOKUP(C141,'Data Base'!D:D,'Data Base'!I:I)</f>
        <v>#N/A</v>
      </c>
      <c r="H141" s="56" t="e">
        <f>_xlfn.XLOOKUP(C141,'Data Base'!D:D,'Data Base'!K:K)</f>
        <v>#N/A</v>
      </c>
      <c r="I141" s="57" t="e">
        <f t="shared" ca="1" si="2"/>
        <v>#N/A</v>
      </c>
      <c r="J141" s="57" t="str">
        <f>_xlfn.XLOOKUP(C141,'Data Base'!D:D,'Data Base'!O:O)</f>
        <v>Documento Removido</v>
      </c>
    </row>
    <row r="142" spans="2:10" hidden="1" x14ac:dyDescent="0.25">
      <c r="B142" s="53" t="str">
        <f>_xlfn.XLOOKUP(C142,'Data Base'!D:D,'Data Base'!B:B)</f>
        <v>EL - Eletrica</v>
      </c>
      <c r="C142" s="53" t="s">
        <v>147</v>
      </c>
      <c r="D142" s="53" t="str">
        <f>_xlfn.XLOOKUP(C142,'LD-ELFA'!F:F,'LD-ELFA'!H:H)</f>
        <v>RL-A1-1900-E-PB-4000</v>
      </c>
      <c r="E142" s="53">
        <f>_xlfn.XLOOKUP(C142,'Data Base'!D:D,'Data Base'!G:G)</f>
        <v>0</v>
      </c>
      <c r="F142" s="53" t="str">
        <f>_xlfn.XLOOKUP(C142,'LD-ELFA'!F:F,'LD-ELFA'!Q:Q)</f>
        <v>ESTUDO DE CARGAS E DEMANDA
RELATÓRIO TÉCNICO</v>
      </c>
      <c r="G142" s="56" t="str">
        <f>_xlfn.XLOOKUP(C142,'Data Base'!D:D,'Data Base'!I:I)</f>
        <v>0003</v>
      </c>
      <c r="H142" s="56">
        <f>_xlfn.XLOOKUP(C142,'Data Base'!D:D,'Data Base'!K:K)</f>
        <v>46193.521463460653</v>
      </c>
      <c r="I142" s="57">
        <f t="shared" ca="1" si="2"/>
        <v>18.47853653934726</v>
      </c>
      <c r="J142" s="57" t="str">
        <f>_xlfn.XLOOKUP(C142,'Data Base'!D:D,'Data Base'!O:O)</f>
        <v>Blossom - Atendimento de Comentário</v>
      </c>
    </row>
    <row r="143" spans="2:10" hidden="1" x14ac:dyDescent="0.25">
      <c r="B143" s="53" t="str">
        <f>_xlfn.XLOOKUP(C143,'Data Base'!D:D,'Data Base'!B:B)</f>
        <v>EL - Eletrica</v>
      </c>
      <c r="C143" s="53" t="s">
        <v>148</v>
      </c>
      <c r="D143" s="53" t="str">
        <f>_xlfn.XLOOKUP(C143,'LD-ELFA'!F:F,'LD-ELFA'!H:H)</f>
        <v>RL-A1-1100-E-PB-4000</v>
      </c>
      <c r="E143" s="53">
        <f>_xlfn.XLOOKUP(C143,'Data Base'!D:D,'Data Base'!G:G)</f>
        <v>0</v>
      </c>
      <c r="F143" s="53" t="str">
        <f>_xlfn.XLOOKUP(C143,'LD-ELFA'!F:F,'LD-ELFA'!Q:Q)</f>
        <v>ESTUDO DE CARGAS E DEMANDA
RELATÓRIO TÉCNICO</v>
      </c>
      <c r="G143" s="56" t="str">
        <f>_xlfn.XLOOKUP(C143,'Data Base'!D:D,'Data Base'!I:I)</f>
        <v/>
      </c>
      <c r="H143" s="56" t="str">
        <f>_xlfn.XLOOKUP(C143,'Data Base'!D:D,'Data Base'!K:K)</f>
        <v>Documento a emitir</v>
      </c>
      <c r="I143" s="57" t="str">
        <f t="shared" ca="1" si="2"/>
        <v>Documento a emitir</v>
      </c>
      <c r="J143" s="57" t="str">
        <f>_xlfn.XLOOKUP(C143,'Data Base'!D:D,'Data Base'!O:O)</f>
        <v>Blossom - Documento a emitir</v>
      </c>
    </row>
    <row r="144" spans="2:10" hidden="1" x14ac:dyDescent="0.25">
      <c r="B144" s="53" t="str">
        <f>_xlfn.XLOOKUP(C144,'Data Base'!D:D,'Data Base'!B:B)</f>
        <v>EL - Eletrica</v>
      </c>
      <c r="C144" s="53" t="s">
        <v>149</v>
      </c>
      <c r="D144" s="53" t="str">
        <f>_xlfn.XLOOKUP(C144,'LD-ELFA'!F:F,'LD-ELFA'!H:H)</f>
        <v>ET-A1-1900-E-PB-0001</v>
      </c>
      <c r="E144" s="53">
        <f>_xlfn.XLOOKUP(C144,'Data Base'!D:D,'Data Base'!G:G)</f>
        <v>0</v>
      </c>
      <c r="F144" s="53" t="str">
        <f>_xlfn.XLOOKUP(C144,'LD-ELFA'!F:F,'LD-ELFA'!Q:Q)</f>
        <v>ESPECIFICAÇÃO TÉCNICA
FORNECIMENTO TURN KEY DA SUBESTAÇÃO PRINCIPAL 
1901-SE-01</v>
      </c>
      <c r="G144" s="56" t="str">
        <f>_xlfn.XLOOKUP(C144,'Data Base'!D:D,'Data Base'!I:I)</f>
        <v/>
      </c>
      <c r="H144" s="56" t="str">
        <f>_xlfn.XLOOKUP(C144,'Data Base'!D:D,'Data Base'!K:K)</f>
        <v>Documento a emitir</v>
      </c>
      <c r="I144" s="57" t="str">
        <f t="shared" ca="1" si="2"/>
        <v>Documento a emitir</v>
      </c>
      <c r="J144" s="57" t="str">
        <f>_xlfn.XLOOKUP(C144,'Data Base'!D:D,'Data Base'!O:O)</f>
        <v>Blossom - Documento a emitir</v>
      </c>
    </row>
    <row r="145" spans="2:10" hidden="1" x14ac:dyDescent="0.25">
      <c r="B145" s="53" t="str">
        <f>_xlfn.XLOOKUP(C145,'Data Base'!D:D,'Data Base'!B:B)</f>
        <v>EL - Eletrica</v>
      </c>
      <c r="C145" s="53" t="s">
        <v>150</v>
      </c>
      <c r="D145" s="53" t="str">
        <f>_xlfn.XLOOKUP(C145,'LD-ELFA'!F:F,'LD-ELFA'!H:H)</f>
        <v>ET-A1-1903-E-PB-0001</v>
      </c>
      <c r="E145" s="53">
        <f>_xlfn.XLOOKUP(C145,'Data Base'!D:D,'Data Base'!G:G)</f>
        <v>0</v>
      </c>
      <c r="F145" s="53" t="str">
        <f>_xlfn.XLOOKUP(C145,'LD-ELFA'!F:F,'LD-ELFA'!Q:Q)</f>
        <v>ESPECIFICAÇÃO TÉCNICA
FORNECIMENTO TURN KEY DE LINHAS DE DISTRIBUIÇÃO PROTEGIDAS DE 13,8 kV</v>
      </c>
      <c r="G145" s="56" t="str">
        <f>_xlfn.XLOOKUP(C145,'Data Base'!D:D,'Data Base'!I:I)</f>
        <v/>
      </c>
      <c r="H145" s="56" t="str">
        <f>_xlfn.XLOOKUP(C145,'Data Base'!D:D,'Data Base'!K:K)</f>
        <v>Documento a emitir</v>
      </c>
      <c r="I145" s="57" t="str">
        <f t="shared" ca="1" si="2"/>
        <v>Documento a emitir</v>
      </c>
      <c r="J145" s="57" t="str">
        <f>_xlfn.XLOOKUP(C145,'Data Base'!D:D,'Data Base'!O:O)</f>
        <v>Blossom - Documento a emitir</v>
      </c>
    </row>
    <row r="146" spans="2:10" hidden="1" x14ac:dyDescent="0.25">
      <c r="B146" s="53" t="str">
        <f>_xlfn.XLOOKUP(C146,'Data Base'!D:D,'Data Base'!B:B)</f>
        <v>EL - Eletrica</v>
      </c>
      <c r="C146" s="53" t="s">
        <v>151</v>
      </c>
      <c r="D146" s="53" t="str">
        <f>_xlfn.XLOOKUP(C146,'LD-ELFA'!F:F,'LD-ELFA'!H:H)</f>
        <v>FD-A1-1911-E-PB-0006</v>
      </c>
      <c r="E146" s="53">
        <f>_xlfn.XLOOKUP(C146,'Data Base'!D:D,'Data Base'!G:G)</f>
        <v>0</v>
      </c>
      <c r="F146" s="53" t="str">
        <f>_xlfn.XLOOKUP(C146,'LD-ELFA'!F:F,'LD-ELFA'!Q:Q)</f>
        <v>FOLHA DE DADOS</v>
      </c>
      <c r="G146" s="56" t="str">
        <f>_xlfn.XLOOKUP(C146,'Data Base'!D:D,'Data Base'!I:I)</f>
        <v/>
      </c>
      <c r="H146" s="56" t="str">
        <f>_xlfn.XLOOKUP(C146,'Data Base'!D:D,'Data Base'!K:K)</f>
        <v>Documento a emitir</v>
      </c>
      <c r="I146" s="57" t="str">
        <f t="shared" ca="1" si="2"/>
        <v>Documento a emitir</v>
      </c>
      <c r="J146" s="57" t="str">
        <f>_xlfn.XLOOKUP(C146,'Data Base'!D:D,'Data Base'!O:O)</f>
        <v>Blossom - Documento a emitir</v>
      </c>
    </row>
    <row r="147" spans="2:10" hidden="1" x14ac:dyDescent="0.25">
      <c r="B147" s="53" t="str">
        <f>_xlfn.XLOOKUP(C147,'Data Base'!D:D,'Data Base'!B:B)</f>
        <v>EL - Eletrica</v>
      </c>
      <c r="C147" s="53" t="s">
        <v>152</v>
      </c>
      <c r="D147" s="53" t="str">
        <f>_xlfn.XLOOKUP(C147,'LD-ELFA'!F:F,'LD-ELFA'!H:H)</f>
        <v>FD-A1-1911-E-PB-0005</v>
      </c>
      <c r="E147" s="53">
        <f>_xlfn.XLOOKUP(C147,'Data Base'!D:D,'Data Base'!G:G)</f>
        <v>0</v>
      </c>
      <c r="F147" s="53" t="str">
        <f>_xlfn.XLOOKUP(C147,'LD-ELFA'!F:F,'LD-ELFA'!Q:Q)</f>
        <v>FOLHA DE DADOS</v>
      </c>
      <c r="G147" s="56" t="str">
        <f>_xlfn.XLOOKUP(C147,'Data Base'!D:D,'Data Base'!I:I)</f>
        <v>0029</v>
      </c>
      <c r="H147" s="56">
        <f>_xlfn.XLOOKUP(C147,'Data Base'!D:D,'Data Base'!K:K)</f>
        <v>46212.676171412037</v>
      </c>
      <c r="I147" s="57">
        <f t="shared" ca="1" si="2"/>
        <v>0</v>
      </c>
      <c r="J147" s="57" t="str">
        <f>_xlfn.XLOOKUP(C147,'Data Base'!D:D,'Data Base'!O:O)</f>
        <v>Documento Concluído</v>
      </c>
    </row>
    <row r="148" spans="2:10" hidden="1" x14ac:dyDescent="0.25">
      <c r="B148" s="53" t="str">
        <f>_xlfn.XLOOKUP(C148,'Data Base'!D:D,'Data Base'!B:B)</f>
        <v>EL - Eletrica</v>
      </c>
      <c r="C148" s="53" t="s">
        <v>153</v>
      </c>
      <c r="D148" s="53" t="str">
        <f>_xlfn.XLOOKUP(C148,'LD-ELFA'!F:F,'LD-ELFA'!H:H)</f>
        <v>FD-A1-1900-E-PB-0007</v>
      </c>
      <c r="E148" s="53">
        <f>_xlfn.XLOOKUP(C148,'Data Base'!D:D,'Data Base'!G:G)</f>
        <v>0</v>
      </c>
      <c r="F148" s="53" t="str">
        <f>_xlfn.XLOOKUP(C148,'LD-ELFA'!F:F,'LD-ELFA'!Q:Q)</f>
        <v>FOLHA DE DADOS</v>
      </c>
      <c r="G148" s="56" t="str">
        <f>_xlfn.XLOOKUP(C148,'Data Base'!D:D,'Data Base'!I:I)</f>
        <v/>
      </c>
      <c r="H148" s="56" t="str">
        <f>_xlfn.XLOOKUP(C148,'Data Base'!D:D,'Data Base'!K:K)</f>
        <v>Documento a emitir</v>
      </c>
      <c r="I148" s="57" t="str">
        <f t="shared" ca="1" si="2"/>
        <v>Documento a emitir</v>
      </c>
      <c r="J148" s="57" t="str">
        <f>_xlfn.XLOOKUP(C148,'Data Base'!D:D,'Data Base'!O:O)</f>
        <v>Blossom - Documento a emitir</v>
      </c>
    </row>
    <row r="149" spans="2:10" hidden="1" x14ac:dyDescent="0.25">
      <c r="B149" s="53" t="str">
        <f>_xlfn.XLOOKUP(C149,'Data Base'!D:D,'Data Base'!B:B)</f>
        <v>EL - Eletrica</v>
      </c>
      <c r="C149" s="53" t="s">
        <v>154</v>
      </c>
      <c r="D149" s="53" t="str">
        <f>_xlfn.XLOOKUP(C149,'LD-ELFA'!F:F,'LD-ELFA'!H:H)</f>
        <v>FD-A1-1900-E-PB-0001</v>
      </c>
      <c r="E149" s="53">
        <f>_xlfn.XLOOKUP(C149,'Data Base'!D:D,'Data Base'!G:G)</f>
        <v>0</v>
      </c>
      <c r="F149" s="53" t="str">
        <f>_xlfn.XLOOKUP(C149,'LD-ELFA'!F:F,'LD-ELFA'!Q:Q)</f>
        <v>FOLHA DE DADOS</v>
      </c>
      <c r="G149" s="56" t="str">
        <f>_xlfn.XLOOKUP(C149,'Data Base'!D:D,'Data Base'!I:I)</f>
        <v/>
      </c>
      <c r="H149" s="56" t="str">
        <f>_xlfn.XLOOKUP(C149,'Data Base'!D:D,'Data Base'!K:K)</f>
        <v>Documento a emitir</v>
      </c>
      <c r="I149" s="57" t="str">
        <f t="shared" ca="1" si="2"/>
        <v>Documento a emitir</v>
      </c>
      <c r="J149" s="57" t="str">
        <f>_xlfn.XLOOKUP(C149,'Data Base'!D:D,'Data Base'!O:O)</f>
        <v>Blossom - Documento a emitir</v>
      </c>
    </row>
    <row r="150" spans="2:10" hidden="1" x14ac:dyDescent="0.25">
      <c r="B150" s="53" t="str">
        <f>_xlfn.XLOOKUP(C150,'Data Base'!D:D,'Data Base'!B:B)</f>
        <v>EL - Eletrica</v>
      </c>
      <c r="C150" s="53" t="s">
        <v>155</v>
      </c>
      <c r="D150" s="53" t="str">
        <f>_xlfn.XLOOKUP(C150,'LD-ELFA'!F:F,'LD-ELFA'!H:H)</f>
        <v>FD-A1-1911-E-PB-0004</v>
      </c>
      <c r="E150" s="53">
        <f>_xlfn.XLOOKUP(C150,'Data Base'!D:D,'Data Base'!G:G)</f>
        <v>0</v>
      </c>
      <c r="F150" s="53" t="str">
        <f>_xlfn.XLOOKUP(C150,'LD-ELFA'!F:F,'LD-ELFA'!Q:Q)</f>
        <v>FOLHA DE DADOS</v>
      </c>
      <c r="G150" s="56" t="str">
        <f>_xlfn.XLOOKUP(C150,'Data Base'!D:D,'Data Base'!I:I)</f>
        <v/>
      </c>
      <c r="H150" s="56" t="str">
        <f>_xlfn.XLOOKUP(C150,'Data Base'!D:D,'Data Base'!K:K)</f>
        <v>Documento a emitir</v>
      </c>
      <c r="I150" s="57" t="str">
        <f t="shared" ca="1" si="2"/>
        <v>Documento a emitir</v>
      </c>
      <c r="J150" s="57" t="str">
        <f>_xlfn.XLOOKUP(C150,'Data Base'!D:D,'Data Base'!O:O)</f>
        <v>Blossom - Documento a emitir</v>
      </c>
    </row>
    <row r="151" spans="2:10" hidden="1" x14ac:dyDescent="0.25">
      <c r="B151" s="53" t="str">
        <f>_xlfn.XLOOKUP(C151,'Data Base'!D:D,'Data Base'!B:B)</f>
        <v>EL - Eletrica</v>
      </c>
      <c r="C151" s="53" t="s">
        <v>156</v>
      </c>
      <c r="D151" s="53" t="str">
        <f>_xlfn.XLOOKUP(C151,'LD-ELFA'!F:F,'LD-ELFA'!H:H)</f>
        <v>FD-A1-1900-E-PB-0008</v>
      </c>
      <c r="E151" s="53">
        <f>_xlfn.XLOOKUP(C151,'Data Base'!D:D,'Data Base'!G:G)</f>
        <v>0</v>
      </c>
      <c r="F151" s="53" t="str">
        <f>_xlfn.XLOOKUP(C151,'LD-ELFA'!F:F,'LD-ELFA'!Q:Q)</f>
        <v>FOLHA DE DADOS</v>
      </c>
      <c r="G151" s="56" t="str">
        <f>_xlfn.XLOOKUP(C151,'Data Base'!D:D,'Data Base'!I:I)</f>
        <v/>
      </c>
      <c r="H151" s="56" t="str">
        <f>_xlfn.XLOOKUP(C151,'Data Base'!D:D,'Data Base'!K:K)</f>
        <v>Documento a emitir</v>
      </c>
      <c r="I151" s="57" t="str">
        <f t="shared" ca="1" si="2"/>
        <v>Documento a emitir</v>
      </c>
      <c r="J151" s="57" t="str">
        <f>_xlfn.XLOOKUP(C151,'Data Base'!D:D,'Data Base'!O:O)</f>
        <v>Blossom - Documento a emitir</v>
      </c>
    </row>
    <row r="152" spans="2:10" hidden="1" x14ac:dyDescent="0.25">
      <c r="B152" s="53" t="str">
        <f>_xlfn.XLOOKUP(C152,'Data Base'!D:D,'Data Base'!B:B)</f>
        <v>EL - Eletrica</v>
      </c>
      <c r="C152" s="53" t="s">
        <v>157</v>
      </c>
      <c r="D152" s="53" t="str">
        <f>_xlfn.XLOOKUP(C152,'LD-ELFA'!F:F,'LD-ELFA'!H:H)</f>
        <v>FD-A1-1911-E-PB-0002</v>
      </c>
      <c r="E152" s="53">
        <f>_xlfn.XLOOKUP(C152,'Data Base'!D:D,'Data Base'!G:G)</f>
        <v>0</v>
      </c>
      <c r="F152" s="53" t="str">
        <f>_xlfn.XLOOKUP(C152,'LD-ELFA'!F:F,'LD-ELFA'!Q:Q)</f>
        <v>FOLHA DE DADOS</v>
      </c>
      <c r="G152" s="56" t="str">
        <f>_xlfn.XLOOKUP(C152,'Data Base'!D:D,'Data Base'!I:I)</f>
        <v/>
      </c>
      <c r="H152" s="56" t="str">
        <f>_xlfn.XLOOKUP(C152,'Data Base'!D:D,'Data Base'!K:K)</f>
        <v>Documento a emitir</v>
      </c>
      <c r="I152" s="57" t="str">
        <f t="shared" ca="1" si="2"/>
        <v>Documento a emitir</v>
      </c>
      <c r="J152" s="57" t="str">
        <f>_xlfn.XLOOKUP(C152,'Data Base'!D:D,'Data Base'!O:O)</f>
        <v>Blossom - Documento a emitir</v>
      </c>
    </row>
    <row r="153" spans="2:10" hidden="1" x14ac:dyDescent="0.25">
      <c r="B153" s="53" t="str">
        <f>_xlfn.XLOOKUP(C153,'Data Base'!D:D,'Data Base'!B:B)</f>
        <v>EL - Eletrica</v>
      </c>
      <c r="C153" s="53" t="s">
        <v>158</v>
      </c>
      <c r="D153" s="53" t="str">
        <f>_xlfn.XLOOKUP(C153,'LD-ELFA'!F:F,'LD-ELFA'!H:H)</f>
        <v>FD-A1-1900-E-PB-0005</v>
      </c>
      <c r="E153" s="53">
        <f>_xlfn.XLOOKUP(C153,'Data Base'!D:D,'Data Base'!G:G)</f>
        <v>0</v>
      </c>
      <c r="F153" s="53" t="str">
        <f>_xlfn.XLOOKUP(C153,'LD-ELFA'!F:F,'LD-ELFA'!Q:Q)</f>
        <v>FOLHA DE DADOS</v>
      </c>
      <c r="G153" s="56" t="str">
        <f>_xlfn.XLOOKUP(C153,'Data Base'!D:D,'Data Base'!I:I)</f>
        <v/>
      </c>
      <c r="H153" s="56" t="str">
        <f>_xlfn.XLOOKUP(C153,'Data Base'!D:D,'Data Base'!K:K)</f>
        <v>Documento a emitir</v>
      </c>
      <c r="I153" s="57" t="str">
        <f t="shared" ca="1" si="2"/>
        <v>Documento a emitir</v>
      </c>
      <c r="J153" s="57" t="str">
        <f>_xlfn.XLOOKUP(C153,'Data Base'!D:D,'Data Base'!O:O)</f>
        <v>Blossom - Documento a emitir</v>
      </c>
    </row>
    <row r="154" spans="2:10" hidden="1" x14ac:dyDescent="0.25">
      <c r="B154" s="53" t="str">
        <f>_xlfn.XLOOKUP(C154,'Data Base'!D:D,'Data Base'!B:B)</f>
        <v>EL - Eletrica</v>
      </c>
      <c r="C154" s="53" t="s">
        <v>159</v>
      </c>
      <c r="D154" s="53" t="str">
        <f>_xlfn.XLOOKUP(C154,'LD-ELFA'!F:F,'LD-ELFA'!H:H)</f>
        <v>FD-A1-1903-E-PB-0001</v>
      </c>
      <c r="E154" s="53">
        <f>_xlfn.XLOOKUP(C154,'Data Base'!D:D,'Data Base'!G:G)</f>
        <v>0</v>
      </c>
      <c r="F154" s="53" t="str">
        <f>_xlfn.XLOOKUP(C154,'LD-ELFA'!F:F,'LD-ELFA'!Q:Q)</f>
        <v>FOLHA DE DADOS</v>
      </c>
      <c r="G154" s="56" t="str">
        <f>_xlfn.XLOOKUP(C154,'Data Base'!D:D,'Data Base'!I:I)</f>
        <v/>
      </c>
      <c r="H154" s="56" t="str">
        <f>_xlfn.XLOOKUP(C154,'Data Base'!D:D,'Data Base'!K:K)</f>
        <v>Documento a emitir</v>
      </c>
      <c r="I154" s="57" t="str">
        <f t="shared" ca="1" si="2"/>
        <v>Documento a emitir</v>
      </c>
      <c r="J154" s="57" t="str">
        <f>_xlfn.XLOOKUP(C154,'Data Base'!D:D,'Data Base'!O:O)</f>
        <v>Blossom - Documento a emitir</v>
      </c>
    </row>
    <row r="155" spans="2:10" hidden="1" x14ac:dyDescent="0.25">
      <c r="B155" s="53" t="str">
        <f>_xlfn.XLOOKUP(C155,'Data Base'!D:D,'Data Base'!B:B)</f>
        <v>EL - Eletrica</v>
      </c>
      <c r="C155" s="53" t="s">
        <v>160</v>
      </c>
      <c r="D155" s="53" t="str">
        <f>_xlfn.XLOOKUP(C155,'LD-ELFA'!F:F,'LD-ELFA'!H:H)</f>
        <v>FD-A1-1900-E-PB-0009</v>
      </c>
      <c r="E155" s="53">
        <f>_xlfn.XLOOKUP(C155,'Data Base'!D:D,'Data Base'!G:G)</f>
        <v>0</v>
      </c>
      <c r="F155" s="53" t="str">
        <f>_xlfn.XLOOKUP(C155,'LD-ELFA'!F:F,'LD-ELFA'!Q:Q)</f>
        <v>FOLHA DE DADOS</v>
      </c>
      <c r="G155" s="56" t="str">
        <f>_xlfn.XLOOKUP(C155,'Data Base'!D:D,'Data Base'!I:I)</f>
        <v/>
      </c>
      <c r="H155" s="56" t="str">
        <f>_xlfn.XLOOKUP(C155,'Data Base'!D:D,'Data Base'!K:K)</f>
        <v>Documento a emitir</v>
      </c>
      <c r="I155" s="57" t="str">
        <f t="shared" ca="1" si="2"/>
        <v>Documento a emitir</v>
      </c>
      <c r="J155" s="57" t="str">
        <f>_xlfn.XLOOKUP(C155,'Data Base'!D:D,'Data Base'!O:O)</f>
        <v>Blossom - Documento a emitir</v>
      </c>
    </row>
    <row r="156" spans="2:10" hidden="1" x14ac:dyDescent="0.25">
      <c r="B156" s="53" t="str">
        <f>_xlfn.XLOOKUP(C156,'Data Base'!D:D,'Data Base'!B:B)</f>
        <v>EL - Eletrica</v>
      </c>
      <c r="C156" s="53" t="s">
        <v>161</v>
      </c>
      <c r="D156" s="53" t="str">
        <f>_xlfn.XLOOKUP(C156,'LD-ELFA'!F:F,'LD-ELFA'!H:H)</f>
        <v>FD-A1-1900-E-PB-0004</v>
      </c>
      <c r="E156" s="53">
        <f>_xlfn.XLOOKUP(C156,'Data Base'!D:D,'Data Base'!G:G)</f>
        <v>0</v>
      </c>
      <c r="F156" s="53" t="str">
        <f>_xlfn.XLOOKUP(C156,'LD-ELFA'!F:F,'LD-ELFA'!Q:Q)</f>
        <v>FOLHA DE DADOS</v>
      </c>
      <c r="G156" s="56" t="str">
        <f>_xlfn.XLOOKUP(C156,'Data Base'!D:D,'Data Base'!I:I)</f>
        <v/>
      </c>
      <c r="H156" s="56" t="str">
        <f>_xlfn.XLOOKUP(C156,'Data Base'!D:D,'Data Base'!K:K)</f>
        <v>Documento a emitir</v>
      </c>
      <c r="I156" s="57" t="str">
        <f t="shared" ca="1" si="2"/>
        <v>Documento a emitir</v>
      </c>
      <c r="J156" s="57" t="str">
        <f>_xlfn.XLOOKUP(C156,'Data Base'!D:D,'Data Base'!O:O)</f>
        <v>Blossom - Documento a emitir</v>
      </c>
    </row>
    <row r="157" spans="2:10" hidden="1" x14ac:dyDescent="0.25">
      <c r="B157" s="53" t="str">
        <f>_xlfn.XLOOKUP(C157,'Data Base'!D:D,'Data Base'!B:B)</f>
        <v>EL - Eletrica</v>
      </c>
      <c r="C157" s="53" t="s">
        <v>162</v>
      </c>
      <c r="D157" s="53" t="str">
        <f>_xlfn.XLOOKUP(C157,'LD-ELFA'!F:F,'LD-ELFA'!H:H)</f>
        <v>FD-A1-1900-E-PB-0006</v>
      </c>
      <c r="E157" s="53">
        <f>_xlfn.XLOOKUP(C157,'Data Base'!D:D,'Data Base'!G:G)</f>
        <v>0</v>
      </c>
      <c r="F157" s="53" t="str">
        <f>_xlfn.XLOOKUP(C157,'LD-ELFA'!F:F,'LD-ELFA'!Q:Q)</f>
        <v>FOLHA DE DADOS</v>
      </c>
      <c r="G157" s="56" t="str">
        <f>_xlfn.XLOOKUP(C157,'Data Base'!D:D,'Data Base'!I:I)</f>
        <v/>
      </c>
      <c r="H157" s="56" t="str">
        <f>_xlfn.XLOOKUP(C157,'Data Base'!D:D,'Data Base'!K:K)</f>
        <v>Documento a emitir</v>
      </c>
      <c r="I157" s="57" t="str">
        <f t="shared" ca="1" si="2"/>
        <v>Documento a emitir</v>
      </c>
      <c r="J157" s="57" t="str">
        <f>_xlfn.XLOOKUP(C157,'Data Base'!D:D,'Data Base'!O:O)</f>
        <v>Blossom - Documento a emitir</v>
      </c>
    </row>
    <row r="158" spans="2:10" hidden="1" x14ac:dyDescent="0.25">
      <c r="B158" s="53" t="str">
        <f>_xlfn.XLOOKUP(C158,'Data Base'!D:D,'Data Base'!B:B)</f>
        <v>EL - Eletrica</v>
      </c>
      <c r="C158" s="53" t="s">
        <v>163</v>
      </c>
      <c r="D158" s="53" t="str">
        <f>_xlfn.XLOOKUP(C158,'LD-ELFA'!F:F,'LD-ELFA'!H:H)</f>
        <v>FD-A1-1911-E-PB-0003</v>
      </c>
      <c r="E158" s="53">
        <f>_xlfn.XLOOKUP(C158,'Data Base'!D:D,'Data Base'!G:G)</f>
        <v>0</v>
      </c>
      <c r="F158" s="53" t="str">
        <f>_xlfn.XLOOKUP(C158,'LD-ELFA'!F:F,'LD-ELFA'!Q:Q)</f>
        <v>FOLHA DE DADOS</v>
      </c>
      <c r="G158" s="56" t="str">
        <f>_xlfn.XLOOKUP(C158,'Data Base'!D:D,'Data Base'!I:I)</f>
        <v/>
      </c>
      <c r="H158" s="56" t="str">
        <f>_xlfn.XLOOKUP(C158,'Data Base'!D:D,'Data Base'!K:K)</f>
        <v>Documento a emitir</v>
      </c>
      <c r="I158" s="57" t="str">
        <f t="shared" ca="1" si="2"/>
        <v>Documento a emitir</v>
      </c>
      <c r="J158" s="57" t="str">
        <f>_xlfn.XLOOKUP(C158,'Data Base'!D:D,'Data Base'!O:O)</f>
        <v>Blossom - Documento a emitir</v>
      </c>
    </row>
    <row r="159" spans="2:10" hidden="1" x14ac:dyDescent="0.25">
      <c r="B159" s="53" t="str">
        <f>_xlfn.XLOOKUP(C159,'Data Base'!D:D,'Data Base'!B:B)</f>
        <v>EL - Eletrica</v>
      </c>
      <c r="C159" s="53" t="s">
        <v>164</v>
      </c>
      <c r="D159" s="53" t="str">
        <f>_xlfn.XLOOKUP(C159,'LD-ELFA'!F:F,'LD-ELFA'!H:H)</f>
        <v>FD-A1-1900-E-PB-0002</v>
      </c>
      <c r="E159" s="53">
        <f>_xlfn.XLOOKUP(C159,'Data Base'!D:D,'Data Base'!G:G)</f>
        <v>0</v>
      </c>
      <c r="F159" s="53" t="str">
        <f>_xlfn.XLOOKUP(C159,'LD-ELFA'!F:F,'LD-ELFA'!Q:Q)</f>
        <v>FOLHA DE DADOS</v>
      </c>
      <c r="G159" s="56" t="str">
        <f>_xlfn.XLOOKUP(C159,'Data Base'!D:D,'Data Base'!I:I)</f>
        <v/>
      </c>
      <c r="H159" s="56" t="str">
        <f>_xlfn.XLOOKUP(C159,'Data Base'!D:D,'Data Base'!K:K)</f>
        <v>Documento a emitir</v>
      </c>
      <c r="I159" s="57" t="str">
        <f t="shared" ca="1" si="2"/>
        <v>Documento a emitir</v>
      </c>
      <c r="J159" s="57" t="str">
        <f>_xlfn.XLOOKUP(C159,'Data Base'!D:D,'Data Base'!O:O)</f>
        <v>Blossom - Documento a emitir</v>
      </c>
    </row>
    <row r="160" spans="2:10" hidden="1" x14ac:dyDescent="0.25">
      <c r="B160" s="53" t="str">
        <f>_xlfn.XLOOKUP(C160,'Data Base'!D:D,'Data Base'!B:B)</f>
        <v>EL - Eletrica</v>
      </c>
      <c r="C160" s="53" t="s">
        <v>165</v>
      </c>
      <c r="D160" s="53" t="str">
        <f>_xlfn.XLOOKUP(C160,'LD-ELFA'!F:F,'LD-ELFA'!H:H)</f>
        <v>FD-A1-1900-E-PB-0003</v>
      </c>
      <c r="E160" s="53">
        <f>_xlfn.XLOOKUP(C160,'Data Base'!D:D,'Data Base'!G:G)</f>
        <v>0</v>
      </c>
      <c r="F160" s="53" t="str">
        <f>_xlfn.XLOOKUP(C160,'LD-ELFA'!F:F,'LD-ELFA'!Q:Q)</f>
        <v>FOLHA DE DADOS</v>
      </c>
      <c r="G160" s="56" t="str">
        <f>_xlfn.XLOOKUP(C160,'Data Base'!D:D,'Data Base'!I:I)</f>
        <v/>
      </c>
      <c r="H160" s="56" t="str">
        <f>_xlfn.XLOOKUP(C160,'Data Base'!D:D,'Data Base'!K:K)</f>
        <v>Documento a emitir</v>
      </c>
      <c r="I160" s="57" t="str">
        <f t="shared" ca="1" si="2"/>
        <v>Documento a emitir</v>
      </c>
      <c r="J160" s="57" t="str">
        <f>_xlfn.XLOOKUP(C160,'Data Base'!D:D,'Data Base'!O:O)</f>
        <v>Blossom - Documento a emitir</v>
      </c>
    </row>
    <row r="161" spans="2:10" hidden="1" x14ac:dyDescent="0.25">
      <c r="B161" s="53" t="str">
        <f>_xlfn.XLOOKUP(C161,'Data Base'!D:D,'Data Base'!B:B)</f>
        <v>EL - Eletrica</v>
      </c>
      <c r="C161" s="53" t="s">
        <v>166</v>
      </c>
      <c r="D161" s="53" t="str">
        <f>_xlfn.XLOOKUP(C161,'LD-ELFA'!F:F,'LD-ELFA'!H:H)</f>
        <v>FD-A1-1911-E-PB-0001</v>
      </c>
      <c r="E161" s="53">
        <f>_xlfn.XLOOKUP(C161,'Data Base'!D:D,'Data Base'!G:G)</f>
        <v>0</v>
      </c>
      <c r="F161" s="53" t="str">
        <f>_xlfn.XLOOKUP(C161,'LD-ELFA'!F:F,'LD-ELFA'!Q:Q)</f>
        <v>FOLHA DE DADOS</v>
      </c>
      <c r="G161" s="56" t="str">
        <f>_xlfn.XLOOKUP(C161,'Data Base'!D:D,'Data Base'!I:I)</f>
        <v/>
      </c>
      <c r="H161" s="56" t="str">
        <f>_xlfn.XLOOKUP(C161,'Data Base'!D:D,'Data Base'!K:K)</f>
        <v>Documento a emitir</v>
      </c>
      <c r="I161" s="57" t="str">
        <f t="shared" ca="1" si="2"/>
        <v>Documento a emitir</v>
      </c>
      <c r="J161" s="57" t="str">
        <f>_xlfn.XLOOKUP(C161,'Data Base'!D:D,'Data Base'!O:O)</f>
        <v>Blossom - Documento a emitir</v>
      </c>
    </row>
    <row r="162" spans="2:10" hidden="1" x14ac:dyDescent="0.25">
      <c r="B162" s="53" t="str">
        <f>_xlfn.XLOOKUP(C162,'Data Base'!D:D,'Data Base'!B:B)</f>
        <v>EL - Eletrica</v>
      </c>
      <c r="C162" s="53" t="s">
        <v>167</v>
      </c>
      <c r="D162" s="53" t="str">
        <f>_xlfn.XLOOKUP(C162,'LD-ELFA'!F:F,'LD-ELFA'!H:H)</f>
        <v>LE-A1-1900-E-PB-4000</v>
      </c>
      <c r="E162" s="53">
        <f>_xlfn.XLOOKUP(C162,'Data Base'!D:D,'Data Base'!G:G)</f>
        <v>0</v>
      </c>
      <c r="F162" s="53" t="str">
        <f>_xlfn.XLOOKUP(C162,'LD-ELFA'!F:F,'LD-ELFA'!Q:Q)</f>
        <v>LISTA DE EQUIPAMENTOS ELÉTRICOS</v>
      </c>
      <c r="G162" s="56" t="str">
        <f>_xlfn.XLOOKUP(C162,'Data Base'!D:D,'Data Base'!I:I)</f>
        <v/>
      </c>
      <c r="H162" s="56" t="str">
        <f>_xlfn.XLOOKUP(C162,'Data Base'!D:D,'Data Base'!K:K)</f>
        <v>Documento a emitir</v>
      </c>
      <c r="I162" s="57" t="str">
        <f t="shared" ca="1" si="2"/>
        <v>Documento a emitir</v>
      </c>
      <c r="J162" s="57" t="str">
        <f>_xlfn.XLOOKUP(C162,'Data Base'!D:D,'Data Base'!O:O)</f>
        <v>Blossom - Documento a emitir</v>
      </c>
    </row>
    <row r="163" spans="2:10" hidden="1" x14ac:dyDescent="0.25">
      <c r="B163" s="53" t="str">
        <f>_xlfn.XLOOKUP(C163,'Data Base'!D:D,'Data Base'!B:B)</f>
        <v>EL - Eletrica</v>
      </c>
      <c r="C163" s="53" t="s">
        <v>168</v>
      </c>
      <c r="D163" s="53" t="str">
        <f>_xlfn.XLOOKUP(C163,'LD-ELFA'!F:F,'LD-ELFA'!H:H)</f>
        <v>LE-A1-1100-E-PB-4000</v>
      </c>
      <c r="E163" s="53">
        <f>_xlfn.XLOOKUP(C163,'Data Base'!D:D,'Data Base'!G:G)</f>
        <v>0</v>
      </c>
      <c r="F163" s="53" t="str">
        <f>_xlfn.XLOOKUP(C163,'LD-ELFA'!F:F,'LD-ELFA'!Q:Q)</f>
        <v>LISTA DE EQUIPAMENTOS ELÉTRICOS</v>
      </c>
      <c r="G163" s="56" t="str">
        <f>_xlfn.XLOOKUP(C163,'Data Base'!D:D,'Data Base'!I:I)</f>
        <v/>
      </c>
      <c r="H163" s="56" t="str">
        <f>_xlfn.XLOOKUP(C163,'Data Base'!D:D,'Data Base'!K:K)</f>
        <v>Documento a emitir</v>
      </c>
      <c r="I163" s="57" t="str">
        <f t="shared" ca="1" si="2"/>
        <v>Documento a emitir</v>
      </c>
      <c r="J163" s="57" t="str">
        <f>_xlfn.XLOOKUP(C163,'Data Base'!D:D,'Data Base'!O:O)</f>
        <v>Blossom - Documento a emitir</v>
      </c>
    </row>
    <row r="164" spans="2:10" hidden="1" x14ac:dyDescent="0.25">
      <c r="B164" s="53" t="str">
        <f>_xlfn.XLOOKUP(C164,'Data Base'!D:D,'Data Base'!B:B)</f>
        <v>EL - Eletrica</v>
      </c>
      <c r="C164" s="53" t="s">
        <v>169</v>
      </c>
      <c r="D164" s="53" t="str">
        <f>_xlfn.XLOOKUP(C164,'LD-ELFA'!F:F,'LD-ELFA'!H:H)</f>
        <v>LB-A1-1900-E-PB-4000</v>
      </c>
      <c r="E164" s="53">
        <f>_xlfn.XLOOKUP(C164,'Data Base'!D:D,'Data Base'!G:G)</f>
        <v>0</v>
      </c>
      <c r="F164" s="53" t="str">
        <f>_xlfn.XLOOKUP(C164,'LD-ELFA'!F:F,'LD-ELFA'!Q:Q)</f>
        <v>LISTAS DE CABOS ELÉTRICOS</v>
      </c>
      <c r="G164" s="56" t="str">
        <f>_xlfn.XLOOKUP(C164,'Data Base'!D:D,'Data Base'!I:I)</f>
        <v/>
      </c>
      <c r="H164" s="56" t="str">
        <f>_xlfn.XLOOKUP(C164,'Data Base'!D:D,'Data Base'!K:K)</f>
        <v>Documento a emitir</v>
      </c>
      <c r="I164" s="57" t="str">
        <f t="shared" ca="1" si="2"/>
        <v>Documento a emitir</v>
      </c>
      <c r="J164" s="57" t="str">
        <f>_xlfn.XLOOKUP(C164,'Data Base'!D:D,'Data Base'!O:O)</f>
        <v>Blossom - Documento a emitir</v>
      </c>
    </row>
    <row r="165" spans="2:10" hidden="1" x14ac:dyDescent="0.25">
      <c r="B165" s="53" t="str">
        <f>_xlfn.XLOOKUP(C165,'Data Base'!D:D,'Data Base'!B:B)</f>
        <v>EL - Eletrica</v>
      </c>
      <c r="C165" s="53" t="s">
        <v>170</v>
      </c>
      <c r="D165" s="53" t="str">
        <f>_xlfn.XLOOKUP(C165,'LD-ELFA'!F:F,'LD-ELFA'!H:H)</f>
        <v>LB-A1-1100-E-PB-4000</v>
      </c>
      <c r="E165" s="53">
        <f>_xlfn.XLOOKUP(C165,'Data Base'!D:D,'Data Base'!G:G)</f>
        <v>0</v>
      </c>
      <c r="F165" s="53" t="str">
        <f>_xlfn.XLOOKUP(C165,'LD-ELFA'!F:F,'LD-ELFA'!Q:Q)</f>
        <v>LISTAS DE CABOS ELÉTRICOS</v>
      </c>
      <c r="G165" s="56" t="str">
        <f>_xlfn.XLOOKUP(C165,'Data Base'!D:D,'Data Base'!I:I)</f>
        <v/>
      </c>
      <c r="H165" s="56" t="str">
        <f>_xlfn.XLOOKUP(C165,'Data Base'!D:D,'Data Base'!K:K)</f>
        <v>Documento a emitir</v>
      </c>
      <c r="I165" s="57" t="str">
        <f t="shared" ca="1" si="2"/>
        <v>Documento a emitir</v>
      </c>
      <c r="J165" s="57" t="str">
        <f>_xlfn.XLOOKUP(C165,'Data Base'!D:D,'Data Base'!O:O)</f>
        <v>Blossom - Documento a emitir</v>
      </c>
    </row>
    <row r="166" spans="2:10" hidden="1" x14ac:dyDescent="0.25">
      <c r="B166" s="53" t="str">
        <f>_xlfn.XLOOKUP(C166,'Data Base'!D:D,'Data Base'!B:B)</f>
        <v>EL - Eletrica</v>
      </c>
      <c r="C166" s="53" t="s">
        <v>171</v>
      </c>
      <c r="D166" s="53" t="str">
        <f>_xlfn.XLOOKUP(C166,'LD-ELFA'!F:F,'LD-ELFA'!H:H)</f>
        <v>MC-A1-1900-E-PB-4000</v>
      </c>
      <c r="E166" s="53">
        <f>_xlfn.XLOOKUP(C166,'Data Base'!D:D,'Data Base'!G:G)</f>
        <v>0</v>
      </c>
      <c r="F166" s="53" t="str">
        <f>_xlfn.XLOOKUP(C166,'LD-ELFA'!F:F,'LD-ELFA'!Q:Q)</f>
        <v>MEMÓRIA DE CÁLCULO DE CABOS</v>
      </c>
      <c r="G166" s="56" t="str">
        <f>_xlfn.XLOOKUP(C166,'Data Base'!D:D,'Data Base'!I:I)</f>
        <v/>
      </c>
      <c r="H166" s="56" t="str">
        <f>_xlfn.XLOOKUP(C166,'Data Base'!D:D,'Data Base'!K:K)</f>
        <v>Documento a emitir</v>
      </c>
      <c r="I166" s="57" t="str">
        <f t="shared" ca="1" si="2"/>
        <v>Documento a emitir</v>
      </c>
      <c r="J166" s="57" t="str">
        <f>_xlfn.XLOOKUP(C166,'Data Base'!D:D,'Data Base'!O:O)</f>
        <v>Blossom - Documento a emitir</v>
      </c>
    </row>
    <row r="167" spans="2:10" hidden="1" x14ac:dyDescent="0.25">
      <c r="B167" s="53" t="str">
        <f>_xlfn.XLOOKUP(C167,'Data Base'!D:D,'Data Base'!B:B)</f>
        <v>EL - Eletrica</v>
      </c>
      <c r="C167" s="53" t="s">
        <v>172</v>
      </c>
      <c r="D167" s="53" t="str">
        <f>_xlfn.XLOOKUP(C167,'LD-ELFA'!F:F,'LD-ELFA'!H:H)</f>
        <v>MC-A1-1900-E-PB-4001</v>
      </c>
      <c r="E167" s="53">
        <f>_xlfn.XLOOKUP(C167,'Data Base'!D:D,'Data Base'!G:G)</f>
        <v>0</v>
      </c>
      <c r="F167" s="53" t="str">
        <f>_xlfn.XLOOKUP(C167,'LD-ELFA'!F:F,'LD-ELFA'!Q:Q)</f>
        <v>MEMÓRIA DE CÁLCULO DE EQUIPAMENTOS ELÉTRICOS</v>
      </c>
      <c r="G167" s="56" t="str">
        <f>_xlfn.XLOOKUP(C167,'Data Base'!D:D,'Data Base'!I:I)</f>
        <v/>
      </c>
      <c r="H167" s="56" t="str">
        <f>_xlfn.XLOOKUP(C167,'Data Base'!D:D,'Data Base'!K:K)</f>
        <v>Documento a emitir</v>
      </c>
      <c r="I167" s="57" t="str">
        <f t="shared" ca="1" si="2"/>
        <v>Documento a emitir</v>
      </c>
      <c r="J167" s="57" t="str">
        <f>_xlfn.XLOOKUP(C167,'Data Base'!D:D,'Data Base'!O:O)</f>
        <v>Blossom - Documento a emitir</v>
      </c>
    </row>
    <row r="168" spans="2:10" hidden="1" x14ac:dyDescent="0.25">
      <c r="B168" s="53" t="str">
        <f>_xlfn.XLOOKUP(C168,'Data Base'!D:D,'Data Base'!B:B)</f>
        <v>EL - Eletrica</v>
      </c>
      <c r="C168" s="53" t="s">
        <v>173</v>
      </c>
      <c r="D168" s="53" t="str">
        <f>_xlfn.XLOOKUP(C168,'LD-ELFA'!F:F,'LD-ELFA'!H:H)</f>
        <v>MC-A1-1100-E-PB-4000</v>
      </c>
      <c r="E168" s="53">
        <f>_xlfn.XLOOKUP(C168,'Data Base'!D:D,'Data Base'!G:G)</f>
        <v>0</v>
      </c>
      <c r="F168" s="53" t="str">
        <f>_xlfn.XLOOKUP(C168,'LD-ELFA'!F:F,'LD-ELFA'!Q:Q)</f>
        <v>MEMÓRA DE CÁLCULO DE CABOS</v>
      </c>
      <c r="G168" s="56" t="str">
        <f>_xlfn.XLOOKUP(C168,'Data Base'!D:D,'Data Base'!I:I)</f>
        <v/>
      </c>
      <c r="H168" s="56" t="str">
        <f>_xlfn.XLOOKUP(C168,'Data Base'!D:D,'Data Base'!K:K)</f>
        <v>Documento a emitir</v>
      </c>
      <c r="I168" s="57" t="str">
        <f t="shared" ca="1" si="2"/>
        <v>Documento a emitir</v>
      </c>
      <c r="J168" s="57" t="str">
        <f>_xlfn.XLOOKUP(C168,'Data Base'!D:D,'Data Base'!O:O)</f>
        <v>Blossom - Documento a emitir</v>
      </c>
    </row>
    <row r="169" spans="2:10" hidden="1" x14ac:dyDescent="0.25">
      <c r="B169" s="53" t="str">
        <f>_xlfn.XLOOKUP(C169,'Data Base'!D:D,'Data Base'!B:B)</f>
        <v>EL - Eletrica</v>
      </c>
      <c r="C169" s="53" t="s">
        <v>174</v>
      </c>
      <c r="D169" s="53" t="str">
        <f>_xlfn.XLOOKUP(C169,'LD-ELFA'!F:F,'LD-ELFA'!H:H)</f>
        <v>MC-A1-2000-J-PB-0001</v>
      </c>
      <c r="E169" s="53">
        <f>_xlfn.XLOOKUP(C169,'Data Base'!D:D,'Data Base'!G:G)</f>
        <v>0</v>
      </c>
      <c r="F169" s="53" t="str">
        <f>_xlfn.XLOOKUP(C169,'LD-ELFA'!F:F,'LD-ELFA'!Q:Q)</f>
        <v>MEMÓRIA DE CÁLCULO DE CABOS DE CONTROLE</v>
      </c>
      <c r="G169" s="56" t="str">
        <f>_xlfn.XLOOKUP(C169,'Data Base'!D:D,'Data Base'!I:I)</f>
        <v/>
      </c>
      <c r="H169" s="56" t="str">
        <f>_xlfn.XLOOKUP(C169,'Data Base'!D:D,'Data Base'!K:K)</f>
        <v>Documento a emitir</v>
      </c>
      <c r="I169" s="57" t="str">
        <f t="shared" ca="1" si="2"/>
        <v>Documento a emitir</v>
      </c>
      <c r="J169" s="57" t="str">
        <f>_xlfn.XLOOKUP(C169,'Data Base'!D:D,'Data Base'!O:O)</f>
        <v>Blossom - Documento a emitir</v>
      </c>
    </row>
    <row r="170" spans="2:10" hidden="1" x14ac:dyDescent="0.25">
      <c r="B170" s="53" t="str">
        <f>_xlfn.XLOOKUP(C170,'Data Base'!D:D,'Data Base'!B:B)</f>
        <v>EL - Eletrica</v>
      </c>
      <c r="C170" s="53" t="s">
        <v>175</v>
      </c>
      <c r="D170" s="53" t="str">
        <f>_xlfn.XLOOKUP(C170,'LD-ELFA'!F:F,'LD-ELFA'!H:H)</f>
        <v>MD-A1-1900-E-PB-4000</v>
      </c>
      <c r="E170" s="53">
        <f>_xlfn.XLOOKUP(C170,'Data Base'!D:D,'Data Base'!G:G)</f>
        <v>0</v>
      </c>
      <c r="F170" s="53" t="str">
        <f>_xlfn.XLOOKUP(C170,'LD-ELFA'!F:F,'LD-ELFA'!Q:Q)</f>
        <v>MEMORIAL DESCRITIVO DO PROJETO BÁSICO DO SISTEMA ELÉTRICO</v>
      </c>
      <c r="G170" s="56" t="str">
        <f>_xlfn.XLOOKUP(C170,'Data Base'!D:D,'Data Base'!I:I)</f>
        <v/>
      </c>
      <c r="H170" s="56" t="str">
        <f>_xlfn.XLOOKUP(C170,'Data Base'!D:D,'Data Base'!K:K)</f>
        <v>Documento a emitir</v>
      </c>
      <c r="I170" s="57" t="str">
        <f t="shared" ca="1" si="2"/>
        <v>Documento a emitir</v>
      </c>
      <c r="J170" s="57" t="str">
        <f>_xlfn.XLOOKUP(C170,'Data Base'!D:D,'Data Base'!O:O)</f>
        <v>Blossom - Documento a emitir</v>
      </c>
    </row>
    <row r="171" spans="2:10" hidden="1" x14ac:dyDescent="0.25">
      <c r="B171" s="53" t="str">
        <f>_xlfn.XLOOKUP(C171,'Data Base'!D:D,'Data Base'!B:B)</f>
        <v>EL - Eletrica</v>
      </c>
      <c r="C171" s="53" t="s">
        <v>176</v>
      </c>
      <c r="D171" s="53" t="str">
        <f>_xlfn.XLOOKUP(C171,'LD-ELFA'!F:F,'LD-ELFA'!H:H)</f>
        <v>MD-A1-1100-E-PB-4000</v>
      </c>
      <c r="E171" s="53">
        <f>_xlfn.XLOOKUP(C171,'Data Base'!D:D,'Data Base'!G:G)</f>
        <v>0</v>
      </c>
      <c r="F171" s="53" t="str">
        <f>_xlfn.XLOOKUP(C171,'LD-ELFA'!F:F,'LD-ELFA'!Q:Q)</f>
        <v>MEMORIAL DESCRITIVO DO PROJETO BÁSICO DO SISTEMA ELÉTRICO</v>
      </c>
      <c r="G171" s="56" t="str">
        <f>_xlfn.XLOOKUP(C171,'Data Base'!D:D,'Data Base'!I:I)</f>
        <v/>
      </c>
      <c r="H171" s="56" t="str">
        <f>_xlfn.XLOOKUP(C171,'Data Base'!D:D,'Data Base'!K:K)</f>
        <v>Documento a emitir</v>
      </c>
      <c r="I171" s="57" t="str">
        <f t="shared" ca="1" si="2"/>
        <v>Documento a emitir</v>
      </c>
      <c r="J171" s="57" t="str">
        <f>_xlfn.XLOOKUP(C171,'Data Base'!D:D,'Data Base'!O:O)</f>
        <v>Blossom - Documento a emitir</v>
      </c>
    </row>
    <row r="172" spans="2:10" hidden="1" x14ac:dyDescent="0.25">
      <c r="B172" s="53" t="str">
        <f>_xlfn.XLOOKUP(C172,'Data Base'!D:D,'Data Base'!B:B)</f>
        <v>EL - Eletrica</v>
      </c>
      <c r="C172" s="53" t="s">
        <v>177</v>
      </c>
      <c r="D172" s="53" t="str">
        <f>_xlfn.XLOOKUP(C172,'LD-ELFA'!F:F,'LD-ELFA'!H:H)</f>
        <v>PQ-A1-1900-E-PB-4000</v>
      </c>
      <c r="E172" s="53">
        <f>_xlfn.XLOOKUP(C172,'Data Base'!D:D,'Data Base'!G:G)</f>
        <v>0</v>
      </c>
      <c r="F172" s="53" t="str">
        <f>_xlfn.XLOOKUP(C172,'LD-ELFA'!F:F,'LD-ELFA'!Q:Q)</f>
        <v xml:space="preserve">PLANILHA DE QUANTIDADES </v>
      </c>
      <c r="G172" s="56" t="str">
        <f>_xlfn.XLOOKUP(C172,'Data Base'!D:D,'Data Base'!I:I)</f>
        <v/>
      </c>
      <c r="H172" s="56" t="str">
        <f>_xlfn.XLOOKUP(C172,'Data Base'!D:D,'Data Base'!K:K)</f>
        <v>Documento a emitir</v>
      </c>
      <c r="I172" s="57" t="str">
        <f t="shared" ca="1" si="2"/>
        <v>Documento a emitir</v>
      </c>
      <c r="J172" s="57" t="str">
        <f>_xlfn.XLOOKUP(C172,'Data Base'!D:D,'Data Base'!O:O)</f>
        <v>Blossom - Documento a emitir</v>
      </c>
    </row>
    <row r="173" spans="2:10" hidden="1" x14ac:dyDescent="0.25">
      <c r="B173" s="53" t="str">
        <f>_xlfn.XLOOKUP(C173,'Data Base'!D:D,'Data Base'!B:B)</f>
        <v>EL - Eletrica</v>
      </c>
      <c r="C173" s="53" t="s">
        <v>178</v>
      </c>
      <c r="D173" s="53" t="str">
        <f>_xlfn.XLOOKUP(C173,'LD-ELFA'!F:F,'LD-ELFA'!H:H)</f>
        <v>PQ-A1-1100-E-PB-4000</v>
      </c>
      <c r="E173" s="53">
        <f>_xlfn.XLOOKUP(C173,'Data Base'!D:D,'Data Base'!G:G)</f>
        <v>0</v>
      </c>
      <c r="F173" s="53" t="str">
        <f>_xlfn.XLOOKUP(C173,'LD-ELFA'!F:F,'LD-ELFA'!Q:Q)</f>
        <v xml:space="preserve">PLANILHA DE QUANTIDADES </v>
      </c>
      <c r="G173" s="56" t="str">
        <f>_xlfn.XLOOKUP(C173,'Data Base'!D:D,'Data Base'!I:I)</f>
        <v/>
      </c>
      <c r="H173" s="56" t="str">
        <f>_xlfn.XLOOKUP(C173,'Data Base'!D:D,'Data Base'!K:K)</f>
        <v>Documento a emitir</v>
      </c>
      <c r="I173" s="57" t="str">
        <f t="shared" ca="1" si="2"/>
        <v>Documento a emitir</v>
      </c>
      <c r="J173" s="57" t="str">
        <f>_xlfn.XLOOKUP(C173,'Data Base'!D:D,'Data Base'!O:O)</f>
        <v>Blossom - Documento a emitir</v>
      </c>
    </row>
    <row r="174" spans="2:10" hidden="1" x14ac:dyDescent="0.25">
      <c r="B174" s="53" t="e">
        <f>_xlfn.XLOOKUP(C174,'Data Base'!D:D,'Data Base'!B:B)</f>
        <v>#N/A</v>
      </c>
      <c r="C174" s="53" t="s">
        <v>179</v>
      </c>
      <c r="D174" s="53" t="e">
        <f>_xlfn.XLOOKUP(C174,'LD-ELFA'!F:F,'LD-ELFA'!H:H)</f>
        <v>#N/A</v>
      </c>
      <c r="E174" s="53" t="e">
        <f>_xlfn.XLOOKUP(C174,'Data Base'!D:D,'Data Base'!G:G)</f>
        <v>#N/A</v>
      </c>
      <c r="F174" s="53" t="e">
        <f>_xlfn.XLOOKUP(C174,'LD-ELFA'!F:F,'LD-ELFA'!Q:Q)</f>
        <v>#N/A</v>
      </c>
      <c r="G174" s="56" t="e">
        <f>_xlfn.XLOOKUP(C174,'Data Base'!D:D,'Data Base'!I:I)</f>
        <v>#N/A</v>
      </c>
      <c r="H174" s="56" t="e">
        <f>_xlfn.XLOOKUP(C174,'Data Base'!D:D,'Data Base'!K:K)</f>
        <v>#N/A</v>
      </c>
      <c r="I174" s="57" t="e">
        <f t="shared" ca="1" si="2"/>
        <v>#N/A</v>
      </c>
      <c r="J174" s="57" t="str">
        <f>_xlfn.XLOOKUP(C174,'Data Base'!D:D,'Data Base'!O:O)</f>
        <v>Documento Removido</v>
      </c>
    </row>
    <row r="175" spans="2:10" hidden="1" x14ac:dyDescent="0.25">
      <c r="B175" s="53" t="str">
        <f>_xlfn.XLOOKUP(C175,'Data Base'!D:D,'Data Base'!B:B)</f>
        <v>EM - Estrutura Metalica</v>
      </c>
      <c r="C175" s="53" t="s">
        <v>180</v>
      </c>
      <c r="D175" s="53" t="str">
        <f>_xlfn.XLOOKUP(C175,'LD-ELFA'!F:F,'LD-ELFA'!H:H)</f>
        <v>MC-A1-1911-S-PB-4000</v>
      </c>
      <c r="E175" s="53">
        <f>_xlfn.XLOOKUP(C175,'Data Base'!D:D,'Data Base'!G:G)</f>
        <v>0</v>
      </c>
      <c r="F175" s="53" t="str">
        <f>_xlfn.XLOOKUP(C175,'LD-ELFA'!F:F,'LD-ELFA'!Q:Q)</f>
        <v>MEMÓRIA DE CÁLCULO</v>
      </c>
      <c r="G175" s="56" t="str">
        <f>_xlfn.XLOOKUP(C175,'Data Base'!D:D,'Data Base'!I:I)</f>
        <v/>
      </c>
      <c r="H175" s="56" t="str">
        <f>_xlfn.XLOOKUP(C175,'Data Base'!D:D,'Data Base'!K:K)</f>
        <v>Documento a emitir</v>
      </c>
      <c r="I175" s="57" t="str">
        <f t="shared" ca="1" si="2"/>
        <v>Documento a emitir</v>
      </c>
      <c r="J175" s="57" t="str">
        <f>_xlfn.XLOOKUP(C175,'Data Base'!D:D,'Data Base'!O:O)</f>
        <v>Blossom - Documento a emitir</v>
      </c>
    </row>
    <row r="176" spans="2:10" hidden="1" x14ac:dyDescent="0.25">
      <c r="B176" s="53" t="str">
        <f>_xlfn.XLOOKUP(C176,'Data Base'!D:D,'Data Base'!B:B)</f>
        <v>EM - Estrutura Metalica</v>
      </c>
      <c r="C176" s="53" t="s">
        <v>181</v>
      </c>
      <c r="D176" s="53" t="str">
        <f>_xlfn.XLOOKUP(C176,'LD-ELFA'!F:F,'LD-ELFA'!H:H)</f>
        <v>MC-A1-1912-S-PB-4000</v>
      </c>
      <c r="E176" s="53">
        <f>_xlfn.XLOOKUP(C176,'Data Base'!D:D,'Data Base'!G:G)</f>
        <v>0</v>
      </c>
      <c r="F176" s="53" t="str">
        <f>_xlfn.XLOOKUP(C176,'LD-ELFA'!F:F,'LD-ELFA'!Q:Q)</f>
        <v>MEMÓRIA DE CÁLCULO</v>
      </c>
      <c r="G176" s="56" t="str">
        <f>_xlfn.XLOOKUP(C176,'Data Base'!D:D,'Data Base'!I:I)</f>
        <v/>
      </c>
      <c r="H176" s="56" t="str">
        <f>_xlfn.XLOOKUP(C176,'Data Base'!D:D,'Data Base'!K:K)</f>
        <v>Documento a emitir</v>
      </c>
      <c r="I176" s="57" t="str">
        <f t="shared" ca="1" si="2"/>
        <v>Documento a emitir</v>
      </c>
      <c r="J176" s="57" t="str">
        <f>_xlfn.XLOOKUP(C176,'Data Base'!D:D,'Data Base'!O:O)</f>
        <v>Blossom - Documento a emitir</v>
      </c>
    </row>
    <row r="177" spans="2:10" hidden="1" x14ac:dyDescent="0.25">
      <c r="B177" s="53" t="str">
        <f>_xlfn.XLOOKUP(C177,'Data Base'!D:D,'Data Base'!B:B)</f>
        <v>EM - Estrutura Metalica</v>
      </c>
      <c r="C177" s="53" t="s">
        <v>182</v>
      </c>
      <c r="D177" s="53" t="str">
        <f>_xlfn.XLOOKUP(C177,'LD-ELFA'!F:F,'LD-ELFA'!H:H)</f>
        <v>MC-A1-1913-S-PB-4000</v>
      </c>
      <c r="E177" s="53">
        <f>_xlfn.XLOOKUP(C177,'Data Base'!D:D,'Data Base'!G:G)</f>
        <v>0</v>
      </c>
      <c r="F177" s="53" t="str">
        <f>_xlfn.XLOOKUP(C177,'LD-ELFA'!F:F,'LD-ELFA'!Q:Q)</f>
        <v>MEMÓRIA DE CÁLCULO</v>
      </c>
      <c r="G177" s="56" t="str">
        <f>_xlfn.XLOOKUP(C177,'Data Base'!D:D,'Data Base'!I:I)</f>
        <v/>
      </c>
      <c r="H177" s="56" t="str">
        <f>_xlfn.XLOOKUP(C177,'Data Base'!D:D,'Data Base'!K:K)</f>
        <v>Documento a emitir</v>
      </c>
      <c r="I177" s="57" t="str">
        <f t="shared" ca="1" si="2"/>
        <v>Documento a emitir</v>
      </c>
      <c r="J177" s="57" t="str">
        <f>_xlfn.XLOOKUP(C177,'Data Base'!D:D,'Data Base'!O:O)</f>
        <v>Blossom - Documento a emitir</v>
      </c>
    </row>
    <row r="178" spans="2:10" hidden="1" x14ac:dyDescent="0.25">
      <c r="B178" s="53" t="e">
        <f>_xlfn.XLOOKUP(C178,'Data Base'!D:D,'Data Base'!B:B)</f>
        <v>#N/A</v>
      </c>
      <c r="C178" s="53" t="s">
        <v>183</v>
      </c>
      <c r="D178" s="53" t="e">
        <f>_xlfn.XLOOKUP(C178,'LD-ELFA'!F:F,'LD-ELFA'!H:H)</f>
        <v>#N/A</v>
      </c>
      <c r="E178" s="53" t="e">
        <f>_xlfn.XLOOKUP(C178,'Data Base'!D:D,'Data Base'!G:G)</f>
        <v>#N/A</v>
      </c>
      <c r="F178" s="53" t="e">
        <f>_xlfn.XLOOKUP(C178,'LD-ELFA'!F:F,'LD-ELFA'!Q:Q)</f>
        <v>#N/A</v>
      </c>
      <c r="G178" s="56" t="e">
        <f>_xlfn.XLOOKUP(C178,'Data Base'!D:D,'Data Base'!I:I)</f>
        <v>#N/A</v>
      </c>
      <c r="H178" s="56" t="e">
        <f>_xlfn.XLOOKUP(C178,'Data Base'!D:D,'Data Base'!K:K)</f>
        <v>#N/A</v>
      </c>
      <c r="I178" s="57" t="e">
        <f t="shared" ca="1" si="2"/>
        <v>#N/A</v>
      </c>
      <c r="J178" s="57" t="str">
        <f>_xlfn.XLOOKUP(C178,'Data Base'!D:D,'Data Base'!O:O)</f>
        <v>Documento Removido</v>
      </c>
    </row>
    <row r="179" spans="2:10" hidden="1" x14ac:dyDescent="0.25">
      <c r="B179" s="53" t="str">
        <f>_xlfn.XLOOKUP(C179,'Data Base'!D:D,'Data Base'!B:B)</f>
        <v>EM - Estrutura Metalica</v>
      </c>
      <c r="C179" s="53" t="s">
        <v>184</v>
      </c>
      <c r="D179" s="53" t="str">
        <f>_xlfn.XLOOKUP(C179,'LD-ELFA'!F:F,'LD-ELFA'!H:H)</f>
        <v>MC-A1-1201-S-PB-0001</v>
      </c>
      <c r="E179" s="53">
        <f>_xlfn.XLOOKUP(C179,'Data Base'!D:D,'Data Base'!G:G)</f>
        <v>0</v>
      </c>
      <c r="F179" s="53" t="str">
        <f>_xlfn.XLOOKUP(C179,'LD-ELFA'!F:F,'LD-ELFA'!Q:Q)</f>
        <v>BRITAGEM PRIMÁRIA - 1201-ED-001</v>
      </c>
      <c r="G179" s="56" t="str">
        <f>_xlfn.XLOOKUP(C179,'Data Base'!D:D,'Data Base'!I:I)</f>
        <v/>
      </c>
      <c r="H179" s="56" t="str">
        <f>_xlfn.XLOOKUP(C179,'Data Base'!D:D,'Data Base'!K:K)</f>
        <v>Documento a emitir</v>
      </c>
      <c r="I179" s="57" t="str">
        <f t="shared" ca="1" si="2"/>
        <v>Documento a emitir</v>
      </c>
      <c r="J179" s="57" t="str">
        <f>_xlfn.XLOOKUP(C179,'Data Base'!D:D,'Data Base'!O:O)</f>
        <v>Blossom - Documento a emitir</v>
      </c>
    </row>
    <row r="180" spans="2:10" hidden="1" x14ac:dyDescent="0.25">
      <c r="B180" s="53" t="str">
        <f>_xlfn.XLOOKUP(C180,'Data Base'!D:D,'Data Base'!B:B)</f>
        <v>EM - Estrutura Metalica</v>
      </c>
      <c r="C180" s="53" t="s">
        <v>185</v>
      </c>
      <c r="D180" s="53" t="str">
        <f>_xlfn.XLOOKUP(C180,'LD-ELFA'!F:F,'LD-ELFA'!H:H)</f>
        <v>MC-A1-1200-S-PB-0001</v>
      </c>
      <c r="E180" s="53">
        <f>_xlfn.XLOOKUP(C180,'Data Base'!D:D,'Data Base'!G:G)</f>
        <v>0</v>
      </c>
      <c r="F180" s="53" t="str">
        <f>_xlfn.XLOOKUP(C180,'LD-ELFA'!F:F,'LD-ELFA'!Q:Q)</f>
        <v>CASAS DE TRANSFERÊNCIA -1201-CT-001</v>
      </c>
      <c r="G180" s="56" t="str">
        <f>_xlfn.XLOOKUP(C180,'Data Base'!D:D,'Data Base'!I:I)</f>
        <v/>
      </c>
      <c r="H180" s="56" t="str">
        <f>_xlfn.XLOOKUP(C180,'Data Base'!D:D,'Data Base'!K:K)</f>
        <v>Documento a emitir</v>
      </c>
      <c r="I180" s="57" t="str">
        <f t="shared" ca="1" si="2"/>
        <v>Documento a emitir</v>
      </c>
      <c r="J180" s="57" t="str">
        <f>_xlfn.XLOOKUP(C180,'Data Base'!D:D,'Data Base'!O:O)</f>
        <v>Blossom - Documento a emitir</v>
      </c>
    </row>
    <row r="181" spans="2:10" hidden="1" x14ac:dyDescent="0.25">
      <c r="B181" s="53" t="str">
        <f>_xlfn.XLOOKUP(C181,'Data Base'!D:D,'Data Base'!B:B)</f>
        <v>EM - Estrutura Metalica</v>
      </c>
      <c r="C181" s="53" t="s">
        <v>186</v>
      </c>
      <c r="D181" s="53" t="str">
        <f>_xlfn.XLOOKUP(C181,'LD-ELFA'!F:F,'LD-ELFA'!H:H)</f>
        <v>MC-A1-1502-S-PB-0001</v>
      </c>
      <c r="E181" s="53">
        <f>_xlfn.XLOOKUP(C181,'Data Base'!D:D,'Data Base'!G:G)</f>
        <v>0</v>
      </c>
      <c r="F181" s="53" t="str">
        <f>_xlfn.XLOOKUP(C181,'LD-ELFA'!F:F,'LD-ELFA'!Q:Q)</f>
        <v>(ESCADA DE ACESSO (1502-ED-001), TORRE DE ESCADA (1502-ED-002),PLATAFORMA 01 (1502-ED-003), PLATAFORMA 02 (1502-ED-004)</v>
      </c>
      <c r="G181" s="56" t="str">
        <f>_xlfn.XLOOKUP(C181,'Data Base'!D:D,'Data Base'!I:I)</f>
        <v/>
      </c>
      <c r="H181" s="56" t="str">
        <f>_xlfn.XLOOKUP(C181,'Data Base'!D:D,'Data Base'!K:K)</f>
        <v>Documento a emitir</v>
      </c>
      <c r="I181" s="57" t="str">
        <f t="shared" ca="1" si="2"/>
        <v>Documento a emitir</v>
      </c>
      <c r="J181" s="57" t="str">
        <f>_xlfn.XLOOKUP(C181,'Data Base'!D:D,'Data Base'!O:O)</f>
        <v>Blossom - Documento a emitir</v>
      </c>
    </row>
    <row r="182" spans="2:10" hidden="1" x14ac:dyDescent="0.25">
      <c r="B182" s="53" t="e">
        <f>_xlfn.XLOOKUP(C182,'Data Base'!D:D,'Data Base'!B:B)</f>
        <v>#N/A</v>
      </c>
      <c r="C182" s="53" t="s">
        <v>187</v>
      </c>
      <c r="D182" s="53" t="e">
        <f>_xlfn.XLOOKUP(C182,'LD-ELFA'!F:F,'LD-ELFA'!H:H)</f>
        <v>#N/A</v>
      </c>
      <c r="E182" s="53" t="e">
        <f>_xlfn.XLOOKUP(C182,'Data Base'!D:D,'Data Base'!G:G)</f>
        <v>#N/A</v>
      </c>
      <c r="F182" s="53" t="e">
        <f>_xlfn.XLOOKUP(C182,'LD-ELFA'!F:F,'LD-ELFA'!Q:Q)</f>
        <v>#N/A</v>
      </c>
      <c r="G182" s="56" t="e">
        <f>_xlfn.XLOOKUP(C182,'Data Base'!D:D,'Data Base'!I:I)</f>
        <v>#N/A</v>
      </c>
      <c r="H182" s="56" t="e">
        <f>_xlfn.XLOOKUP(C182,'Data Base'!D:D,'Data Base'!K:K)</f>
        <v>#N/A</v>
      </c>
      <c r="I182" s="57" t="e">
        <f t="shared" ca="1" si="2"/>
        <v>#N/A</v>
      </c>
      <c r="J182" s="57" t="str">
        <f>_xlfn.XLOOKUP(C182,'Data Base'!D:D,'Data Base'!O:O)</f>
        <v>Documento Removido</v>
      </c>
    </row>
    <row r="183" spans="2:10" hidden="1" x14ac:dyDescent="0.25">
      <c r="B183" s="53" t="e">
        <f>_xlfn.XLOOKUP(C183,'Data Base'!D:D,'Data Base'!B:B)</f>
        <v>#N/A</v>
      </c>
      <c r="C183" s="53" t="s">
        <v>188</v>
      </c>
      <c r="D183" s="53" t="e">
        <f>_xlfn.XLOOKUP(C183,'LD-ELFA'!F:F,'LD-ELFA'!H:H)</f>
        <v>#N/A</v>
      </c>
      <c r="E183" s="53" t="e">
        <f>_xlfn.XLOOKUP(C183,'Data Base'!D:D,'Data Base'!G:G)</f>
        <v>#N/A</v>
      </c>
      <c r="F183" s="53" t="e">
        <f>_xlfn.XLOOKUP(C183,'LD-ELFA'!F:F,'LD-ELFA'!Q:Q)</f>
        <v>#N/A</v>
      </c>
      <c r="G183" s="56" t="e">
        <f>_xlfn.XLOOKUP(C183,'Data Base'!D:D,'Data Base'!I:I)</f>
        <v>#N/A</v>
      </c>
      <c r="H183" s="56" t="e">
        <f>_xlfn.XLOOKUP(C183,'Data Base'!D:D,'Data Base'!K:K)</f>
        <v>#N/A</v>
      </c>
      <c r="I183" s="57" t="e">
        <f t="shared" ca="1" si="2"/>
        <v>#N/A</v>
      </c>
      <c r="J183" s="57" t="str">
        <f>_xlfn.XLOOKUP(C183,'Data Base'!D:D,'Data Base'!O:O)</f>
        <v>Documento Removido</v>
      </c>
    </row>
    <row r="184" spans="2:10" hidden="1" x14ac:dyDescent="0.25">
      <c r="B184" s="53" t="str">
        <f>_xlfn.XLOOKUP(C184,'Data Base'!D:D,'Data Base'!B:B)</f>
        <v>EM - Estrutura Metalica</v>
      </c>
      <c r="C184" s="53" t="s">
        <v>189</v>
      </c>
      <c r="D184" s="53" t="str">
        <f>_xlfn.XLOOKUP(C184,'LD-ELFA'!F:F,'LD-ELFA'!H:H)</f>
        <v>MC-A1-2304-S-PB-0001</v>
      </c>
      <c r="E184" s="53">
        <f>_xlfn.XLOOKUP(C184,'Data Base'!D:D,'Data Base'!G:G)</f>
        <v>0</v>
      </c>
      <c r="F184" s="53" t="str">
        <f>_xlfn.XLOOKUP(C184,'LD-ELFA'!F:F,'LD-ELFA'!Q:Q)</f>
        <v>PIPECABLE RACK</v>
      </c>
      <c r="G184" s="56" t="str">
        <f>_xlfn.XLOOKUP(C184,'Data Base'!D:D,'Data Base'!I:I)</f>
        <v/>
      </c>
      <c r="H184" s="56" t="str">
        <f>_xlfn.XLOOKUP(C184,'Data Base'!D:D,'Data Base'!K:K)</f>
        <v>Documento a emitir</v>
      </c>
      <c r="I184" s="57" t="str">
        <f t="shared" ca="1" si="2"/>
        <v>Documento a emitir</v>
      </c>
      <c r="J184" s="57" t="str">
        <f>_xlfn.XLOOKUP(C184,'Data Base'!D:D,'Data Base'!O:O)</f>
        <v>Blossom - Documento a emitir</v>
      </c>
    </row>
    <row r="185" spans="2:10" hidden="1" x14ac:dyDescent="0.25">
      <c r="B185" s="53" t="str">
        <f>_xlfn.XLOOKUP(C185,'Data Base'!D:D,'Data Base'!B:B)</f>
        <v>EM - Estrutura Metalica</v>
      </c>
      <c r="C185" s="53" t="s">
        <v>190</v>
      </c>
      <c r="D185" s="53" t="str">
        <f>_xlfn.XLOOKUP(C185,'LD-ELFA'!F:F,'LD-ELFA'!H:H)</f>
        <v>MC-A1-1411-S-PB-4000</v>
      </c>
      <c r="E185" s="53">
        <f>_xlfn.XLOOKUP(C185,'Data Base'!D:D,'Data Base'!G:G)</f>
        <v>0</v>
      </c>
      <c r="F185" s="53" t="str">
        <f>_xlfn.XLOOKUP(C185,'LD-ELFA'!F:F,'LD-ELFA'!Q:Q)</f>
        <v>MEMÓRIA DE CÁLCULO</v>
      </c>
      <c r="G185" s="56" t="str">
        <f>_xlfn.XLOOKUP(C185,'Data Base'!D:D,'Data Base'!I:I)</f>
        <v/>
      </c>
      <c r="H185" s="56" t="str">
        <f>_xlfn.XLOOKUP(C185,'Data Base'!D:D,'Data Base'!K:K)</f>
        <v>Documento a emitir</v>
      </c>
      <c r="I185" s="57" t="str">
        <f t="shared" ca="1" si="2"/>
        <v>Documento a emitir</v>
      </c>
      <c r="J185" s="57" t="str">
        <f>_xlfn.XLOOKUP(C185,'Data Base'!D:D,'Data Base'!O:O)</f>
        <v>Blossom - Documento a emitir</v>
      </c>
    </row>
    <row r="186" spans="2:10" hidden="1" x14ac:dyDescent="0.25">
      <c r="B186" s="53" t="str">
        <f>_xlfn.XLOOKUP(C186,'Data Base'!D:D,'Data Base'!B:B)</f>
        <v>EM - Estrutura Metalica</v>
      </c>
      <c r="C186" s="53" t="s">
        <v>191</v>
      </c>
      <c r="D186" s="53" t="str">
        <f>_xlfn.XLOOKUP(C186,'LD-ELFA'!F:F,'LD-ELFA'!H:H)</f>
        <v>MC-A1-2201-S-PB-4000</v>
      </c>
      <c r="E186" s="53">
        <f>_xlfn.XLOOKUP(C186,'Data Base'!D:D,'Data Base'!G:G)</f>
        <v>0</v>
      </c>
      <c r="F186" s="53" t="str">
        <f>_xlfn.XLOOKUP(C186,'LD-ELFA'!F:F,'LD-ELFA'!Q:Q)</f>
        <v xml:space="preserve">MEMÓRIA DE CÁLCULO </v>
      </c>
      <c r="G186" s="56" t="str">
        <f>_xlfn.XLOOKUP(C186,'Data Base'!D:D,'Data Base'!I:I)</f>
        <v>0008</v>
      </c>
      <c r="H186" s="56">
        <f>_xlfn.XLOOKUP(C186,'Data Base'!D:D,'Data Base'!K:K)</f>
        <v>46202.5380540162</v>
      </c>
      <c r="I186" s="57">
        <f t="shared" ca="1" si="2"/>
        <v>9.4619459837995237</v>
      </c>
      <c r="J186" s="57" t="str">
        <f>_xlfn.XLOOKUP(C186,'Data Base'!D:D,'Data Base'!O:O)</f>
        <v>Blossom - Atendimento de Comentário</v>
      </c>
    </row>
    <row r="187" spans="2:10" hidden="1" x14ac:dyDescent="0.25">
      <c r="B187" s="53" t="str">
        <f>_xlfn.XLOOKUP(C187,'Data Base'!D:D,'Data Base'!B:B)</f>
        <v>EM - Estrutura Metalica</v>
      </c>
      <c r="C187" s="53" t="s">
        <v>192</v>
      </c>
      <c r="D187" s="53" t="str">
        <f>_xlfn.XLOOKUP(C187,'LD-ELFA'!F:F,'LD-ELFA'!H:H)</f>
        <v>MC-A1-2202-S-PB-4000</v>
      </c>
      <c r="E187" s="53">
        <f>_xlfn.XLOOKUP(C187,'Data Base'!D:D,'Data Base'!G:G)</f>
        <v>0</v>
      </c>
      <c r="F187" s="53" t="str">
        <f>_xlfn.XLOOKUP(C187,'LD-ELFA'!F:F,'LD-ELFA'!Q:Q)</f>
        <v xml:space="preserve">MEMÓRIA DE CÁLCULO </v>
      </c>
      <c r="G187" s="56" t="str">
        <f>_xlfn.XLOOKUP(C187,'Data Base'!D:D,'Data Base'!I:I)</f>
        <v>0010</v>
      </c>
      <c r="H187" s="56">
        <f>_xlfn.XLOOKUP(C187,'Data Base'!D:D,'Data Base'!K:K)</f>
        <v>46204.519203321761</v>
      </c>
      <c r="I187" s="57">
        <f t="shared" ca="1" si="2"/>
        <v>7.4807966782391304</v>
      </c>
      <c r="J187" s="57" t="str">
        <f>_xlfn.XLOOKUP(C187,'Data Base'!D:D,'Data Base'!O:O)</f>
        <v>Blossom - Atendimento de Comentário</v>
      </c>
    </row>
    <row r="188" spans="2:10" hidden="1" x14ac:dyDescent="0.25">
      <c r="B188" s="53" t="str">
        <f>_xlfn.XLOOKUP(C188,'Data Base'!D:D,'Data Base'!B:B)</f>
        <v>EM - Estrutura Metalica</v>
      </c>
      <c r="C188" s="53" t="s">
        <v>193</v>
      </c>
      <c r="D188" s="53" t="str">
        <f>_xlfn.XLOOKUP(C188,'LD-ELFA'!F:F,'LD-ELFA'!H:H)</f>
        <v>MC-A1-2203-S-PB-4000</v>
      </c>
      <c r="E188" s="53">
        <f>_xlfn.XLOOKUP(C188,'Data Base'!D:D,'Data Base'!G:G)</f>
        <v>0</v>
      </c>
      <c r="F188" s="53" t="str">
        <f>_xlfn.XLOOKUP(C188,'LD-ELFA'!F:F,'LD-ELFA'!Q:Q)</f>
        <v xml:space="preserve">MEMÓRIA DE CÁLCULO </v>
      </c>
      <c r="G188" s="56" t="str">
        <f>_xlfn.XLOOKUP(C188,'Data Base'!D:D,'Data Base'!I:I)</f>
        <v>0010</v>
      </c>
      <c r="H188" s="56">
        <f>_xlfn.XLOOKUP(C188,'Data Base'!D:D,'Data Base'!K:K)</f>
        <v>46204.519204976852</v>
      </c>
      <c r="I188" s="57">
        <f t="shared" ca="1" si="2"/>
        <v>7.4807950231479481</v>
      </c>
      <c r="J188" s="57" t="str">
        <f>_xlfn.XLOOKUP(C188,'Data Base'!D:D,'Data Base'!O:O)</f>
        <v>Blossom - Atendimento de Comentário</v>
      </c>
    </row>
    <row r="189" spans="2:10" hidden="1" x14ac:dyDescent="0.25">
      <c r="B189" s="53" t="str">
        <f>_xlfn.XLOOKUP(C189,'Data Base'!D:D,'Data Base'!B:B)</f>
        <v>EM - Estrutura Metalica</v>
      </c>
      <c r="C189" s="53" t="s">
        <v>194</v>
      </c>
      <c r="D189" s="53" t="str">
        <f>_xlfn.XLOOKUP(C189,'LD-ELFA'!F:F,'LD-ELFA'!H:H)</f>
        <v>MC-A1-2204-S-PB-4000</v>
      </c>
      <c r="E189" s="53">
        <f>_xlfn.XLOOKUP(C189,'Data Base'!D:D,'Data Base'!G:G)</f>
        <v>0</v>
      </c>
      <c r="F189" s="53" t="str">
        <f>_xlfn.XLOOKUP(C189,'LD-ELFA'!F:F,'LD-ELFA'!Q:Q)</f>
        <v xml:space="preserve">MEMÓRIA DE CÁLCULO </v>
      </c>
      <c r="G189" s="56" t="str">
        <f>_xlfn.XLOOKUP(C189,'Data Base'!D:D,'Data Base'!I:I)</f>
        <v>0015</v>
      </c>
      <c r="H189" s="56">
        <f>_xlfn.XLOOKUP(C189,'Data Base'!D:D,'Data Base'!K:K)</f>
        <v>46204.700839467587</v>
      </c>
      <c r="I189" s="57">
        <f t="shared" ca="1" si="2"/>
        <v>7.2991605324132252</v>
      </c>
      <c r="J189" s="57" t="str">
        <f>_xlfn.XLOOKUP(C189,'Data Base'!D:D,'Data Base'!O:O)</f>
        <v>Blossom - Atendimento de Comentário</v>
      </c>
    </row>
    <row r="190" spans="2:10" hidden="1" x14ac:dyDescent="0.25">
      <c r="B190" s="53" t="str">
        <f>_xlfn.XLOOKUP(C190,'Data Base'!D:D,'Data Base'!B:B)</f>
        <v>EM - Estrutura Metalica</v>
      </c>
      <c r="C190" s="53" t="s">
        <v>195</v>
      </c>
      <c r="D190" s="53" t="str">
        <f>_xlfn.XLOOKUP(C190,'LD-ELFA'!F:F,'LD-ELFA'!H:H)</f>
        <v>MC-A1-2205-S-PB-4000</v>
      </c>
      <c r="E190" s="53">
        <f>_xlfn.XLOOKUP(C190,'Data Base'!D:D,'Data Base'!G:G)</f>
        <v>0</v>
      </c>
      <c r="F190" s="53" t="str">
        <f>_xlfn.XLOOKUP(C190,'LD-ELFA'!F:F,'LD-ELFA'!Q:Q)</f>
        <v xml:space="preserve">MEMÓRIA DE CÁLCULO </v>
      </c>
      <c r="G190" s="56" t="str">
        <f>_xlfn.XLOOKUP(C190,'Data Base'!D:D,'Data Base'!I:I)</f>
        <v>0016</v>
      </c>
      <c r="H190" s="56">
        <f>_xlfn.XLOOKUP(C190,'Data Base'!D:D,'Data Base'!K:K)</f>
        <v>46204.72341875</v>
      </c>
      <c r="I190" s="57">
        <f t="shared" ca="1" si="2"/>
        <v>7.276581250000163</v>
      </c>
      <c r="J190" s="57" t="str">
        <f>_xlfn.XLOOKUP(C190,'Data Base'!D:D,'Data Base'!O:O)</f>
        <v>Blossom - Atendimento de Comentário</v>
      </c>
    </row>
    <row r="191" spans="2:10" hidden="1" x14ac:dyDescent="0.25">
      <c r="B191" s="53" t="e">
        <f>_xlfn.XLOOKUP(C191,'Data Base'!D:D,'Data Base'!B:B)</f>
        <v>#N/A</v>
      </c>
      <c r="C191" s="53" t="s">
        <v>196</v>
      </c>
      <c r="D191" s="53" t="e">
        <f>_xlfn.XLOOKUP(C191,'LD-ELFA'!F:F,'LD-ELFA'!H:H)</f>
        <v>#N/A</v>
      </c>
      <c r="E191" s="53" t="e">
        <f>_xlfn.XLOOKUP(C191,'Data Base'!D:D,'Data Base'!G:G)</f>
        <v>#N/A</v>
      </c>
      <c r="F191" s="53" t="e">
        <f>_xlfn.XLOOKUP(C191,'LD-ELFA'!F:F,'LD-ELFA'!Q:Q)</f>
        <v>#N/A</v>
      </c>
      <c r="G191" s="56" t="e">
        <f>_xlfn.XLOOKUP(C191,'Data Base'!D:D,'Data Base'!I:I)</f>
        <v>#N/A</v>
      </c>
      <c r="H191" s="56" t="e">
        <f>_xlfn.XLOOKUP(C191,'Data Base'!D:D,'Data Base'!K:K)</f>
        <v>#N/A</v>
      </c>
      <c r="I191" s="57" t="e">
        <f t="shared" ca="1" si="2"/>
        <v>#N/A</v>
      </c>
      <c r="J191" s="57" t="str">
        <f>_xlfn.XLOOKUP(C191,'Data Base'!D:D,'Data Base'!O:O)</f>
        <v>Documento Removido</v>
      </c>
    </row>
    <row r="192" spans="2:10" hidden="1" x14ac:dyDescent="0.25">
      <c r="B192" s="53" t="str">
        <f>_xlfn.XLOOKUP(C192,'Data Base'!D:D,'Data Base'!B:B)</f>
        <v>EM - Estrutura Metalica</v>
      </c>
      <c r="C192" s="53" t="s">
        <v>197</v>
      </c>
      <c r="D192" s="53" t="str">
        <f>_xlfn.XLOOKUP(C192,'LD-ELFA'!F:F,'LD-ELFA'!H:H)</f>
        <v>PQ-A1-1411-S-PB-4000</v>
      </c>
      <c r="E192" s="53">
        <f>_xlfn.XLOOKUP(C192,'Data Base'!D:D,'Data Base'!G:G)</f>
        <v>0</v>
      </c>
      <c r="F192" s="53" t="str">
        <f>_xlfn.XLOOKUP(C192,'LD-ELFA'!F:F,'LD-ELFA'!Q:Q)</f>
        <v>PLANILHA DE QUANTIDADES</v>
      </c>
      <c r="G192" s="56" t="str">
        <f>_xlfn.XLOOKUP(C192,'Data Base'!D:D,'Data Base'!I:I)</f>
        <v/>
      </c>
      <c r="H192" s="56" t="str">
        <f>_xlfn.XLOOKUP(C192,'Data Base'!D:D,'Data Base'!K:K)</f>
        <v>Documento a emitir</v>
      </c>
      <c r="I192" s="57" t="str">
        <f t="shared" ca="1" si="2"/>
        <v>Documento a emitir</v>
      </c>
      <c r="J192" s="57" t="str">
        <f>_xlfn.XLOOKUP(C192,'Data Base'!D:D,'Data Base'!O:O)</f>
        <v>Blossom - Documento a emitir</v>
      </c>
    </row>
    <row r="193" spans="2:10" hidden="1" x14ac:dyDescent="0.25">
      <c r="B193" s="53" t="str">
        <f>_xlfn.XLOOKUP(C193,'Data Base'!D:D,'Data Base'!B:B)</f>
        <v>EM - Estrutura Metalica</v>
      </c>
      <c r="C193" s="53" t="s">
        <v>198</v>
      </c>
      <c r="D193" s="53" t="str">
        <f>_xlfn.XLOOKUP(C193,'LD-ELFA'!F:F,'LD-ELFA'!H:H)</f>
        <v>PQ-A1-1000-S-PB-0001</v>
      </c>
      <c r="E193" s="53">
        <f>_xlfn.XLOOKUP(C193,'Data Base'!D:D,'Data Base'!G:G)</f>
        <v>0</v>
      </c>
      <c r="F193" s="53" t="str">
        <f>_xlfn.XLOOKUP(C193,'LD-ELFA'!F:F,'LD-ELFA'!Q:Q)</f>
        <v>PLANILHA DE QUANTIDADES</v>
      </c>
      <c r="G193" s="56" t="str">
        <f>_xlfn.XLOOKUP(C193,'Data Base'!D:D,'Data Base'!I:I)</f>
        <v/>
      </c>
      <c r="H193" s="56" t="str">
        <f>_xlfn.XLOOKUP(C193,'Data Base'!D:D,'Data Base'!K:K)</f>
        <v>Documento a emitir</v>
      </c>
      <c r="I193" s="57" t="str">
        <f t="shared" ca="1" si="2"/>
        <v>Documento a emitir</v>
      </c>
      <c r="J193" s="57" t="str">
        <f>_xlfn.XLOOKUP(C193,'Data Base'!D:D,'Data Base'!O:O)</f>
        <v>Blossom - Documento a emitir</v>
      </c>
    </row>
    <row r="194" spans="2:10" hidden="1" x14ac:dyDescent="0.25">
      <c r="B194" s="53" t="e">
        <f>_xlfn.XLOOKUP(C194,'Data Base'!D:D,'Data Base'!B:B)</f>
        <v>#N/A</v>
      </c>
      <c r="C194" s="53" t="s">
        <v>199</v>
      </c>
      <c r="D194" s="53" t="e">
        <f>_xlfn.XLOOKUP(C194,'LD-ELFA'!F:F,'LD-ELFA'!H:H)</f>
        <v>#N/A</v>
      </c>
      <c r="E194" s="53" t="e">
        <f>_xlfn.XLOOKUP(C194,'Data Base'!D:D,'Data Base'!G:G)</f>
        <v>#N/A</v>
      </c>
      <c r="F194" s="53" t="e">
        <f>_xlfn.XLOOKUP(C194,'LD-ELFA'!F:F,'LD-ELFA'!Q:Q)</f>
        <v>#N/A</v>
      </c>
      <c r="G194" s="56" t="e">
        <f>_xlfn.XLOOKUP(C194,'Data Base'!D:D,'Data Base'!I:I)</f>
        <v>#N/A</v>
      </c>
      <c r="H194" s="56" t="e">
        <f>_xlfn.XLOOKUP(C194,'Data Base'!D:D,'Data Base'!K:K)</f>
        <v>#N/A</v>
      </c>
      <c r="I194" s="57" t="e">
        <f t="shared" ca="1" si="2"/>
        <v>#N/A</v>
      </c>
      <c r="J194" s="57" t="str">
        <f>_xlfn.XLOOKUP(C194,'Data Base'!D:D,'Data Base'!O:O)</f>
        <v>Documento Removido</v>
      </c>
    </row>
    <row r="195" spans="2:10" hidden="1" x14ac:dyDescent="0.25">
      <c r="B195" s="53" t="str">
        <f>_xlfn.XLOOKUP(C195,'Data Base'!D:D,'Data Base'!B:B)</f>
        <v>GP - Gestao De Projetos</v>
      </c>
      <c r="C195" s="53" t="s">
        <v>223</v>
      </c>
      <c r="D195" s="53" t="str">
        <f>_xlfn.XLOOKUP(C195,'LD-ELFA'!F:F,'LD-ELFA'!H:H)</f>
        <v>RL-A1-1000-G-PB-4002</v>
      </c>
      <c r="E195" s="53">
        <f>_xlfn.XLOOKUP(C195,'Data Base'!D:D,'Data Base'!G:G)</f>
        <v>1</v>
      </c>
      <c r="F195" s="53" t="str">
        <f>_xlfn.XLOOKUP(C195,'LD-ELFA'!F:F,'LD-ELFA'!Q:Q)</f>
        <v>NORMA DE COORDENAÇÃO</v>
      </c>
      <c r="G195" s="56" t="str">
        <f>_xlfn.XLOOKUP(C195,'Data Base'!D:D,'Data Base'!I:I)</f>
        <v>0035</v>
      </c>
      <c r="H195" s="56">
        <f>_xlfn.XLOOKUP(C195,'Data Base'!D:D,'Data Base'!K:K)</f>
        <v>46213.700205208334</v>
      </c>
      <c r="I195" s="57">
        <f t="shared" ref="I195:I258" ca="1" si="3">IF(G195="",H195,IF((TODAY()-H195)&lt;5,0,((TODAY()-H195)-5)))</f>
        <v>0</v>
      </c>
      <c r="J195" s="57" t="str">
        <f>_xlfn.XLOOKUP(C195,'Data Base'!D:D,'Data Base'!O:O)</f>
        <v>Documento Concluído</v>
      </c>
    </row>
    <row r="196" spans="2:10" hidden="1" x14ac:dyDescent="0.25">
      <c r="B196" s="53" t="str">
        <f>_xlfn.XLOOKUP(C196,'Data Base'!D:D,'Data Base'!B:B)</f>
        <v>GP - Gestao De Projetos</v>
      </c>
      <c r="C196" s="53" t="s">
        <v>224</v>
      </c>
      <c r="D196" s="53" t="str">
        <f>_xlfn.XLOOKUP(C196,'LD-ELFA'!F:F,'LD-ELFA'!H:H)</f>
        <v>RL-A1-1000-G-PB-4003</v>
      </c>
      <c r="E196" s="53">
        <f>_xlfn.XLOOKUP(C196,'Data Base'!D:D,'Data Base'!G:G)</f>
        <v>0</v>
      </c>
      <c r="F196" s="53" t="str">
        <f>_xlfn.XLOOKUP(C196,'LD-ELFA'!F:F,'LD-ELFA'!Q:Q)</f>
        <v>RELATÓRIO DE ACOMPANHAMENTO PARA PRÓXIMAS FASES</v>
      </c>
      <c r="G196" s="56" t="str">
        <f>_xlfn.XLOOKUP(C196,'Data Base'!D:D,'Data Base'!I:I)</f>
        <v/>
      </c>
      <c r="H196" s="56" t="str">
        <f>_xlfn.XLOOKUP(C196,'Data Base'!D:D,'Data Base'!K:K)</f>
        <v>Documento a emitir</v>
      </c>
      <c r="I196" s="57" t="str">
        <f t="shared" ca="1" si="3"/>
        <v>Documento a emitir</v>
      </c>
      <c r="J196" s="57" t="str">
        <f>_xlfn.XLOOKUP(C196,'Data Base'!D:D,'Data Base'!O:O)</f>
        <v>Blossom - Documento a emitir</v>
      </c>
    </row>
    <row r="197" spans="2:10" hidden="1" x14ac:dyDescent="0.25">
      <c r="B197" s="53" t="str">
        <f>_xlfn.XLOOKUP(C197,'Data Base'!D:D,'Data Base'!B:B)</f>
        <v>ME - Mecanica</v>
      </c>
      <c r="C197" s="53" t="s">
        <v>225</v>
      </c>
      <c r="D197" s="53" t="str">
        <f>_xlfn.XLOOKUP(C197,'LD-ELFA'!F:F,'LD-ELFA'!H:H)</f>
        <v>DE-A1-1802-M-PB-0001</v>
      </c>
      <c r="E197" s="53">
        <f>_xlfn.XLOOKUP(C197,'Data Base'!D:D,'Data Base'!G:G)</f>
        <v>0</v>
      </c>
      <c r="F197" s="53" t="str">
        <f>_xlfn.XLOOKUP(C197,'LD-ELFA'!F:F,'LD-ELFA'!Q:Q)</f>
        <v>PLANTA DE LOCAÇÃO</v>
      </c>
      <c r="G197" s="56" t="str">
        <f>_xlfn.XLOOKUP(C197,'Data Base'!D:D,'Data Base'!I:I)</f>
        <v>0028</v>
      </c>
      <c r="H197" s="56">
        <f>_xlfn.XLOOKUP(C197,'Data Base'!D:D,'Data Base'!K:K)</f>
        <v>46211.678149803243</v>
      </c>
      <c r="I197" s="57">
        <f t="shared" ca="1" si="3"/>
        <v>0.32185019675671356</v>
      </c>
      <c r="J197" s="57" t="str">
        <f>_xlfn.XLOOKUP(C197,'Data Base'!D:D,'Data Base'!O:O)</f>
        <v>Blossom - Atendimento de Comentário</v>
      </c>
    </row>
    <row r="198" spans="2:10" hidden="1" x14ac:dyDescent="0.25">
      <c r="B198" s="53" t="str">
        <f>_xlfn.XLOOKUP(C198,'Data Base'!D:D,'Data Base'!B:B)</f>
        <v>ME - Mecanica</v>
      </c>
      <c r="C198" s="53" t="s">
        <v>226</v>
      </c>
      <c r="D198" s="53" t="str">
        <f>_xlfn.XLOOKUP(C198,'LD-ELFA'!F:F,'LD-ELFA'!H:H)</f>
        <v>DE-A1-1000-M-PB-0001</v>
      </c>
      <c r="E198" s="53">
        <f>_xlfn.XLOOKUP(C198,'Data Base'!D:D,'Data Base'!G:G)</f>
        <v>0</v>
      </c>
      <c r="F198" s="53" t="str">
        <f>_xlfn.XLOOKUP(C198,'LD-ELFA'!F:F,'LD-ELFA'!Q:Q)</f>
        <v>PLANO DIRETOR</v>
      </c>
      <c r="G198" s="56" t="str">
        <f>_xlfn.XLOOKUP(C198,'Data Base'!D:D,'Data Base'!I:I)</f>
        <v/>
      </c>
      <c r="H198" s="56" t="str">
        <f>_xlfn.XLOOKUP(C198,'Data Base'!D:D,'Data Base'!K:K)</f>
        <v>Documento a emitir</v>
      </c>
      <c r="I198" s="57" t="str">
        <f t="shared" ca="1" si="3"/>
        <v>Documento a emitir</v>
      </c>
      <c r="J198" s="57" t="str">
        <f>_xlfn.XLOOKUP(C198,'Data Base'!D:D,'Data Base'!O:O)</f>
        <v>Blossom - Documento a emitir</v>
      </c>
    </row>
    <row r="199" spans="2:10" hidden="1" x14ac:dyDescent="0.25">
      <c r="B199" s="53" t="str">
        <f>_xlfn.XLOOKUP(C199,'Data Base'!D:D,'Data Base'!B:B)</f>
        <v>ME - Mecanica</v>
      </c>
      <c r="C199" s="53" t="s">
        <v>227</v>
      </c>
      <c r="D199" s="53" t="str">
        <f>_xlfn.XLOOKUP(C199,'LD-ELFA'!F:F,'LD-ELFA'!H:H)</f>
        <v>ET-A1-1201-M-PB-4000</v>
      </c>
      <c r="E199" s="53">
        <f>_xlfn.XLOOKUP(C199,'Data Base'!D:D,'Data Base'!G:G)</f>
        <v>0</v>
      </c>
      <c r="F199" s="53" t="str">
        <f>_xlfn.XLOOKUP(C199,'LD-ELFA'!F:F,'LD-ELFA'!Q:Q)</f>
        <v>ESPECIFICAÇÃO TÉCNICA</v>
      </c>
      <c r="G199" s="56" t="str">
        <f>_xlfn.XLOOKUP(C199,'Data Base'!D:D,'Data Base'!I:I)</f>
        <v/>
      </c>
      <c r="H199" s="56" t="str">
        <f>_xlfn.XLOOKUP(C199,'Data Base'!D:D,'Data Base'!K:K)</f>
        <v>Documento a emitir</v>
      </c>
      <c r="I199" s="57" t="str">
        <f t="shared" ca="1" si="3"/>
        <v>Documento a emitir</v>
      </c>
      <c r="J199" s="57" t="str">
        <f>_xlfn.XLOOKUP(C199,'Data Base'!D:D,'Data Base'!O:O)</f>
        <v>Blossom - Documento a emitir</v>
      </c>
    </row>
    <row r="200" spans="2:10" hidden="1" x14ac:dyDescent="0.25">
      <c r="B200" s="53" t="str">
        <f>_xlfn.XLOOKUP(C200,'Data Base'!D:D,'Data Base'!B:B)</f>
        <v>ME - Mecanica</v>
      </c>
      <c r="C200" s="53" t="s">
        <v>228</v>
      </c>
      <c r="D200" s="53" t="str">
        <f>_xlfn.XLOOKUP(C200,'LD-ELFA'!F:F,'LD-ELFA'!H:H)</f>
        <v>ET-A1-1602-M-PB-4000</v>
      </c>
      <c r="E200" s="53">
        <f>_xlfn.XLOOKUP(C200,'Data Base'!D:D,'Data Base'!G:G)</f>
        <v>0</v>
      </c>
      <c r="F200" s="53" t="str">
        <f>_xlfn.XLOOKUP(C200,'LD-ELFA'!F:F,'LD-ELFA'!Q:Q)</f>
        <v>ESPECIFICAÇÃO TÉCNICA</v>
      </c>
      <c r="G200" s="56" t="str">
        <f>_xlfn.XLOOKUP(C200,'Data Base'!D:D,'Data Base'!I:I)</f>
        <v/>
      </c>
      <c r="H200" s="56" t="str">
        <f>_xlfn.XLOOKUP(C200,'Data Base'!D:D,'Data Base'!K:K)</f>
        <v>Documento a emitir</v>
      </c>
      <c r="I200" s="57" t="str">
        <f t="shared" ca="1" si="3"/>
        <v>Documento a emitir</v>
      </c>
      <c r="J200" s="57" t="str">
        <f>_xlfn.XLOOKUP(C200,'Data Base'!D:D,'Data Base'!O:O)</f>
        <v>Blossom - Documento a emitir</v>
      </c>
    </row>
    <row r="201" spans="2:10" x14ac:dyDescent="0.25">
      <c r="B201" s="53" t="str">
        <f>_xlfn.XLOOKUP(C201,'Data Base'!D:D,'Data Base'!B:B)</f>
        <v>ME - Mecanica</v>
      </c>
      <c r="C201" s="53" t="s">
        <v>229</v>
      </c>
      <c r="D201" s="53" t="str">
        <f>_xlfn.XLOOKUP(C201,'LD-ELFA'!F:F,'LD-ELFA'!H:H)</f>
        <v>ET-A1-1000-G-PB-0004</v>
      </c>
      <c r="E201" s="53">
        <f>_xlfn.XLOOKUP(C201,'Data Base'!D:D,'Data Base'!G:G)</f>
        <v>0</v>
      </c>
      <c r="F201" s="53" t="str">
        <f>_xlfn.XLOOKUP(C201,'LD-ELFA'!F:F,'LD-ELFA'!Q:Q)</f>
        <v>ESPECIFICAÇÃO DE SERVIÇO</v>
      </c>
      <c r="G201" s="56" t="str">
        <f>_xlfn.XLOOKUP(C201,'Data Base'!D:D,'Data Base'!I:I)</f>
        <v>0035</v>
      </c>
      <c r="H201" s="56">
        <f>_xlfn.XLOOKUP(C201,'Data Base'!D:D,'Data Base'!K:K)</f>
        <v>46213.700205983798</v>
      </c>
      <c r="I201" s="57">
        <f t="shared" ca="1" si="3"/>
        <v>0</v>
      </c>
      <c r="J201" s="57" t="str">
        <f>_xlfn.XLOOKUP(C201,'Data Base'!D:D,'Data Base'!O:O)</f>
        <v>Cliente - Atendimento de Comentário</v>
      </c>
    </row>
    <row r="202" spans="2:10" hidden="1" x14ac:dyDescent="0.25">
      <c r="B202" s="53" t="str">
        <f>_xlfn.XLOOKUP(C202,'Data Base'!D:D,'Data Base'!B:B)</f>
        <v>ME - Mecanica</v>
      </c>
      <c r="C202" s="53" t="s">
        <v>230</v>
      </c>
      <c r="D202" s="53" t="str">
        <f>_xlfn.XLOOKUP(C202,'LD-ELFA'!F:F,'LD-ELFA'!H:H)</f>
        <v>ET-A1-1411-M-PB-4000</v>
      </c>
      <c r="E202" s="53">
        <f>_xlfn.XLOOKUP(C202,'Data Base'!D:D,'Data Base'!G:G)</f>
        <v>0</v>
      </c>
      <c r="F202" s="53" t="str">
        <f>_xlfn.XLOOKUP(C202,'LD-ELFA'!F:F,'LD-ELFA'!Q:Q)</f>
        <v>ESPECIFICAÇÃO TÉCNICA</v>
      </c>
      <c r="G202" s="56" t="str">
        <f>_xlfn.XLOOKUP(C202,'Data Base'!D:D,'Data Base'!I:I)</f>
        <v/>
      </c>
      <c r="H202" s="56" t="str">
        <f>_xlfn.XLOOKUP(C202,'Data Base'!D:D,'Data Base'!K:K)</f>
        <v>Documento a emitir</v>
      </c>
      <c r="I202" s="57" t="str">
        <f t="shared" ca="1" si="3"/>
        <v>Documento a emitir</v>
      </c>
      <c r="J202" s="57" t="str">
        <f>_xlfn.XLOOKUP(C202,'Data Base'!D:D,'Data Base'!O:O)</f>
        <v>Blossom - Documento a emitir</v>
      </c>
    </row>
    <row r="203" spans="2:10" hidden="1" x14ac:dyDescent="0.25">
      <c r="B203" s="53" t="e">
        <f>_xlfn.XLOOKUP(C203,'Data Base'!D:D,'Data Base'!B:B)</f>
        <v>#N/A</v>
      </c>
      <c r="C203" s="53" t="s">
        <v>231</v>
      </c>
      <c r="D203" s="53" t="e">
        <f>_xlfn.XLOOKUP(C203,'LD-ELFA'!F:F,'LD-ELFA'!H:H)</f>
        <v>#N/A</v>
      </c>
      <c r="E203" s="53" t="e">
        <f>_xlfn.XLOOKUP(C203,'Data Base'!D:D,'Data Base'!G:G)</f>
        <v>#N/A</v>
      </c>
      <c r="F203" s="53" t="e">
        <f>_xlfn.XLOOKUP(C203,'LD-ELFA'!F:F,'LD-ELFA'!Q:Q)</f>
        <v>#N/A</v>
      </c>
      <c r="G203" s="56" t="e">
        <f>_xlfn.XLOOKUP(C203,'Data Base'!D:D,'Data Base'!I:I)</f>
        <v>#N/A</v>
      </c>
      <c r="H203" s="56" t="e">
        <f>_xlfn.XLOOKUP(C203,'Data Base'!D:D,'Data Base'!K:K)</f>
        <v>#N/A</v>
      </c>
      <c r="I203" s="57" t="e">
        <f t="shared" ca="1" si="3"/>
        <v>#N/A</v>
      </c>
      <c r="J203" s="57" t="str">
        <f>_xlfn.XLOOKUP(C203,'Data Base'!D:D,'Data Base'!O:O)</f>
        <v>Documento Removido</v>
      </c>
    </row>
    <row r="204" spans="2:10" x14ac:dyDescent="0.25">
      <c r="B204" s="53" t="str">
        <f>_xlfn.XLOOKUP(C204,'Data Base'!D:D,'Data Base'!B:B)</f>
        <v>ME - Mecanica</v>
      </c>
      <c r="C204" s="53" t="s">
        <v>232</v>
      </c>
      <c r="D204" s="53" t="str">
        <f>_xlfn.XLOOKUP(C204,'LD-ELFA'!F:F,'LD-ELFA'!H:H)</f>
        <v>FD-A1-1000-M-PB-0004</v>
      </c>
      <c r="E204" s="53">
        <f>_xlfn.XLOOKUP(C204,'Data Base'!D:D,'Data Base'!G:G)</f>
        <v>0</v>
      </c>
      <c r="F204" s="53" t="str">
        <f>_xlfn.XLOOKUP(C204,'LD-ELFA'!F:F,'LD-ELFA'!Q:Q)</f>
        <v>FOLHA DE DADOS</v>
      </c>
      <c r="G204" s="56" t="str">
        <f>_xlfn.XLOOKUP(C204,'Data Base'!D:D,'Data Base'!I:I)</f>
        <v>0036</v>
      </c>
      <c r="H204" s="56">
        <f>_xlfn.XLOOKUP(C204,'Data Base'!D:D,'Data Base'!K:K)</f>
        <v>46213.700416747677</v>
      </c>
      <c r="I204" s="57">
        <f t="shared" ca="1" si="3"/>
        <v>0</v>
      </c>
      <c r="J204" s="57" t="str">
        <f>_xlfn.XLOOKUP(C204,'Data Base'!D:D,'Data Base'!O:O)</f>
        <v>Cliente - Atendimento de Comentário</v>
      </c>
    </row>
    <row r="205" spans="2:10" hidden="1" x14ac:dyDescent="0.25">
      <c r="B205" s="53" t="str">
        <f>_xlfn.XLOOKUP(C205,'Data Base'!D:D,'Data Base'!B:B)</f>
        <v>ME - Mecanica</v>
      </c>
      <c r="C205" s="53" t="s">
        <v>233</v>
      </c>
      <c r="D205" s="53" t="str">
        <f>_xlfn.XLOOKUP(C205,'LD-ELFA'!F:F,'LD-ELFA'!H:H)</f>
        <v>FD-A1-1411-M-PB-4000</v>
      </c>
      <c r="E205" s="53">
        <f>_xlfn.XLOOKUP(C205,'Data Base'!D:D,'Data Base'!G:G)</f>
        <v>0</v>
      </c>
      <c r="F205" s="53" t="str">
        <f>_xlfn.XLOOKUP(C205,'LD-ELFA'!F:F,'LD-ELFA'!Q:Q)</f>
        <v>FOLHA DE DADOS</v>
      </c>
      <c r="G205" s="56" t="str">
        <f>_xlfn.XLOOKUP(C205,'Data Base'!D:D,'Data Base'!I:I)</f>
        <v/>
      </c>
      <c r="H205" s="56" t="str">
        <f>_xlfn.XLOOKUP(C205,'Data Base'!D:D,'Data Base'!K:K)</f>
        <v>Documento a emitir</v>
      </c>
      <c r="I205" s="57" t="str">
        <f t="shared" ca="1" si="3"/>
        <v>Documento a emitir</v>
      </c>
      <c r="J205" s="57" t="str">
        <f>_xlfn.XLOOKUP(C205,'Data Base'!D:D,'Data Base'!O:O)</f>
        <v>Blossom - Documento a emitir</v>
      </c>
    </row>
    <row r="206" spans="2:10" hidden="1" x14ac:dyDescent="0.25">
      <c r="B206" s="53" t="e">
        <f>_xlfn.XLOOKUP(C206,'Data Base'!D:D,'Data Base'!B:B)</f>
        <v>#N/A</v>
      </c>
      <c r="C206" s="53" t="s">
        <v>234</v>
      </c>
      <c r="D206" s="53" t="e">
        <f>_xlfn.XLOOKUP(C206,'LD-ELFA'!F:F,'LD-ELFA'!H:H)</f>
        <v>#N/A</v>
      </c>
      <c r="E206" s="53" t="e">
        <f>_xlfn.XLOOKUP(C206,'Data Base'!D:D,'Data Base'!G:G)</f>
        <v>#N/A</v>
      </c>
      <c r="F206" s="53" t="e">
        <f>_xlfn.XLOOKUP(C206,'LD-ELFA'!F:F,'LD-ELFA'!Q:Q)</f>
        <v>#N/A</v>
      </c>
      <c r="G206" s="56" t="e">
        <f>_xlfn.XLOOKUP(C206,'Data Base'!D:D,'Data Base'!I:I)</f>
        <v>#N/A</v>
      </c>
      <c r="H206" s="56" t="e">
        <f>_xlfn.XLOOKUP(C206,'Data Base'!D:D,'Data Base'!K:K)</f>
        <v>#N/A</v>
      </c>
      <c r="I206" s="57" t="e">
        <f t="shared" ca="1" si="3"/>
        <v>#N/A</v>
      </c>
      <c r="J206" s="57" t="str">
        <f>_xlfn.XLOOKUP(C206,'Data Base'!D:D,'Data Base'!O:O)</f>
        <v>Documento Removido</v>
      </c>
    </row>
    <row r="207" spans="2:10" hidden="1" x14ac:dyDescent="0.25">
      <c r="B207" s="53" t="str">
        <f>_xlfn.XLOOKUP(C207,'Data Base'!D:D,'Data Base'!B:B)</f>
        <v>ME - Mecanica</v>
      </c>
      <c r="C207" s="53" t="s">
        <v>235</v>
      </c>
      <c r="D207" s="53" t="str">
        <f>_xlfn.XLOOKUP(C207,'LD-ELFA'!F:F,'LD-ELFA'!H:H)</f>
        <v>FD-A1-1411-M-PB-4001</v>
      </c>
      <c r="E207" s="53">
        <f>_xlfn.XLOOKUP(C207,'Data Base'!D:D,'Data Base'!G:G)</f>
        <v>0</v>
      </c>
      <c r="F207" s="53" t="str">
        <f>_xlfn.XLOOKUP(C207,'LD-ELFA'!F:F,'LD-ELFA'!Q:Q)</f>
        <v>FOLHA DE DADOS</v>
      </c>
      <c r="G207" s="56" t="str">
        <f>_xlfn.XLOOKUP(C207,'Data Base'!D:D,'Data Base'!I:I)</f>
        <v/>
      </c>
      <c r="H207" s="56" t="str">
        <f>_xlfn.XLOOKUP(C207,'Data Base'!D:D,'Data Base'!K:K)</f>
        <v>Documento a emitir</v>
      </c>
      <c r="I207" s="57" t="str">
        <f t="shared" ca="1" si="3"/>
        <v>Documento a emitir</v>
      </c>
      <c r="J207" s="57" t="str">
        <f>_xlfn.XLOOKUP(C207,'Data Base'!D:D,'Data Base'!O:O)</f>
        <v>Blossom - Documento a emitir</v>
      </c>
    </row>
    <row r="208" spans="2:10" hidden="1" x14ac:dyDescent="0.25">
      <c r="B208" s="53" t="str">
        <f>_xlfn.XLOOKUP(C208,'Data Base'!D:D,'Data Base'!B:B)</f>
        <v>ME - Mecanica</v>
      </c>
      <c r="C208" s="53" t="s">
        <v>236</v>
      </c>
      <c r="D208" s="53" t="str">
        <f>_xlfn.XLOOKUP(C208,'LD-ELFA'!F:F,'LD-ELFA'!H:H)</f>
        <v>FD-A1-1201-M-PB-4000</v>
      </c>
      <c r="E208" s="53">
        <f>_xlfn.XLOOKUP(C208,'Data Base'!D:D,'Data Base'!G:G)</f>
        <v>0</v>
      </c>
      <c r="F208" s="53" t="str">
        <f>_xlfn.XLOOKUP(C208,'LD-ELFA'!F:F,'LD-ELFA'!Q:Q)</f>
        <v>ESPECIFICAÇÃO TÉCNICA</v>
      </c>
      <c r="G208" s="56" t="str">
        <f>_xlfn.XLOOKUP(C208,'Data Base'!D:D,'Data Base'!I:I)</f>
        <v/>
      </c>
      <c r="H208" s="56" t="str">
        <f>_xlfn.XLOOKUP(C208,'Data Base'!D:D,'Data Base'!K:K)</f>
        <v>Documento a emitir</v>
      </c>
      <c r="I208" s="57" t="str">
        <f t="shared" ca="1" si="3"/>
        <v>Documento a emitir</v>
      </c>
      <c r="J208" s="57" t="str">
        <f>_xlfn.XLOOKUP(C208,'Data Base'!D:D,'Data Base'!O:O)</f>
        <v>Blossom - Documento a emitir</v>
      </c>
    </row>
    <row r="209" spans="2:10" hidden="1" x14ac:dyDescent="0.25">
      <c r="B209" s="53" t="str">
        <f>_xlfn.XLOOKUP(C209,'Data Base'!D:D,'Data Base'!B:B)</f>
        <v>ME - Mecanica</v>
      </c>
      <c r="C209" s="53" t="s">
        <v>237</v>
      </c>
      <c r="D209" s="53" t="str">
        <f>_xlfn.XLOOKUP(C209,'LD-ELFA'!F:F,'LD-ELFA'!H:H)</f>
        <v>FD-A1-1602-M-PB-4000</v>
      </c>
      <c r="E209" s="53">
        <f>_xlfn.XLOOKUP(C209,'Data Base'!D:D,'Data Base'!G:G)</f>
        <v>0</v>
      </c>
      <c r="F209" s="53" t="str">
        <f>_xlfn.XLOOKUP(C209,'LD-ELFA'!F:F,'LD-ELFA'!Q:Q)</f>
        <v>FOLHA DE DADOS</v>
      </c>
      <c r="G209" s="56" t="str">
        <f>_xlfn.XLOOKUP(C209,'Data Base'!D:D,'Data Base'!I:I)</f>
        <v/>
      </c>
      <c r="H209" s="56" t="str">
        <f>_xlfn.XLOOKUP(C209,'Data Base'!D:D,'Data Base'!K:K)</f>
        <v>Documento a emitir</v>
      </c>
      <c r="I209" s="57" t="str">
        <f t="shared" ca="1" si="3"/>
        <v>Documento a emitir</v>
      </c>
      <c r="J209" s="57" t="str">
        <f>_xlfn.XLOOKUP(C209,'Data Base'!D:D,'Data Base'!O:O)</f>
        <v>Blossom - Documento a emitir</v>
      </c>
    </row>
    <row r="210" spans="2:10" x14ac:dyDescent="0.25">
      <c r="B210" s="53" t="str">
        <f>_xlfn.XLOOKUP(C210,'Data Base'!D:D,'Data Base'!B:B)</f>
        <v>ME - Mecanica</v>
      </c>
      <c r="C210" s="53" t="s">
        <v>238</v>
      </c>
      <c r="D210" s="53" t="str">
        <f>_xlfn.XLOOKUP(C210,'LD-ELFA'!F:F,'LD-ELFA'!H:H)</f>
        <v>LE-A1-1000-M-PB-0001</v>
      </c>
      <c r="E210" s="53">
        <f>_xlfn.XLOOKUP(C210,'Data Base'!D:D,'Data Base'!G:G)</f>
        <v>1</v>
      </c>
      <c r="F210" s="53" t="str">
        <f>_xlfn.XLOOKUP(C210,'LD-ELFA'!F:F,'LD-ELFA'!Q:Q)</f>
        <v>LISTA DE EQUIPAMENTOS MECÂNICOS</v>
      </c>
      <c r="G210" s="56" t="str">
        <f>_xlfn.XLOOKUP(C210,'Data Base'!D:D,'Data Base'!I:I)</f>
        <v>0036</v>
      </c>
      <c r="H210" s="56">
        <f>_xlfn.XLOOKUP(C210,'Data Base'!D:D,'Data Base'!K:K)</f>
        <v>46213.700418368047</v>
      </c>
      <c r="I210" s="57">
        <f t="shared" ca="1" si="3"/>
        <v>0</v>
      </c>
      <c r="J210" s="57" t="str">
        <f>_xlfn.XLOOKUP(C210,'Data Base'!D:D,'Data Base'!O:O)</f>
        <v>Cliente - Atendimento de Comentário</v>
      </c>
    </row>
    <row r="211" spans="2:10" hidden="1" x14ac:dyDescent="0.25">
      <c r="B211" s="53" t="e">
        <f>_xlfn.XLOOKUP(C211,'Data Base'!D:D,'Data Base'!B:B)</f>
        <v>#N/A</v>
      </c>
      <c r="C211" s="53" t="s">
        <v>239</v>
      </c>
      <c r="D211" s="53" t="e">
        <f>_xlfn.XLOOKUP(C211,'LD-ELFA'!F:F,'LD-ELFA'!H:H)</f>
        <v>#N/A</v>
      </c>
      <c r="E211" s="53" t="e">
        <f>_xlfn.XLOOKUP(C211,'Data Base'!D:D,'Data Base'!G:G)</f>
        <v>#N/A</v>
      </c>
      <c r="F211" s="53" t="e">
        <f>_xlfn.XLOOKUP(C211,'LD-ELFA'!F:F,'LD-ELFA'!Q:Q)</f>
        <v>#N/A</v>
      </c>
      <c r="G211" s="56" t="e">
        <f>_xlfn.XLOOKUP(C211,'Data Base'!D:D,'Data Base'!I:I)</f>
        <v>#N/A</v>
      </c>
      <c r="H211" s="56" t="e">
        <f>_xlfn.XLOOKUP(C211,'Data Base'!D:D,'Data Base'!K:K)</f>
        <v>#N/A</v>
      </c>
      <c r="I211" s="57" t="e">
        <f t="shared" ca="1" si="3"/>
        <v>#N/A</v>
      </c>
      <c r="J211" s="57" t="str">
        <f>_xlfn.XLOOKUP(C211,'Data Base'!D:D,'Data Base'!O:O)</f>
        <v>Documento Removido</v>
      </c>
    </row>
    <row r="212" spans="2:10" hidden="1" x14ac:dyDescent="0.25">
      <c r="B212" s="53" t="str">
        <f>_xlfn.XLOOKUP(C212,'Data Base'!D:D,'Data Base'!B:B)</f>
        <v>ME - Mecanica</v>
      </c>
      <c r="C212" s="53" t="s">
        <v>240</v>
      </c>
      <c r="D212" s="53" t="str">
        <f>_xlfn.XLOOKUP(C212,'LD-ELFA'!F:F,'LD-ELFA'!H:H)</f>
        <v>MC-A1-1000-M-PB-0001</v>
      </c>
      <c r="E212" s="53">
        <f>_xlfn.XLOOKUP(C212,'Data Base'!D:D,'Data Base'!G:G)</f>
        <v>0</v>
      </c>
      <c r="F212" s="53" t="str">
        <f>_xlfn.XLOOKUP(C212,'LD-ELFA'!F:F,'LD-ELFA'!Q:Q)</f>
        <v>MEMÓRIA DE CÁLCULO</v>
      </c>
      <c r="G212" s="56" t="str">
        <f>_xlfn.XLOOKUP(C212,'Data Base'!D:D,'Data Base'!I:I)</f>
        <v/>
      </c>
      <c r="H212" s="56" t="str">
        <f>_xlfn.XLOOKUP(C212,'Data Base'!D:D,'Data Base'!K:K)</f>
        <v>Documento a emitir</v>
      </c>
      <c r="I212" s="57" t="str">
        <f t="shared" ca="1" si="3"/>
        <v>Documento a emitir</v>
      </c>
      <c r="J212" s="57" t="str">
        <f>_xlfn.XLOOKUP(C212,'Data Base'!D:D,'Data Base'!O:O)</f>
        <v>Blossom - Documento a emitir</v>
      </c>
    </row>
    <row r="213" spans="2:10" x14ac:dyDescent="0.25">
      <c r="B213" s="53" t="str">
        <f>_xlfn.XLOOKUP(C213,'Data Base'!D:D,'Data Base'!B:B)</f>
        <v>ME - Mecanica</v>
      </c>
      <c r="C213" s="53" t="s">
        <v>241</v>
      </c>
      <c r="D213" s="53" t="str">
        <f>_xlfn.XLOOKUP(C213,'LD-ELFA'!F:F,'LD-ELFA'!H:H)</f>
        <v>MC-A1-1000-M-PB-0002</v>
      </c>
      <c r="E213" s="53">
        <f>_xlfn.XLOOKUP(C213,'Data Base'!D:D,'Data Base'!G:G)</f>
        <v>0</v>
      </c>
      <c r="F213" s="53" t="str">
        <f>_xlfn.XLOOKUP(C213,'LD-ELFA'!F:F,'LD-ELFA'!Q:Q)</f>
        <v>MEMÓRIAL DE CÁLCULO</v>
      </c>
      <c r="G213" s="56" t="str">
        <f>_xlfn.XLOOKUP(C213,'Data Base'!D:D,'Data Base'!I:I)</f>
        <v>0031</v>
      </c>
      <c r="H213" s="56">
        <f>_xlfn.XLOOKUP(C213,'Data Base'!D:D,'Data Base'!K:K)</f>
        <v>46212.676546527779</v>
      </c>
      <c r="I213" s="57">
        <f t="shared" ca="1" si="3"/>
        <v>0</v>
      </c>
      <c r="J213" s="57" t="str">
        <f>_xlfn.XLOOKUP(C213,'Data Base'!D:D,'Data Base'!O:O)</f>
        <v>Blossom - Atendimento de Comentário</v>
      </c>
    </row>
    <row r="214" spans="2:10" hidden="1" x14ac:dyDescent="0.25">
      <c r="B214" s="53" t="e">
        <f>_xlfn.XLOOKUP(C214,'Data Base'!D:D,'Data Base'!B:B)</f>
        <v>#N/A</v>
      </c>
      <c r="C214" s="53" t="s">
        <v>242</v>
      </c>
      <c r="D214" s="53" t="e">
        <f>_xlfn.XLOOKUP(C214,'LD-ELFA'!F:F,'LD-ELFA'!H:H)</f>
        <v>#N/A</v>
      </c>
      <c r="E214" s="53" t="e">
        <f>_xlfn.XLOOKUP(C214,'Data Base'!D:D,'Data Base'!G:G)</f>
        <v>#N/A</v>
      </c>
      <c r="F214" s="53" t="e">
        <f>_xlfn.XLOOKUP(C214,'LD-ELFA'!F:F,'LD-ELFA'!Q:Q)</f>
        <v>#N/A</v>
      </c>
      <c r="G214" s="56" t="e">
        <f>_xlfn.XLOOKUP(C214,'Data Base'!D:D,'Data Base'!I:I)</f>
        <v>#N/A</v>
      </c>
      <c r="H214" s="56" t="e">
        <f>_xlfn.XLOOKUP(C214,'Data Base'!D:D,'Data Base'!K:K)</f>
        <v>#N/A</v>
      </c>
      <c r="I214" s="57" t="e">
        <f t="shared" ca="1" si="3"/>
        <v>#N/A</v>
      </c>
      <c r="J214" s="57" t="str">
        <f>_xlfn.XLOOKUP(C214,'Data Base'!D:D,'Data Base'!O:O)</f>
        <v>Documento Removido</v>
      </c>
    </row>
    <row r="215" spans="2:10" hidden="1" x14ac:dyDescent="0.25">
      <c r="B215" s="53" t="str">
        <f>_xlfn.XLOOKUP(C215,'Data Base'!D:D,'Data Base'!B:B)</f>
        <v>ME - Mecanica</v>
      </c>
      <c r="C215" s="53" t="s">
        <v>243</v>
      </c>
      <c r="D215" s="53" t="str">
        <f>_xlfn.XLOOKUP(C215,'LD-ELFA'!F:F,'LD-ELFA'!H:H)</f>
        <v>MC-A1-1411-M-PB-4000</v>
      </c>
      <c r="E215" s="53">
        <f>_xlfn.XLOOKUP(C215,'Data Base'!D:D,'Data Base'!G:G)</f>
        <v>0</v>
      </c>
      <c r="F215" s="53" t="str">
        <f>_xlfn.XLOOKUP(C215,'LD-ELFA'!F:F,'LD-ELFA'!Q:Q)</f>
        <v>MEMÓRIA DE CÁLCULO</v>
      </c>
      <c r="G215" s="56" t="str">
        <f>_xlfn.XLOOKUP(C215,'Data Base'!D:D,'Data Base'!I:I)</f>
        <v/>
      </c>
      <c r="H215" s="56" t="str">
        <f>_xlfn.XLOOKUP(C215,'Data Base'!D:D,'Data Base'!K:K)</f>
        <v>Documento a emitir</v>
      </c>
      <c r="I215" s="57" t="str">
        <f t="shared" ca="1" si="3"/>
        <v>Documento a emitir</v>
      </c>
      <c r="J215" s="57" t="str">
        <f>_xlfn.XLOOKUP(C215,'Data Base'!D:D,'Data Base'!O:O)</f>
        <v>Blossom - Documento a emitir</v>
      </c>
    </row>
    <row r="216" spans="2:10" hidden="1" x14ac:dyDescent="0.25">
      <c r="B216" s="53" t="str">
        <f>_xlfn.XLOOKUP(C216,'Data Base'!D:D,'Data Base'!B:B)</f>
        <v>ME - Mecanica</v>
      </c>
      <c r="C216" s="53" t="s">
        <v>244</v>
      </c>
      <c r="D216" s="53" t="str">
        <f>_xlfn.XLOOKUP(C216,'LD-ELFA'!F:F,'LD-ELFA'!H:H)</f>
        <v>MC-A1-1411-M-PB-4001</v>
      </c>
      <c r="E216" s="53">
        <f>_xlfn.XLOOKUP(C216,'Data Base'!D:D,'Data Base'!G:G)</f>
        <v>0</v>
      </c>
      <c r="F216" s="53" t="str">
        <f>_xlfn.XLOOKUP(C216,'LD-ELFA'!F:F,'LD-ELFA'!Q:Q)</f>
        <v>MEMÓRIA DE CÁLCULO</v>
      </c>
      <c r="G216" s="56" t="str">
        <f>_xlfn.XLOOKUP(C216,'Data Base'!D:D,'Data Base'!I:I)</f>
        <v>0019</v>
      </c>
      <c r="H216" s="56">
        <f>_xlfn.XLOOKUP(C216,'Data Base'!D:D,'Data Base'!K:K)</f>
        <v>46209.706695520843</v>
      </c>
      <c r="I216" s="57">
        <f t="shared" ca="1" si="3"/>
        <v>2.2933044791570865</v>
      </c>
      <c r="J216" s="57" t="str">
        <f>_xlfn.XLOOKUP(C216,'Data Base'!D:D,'Data Base'!O:O)</f>
        <v>Blossom - Atendimento de Comentário</v>
      </c>
    </row>
    <row r="217" spans="2:10" x14ac:dyDescent="0.25">
      <c r="B217" s="53" t="str">
        <f>_xlfn.XLOOKUP(C217,'Data Base'!D:D,'Data Base'!B:B)</f>
        <v>ME - Mecanica</v>
      </c>
      <c r="C217" s="53" t="s">
        <v>245</v>
      </c>
      <c r="D217" s="53" t="str">
        <f>_xlfn.XLOOKUP(C217,'LD-ELFA'!F:F,'LD-ELFA'!H:H)</f>
        <v>MC-A1-1411-M-PB-4002</v>
      </c>
      <c r="E217" s="53">
        <f>_xlfn.XLOOKUP(C217,'Data Base'!D:D,'Data Base'!G:G)</f>
        <v>0</v>
      </c>
      <c r="F217" s="53" t="str">
        <f>_xlfn.XLOOKUP(C217,'LD-ELFA'!F:F,'LD-ELFA'!Q:Q)</f>
        <v>MEMÓRIA DE CÁLCULO</v>
      </c>
      <c r="G217" s="56" t="str">
        <f>_xlfn.XLOOKUP(C217,'Data Base'!D:D,'Data Base'!I:I)</f>
        <v>0031</v>
      </c>
      <c r="H217" s="56">
        <f>_xlfn.XLOOKUP(C217,'Data Base'!D:D,'Data Base'!K:K)</f>
        <v>46212.676547337956</v>
      </c>
      <c r="I217" s="57">
        <f t="shared" ca="1" si="3"/>
        <v>0</v>
      </c>
      <c r="J217" s="57" t="str">
        <f>_xlfn.XLOOKUP(C217,'Data Base'!D:D,'Data Base'!O:O)</f>
        <v>Cliente - Atendimento de Comentário</v>
      </c>
    </row>
    <row r="218" spans="2:10" hidden="1" x14ac:dyDescent="0.25">
      <c r="B218" s="53" t="e">
        <f>_xlfn.XLOOKUP(C218,'Data Base'!D:D,'Data Base'!B:B)</f>
        <v>#N/A</v>
      </c>
      <c r="C218" s="53" t="s">
        <v>246</v>
      </c>
      <c r="D218" s="53" t="e">
        <f>_xlfn.XLOOKUP(C218,'LD-ELFA'!F:F,'LD-ELFA'!H:H)</f>
        <v>#N/A</v>
      </c>
      <c r="E218" s="53" t="e">
        <f>_xlfn.XLOOKUP(C218,'Data Base'!D:D,'Data Base'!G:G)</f>
        <v>#N/A</v>
      </c>
      <c r="F218" s="53" t="e">
        <f>_xlfn.XLOOKUP(C218,'LD-ELFA'!F:F,'LD-ELFA'!Q:Q)</f>
        <v>#N/A</v>
      </c>
      <c r="G218" s="56" t="e">
        <f>_xlfn.XLOOKUP(C218,'Data Base'!D:D,'Data Base'!I:I)</f>
        <v>#N/A</v>
      </c>
      <c r="H218" s="56" t="e">
        <f>_xlfn.XLOOKUP(C218,'Data Base'!D:D,'Data Base'!K:K)</f>
        <v>#N/A</v>
      </c>
      <c r="I218" s="57" t="e">
        <f t="shared" ca="1" si="3"/>
        <v>#N/A</v>
      </c>
      <c r="J218" s="57" t="str">
        <f>_xlfn.XLOOKUP(C218,'Data Base'!D:D,'Data Base'!O:O)</f>
        <v>Documento Removido</v>
      </c>
    </row>
    <row r="219" spans="2:10" hidden="1" x14ac:dyDescent="0.25">
      <c r="B219" s="53" t="e">
        <f>_xlfn.XLOOKUP(C219,'Data Base'!D:D,'Data Base'!B:B)</f>
        <v>#N/A</v>
      </c>
      <c r="C219" s="53" t="s">
        <v>247</v>
      </c>
      <c r="D219" s="53" t="e">
        <f>_xlfn.XLOOKUP(C219,'LD-ELFA'!F:F,'LD-ELFA'!H:H)</f>
        <v>#N/A</v>
      </c>
      <c r="E219" s="53" t="e">
        <f>_xlfn.XLOOKUP(C219,'Data Base'!D:D,'Data Base'!G:G)</f>
        <v>#N/A</v>
      </c>
      <c r="F219" s="53" t="e">
        <f>_xlfn.XLOOKUP(C219,'LD-ELFA'!F:F,'LD-ELFA'!Q:Q)</f>
        <v>#N/A</v>
      </c>
      <c r="G219" s="56" t="e">
        <f>_xlfn.XLOOKUP(C219,'Data Base'!D:D,'Data Base'!I:I)</f>
        <v>#N/A</v>
      </c>
      <c r="H219" s="56" t="e">
        <f>_xlfn.XLOOKUP(C219,'Data Base'!D:D,'Data Base'!K:K)</f>
        <v>#N/A</v>
      </c>
      <c r="I219" s="57" t="e">
        <f t="shared" ca="1" si="3"/>
        <v>#N/A</v>
      </c>
      <c r="J219" s="57" t="str">
        <f>_xlfn.XLOOKUP(C219,'Data Base'!D:D,'Data Base'!O:O)</f>
        <v>Documento Removido</v>
      </c>
    </row>
    <row r="220" spans="2:10" hidden="1" x14ac:dyDescent="0.25">
      <c r="B220" s="53" t="e">
        <f>_xlfn.XLOOKUP(C220,'Data Base'!D:D,'Data Base'!B:B)</f>
        <v>#N/A</v>
      </c>
      <c r="C220" s="53" t="s">
        <v>248</v>
      </c>
      <c r="D220" s="53" t="e">
        <f>_xlfn.XLOOKUP(C220,'LD-ELFA'!F:F,'LD-ELFA'!H:H)</f>
        <v>#N/A</v>
      </c>
      <c r="E220" s="53" t="e">
        <f>_xlfn.XLOOKUP(C220,'Data Base'!D:D,'Data Base'!G:G)</f>
        <v>#N/A</v>
      </c>
      <c r="F220" s="53" t="e">
        <f>_xlfn.XLOOKUP(C220,'LD-ELFA'!F:F,'LD-ELFA'!Q:Q)</f>
        <v>#N/A</v>
      </c>
      <c r="G220" s="56" t="e">
        <f>_xlfn.XLOOKUP(C220,'Data Base'!D:D,'Data Base'!I:I)</f>
        <v>#N/A</v>
      </c>
      <c r="H220" s="56" t="e">
        <f>_xlfn.XLOOKUP(C220,'Data Base'!D:D,'Data Base'!K:K)</f>
        <v>#N/A</v>
      </c>
      <c r="I220" s="57" t="e">
        <f t="shared" ca="1" si="3"/>
        <v>#N/A</v>
      </c>
      <c r="J220" s="57" t="str">
        <f>_xlfn.XLOOKUP(C220,'Data Base'!D:D,'Data Base'!O:O)</f>
        <v>Documento Removido</v>
      </c>
    </row>
    <row r="221" spans="2:10" hidden="1" x14ac:dyDescent="0.25">
      <c r="B221" s="53" t="str">
        <f>_xlfn.XLOOKUP(C221,'Data Base'!D:D,'Data Base'!B:B)</f>
        <v>ME - Mecanica</v>
      </c>
      <c r="C221" s="53" t="s">
        <v>249</v>
      </c>
      <c r="D221" s="53" t="str">
        <f>_xlfn.XLOOKUP(C221,'LD-ELFA'!F:F,'LD-ELFA'!H:H)</f>
        <v>MC-A1-1001-M-PB-4000</v>
      </c>
      <c r="E221" s="53">
        <f>_xlfn.XLOOKUP(C221,'Data Base'!D:D,'Data Base'!G:G)</f>
        <v>0</v>
      </c>
      <c r="F221" s="53" t="str">
        <f>_xlfn.XLOOKUP(C221,'LD-ELFA'!F:F,'LD-ELFA'!Q:Q)</f>
        <v>MEMÓRIA DE CÁLCULO</v>
      </c>
      <c r="G221" s="56" t="str">
        <f>_xlfn.XLOOKUP(C221,'Data Base'!D:D,'Data Base'!I:I)</f>
        <v/>
      </c>
      <c r="H221" s="56" t="str">
        <f>_xlfn.XLOOKUP(C221,'Data Base'!D:D,'Data Base'!K:K)</f>
        <v>Documento a emitir</v>
      </c>
      <c r="I221" s="57" t="str">
        <f t="shared" ca="1" si="3"/>
        <v>Documento a emitir</v>
      </c>
      <c r="J221" s="57" t="str">
        <f>_xlfn.XLOOKUP(C221,'Data Base'!D:D,'Data Base'!O:O)</f>
        <v>Blossom - Documento a emitir</v>
      </c>
    </row>
    <row r="222" spans="2:10" hidden="1" x14ac:dyDescent="0.25">
      <c r="B222" s="53" t="str">
        <f>_xlfn.XLOOKUP(C222,'Data Base'!D:D,'Data Base'!B:B)</f>
        <v>ME - Mecanica</v>
      </c>
      <c r="C222" s="53" t="s">
        <v>250</v>
      </c>
      <c r="D222" s="53" t="str">
        <f>_xlfn.XLOOKUP(C222,'LD-ELFA'!F:F,'LD-ELFA'!H:H)</f>
        <v>MC-A1-1803-M-PB-0001</v>
      </c>
      <c r="E222" s="53">
        <f>_xlfn.XLOOKUP(C222,'Data Base'!D:D,'Data Base'!G:G)</f>
        <v>0</v>
      </c>
      <c r="F222" s="53" t="str">
        <f>_xlfn.XLOOKUP(C222,'LD-ELFA'!F:F,'LD-ELFA'!Q:Q)</f>
        <v>MEMÓRIA DE CÁLCULO</v>
      </c>
      <c r="G222" s="56" t="str">
        <f>_xlfn.XLOOKUP(C222,'Data Base'!D:D,'Data Base'!I:I)</f>
        <v/>
      </c>
      <c r="H222" s="56" t="str">
        <f>_xlfn.XLOOKUP(C222,'Data Base'!D:D,'Data Base'!K:K)</f>
        <v>Documento a emitir</v>
      </c>
      <c r="I222" s="57" t="str">
        <f t="shared" ca="1" si="3"/>
        <v>Documento a emitir</v>
      </c>
      <c r="J222" s="57" t="str">
        <f>_xlfn.XLOOKUP(C222,'Data Base'!D:D,'Data Base'!O:O)</f>
        <v>Blossom - Documento a emitir</v>
      </c>
    </row>
    <row r="223" spans="2:10" hidden="1" x14ac:dyDescent="0.25">
      <c r="B223" s="53" t="str">
        <f>_xlfn.XLOOKUP(C223,'Data Base'!D:D,'Data Base'!B:B)</f>
        <v>ME - Mecanica</v>
      </c>
      <c r="C223" s="53" t="s">
        <v>251</v>
      </c>
      <c r="D223" s="53" t="str">
        <f>_xlfn.XLOOKUP(C223,'LD-ELFA'!F:F,'LD-ELFA'!H:H)</f>
        <v>MC-A1-1000-M-PB-0003</v>
      </c>
      <c r="E223" s="53">
        <f>_xlfn.XLOOKUP(C223,'Data Base'!D:D,'Data Base'!G:G)</f>
        <v>0</v>
      </c>
      <c r="F223" s="53" t="str">
        <f>_xlfn.XLOOKUP(C223,'LD-ELFA'!F:F,'LD-ELFA'!Q:Q)</f>
        <v xml:space="preserve">MEMÓRIA DE CÁLCULO </v>
      </c>
      <c r="G223" s="56" t="str">
        <f>_xlfn.XLOOKUP(C223,'Data Base'!D:D,'Data Base'!I:I)</f>
        <v>0028</v>
      </c>
      <c r="H223" s="56">
        <f>_xlfn.XLOOKUP(C223,'Data Base'!D:D,'Data Base'!K:K)</f>
        <v>46211.678152777778</v>
      </c>
      <c r="I223" s="57">
        <f t="shared" ca="1" si="3"/>
        <v>0.3218472222215496</v>
      </c>
      <c r="J223" s="57" t="str">
        <f>_xlfn.XLOOKUP(C223,'Data Base'!D:D,'Data Base'!O:O)</f>
        <v>Blossom - Atendimento de Comentário</v>
      </c>
    </row>
    <row r="224" spans="2:10" x14ac:dyDescent="0.25">
      <c r="B224" s="53" t="str">
        <f>_xlfn.XLOOKUP(C224,'Data Base'!D:D,'Data Base'!B:B)</f>
        <v>ME - Mecanica</v>
      </c>
      <c r="C224" s="53" t="s">
        <v>252</v>
      </c>
      <c r="D224" s="53" t="str">
        <f>_xlfn.XLOOKUP(C224,'LD-ELFA'!F:F,'LD-ELFA'!H:H)</f>
        <v>MC-A1-1316-M-PB-4000</v>
      </c>
      <c r="E224" s="53">
        <f>_xlfn.XLOOKUP(C224,'Data Base'!D:D,'Data Base'!G:G)</f>
        <v>0</v>
      </c>
      <c r="F224" s="53" t="str">
        <f>_xlfn.XLOOKUP(C224,'LD-ELFA'!F:F,'LD-ELFA'!Q:Q)</f>
        <v>MEMÓRIA DE CÁLCULO</v>
      </c>
      <c r="G224" s="56" t="str">
        <f>_xlfn.XLOOKUP(C224,'Data Base'!D:D,'Data Base'!I:I)</f>
        <v>0036</v>
      </c>
      <c r="H224" s="56">
        <f>_xlfn.XLOOKUP(C224,'Data Base'!D:D,'Data Base'!K:K)</f>
        <v>46213.700419641202</v>
      </c>
      <c r="I224" s="57">
        <f t="shared" ca="1" si="3"/>
        <v>0</v>
      </c>
      <c r="J224" s="57" t="str">
        <f>_xlfn.XLOOKUP(C224,'Data Base'!D:D,'Data Base'!O:O)</f>
        <v>Cliente - Atendimento de Comentário</v>
      </c>
    </row>
    <row r="225" spans="2:10" hidden="1" x14ac:dyDescent="0.25">
      <c r="B225" s="53" t="str">
        <f>_xlfn.XLOOKUP(C225,'Data Base'!D:D,'Data Base'!B:B)</f>
        <v>ME - Mecanica</v>
      </c>
      <c r="C225" s="53" t="s">
        <v>253</v>
      </c>
      <c r="D225" s="53" t="str">
        <f>_xlfn.XLOOKUP(C225,'LD-ELFA'!F:F,'LD-ELFA'!H:H)</f>
        <v>MC-A1-1201-M-PB-0001</v>
      </c>
      <c r="E225" s="53">
        <f>_xlfn.XLOOKUP(C225,'Data Base'!D:D,'Data Base'!G:G)</f>
        <v>0</v>
      </c>
      <c r="F225" s="53" t="str">
        <f>_xlfn.XLOOKUP(C225,'LD-ELFA'!F:F,'LD-ELFA'!Q:Q)</f>
        <v xml:space="preserve">MEMÓRIA DE CÁLCULO </v>
      </c>
      <c r="G225" s="56" t="str">
        <f>_xlfn.XLOOKUP(C225,'Data Base'!D:D,'Data Base'!I:I)</f>
        <v>0024</v>
      </c>
      <c r="H225" s="56">
        <f>_xlfn.XLOOKUP(C225,'Data Base'!D:D,'Data Base'!K:K)</f>
        <v>46210.679214814823</v>
      </c>
      <c r="I225" s="57">
        <f t="shared" ca="1" si="3"/>
        <v>1.3207851851766463</v>
      </c>
      <c r="J225" s="57" t="str">
        <f>_xlfn.XLOOKUP(C225,'Data Base'!D:D,'Data Base'!O:O)</f>
        <v>Blossom - Atendimento de Comentário</v>
      </c>
    </row>
    <row r="226" spans="2:10" hidden="1" x14ac:dyDescent="0.25">
      <c r="B226" s="53" t="str">
        <f>_xlfn.XLOOKUP(C226,'Data Base'!D:D,'Data Base'!B:B)</f>
        <v>ME - Mecanica</v>
      </c>
      <c r="C226" s="53" t="s">
        <v>254</v>
      </c>
      <c r="D226" s="53" t="str">
        <f>_xlfn.XLOOKUP(C226,'LD-ELFA'!F:F,'LD-ELFA'!H:H)</f>
        <v>PQ-A1-1000-M-PB-0001</v>
      </c>
      <c r="E226" s="53">
        <f>_xlfn.XLOOKUP(C226,'Data Base'!D:D,'Data Base'!G:G)</f>
        <v>0</v>
      </c>
      <c r="F226" s="53" t="str">
        <f>_xlfn.XLOOKUP(C226,'LD-ELFA'!F:F,'LD-ELFA'!Q:Q)</f>
        <v>PLANILHA DE QUANTIDADES</v>
      </c>
      <c r="G226" s="56" t="str">
        <f>_xlfn.XLOOKUP(C226,'Data Base'!D:D,'Data Base'!I:I)</f>
        <v/>
      </c>
      <c r="H226" s="56" t="str">
        <f>_xlfn.XLOOKUP(C226,'Data Base'!D:D,'Data Base'!K:K)</f>
        <v>Documento a emitir</v>
      </c>
      <c r="I226" s="57" t="str">
        <f t="shared" ca="1" si="3"/>
        <v>Documento a emitir</v>
      </c>
      <c r="J226" s="57" t="str">
        <f>_xlfn.XLOOKUP(C226,'Data Base'!D:D,'Data Base'!O:O)</f>
        <v>Blossom - Documento a emitir</v>
      </c>
    </row>
    <row r="227" spans="2:10" hidden="1" x14ac:dyDescent="0.25">
      <c r="B227" s="53" t="str">
        <f>_xlfn.XLOOKUP(C227,'Data Base'!D:D,'Data Base'!B:B)</f>
        <v>ME - Mecanica</v>
      </c>
      <c r="C227" s="53" t="s">
        <v>255</v>
      </c>
      <c r="D227" s="53" t="str">
        <f>_xlfn.XLOOKUP(C227,'LD-ELFA'!F:F,'LD-ELFA'!H:H)</f>
        <v>PQ-A1-1000-M-PB-0002</v>
      </c>
      <c r="E227" s="53">
        <f>_xlfn.XLOOKUP(C227,'Data Base'!D:D,'Data Base'!G:G)</f>
        <v>0</v>
      </c>
      <c r="F227" s="53" t="str">
        <f>_xlfn.XLOOKUP(C227,'LD-ELFA'!F:F,'LD-ELFA'!Q:Q)</f>
        <v>PLANILHA DE QUANTIDADES</v>
      </c>
      <c r="G227" s="56" t="str">
        <f>_xlfn.XLOOKUP(C227,'Data Base'!D:D,'Data Base'!I:I)</f>
        <v/>
      </c>
      <c r="H227" s="56" t="str">
        <f>_xlfn.XLOOKUP(C227,'Data Base'!D:D,'Data Base'!K:K)</f>
        <v>Documento a emitir</v>
      </c>
      <c r="I227" s="57" t="str">
        <f t="shared" ca="1" si="3"/>
        <v>Documento a emitir</v>
      </c>
      <c r="J227" s="57" t="str">
        <f>_xlfn.XLOOKUP(C227,'Data Base'!D:D,'Data Base'!O:O)</f>
        <v>Blossom - Documento a emitir</v>
      </c>
    </row>
    <row r="228" spans="2:10" hidden="1" x14ac:dyDescent="0.25">
      <c r="B228" s="53" t="str">
        <f>_xlfn.XLOOKUP(C228,'Data Base'!D:D,'Data Base'!B:B)</f>
        <v>ME - Mecanica</v>
      </c>
      <c r="C228" s="53" t="s">
        <v>256</v>
      </c>
      <c r="D228" s="53" t="str">
        <f>_xlfn.XLOOKUP(C228,'LD-ELFA'!F:F,'LD-ELFA'!H:H)</f>
        <v>PQ-A1-1000-G-PB-0005</v>
      </c>
      <c r="E228" s="53">
        <f>_xlfn.XLOOKUP(C228,'Data Base'!D:D,'Data Base'!G:G)</f>
        <v>0</v>
      </c>
      <c r="F228" s="53" t="str">
        <f>_xlfn.XLOOKUP(C228,'LD-ELFA'!F:F,'LD-ELFA'!Q:Q)</f>
        <v>PLANILHA QUANTIDADES</v>
      </c>
      <c r="G228" s="56" t="str">
        <f>_xlfn.XLOOKUP(C228,'Data Base'!D:D,'Data Base'!I:I)</f>
        <v/>
      </c>
      <c r="H228" s="56" t="str">
        <f>_xlfn.XLOOKUP(C228,'Data Base'!D:D,'Data Base'!K:K)</f>
        <v>Documento a emitir</v>
      </c>
      <c r="I228" s="57" t="str">
        <f t="shared" ca="1" si="3"/>
        <v>Documento a emitir</v>
      </c>
      <c r="J228" s="57" t="str">
        <f>_xlfn.XLOOKUP(C228,'Data Base'!D:D,'Data Base'!O:O)</f>
        <v>Blossom - Documento a emitir</v>
      </c>
    </row>
    <row r="229" spans="2:10" hidden="1" x14ac:dyDescent="0.25">
      <c r="B229" s="53" t="str">
        <f>_xlfn.XLOOKUP(C229,'Data Base'!D:D,'Data Base'!B:B)</f>
        <v>PC - Planejamento E Controle</v>
      </c>
      <c r="C229" s="53" t="s">
        <v>257</v>
      </c>
      <c r="D229" s="53" t="str">
        <f>_xlfn.XLOOKUP(C229,'LD-ELFA'!F:F,'LD-ELFA'!H:H)</f>
        <v>CR-A1-1000-F-PB-4000</v>
      </c>
      <c r="E229" s="53">
        <f>_xlfn.XLOOKUP(C229,'Data Base'!D:D,'Data Base'!G:G)</f>
        <v>1</v>
      </c>
      <c r="F229" s="53" t="str">
        <f>_xlfn.XLOOKUP(C229,'LD-ELFA'!F:F,'LD-ELFA'!Q:Q)</f>
        <v>CRONOGRAMA DETALHADO</v>
      </c>
      <c r="G229" s="56" t="str">
        <f>_xlfn.XLOOKUP(C229,'Data Base'!D:D,'Data Base'!I:I)</f>
        <v>0037</v>
      </c>
      <c r="H229" s="56">
        <f>_xlfn.XLOOKUP(C229,'Data Base'!D:D,'Data Base'!K:K)</f>
        <v>46213.700537002318</v>
      </c>
      <c r="I229" s="57">
        <f t="shared" ca="1" si="3"/>
        <v>0</v>
      </c>
      <c r="J229" s="57" t="str">
        <f>_xlfn.XLOOKUP(C229,'Data Base'!D:D,'Data Base'!O:O)</f>
        <v>Documento Concluído</v>
      </c>
    </row>
    <row r="230" spans="2:10" hidden="1" x14ac:dyDescent="0.25">
      <c r="B230" s="53" t="str">
        <f>_xlfn.XLOOKUP(C230,'Data Base'!D:D,'Data Base'!B:B)</f>
        <v>TU - Tubulacao</v>
      </c>
      <c r="C230" s="53" t="s">
        <v>258</v>
      </c>
      <c r="D230" s="53" t="str">
        <f>_xlfn.XLOOKUP(C230,'LD-ELFA'!F:F,'LD-ELFA'!H:H)</f>
        <v>EG-A1-1000-T-PB-0001</v>
      </c>
      <c r="E230" s="53">
        <f>_xlfn.XLOOKUP(C230,'Data Base'!D:D,'Data Base'!G:G)</f>
        <v>0</v>
      </c>
      <c r="F230" s="53" t="str">
        <f>_xlfn.XLOOKUP(C230,'LD-ELFA'!F:F,'LD-ELFA'!Q:Q)</f>
        <v>ESPECIFICAÇÃO GERAL</v>
      </c>
      <c r="G230" s="56" t="str">
        <f>_xlfn.XLOOKUP(C230,'Data Base'!D:D,'Data Base'!I:I)</f>
        <v/>
      </c>
      <c r="H230" s="56" t="str">
        <f>_xlfn.XLOOKUP(C230,'Data Base'!D:D,'Data Base'!K:K)</f>
        <v>Documento a emitir</v>
      </c>
      <c r="I230" s="57" t="str">
        <f t="shared" ca="1" si="3"/>
        <v>Documento a emitir</v>
      </c>
      <c r="J230" s="57" t="str">
        <f>_xlfn.XLOOKUP(C230,'Data Base'!D:D,'Data Base'!O:O)</f>
        <v>Blossom - Documento a emitir</v>
      </c>
    </row>
    <row r="231" spans="2:10" hidden="1" x14ac:dyDescent="0.25">
      <c r="B231" s="53" t="e">
        <f>_xlfn.XLOOKUP(C231,'Data Base'!D:D,'Data Base'!B:B)</f>
        <v>#N/A</v>
      </c>
      <c r="C231" s="53" t="s">
        <v>259</v>
      </c>
      <c r="D231" s="53" t="e">
        <f>_xlfn.XLOOKUP(C231,'LD-ELFA'!F:F,'LD-ELFA'!H:H)</f>
        <v>#N/A</v>
      </c>
      <c r="E231" s="53" t="e">
        <f>_xlfn.XLOOKUP(C231,'Data Base'!D:D,'Data Base'!G:G)</f>
        <v>#N/A</v>
      </c>
      <c r="F231" s="53" t="e">
        <f>_xlfn.XLOOKUP(C231,'LD-ELFA'!F:F,'LD-ELFA'!Q:Q)</f>
        <v>#N/A</v>
      </c>
      <c r="G231" s="56" t="e">
        <f>_xlfn.XLOOKUP(C231,'Data Base'!D:D,'Data Base'!I:I)</f>
        <v>#N/A</v>
      </c>
      <c r="H231" s="56" t="e">
        <f>_xlfn.XLOOKUP(C231,'Data Base'!D:D,'Data Base'!K:K)</f>
        <v>#N/A</v>
      </c>
      <c r="I231" s="57" t="e">
        <f t="shared" ca="1" si="3"/>
        <v>#N/A</v>
      </c>
      <c r="J231" s="57" t="str">
        <f>_xlfn.XLOOKUP(C231,'Data Base'!D:D,'Data Base'!O:O)</f>
        <v>Documento Removido</v>
      </c>
    </row>
    <row r="232" spans="2:10" hidden="1" x14ac:dyDescent="0.25">
      <c r="B232" s="53" t="str">
        <f>_xlfn.XLOOKUP(C232,'Data Base'!D:D,'Data Base'!B:B)</f>
        <v>TU - Tubulacao</v>
      </c>
      <c r="C232" s="53" t="s">
        <v>260</v>
      </c>
      <c r="D232" s="53" t="str">
        <f>_xlfn.XLOOKUP(C232,'LD-ELFA'!F:F,'LD-ELFA'!H:H)</f>
        <v>MC-A1-1000-T-PB-0001</v>
      </c>
      <c r="E232" s="53">
        <f>_xlfn.XLOOKUP(C232,'Data Base'!D:D,'Data Base'!G:G)</f>
        <v>0</v>
      </c>
      <c r="F232" s="53" t="str">
        <f>_xlfn.XLOOKUP(C232,'LD-ELFA'!F:F,'LD-ELFA'!Q:Q)</f>
        <v>MEMÓRIA DE CÁLCULO</v>
      </c>
      <c r="G232" s="56" t="str">
        <f>_xlfn.XLOOKUP(C232,'Data Base'!D:D,'Data Base'!I:I)</f>
        <v/>
      </c>
      <c r="H232" s="56" t="str">
        <f>_xlfn.XLOOKUP(C232,'Data Base'!D:D,'Data Base'!K:K)</f>
        <v>Documento a emitir</v>
      </c>
      <c r="I232" s="57" t="str">
        <f t="shared" ca="1" si="3"/>
        <v>Documento a emitir</v>
      </c>
      <c r="J232" s="57" t="str">
        <f>_xlfn.XLOOKUP(C232,'Data Base'!D:D,'Data Base'!O:O)</f>
        <v>Blossom - Documento a emitir</v>
      </c>
    </row>
    <row r="233" spans="2:10" hidden="1" x14ac:dyDescent="0.25">
      <c r="B233" s="53" t="str">
        <f>_xlfn.XLOOKUP(C233,'Data Base'!D:D,'Data Base'!B:B)</f>
        <v>TU - Tubulacao</v>
      </c>
      <c r="C233" s="53" t="s">
        <v>261</v>
      </c>
      <c r="D233" s="53" t="str">
        <f>_xlfn.XLOOKUP(C233,'LD-ELFA'!F:F,'LD-ELFA'!H:H)</f>
        <v>PQ-A1-1000-T-PB-0001</v>
      </c>
      <c r="E233" s="53">
        <f>_xlfn.XLOOKUP(C233,'Data Base'!D:D,'Data Base'!G:G)</f>
        <v>0</v>
      </c>
      <c r="F233" s="53" t="str">
        <f>_xlfn.XLOOKUP(C233,'LD-ELFA'!F:F,'LD-ELFA'!Q:Q)</f>
        <v>PLANILHA DE QUANTIDADES</v>
      </c>
      <c r="G233" s="56" t="str">
        <f>_xlfn.XLOOKUP(C233,'Data Base'!D:D,'Data Base'!I:I)</f>
        <v/>
      </c>
      <c r="H233" s="56" t="str">
        <f>_xlfn.XLOOKUP(C233,'Data Base'!D:D,'Data Base'!K:K)</f>
        <v>Documento a emitir</v>
      </c>
      <c r="I233" s="57" t="str">
        <f t="shared" ca="1" si="3"/>
        <v>Documento a emitir</v>
      </c>
      <c r="J233" s="57" t="str">
        <f>_xlfn.XLOOKUP(C233,'Data Base'!D:D,'Data Base'!O:O)</f>
        <v>Blossom - Documento a emitir</v>
      </c>
    </row>
    <row r="234" spans="2:10" hidden="1" x14ac:dyDescent="0.25">
      <c r="B234" s="53" t="str">
        <f>_xlfn.XLOOKUP(C234,'Data Base'!D:D,'Data Base'!B:B)</f>
        <v>UT - Sistema De Utilidades</v>
      </c>
      <c r="C234" s="53" t="s">
        <v>262</v>
      </c>
      <c r="D234" s="53" t="str">
        <f>_xlfn.XLOOKUP(C234,'LD-ELFA'!F:F,'LD-ELFA'!H:H)</f>
        <v>ET-A1-1803-M-PB-0001</v>
      </c>
      <c r="E234" s="53">
        <f>_xlfn.XLOOKUP(C234,'Data Base'!D:D,'Data Base'!G:G)</f>
        <v>0</v>
      </c>
      <c r="F234" s="53" t="str">
        <f>_xlfn.XLOOKUP(C234,'LD-ELFA'!F:F,'LD-ELFA'!Q:Q)</f>
        <v>ESPECIFICAÇÃO TÉCNICA</v>
      </c>
      <c r="G234" s="56" t="str">
        <f>_xlfn.XLOOKUP(C234,'Data Base'!D:D,'Data Base'!I:I)</f>
        <v/>
      </c>
      <c r="H234" s="56" t="str">
        <f>_xlfn.XLOOKUP(C234,'Data Base'!D:D,'Data Base'!K:K)</f>
        <v>Documento a emitir</v>
      </c>
      <c r="I234" s="57" t="str">
        <f t="shared" ca="1" si="3"/>
        <v>Documento a emitir</v>
      </c>
      <c r="J234" s="57" t="str">
        <f>_xlfn.XLOOKUP(C234,'Data Base'!D:D,'Data Base'!O:O)</f>
        <v>Blossom - Documento a emitir</v>
      </c>
    </row>
    <row r="235" spans="2:10" hidden="1" x14ac:dyDescent="0.25">
      <c r="B235" s="53" t="str">
        <f>_xlfn.XLOOKUP(C235,'Data Base'!D:D,'Data Base'!B:B)</f>
        <v>UT - Sistema De Utilidades</v>
      </c>
      <c r="C235" s="53" t="s">
        <v>263</v>
      </c>
      <c r="D235" s="53" t="str">
        <f>_xlfn.XLOOKUP(C235,'LD-ELFA'!F:F,'LD-ELFA'!H:H)</f>
        <v>ET-A1-1805-M-PB-0001</v>
      </c>
      <c r="E235" s="53">
        <f>_xlfn.XLOOKUP(C235,'Data Base'!D:D,'Data Base'!G:G)</f>
        <v>0</v>
      </c>
      <c r="F235" s="53" t="str">
        <f>_xlfn.XLOOKUP(C235,'LD-ELFA'!F:F,'LD-ELFA'!Q:Q)</f>
        <v>ESPECIFICAÇÃO TÉCNICA</v>
      </c>
      <c r="G235" s="56" t="str">
        <f>_xlfn.XLOOKUP(C235,'Data Base'!D:D,'Data Base'!I:I)</f>
        <v/>
      </c>
      <c r="H235" s="56" t="str">
        <f>_xlfn.XLOOKUP(C235,'Data Base'!D:D,'Data Base'!K:K)</f>
        <v>Documento a emitir</v>
      </c>
      <c r="I235" s="57" t="str">
        <f t="shared" ca="1" si="3"/>
        <v>Documento a emitir</v>
      </c>
      <c r="J235" s="57" t="str">
        <f>_xlfn.XLOOKUP(C235,'Data Base'!D:D,'Data Base'!O:O)</f>
        <v>Blossom - Documento a emitir</v>
      </c>
    </row>
    <row r="236" spans="2:10" hidden="1" x14ac:dyDescent="0.25">
      <c r="B236" s="53" t="str">
        <f>_xlfn.XLOOKUP(C236,'Data Base'!D:D,'Data Base'!B:B)</f>
        <v>UT - Sistema De Utilidades</v>
      </c>
      <c r="C236" s="53" t="s">
        <v>264</v>
      </c>
      <c r="D236" s="53" t="str">
        <f>_xlfn.XLOOKUP(C236,'LD-ELFA'!F:F,'LD-ELFA'!H:H)</f>
        <v>FD-A1-1803-M-PB-0001</v>
      </c>
      <c r="E236" s="53">
        <f>_xlfn.XLOOKUP(C236,'Data Base'!D:D,'Data Base'!G:G)</f>
        <v>0</v>
      </c>
      <c r="F236" s="53" t="str">
        <f>_xlfn.XLOOKUP(C236,'LD-ELFA'!F:F,'LD-ELFA'!Q:Q)</f>
        <v>FOLHA DE DADOS</v>
      </c>
      <c r="G236" s="56" t="str">
        <f>_xlfn.XLOOKUP(C236,'Data Base'!D:D,'Data Base'!I:I)</f>
        <v/>
      </c>
      <c r="H236" s="56" t="str">
        <f>_xlfn.XLOOKUP(C236,'Data Base'!D:D,'Data Base'!K:K)</f>
        <v>Documento a emitir</v>
      </c>
      <c r="I236" s="57" t="str">
        <f t="shared" ca="1" si="3"/>
        <v>Documento a emitir</v>
      </c>
      <c r="J236" s="57" t="str">
        <f>_xlfn.XLOOKUP(C236,'Data Base'!D:D,'Data Base'!O:O)</f>
        <v>Blossom - Documento a emitir</v>
      </c>
    </row>
    <row r="237" spans="2:10" hidden="1" x14ac:dyDescent="0.25">
      <c r="B237" s="53" t="str">
        <f>_xlfn.XLOOKUP(C237,'Data Base'!D:D,'Data Base'!B:B)</f>
        <v>UT - Sistema De Utilidades</v>
      </c>
      <c r="C237" s="53" t="s">
        <v>265</v>
      </c>
      <c r="D237" s="53" t="str">
        <f>_xlfn.XLOOKUP(C237,'LD-ELFA'!F:F,'LD-ELFA'!H:H)</f>
        <v>DE-A1-1000-U-PB-0013</v>
      </c>
      <c r="E237" s="53">
        <f>_xlfn.XLOOKUP(C237,'Data Base'!D:D,'Data Base'!G:G)</f>
        <v>0</v>
      </c>
      <c r="F237" s="53" t="str">
        <f>_xlfn.XLOOKUP(C237,'LD-ELFA'!F:F,'LD-ELFA'!Q:Q)</f>
        <v>FLUXOGRAMA DE ENGENHARIA - P&amp;ID</v>
      </c>
      <c r="G237" s="56" t="str">
        <f>_xlfn.XLOOKUP(C237,'Data Base'!D:D,'Data Base'!I:I)</f>
        <v/>
      </c>
      <c r="H237" s="56" t="str">
        <f>_xlfn.XLOOKUP(C237,'Data Base'!D:D,'Data Base'!K:K)</f>
        <v>Documento a emitir</v>
      </c>
      <c r="I237" s="57" t="str">
        <f t="shared" ca="1" si="3"/>
        <v>Documento a emitir</v>
      </c>
      <c r="J237" s="57" t="str">
        <f>_xlfn.XLOOKUP(C237,'Data Base'!D:D,'Data Base'!O:O)</f>
        <v>Blossom - Documento a emitir</v>
      </c>
    </row>
    <row r="238" spans="2:10" hidden="1" x14ac:dyDescent="0.25">
      <c r="B238" s="53" t="str">
        <f>_xlfn.XLOOKUP(C238,'Data Base'!D:D,'Data Base'!B:B)</f>
        <v>UT - Sistema De Utilidades</v>
      </c>
      <c r="C238" s="53" t="s">
        <v>266</v>
      </c>
      <c r="D238" s="53" t="str">
        <f>_xlfn.XLOOKUP(C238,'LD-ELFA'!F:F,'LD-ELFA'!H:H)</f>
        <v>DE-A1-1802-U-PB-0001</v>
      </c>
      <c r="E238" s="53">
        <f>_xlfn.XLOOKUP(C238,'Data Base'!D:D,'Data Base'!G:G)</f>
        <v>0</v>
      </c>
      <c r="F238" s="53" t="str">
        <f>_xlfn.XLOOKUP(C238,'LD-ELFA'!F:F,'LD-ELFA'!Q:Q)</f>
        <v>FLUXOGRAMA DE ENGENHARIA - P&amp;ID</v>
      </c>
      <c r="G238" s="56" t="str">
        <f>_xlfn.XLOOKUP(C238,'Data Base'!D:D,'Data Base'!I:I)</f>
        <v/>
      </c>
      <c r="H238" s="56" t="str">
        <f>_xlfn.XLOOKUP(C238,'Data Base'!D:D,'Data Base'!K:K)</f>
        <v>Documento a emitir</v>
      </c>
      <c r="I238" s="57" t="str">
        <f t="shared" ca="1" si="3"/>
        <v>Documento a emitir</v>
      </c>
      <c r="J238" s="57" t="str">
        <f>_xlfn.XLOOKUP(C238,'Data Base'!D:D,'Data Base'!O:O)</f>
        <v>Blossom - Documento a emitir</v>
      </c>
    </row>
    <row r="239" spans="2:10" hidden="1" x14ac:dyDescent="0.25">
      <c r="B239" s="53" t="str">
        <f>_xlfn.XLOOKUP(C239,'Data Base'!D:D,'Data Base'!B:B)</f>
        <v>UT - Sistema De Utilidades</v>
      </c>
      <c r="C239" s="53" t="s">
        <v>267</v>
      </c>
      <c r="D239" s="53" t="str">
        <f>_xlfn.XLOOKUP(C239,'LD-ELFA'!F:F,'LD-ELFA'!H:H)</f>
        <v>DE-A1-1803-U-PB-0001</v>
      </c>
      <c r="E239" s="53">
        <f>_xlfn.XLOOKUP(C239,'Data Base'!D:D,'Data Base'!G:G)</f>
        <v>0</v>
      </c>
      <c r="F239" s="53" t="str">
        <f>_xlfn.XLOOKUP(C239,'LD-ELFA'!F:F,'LD-ELFA'!Q:Q)</f>
        <v>FLUXOGRAMA DE ENGENHARIA - P&amp;ID</v>
      </c>
      <c r="G239" s="56" t="str">
        <f>_xlfn.XLOOKUP(C239,'Data Base'!D:D,'Data Base'!I:I)</f>
        <v/>
      </c>
      <c r="H239" s="56" t="str">
        <f>_xlfn.XLOOKUP(C239,'Data Base'!D:D,'Data Base'!K:K)</f>
        <v>Documento a emitir</v>
      </c>
      <c r="I239" s="57" t="str">
        <f t="shared" ca="1" si="3"/>
        <v>Documento a emitir</v>
      </c>
      <c r="J239" s="57" t="str">
        <f>_xlfn.XLOOKUP(C239,'Data Base'!D:D,'Data Base'!O:O)</f>
        <v>Blossom - Documento a emitir</v>
      </c>
    </row>
    <row r="240" spans="2:10" hidden="1" x14ac:dyDescent="0.25">
      <c r="B240" s="53" t="str">
        <f>_xlfn.XLOOKUP(C240,'Data Base'!D:D,'Data Base'!B:B)</f>
        <v>UT - Sistema De Utilidades</v>
      </c>
      <c r="C240" s="53" t="s">
        <v>268</v>
      </c>
      <c r="D240" s="53" t="str">
        <f>_xlfn.XLOOKUP(C240,'LD-ELFA'!F:F,'LD-ELFA'!H:H)</f>
        <v>DE-A1-1803-U-PB-0002</v>
      </c>
      <c r="E240" s="53">
        <f>_xlfn.XLOOKUP(C240,'Data Base'!D:D,'Data Base'!G:G)</f>
        <v>0</v>
      </c>
      <c r="F240" s="53" t="str">
        <f>_xlfn.XLOOKUP(C240,'LD-ELFA'!F:F,'LD-ELFA'!Q:Q)</f>
        <v>FLUXOGRAMA DE ENGENHARIA - P&amp;ID</v>
      </c>
      <c r="G240" s="56" t="str">
        <f>_xlfn.XLOOKUP(C240,'Data Base'!D:D,'Data Base'!I:I)</f>
        <v/>
      </c>
      <c r="H240" s="56" t="str">
        <f>_xlfn.XLOOKUP(C240,'Data Base'!D:D,'Data Base'!K:K)</f>
        <v>Documento a emitir</v>
      </c>
      <c r="I240" s="57" t="str">
        <f t="shared" ca="1" si="3"/>
        <v>Documento a emitir</v>
      </c>
      <c r="J240" s="57" t="str">
        <f>_xlfn.XLOOKUP(C240,'Data Base'!D:D,'Data Base'!O:O)</f>
        <v>Blossom - Documento a emitir</v>
      </c>
    </row>
    <row r="241" spans="2:10" hidden="1" x14ac:dyDescent="0.25">
      <c r="B241" s="53" t="str">
        <f>_xlfn.XLOOKUP(C241,'Data Base'!D:D,'Data Base'!B:B)</f>
        <v>UT - Sistema De Utilidades</v>
      </c>
      <c r="C241" s="53" t="s">
        <v>269</v>
      </c>
      <c r="D241" s="53" t="str">
        <f>_xlfn.XLOOKUP(C241,'LD-ELFA'!F:F,'LD-ELFA'!H:H)</f>
        <v>DE-A1-1803-U-PB-0003</v>
      </c>
      <c r="E241" s="53">
        <f>_xlfn.XLOOKUP(C241,'Data Base'!D:D,'Data Base'!G:G)</f>
        <v>0</v>
      </c>
      <c r="F241" s="53" t="str">
        <f>_xlfn.XLOOKUP(C241,'LD-ELFA'!F:F,'LD-ELFA'!Q:Q)</f>
        <v>FLUXOGRAMA DE ENGENHARIA - P&amp;ID</v>
      </c>
      <c r="G241" s="56" t="str">
        <f>_xlfn.XLOOKUP(C241,'Data Base'!D:D,'Data Base'!I:I)</f>
        <v/>
      </c>
      <c r="H241" s="56" t="str">
        <f>_xlfn.XLOOKUP(C241,'Data Base'!D:D,'Data Base'!K:K)</f>
        <v>Documento a emitir</v>
      </c>
      <c r="I241" s="57" t="str">
        <f t="shared" ca="1" si="3"/>
        <v>Documento a emitir</v>
      </c>
      <c r="J241" s="57" t="str">
        <f>_xlfn.XLOOKUP(C241,'Data Base'!D:D,'Data Base'!O:O)</f>
        <v>Blossom - Documento a emitir</v>
      </c>
    </row>
    <row r="242" spans="2:10" hidden="1" x14ac:dyDescent="0.25">
      <c r="B242" s="53" t="str">
        <f>_xlfn.XLOOKUP(C242,'Data Base'!D:D,'Data Base'!B:B)</f>
        <v>UT - Sistema De Utilidades</v>
      </c>
      <c r="C242" s="53" t="s">
        <v>270</v>
      </c>
      <c r="D242" s="53" t="str">
        <f>_xlfn.XLOOKUP(C242,'LD-ELFA'!F:F,'LD-ELFA'!H:H)</f>
        <v>DE-A1-1802-U-PB-0002</v>
      </c>
      <c r="E242" s="53">
        <f>_xlfn.XLOOKUP(C242,'Data Base'!D:D,'Data Base'!G:G)</f>
        <v>0</v>
      </c>
      <c r="F242" s="53" t="str">
        <f>_xlfn.XLOOKUP(C242,'LD-ELFA'!F:F,'LD-ELFA'!Q:Q)</f>
        <v>FLUXOGRAMA DE ENGENHARIA - P&amp;ID</v>
      </c>
      <c r="G242" s="56" t="str">
        <f>_xlfn.XLOOKUP(C242,'Data Base'!D:D,'Data Base'!I:I)</f>
        <v/>
      </c>
      <c r="H242" s="56" t="str">
        <f>_xlfn.XLOOKUP(C242,'Data Base'!D:D,'Data Base'!K:K)</f>
        <v>Documento a emitir</v>
      </c>
      <c r="I242" s="57" t="str">
        <f t="shared" ca="1" si="3"/>
        <v>Documento a emitir</v>
      </c>
      <c r="J242" s="57" t="str">
        <f>_xlfn.XLOOKUP(C242,'Data Base'!D:D,'Data Base'!O:O)</f>
        <v>Blossom - Documento a emitir</v>
      </c>
    </row>
    <row r="243" spans="2:10" hidden="1" x14ac:dyDescent="0.25">
      <c r="B243" s="53" t="str">
        <f>_xlfn.XLOOKUP(C243,'Data Base'!D:D,'Data Base'!B:B)</f>
        <v>UT - Sistema De Utilidades</v>
      </c>
      <c r="C243" s="53" t="s">
        <v>271</v>
      </c>
      <c r="D243" s="53" t="str">
        <f>_xlfn.XLOOKUP(C243,'LD-ELFA'!F:F,'LD-ELFA'!H:H)</f>
        <v>DE-A1-1805-U-PB-0001</v>
      </c>
      <c r="E243" s="53">
        <f>_xlfn.XLOOKUP(C243,'Data Base'!D:D,'Data Base'!G:G)</f>
        <v>0</v>
      </c>
      <c r="F243" s="53" t="str">
        <f>_xlfn.XLOOKUP(C243,'LD-ELFA'!F:F,'LD-ELFA'!Q:Q)</f>
        <v>FLUXOGRAMA DE ENGENHARIA - P&amp;ID</v>
      </c>
      <c r="G243" s="56" t="str">
        <f>_xlfn.XLOOKUP(C243,'Data Base'!D:D,'Data Base'!I:I)</f>
        <v/>
      </c>
      <c r="H243" s="56" t="str">
        <f>_xlfn.XLOOKUP(C243,'Data Base'!D:D,'Data Base'!K:K)</f>
        <v>Documento a emitir</v>
      </c>
      <c r="I243" s="57" t="str">
        <f t="shared" ca="1" si="3"/>
        <v>Documento a emitir</v>
      </c>
      <c r="J243" s="57" t="str">
        <f>_xlfn.XLOOKUP(C243,'Data Base'!D:D,'Data Base'!O:O)</f>
        <v>Blossom - Documento a emitir</v>
      </c>
    </row>
    <row r="244" spans="2:10" hidden="1" x14ac:dyDescent="0.25">
      <c r="B244" s="53" t="str">
        <f>_xlfn.XLOOKUP(C244,'Data Base'!D:D,'Data Base'!B:B)</f>
        <v>UT - Sistema De Utilidades</v>
      </c>
      <c r="C244" s="53" t="s">
        <v>272</v>
      </c>
      <c r="D244" s="53" t="str">
        <f>_xlfn.XLOOKUP(C244,'LD-ELFA'!F:F,'LD-ELFA'!H:H)</f>
        <v>DE-A1-1805-U-PB-0003</v>
      </c>
      <c r="E244" s="53">
        <f>_xlfn.XLOOKUP(C244,'Data Base'!D:D,'Data Base'!G:G)</f>
        <v>0</v>
      </c>
      <c r="F244" s="53" t="str">
        <f>_xlfn.XLOOKUP(C244,'LD-ELFA'!F:F,'LD-ELFA'!Q:Q)</f>
        <v>FLUXOGRAMA DE ENGENHARIA - P&amp;ID</v>
      </c>
      <c r="G244" s="56" t="str">
        <f>_xlfn.XLOOKUP(C244,'Data Base'!D:D,'Data Base'!I:I)</f>
        <v/>
      </c>
      <c r="H244" s="56" t="str">
        <f>_xlfn.XLOOKUP(C244,'Data Base'!D:D,'Data Base'!K:K)</f>
        <v>Documento a emitir</v>
      </c>
      <c r="I244" s="57" t="str">
        <f t="shared" ca="1" si="3"/>
        <v>Documento a emitir</v>
      </c>
      <c r="J244" s="57" t="str">
        <f>_xlfn.XLOOKUP(C244,'Data Base'!D:D,'Data Base'!O:O)</f>
        <v>Blossom - Documento a emitir</v>
      </c>
    </row>
    <row r="245" spans="2:10" hidden="1" x14ac:dyDescent="0.25">
      <c r="B245" s="53" t="str">
        <f>_xlfn.XLOOKUP(C245,'Data Base'!D:D,'Data Base'!B:B)</f>
        <v>UT - Sistema De Utilidades</v>
      </c>
      <c r="C245" s="53" t="s">
        <v>273</v>
      </c>
      <c r="D245" s="53" t="str">
        <f>_xlfn.XLOOKUP(C245,'LD-ELFA'!F:F,'LD-ELFA'!H:H)</f>
        <v>DE-A1-1805-U-PB-0002</v>
      </c>
      <c r="E245" s="53">
        <f>_xlfn.XLOOKUP(C245,'Data Base'!D:D,'Data Base'!G:G)</f>
        <v>0</v>
      </c>
      <c r="F245" s="53" t="str">
        <f>_xlfn.XLOOKUP(C245,'LD-ELFA'!F:F,'LD-ELFA'!Q:Q)</f>
        <v>UFD</v>
      </c>
      <c r="G245" s="56" t="str">
        <f>_xlfn.XLOOKUP(C245,'Data Base'!D:D,'Data Base'!I:I)</f>
        <v/>
      </c>
      <c r="H245" s="56" t="str">
        <f>_xlfn.XLOOKUP(C245,'Data Base'!D:D,'Data Base'!K:K)</f>
        <v>Documento a emitir</v>
      </c>
      <c r="I245" s="57" t="str">
        <f t="shared" ca="1" si="3"/>
        <v>Documento a emitir</v>
      </c>
      <c r="J245" s="57" t="str">
        <f>_xlfn.XLOOKUP(C245,'Data Base'!D:D,'Data Base'!O:O)</f>
        <v>Blossom - Documento a emitir</v>
      </c>
    </row>
    <row r="246" spans="2:10" hidden="1" x14ac:dyDescent="0.25">
      <c r="B246" s="53" t="str">
        <f>_xlfn.XLOOKUP(C246,'Data Base'!D:D,'Data Base'!B:B)</f>
        <v>UT - Sistema De Utilidades</v>
      </c>
      <c r="C246" s="53" t="s">
        <v>274</v>
      </c>
      <c r="D246" s="53" t="str">
        <f>_xlfn.XLOOKUP(C246,'LD-ELFA'!F:F,'LD-ELFA'!H:H)</f>
        <v>DE-A1-1801-U-PB-0003</v>
      </c>
      <c r="E246" s="53">
        <f>_xlfn.XLOOKUP(C246,'Data Base'!D:D,'Data Base'!G:G)</f>
        <v>0</v>
      </c>
      <c r="F246" s="53" t="str">
        <f>_xlfn.XLOOKUP(C246,'LD-ELFA'!F:F,'LD-ELFA'!Q:Q)</f>
        <v>UFD</v>
      </c>
      <c r="G246" s="56" t="str">
        <f>_xlfn.XLOOKUP(C246,'Data Base'!D:D,'Data Base'!I:I)</f>
        <v/>
      </c>
      <c r="H246" s="56" t="str">
        <f>_xlfn.XLOOKUP(C246,'Data Base'!D:D,'Data Base'!K:K)</f>
        <v>Documento a emitir</v>
      </c>
      <c r="I246" s="57" t="str">
        <f t="shared" ca="1" si="3"/>
        <v>Documento a emitir</v>
      </c>
      <c r="J246" s="57" t="str">
        <f>_xlfn.XLOOKUP(C246,'Data Base'!D:D,'Data Base'!O:O)</f>
        <v>Blossom - Documento a emitir</v>
      </c>
    </row>
    <row r="247" spans="2:10" hidden="1" x14ac:dyDescent="0.25">
      <c r="B247" s="53" t="str">
        <f>_xlfn.XLOOKUP(C247,'Data Base'!D:D,'Data Base'!B:B)</f>
        <v>UT - Sistema De Utilidades</v>
      </c>
      <c r="C247" s="53" t="s">
        <v>275</v>
      </c>
      <c r="D247" s="53" t="str">
        <f>_xlfn.XLOOKUP(C247,'LD-ELFA'!F:F,'LD-ELFA'!H:H)</f>
        <v>DE-A1-1800-U-PB-0001</v>
      </c>
      <c r="E247" s="53">
        <f>_xlfn.XLOOKUP(C247,'Data Base'!D:D,'Data Base'!G:G)</f>
        <v>0</v>
      </c>
      <c r="F247" s="53" t="str">
        <f>_xlfn.XLOOKUP(C247,'LD-ELFA'!F:F,'LD-ELFA'!Q:Q)</f>
        <v>UFD</v>
      </c>
      <c r="G247" s="56" t="str">
        <f>_xlfn.XLOOKUP(C247,'Data Base'!D:D,'Data Base'!I:I)</f>
        <v/>
      </c>
      <c r="H247" s="56" t="str">
        <f>_xlfn.XLOOKUP(C247,'Data Base'!D:D,'Data Base'!K:K)</f>
        <v>Documento a emitir</v>
      </c>
      <c r="I247" s="57" t="str">
        <f t="shared" ca="1" si="3"/>
        <v>Documento a emitir</v>
      </c>
      <c r="J247" s="57" t="str">
        <f>_xlfn.XLOOKUP(C247,'Data Base'!D:D,'Data Base'!O:O)</f>
        <v>Blossom - Documento a emitir</v>
      </c>
    </row>
    <row r="248" spans="2:10" hidden="1" x14ac:dyDescent="0.25">
      <c r="B248" s="53" t="str">
        <f>_xlfn.XLOOKUP(C248,'Data Base'!D:D,'Data Base'!B:B)</f>
        <v>UT - Sistema De Utilidades</v>
      </c>
      <c r="C248" s="53" t="s">
        <v>276</v>
      </c>
      <c r="D248" s="53" t="str">
        <f>_xlfn.XLOOKUP(C248,'LD-ELFA'!F:F,'LD-ELFA'!H:H)</f>
        <v>DE-A1-1801-U-PB-0002</v>
      </c>
      <c r="E248" s="53">
        <f>_xlfn.XLOOKUP(C248,'Data Base'!D:D,'Data Base'!G:G)</f>
        <v>0</v>
      </c>
      <c r="F248" s="53" t="str">
        <f>_xlfn.XLOOKUP(C248,'LD-ELFA'!F:F,'LD-ELFA'!Q:Q)</f>
        <v>FLUXOGRAMA DE ENGENHARIA - P&amp;ID</v>
      </c>
      <c r="G248" s="56" t="str">
        <f>_xlfn.XLOOKUP(C248,'Data Base'!D:D,'Data Base'!I:I)</f>
        <v/>
      </c>
      <c r="H248" s="56" t="str">
        <f>_xlfn.XLOOKUP(C248,'Data Base'!D:D,'Data Base'!K:K)</f>
        <v>Documento a emitir</v>
      </c>
      <c r="I248" s="57" t="str">
        <f t="shared" ca="1" si="3"/>
        <v>Documento a emitir</v>
      </c>
      <c r="J248" s="57" t="str">
        <f>_xlfn.XLOOKUP(C248,'Data Base'!D:D,'Data Base'!O:O)</f>
        <v>Blossom - Documento a emitir</v>
      </c>
    </row>
    <row r="249" spans="2:10" hidden="1" x14ac:dyDescent="0.25">
      <c r="B249" s="53" t="str">
        <f>_xlfn.XLOOKUP(C249,'Data Base'!D:D,'Data Base'!B:B)</f>
        <v>UT - Sistema De Utilidades</v>
      </c>
      <c r="C249" s="53" t="s">
        <v>277</v>
      </c>
      <c r="D249" s="53" t="str">
        <f>_xlfn.XLOOKUP(C249,'LD-ELFA'!F:F,'LD-ELFA'!H:H)</f>
        <v>DE-A1-1801-U-PB-0004</v>
      </c>
      <c r="E249" s="53">
        <f>_xlfn.XLOOKUP(C249,'Data Base'!D:D,'Data Base'!G:G)</f>
        <v>0</v>
      </c>
      <c r="F249" s="53" t="str">
        <f>_xlfn.XLOOKUP(C249,'LD-ELFA'!F:F,'LD-ELFA'!Q:Q)</f>
        <v>FLUXOGRAMA DE ENGENHARIA - P&amp;ID</v>
      </c>
      <c r="G249" s="56" t="str">
        <f>_xlfn.XLOOKUP(C249,'Data Base'!D:D,'Data Base'!I:I)</f>
        <v/>
      </c>
      <c r="H249" s="56" t="str">
        <f>_xlfn.XLOOKUP(C249,'Data Base'!D:D,'Data Base'!K:K)</f>
        <v>Documento a emitir</v>
      </c>
      <c r="I249" s="57" t="str">
        <f t="shared" ca="1" si="3"/>
        <v>Documento a emitir</v>
      </c>
      <c r="J249" s="57" t="str">
        <f>_xlfn.XLOOKUP(C249,'Data Base'!D:D,'Data Base'!O:O)</f>
        <v>Blossom - Documento a emitir</v>
      </c>
    </row>
    <row r="250" spans="2:10" hidden="1" x14ac:dyDescent="0.25">
      <c r="B250" s="53" t="e">
        <f>_xlfn.XLOOKUP(C250,'Data Base'!D:D,'Data Base'!B:B)</f>
        <v>#N/A</v>
      </c>
      <c r="C250" s="53" t="s">
        <v>278</v>
      </c>
      <c r="D250" s="53" t="e">
        <f>_xlfn.XLOOKUP(C250,'LD-ELFA'!F:F,'LD-ELFA'!H:H)</f>
        <v>#N/A</v>
      </c>
      <c r="E250" s="53" t="e">
        <f>_xlfn.XLOOKUP(C250,'Data Base'!D:D,'Data Base'!G:G)</f>
        <v>#N/A</v>
      </c>
      <c r="F250" s="53" t="e">
        <f>_xlfn.XLOOKUP(C250,'LD-ELFA'!F:F,'LD-ELFA'!Q:Q)</f>
        <v>#N/A</v>
      </c>
      <c r="G250" s="56" t="e">
        <f>_xlfn.XLOOKUP(C250,'Data Base'!D:D,'Data Base'!I:I)</f>
        <v>#N/A</v>
      </c>
      <c r="H250" s="56" t="e">
        <f>_xlfn.XLOOKUP(C250,'Data Base'!D:D,'Data Base'!K:K)</f>
        <v>#N/A</v>
      </c>
      <c r="I250" s="57" t="e">
        <f t="shared" ca="1" si="3"/>
        <v>#N/A</v>
      </c>
      <c r="J250" s="57" t="str">
        <f>_xlfn.XLOOKUP(C250,'Data Base'!D:D,'Data Base'!O:O)</f>
        <v>Documento Removido</v>
      </c>
    </row>
    <row r="251" spans="2:10" hidden="1" x14ac:dyDescent="0.25">
      <c r="B251" s="53" t="str">
        <f>_xlfn.XLOOKUP(C251,'Data Base'!D:D,'Data Base'!B:B)</f>
        <v>UT - Sistema De Utilidades</v>
      </c>
      <c r="C251" s="53" t="s">
        <v>279</v>
      </c>
      <c r="D251" s="53" t="str">
        <f>_xlfn.XLOOKUP(C251,'LD-ELFA'!F:F,'LD-ELFA'!H:H)</f>
        <v>LL-A1-1000-U-PB-0001</v>
      </c>
      <c r="E251" s="53">
        <f>_xlfn.XLOOKUP(C251,'Data Base'!D:D,'Data Base'!G:G)</f>
        <v>0</v>
      </c>
      <c r="F251" s="53" t="str">
        <f>_xlfn.XLOOKUP(C251,'LD-ELFA'!F:F,'LD-ELFA'!Q:Q)</f>
        <v>LISTA DE LINHAS</v>
      </c>
      <c r="G251" s="56" t="str">
        <f>_xlfn.XLOOKUP(C251,'Data Base'!D:D,'Data Base'!I:I)</f>
        <v/>
      </c>
      <c r="H251" s="56" t="str">
        <f>_xlfn.XLOOKUP(C251,'Data Base'!D:D,'Data Base'!K:K)</f>
        <v>Documento a emitir</v>
      </c>
      <c r="I251" s="57" t="str">
        <f t="shared" ca="1" si="3"/>
        <v>Documento a emitir</v>
      </c>
      <c r="J251" s="57" t="str">
        <f>_xlfn.XLOOKUP(C251,'Data Base'!D:D,'Data Base'!O:O)</f>
        <v>Blossom - Documento a emitir</v>
      </c>
    </row>
    <row r="252" spans="2:10" hidden="1" x14ac:dyDescent="0.25">
      <c r="B252" s="53" t="str">
        <f>_xlfn.XLOOKUP(C252,'Data Base'!D:D,'Data Base'!B:B)</f>
        <v>UT - Sistema De Utilidades</v>
      </c>
      <c r="C252" s="53" t="s">
        <v>280</v>
      </c>
      <c r="D252" s="53" t="str">
        <f>_xlfn.XLOOKUP(C252,'LD-ELFA'!F:F,'LD-ELFA'!H:H)</f>
        <v>MC-A1-1803-U-PB-0001</v>
      </c>
      <c r="E252" s="53">
        <f>_xlfn.XLOOKUP(C252,'Data Base'!D:D,'Data Base'!G:G)</f>
        <v>0</v>
      </c>
      <c r="F252" s="53" t="str">
        <f>_xlfn.XLOOKUP(C252,'LD-ELFA'!F:F,'LD-ELFA'!Q:Q)</f>
        <v>MEMÓRIA DE CÁLCULO</v>
      </c>
      <c r="G252" s="56" t="str">
        <f>_xlfn.XLOOKUP(C252,'Data Base'!D:D,'Data Base'!I:I)</f>
        <v/>
      </c>
      <c r="H252" s="56" t="str">
        <f>_xlfn.XLOOKUP(C252,'Data Base'!D:D,'Data Base'!K:K)</f>
        <v>Documento a emitir</v>
      </c>
      <c r="I252" s="57" t="str">
        <f t="shared" ca="1" si="3"/>
        <v>Documento a emitir</v>
      </c>
      <c r="J252" s="57" t="str">
        <f>_xlfn.XLOOKUP(C252,'Data Base'!D:D,'Data Base'!O:O)</f>
        <v>Blossom - Documento a emitir</v>
      </c>
    </row>
    <row r="253" spans="2:10" hidden="1" x14ac:dyDescent="0.25">
      <c r="B253" s="53" t="str">
        <f>_xlfn.XLOOKUP(C253,'Data Base'!D:D,'Data Base'!B:B)</f>
        <v>UT - Sistema De Utilidades</v>
      </c>
      <c r="C253" s="53" t="s">
        <v>281</v>
      </c>
      <c r="D253" s="53" t="str">
        <f>_xlfn.XLOOKUP(C253,'LD-ELFA'!F:F,'LD-ELFA'!H:H)</f>
        <v>MC-A1-1805-U-PB-0001</v>
      </c>
      <c r="E253" s="53">
        <f>_xlfn.XLOOKUP(C253,'Data Base'!D:D,'Data Base'!G:G)</f>
        <v>0</v>
      </c>
      <c r="F253" s="53" t="str">
        <f>_xlfn.XLOOKUP(C253,'LD-ELFA'!F:F,'LD-ELFA'!Q:Q)</f>
        <v>MEMÓRIA DE CÁLCULO</v>
      </c>
      <c r="G253" s="56" t="str">
        <f>_xlfn.XLOOKUP(C253,'Data Base'!D:D,'Data Base'!I:I)</f>
        <v>0025</v>
      </c>
      <c r="H253" s="56">
        <f>_xlfn.XLOOKUP(C253,'Data Base'!D:D,'Data Base'!K:K)</f>
        <v>46210.679327465281</v>
      </c>
      <c r="I253" s="57">
        <f t="shared" ca="1" si="3"/>
        <v>1.3206725347190513</v>
      </c>
      <c r="J253" s="57" t="str">
        <f>_xlfn.XLOOKUP(C253,'Data Base'!D:D,'Data Base'!O:O)</f>
        <v>Blossom - Atendimento de Comentário</v>
      </c>
    </row>
    <row r="254" spans="2:10" hidden="1" x14ac:dyDescent="0.25">
      <c r="B254" s="53" t="e">
        <f>_xlfn.XLOOKUP(C254,'Data Base'!D:D,'Data Base'!B:B)</f>
        <v>#N/A</v>
      </c>
      <c r="C254" s="53" t="s">
        <v>282</v>
      </c>
      <c r="D254" s="53" t="e">
        <f>_xlfn.XLOOKUP(C254,'LD-ELFA'!F:F,'LD-ELFA'!H:H)</f>
        <v>#N/A</v>
      </c>
      <c r="E254" s="53" t="e">
        <f>_xlfn.XLOOKUP(C254,'Data Base'!D:D,'Data Base'!G:G)</f>
        <v>#N/A</v>
      </c>
      <c r="F254" s="53" t="e">
        <f>_xlfn.XLOOKUP(C254,'LD-ELFA'!F:F,'LD-ELFA'!Q:Q)</f>
        <v>#N/A</v>
      </c>
      <c r="G254" s="56" t="e">
        <f>_xlfn.XLOOKUP(C254,'Data Base'!D:D,'Data Base'!I:I)</f>
        <v>#N/A</v>
      </c>
      <c r="H254" s="56" t="e">
        <f>_xlfn.XLOOKUP(C254,'Data Base'!D:D,'Data Base'!K:K)</f>
        <v>#N/A</v>
      </c>
      <c r="I254" s="57" t="e">
        <f t="shared" ca="1" si="3"/>
        <v>#N/A</v>
      </c>
      <c r="J254" s="57" t="str">
        <f>_xlfn.XLOOKUP(C254,'Data Base'!D:D,'Data Base'!O:O)</f>
        <v>Documento Removido</v>
      </c>
    </row>
    <row r="255" spans="2:10" hidden="1" x14ac:dyDescent="0.25">
      <c r="B255" s="53" t="str">
        <f>_xlfn.XLOOKUP(C255,'Data Base'!D:D,'Data Base'!B:B)</f>
        <v>UT - Sistema De Utilidades</v>
      </c>
      <c r="C255" s="53" t="s">
        <v>283</v>
      </c>
      <c r="D255" s="53" t="str">
        <f>_xlfn.XLOOKUP(C255,'LD-ELFA'!F:F,'LD-ELFA'!H:H)</f>
        <v>MC-A1-1800-U-PB-0001</v>
      </c>
      <c r="E255" s="53">
        <f>_xlfn.XLOOKUP(C255,'Data Base'!D:D,'Data Base'!G:G)</f>
        <v>0</v>
      </c>
      <c r="F255" s="53" t="str">
        <f>_xlfn.XLOOKUP(C255,'LD-ELFA'!F:F,'LD-ELFA'!Q:Q)</f>
        <v>MEMÓRIA DE CÁLCULO</v>
      </c>
      <c r="G255" s="56" t="str">
        <f>_xlfn.XLOOKUP(C255,'Data Base'!D:D,'Data Base'!I:I)</f>
        <v/>
      </c>
      <c r="H255" s="56" t="str">
        <f>_xlfn.XLOOKUP(C255,'Data Base'!D:D,'Data Base'!K:K)</f>
        <v>Documento a emitir</v>
      </c>
      <c r="I255" s="57" t="str">
        <f t="shared" ca="1" si="3"/>
        <v>Documento a emitir</v>
      </c>
      <c r="J255" s="57" t="str">
        <f>_xlfn.XLOOKUP(C255,'Data Base'!D:D,'Data Base'!O:O)</f>
        <v>Blossom - Documento a emitir</v>
      </c>
    </row>
    <row r="256" spans="2:10" hidden="1" x14ac:dyDescent="0.25">
      <c r="B256" s="53" t="str">
        <f>_xlfn.XLOOKUP(C256,'Data Base'!D:D,'Data Base'!B:B)</f>
        <v>UT - Sistema De Utilidades</v>
      </c>
      <c r="C256" s="53" t="s">
        <v>284</v>
      </c>
      <c r="D256" s="53" t="str">
        <f>_xlfn.XLOOKUP(C256,'LD-ELFA'!F:F,'LD-ELFA'!H:H)</f>
        <v>MC-A1-1801-U-PB-0001</v>
      </c>
      <c r="E256" s="53">
        <f>_xlfn.XLOOKUP(C256,'Data Base'!D:D,'Data Base'!G:G)</f>
        <v>0</v>
      </c>
      <c r="F256" s="53" t="str">
        <f>_xlfn.XLOOKUP(C256,'LD-ELFA'!F:F,'LD-ELFA'!Q:Q)</f>
        <v>MEMÓRIA DE CÁLCULO</v>
      </c>
      <c r="G256" s="56" t="str">
        <f>_xlfn.XLOOKUP(C256,'Data Base'!D:D,'Data Base'!I:I)</f>
        <v/>
      </c>
      <c r="H256" s="56" t="str">
        <f>_xlfn.XLOOKUP(C256,'Data Base'!D:D,'Data Base'!K:K)</f>
        <v>Documento a emitir</v>
      </c>
      <c r="I256" s="57" t="str">
        <f t="shared" ca="1" si="3"/>
        <v>Documento a emitir</v>
      </c>
      <c r="J256" s="57" t="str">
        <f>_xlfn.XLOOKUP(C256,'Data Base'!D:D,'Data Base'!O:O)</f>
        <v>Blossom - Documento a emitir</v>
      </c>
    </row>
    <row r="257" spans="2:10" hidden="1" x14ac:dyDescent="0.25">
      <c r="B257" s="53" t="str">
        <f>_xlfn.XLOOKUP(C257,'Data Base'!D:D,'Data Base'!B:B)</f>
        <v>UT - Sistema De Utilidades</v>
      </c>
      <c r="C257" s="53" t="s">
        <v>285</v>
      </c>
      <c r="D257" s="53" t="str">
        <f>_xlfn.XLOOKUP(C257,'LD-ELFA'!F:F,'LD-ELFA'!H:H)</f>
        <v>MC-A1-1900-U-PB-0001</v>
      </c>
      <c r="E257" s="53">
        <f>_xlfn.XLOOKUP(C257,'Data Base'!D:D,'Data Base'!G:G)</f>
        <v>0</v>
      </c>
      <c r="F257" s="53" t="str">
        <f>_xlfn.XLOOKUP(C257,'LD-ELFA'!F:F,'LD-ELFA'!Q:Q)</f>
        <v>MEMÓRIA DE CÁLCULO</v>
      </c>
      <c r="G257" s="56" t="str">
        <f>_xlfn.XLOOKUP(C257,'Data Base'!D:D,'Data Base'!I:I)</f>
        <v/>
      </c>
      <c r="H257" s="56" t="str">
        <f>_xlfn.XLOOKUP(C257,'Data Base'!D:D,'Data Base'!K:K)</f>
        <v>Documento a emitir</v>
      </c>
      <c r="I257" s="57" t="str">
        <f t="shared" ca="1" si="3"/>
        <v>Documento a emitir</v>
      </c>
      <c r="J257" s="57" t="str">
        <f>_xlfn.XLOOKUP(C257,'Data Base'!D:D,'Data Base'!O:O)</f>
        <v>Blossom - Documento a emitir</v>
      </c>
    </row>
    <row r="258" spans="2:10" hidden="1" x14ac:dyDescent="0.25">
      <c r="B258" s="53" t="str">
        <f>_xlfn.XLOOKUP(C258,'Data Base'!D:D,'Data Base'!B:B)</f>
        <v>UT - Sistema De Utilidades</v>
      </c>
      <c r="C258" s="53" t="s">
        <v>286</v>
      </c>
      <c r="D258" s="53" t="str">
        <f>_xlfn.XLOOKUP(C258,'LD-ELFA'!F:F,'LD-ELFA'!H:H)</f>
        <v>RL-A1-2100-U-PB-4000</v>
      </c>
      <c r="E258" s="53">
        <f>_xlfn.XLOOKUP(C258,'Data Base'!D:D,'Data Base'!G:G)</f>
        <v>0</v>
      </c>
      <c r="F258" s="53" t="str">
        <f>_xlfn.XLOOKUP(C258,'LD-ELFA'!F:F,'LD-ELFA'!Q:Q)</f>
        <v>RELATÓRIO TÉCNICO</v>
      </c>
      <c r="G258" s="56" t="str">
        <f>_xlfn.XLOOKUP(C258,'Data Base'!D:D,'Data Base'!I:I)</f>
        <v>0020</v>
      </c>
      <c r="H258" s="56">
        <f>_xlfn.XLOOKUP(C258,'Data Base'!D:D,'Data Base'!K:K)</f>
        <v>46209.706836458332</v>
      </c>
      <c r="I258" s="57">
        <f t="shared" ca="1" si="3"/>
        <v>2.2931635416680365</v>
      </c>
      <c r="J258" s="57" t="str">
        <f>_xlfn.XLOOKUP(C258,'Data Base'!D:D,'Data Base'!O:O)</f>
        <v>Blossom - Atendimento de Comentário</v>
      </c>
    </row>
  </sheetData>
  <autoFilter ref="B2:J258" xr:uid="{00000000-0009-0000-0000-000008000000}">
    <filterColumn colId="8">
      <filters>
        <filter val="Cliente - Atendimento de Comentário"/>
      </filters>
    </filterColumn>
  </autoFilter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4:D18"/>
  <sheetViews>
    <sheetView workbookViewId="0">
      <selection activeCell="D5" sqref="D5"/>
    </sheetView>
  </sheetViews>
  <sheetFormatPr defaultRowHeight="15" x14ac:dyDescent="0.25"/>
  <cols>
    <col min="3" max="3" width="30.85546875" bestFit="1" customWidth="1"/>
  </cols>
  <sheetData>
    <row r="4" spans="3:4" x14ac:dyDescent="0.25">
      <c r="C4" t="s">
        <v>341</v>
      </c>
      <c r="D4" t="s">
        <v>2221</v>
      </c>
    </row>
    <row r="5" spans="3:4" x14ac:dyDescent="0.25">
      <c r="C5" t="s">
        <v>568</v>
      </c>
      <c r="D5" t="s">
        <v>2222</v>
      </c>
    </row>
    <row r="6" spans="3:4" x14ac:dyDescent="0.25">
      <c r="C6" t="s">
        <v>626</v>
      </c>
      <c r="D6" t="s">
        <v>2222</v>
      </c>
    </row>
    <row r="7" spans="3:4" x14ac:dyDescent="0.25">
      <c r="C7" t="s">
        <v>2223</v>
      </c>
      <c r="D7" t="s">
        <v>2222</v>
      </c>
    </row>
    <row r="8" spans="3:4" x14ac:dyDescent="0.25">
      <c r="C8" t="s">
        <v>775</v>
      </c>
      <c r="D8" t="s">
        <v>2222</v>
      </c>
    </row>
    <row r="9" spans="3:4" x14ac:dyDescent="0.25">
      <c r="C9" t="s">
        <v>820</v>
      </c>
      <c r="D9" t="s">
        <v>2224</v>
      </c>
    </row>
    <row r="10" spans="3:4" x14ac:dyDescent="0.25">
      <c r="C10" t="s">
        <v>2225</v>
      </c>
      <c r="D10" t="s">
        <v>2226</v>
      </c>
    </row>
    <row r="11" spans="3:4" x14ac:dyDescent="0.25">
      <c r="C11" t="s">
        <v>849</v>
      </c>
      <c r="D11" t="s">
        <v>2221</v>
      </c>
    </row>
    <row r="12" spans="3:4" x14ac:dyDescent="0.25">
      <c r="C12" t="s">
        <v>1037</v>
      </c>
      <c r="D12" t="s">
        <v>2227</v>
      </c>
    </row>
    <row r="13" spans="3:4" x14ac:dyDescent="0.25">
      <c r="C13" t="s">
        <v>1107</v>
      </c>
      <c r="D13" t="s">
        <v>2226</v>
      </c>
    </row>
    <row r="14" spans="3:4" x14ac:dyDescent="0.25">
      <c r="C14" t="s">
        <v>1159</v>
      </c>
      <c r="D14" t="s">
        <v>2226</v>
      </c>
    </row>
    <row r="15" spans="3:4" x14ac:dyDescent="0.25">
      <c r="C15" t="s">
        <v>1170</v>
      </c>
      <c r="D15" t="s">
        <v>2227</v>
      </c>
    </row>
    <row r="16" spans="3:4" x14ac:dyDescent="0.25">
      <c r="C16" t="s">
        <v>1291</v>
      </c>
      <c r="D16" t="s">
        <v>2228</v>
      </c>
    </row>
    <row r="17" spans="3:4" x14ac:dyDescent="0.25">
      <c r="C17" t="s">
        <v>1298</v>
      </c>
      <c r="D17" t="s">
        <v>2227</v>
      </c>
    </row>
    <row r="18" spans="3:4" x14ac:dyDescent="0.25">
      <c r="C18" t="s">
        <v>1313</v>
      </c>
      <c r="D18" t="s">
        <v>2227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I281"/>
  <sheetViews>
    <sheetView tabSelected="1" topLeftCell="B186" zoomScale="85" zoomScaleNormal="85" workbookViewId="0">
      <selection activeCell="H281" sqref="C246:H281"/>
    </sheetView>
  </sheetViews>
  <sheetFormatPr defaultColWidth="8.85546875" defaultRowHeight="15" x14ac:dyDescent="0.25"/>
  <cols>
    <col min="1" max="1" width="8.85546875" style="1" customWidth="1"/>
    <col min="2" max="2" width="32.28515625" style="1" bestFit="1" customWidth="1"/>
    <col min="3" max="3" width="30" style="1" bestFit="1" customWidth="1"/>
    <col min="4" max="4" width="26" style="1" bestFit="1" customWidth="1"/>
    <col min="5" max="5" width="62.28515625" style="1" bestFit="1" customWidth="1"/>
    <col min="6" max="6" width="18.28515625" style="1" bestFit="1" customWidth="1"/>
    <col min="7" max="7" width="76.42578125" style="1" bestFit="1" customWidth="1"/>
    <col min="8" max="8" width="18.28515625" style="1" customWidth="1"/>
    <col min="9" max="9" width="36.28515625" style="1" bestFit="1" customWidth="1"/>
    <col min="10" max="10" width="8.85546875" style="1" customWidth="1"/>
    <col min="11" max="16384" width="8.85546875" style="1"/>
  </cols>
  <sheetData>
    <row r="1" spans="2:9" x14ac:dyDescent="0.25">
      <c r="H1" s="101"/>
    </row>
    <row r="2" spans="2:9" x14ac:dyDescent="0.25">
      <c r="B2" s="65" t="s">
        <v>0</v>
      </c>
      <c r="C2" s="65" t="s">
        <v>1</v>
      </c>
      <c r="D2" s="65" t="s">
        <v>2</v>
      </c>
      <c r="E2" s="65" t="s">
        <v>3</v>
      </c>
      <c r="F2" s="65" t="s">
        <v>4</v>
      </c>
      <c r="G2" s="65" t="s">
        <v>5</v>
      </c>
      <c r="H2" s="65" t="s">
        <v>6</v>
      </c>
      <c r="I2" s="53" t="s">
        <v>7</v>
      </c>
    </row>
    <row r="3" spans="2:9" hidden="1" x14ac:dyDescent="0.25">
      <c r="B3" s="53" t="e">
        <f>_xlfn.XLOOKUP(C3,'Data Base'!D:D,'Data Base'!B:B)</f>
        <v>#N/A</v>
      </c>
      <c r="C3" s="53" t="s">
        <v>8</v>
      </c>
      <c r="D3" s="53" t="e">
        <f>_xlfn.XLOOKUP(C3,'LD-ELFA'!F:F,'LD-ELFA'!H:H)</f>
        <v>#N/A</v>
      </c>
      <c r="E3" s="53" t="e">
        <f>_xlfn.XLOOKUP(C3,'LD-ELFA'!F:F,'LD-ELFA'!Q:Q)</f>
        <v>#N/A</v>
      </c>
      <c r="F3" s="56" t="e">
        <f>_xlfn.XLOOKUP(C3,'Data Base'!D:D,'Data Base'!L:L)</f>
        <v>#N/A</v>
      </c>
      <c r="G3" s="56" t="str">
        <f>IF(I3="Blossom - Atendimento de Comentário",_xlfn.XLOOKUP(C3,'Data Base'!D:D,'Data Base'!Q:Q),"")</f>
        <v/>
      </c>
      <c r="H3" s="56" t="e">
        <f t="shared" ref="H3:H66" ca="1" si="0">IF(F3&lt;=WORKDAY(TODAY(),-3),"ATRASADO","NO PRAZO")</f>
        <v>#N/A</v>
      </c>
      <c r="I3" s="57" t="str">
        <f>_xlfn.XLOOKUP(C3,'Data Base'!D:D,'Data Base'!O:O)</f>
        <v>Documento Removido</v>
      </c>
    </row>
    <row r="4" spans="2:9" hidden="1" x14ac:dyDescent="0.25">
      <c r="B4" s="53" t="e">
        <f>_xlfn.XLOOKUP(C4,'Data Base'!D:D,'Data Base'!B:B)</f>
        <v>#N/A</v>
      </c>
      <c r="C4" s="53" t="s">
        <v>9</v>
      </c>
      <c r="D4" s="53" t="e">
        <f>_xlfn.XLOOKUP(C4,'LD-ELFA'!F:F,'LD-ELFA'!H:H)</f>
        <v>#N/A</v>
      </c>
      <c r="E4" s="53" t="e">
        <f>_xlfn.XLOOKUP(C4,'LD-ELFA'!F:F,'LD-ELFA'!Q:Q)</f>
        <v>#N/A</v>
      </c>
      <c r="F4" s="56" t="e">
        <f>_xlfn.XLOOKUP(C4,'Data Base'!D:D,'Data Base'!L:L)</f>
        <v>#N/A</v>
      </c>
      <c r="G4" s="56" t="str">
        <f>IF(I4="Blossom - Atendimento de Comentário",_xlfn.XLOOKUP(C4,'Data Base'!D:D,'Data Base'!Q:Q),"")</f>
        <v/>
      </c>
      <c r="H4" s="56" t="e">
        <f t="shared" ca="1" si="0"/>
        <v>#N/A</v>
      </c>
      <c r="I4" s="57" t="str">
        <f>_xlfn.XLOOKUP(C4,'Data Base'!D:D,'Data Base'!O:O)</f>
        <v>Documento Removido</v>
      </c>
    </row>
    <row r="5" spans="2:9" hidden="1" x14ac:dyDescent="0.25">
      <c r="B5" s="53" t="e">
        <f>_xlfn.XLOOKUP(C5,'Data Base'!D:D,'Data Base'!B:B)</f>
        <v>#N/A</v>
      </c>
      <c r="C5" s="53" t="s">
        <v>10</v>
      </c>
      <c r="D5" s="53" t="e">
        <f>_xlfn.XLOOKUP(C5,'LD-ELFA'!F:F,'LD-ELFA'!H:H)</f>
        <v>#N/A</v>
      </c>
      <c r="E5" s="53" t="e">
        <f>_xlfn.XLOOKUP(C5,'LD-ELFA'!F:F,'LD-ELFA'!Q:Q)</f>
        <v>#N/A</v>
      </c>
      <c r="F5" s="56" t="e">
        <f>_xlfn.XLOOKUP(C5,'Data Base'!D:D,'Data Base'!L:L)</f>
        <v>#N/A</v>
      </c>
      <c r="G5" s="56" t="str">
        <f>IF(I5="Blossom - Atendimento de Comentário",_xlfn.XLOOKUP(C5,'Data Base'!D:D,'Data Base'!Q:Q),"")</f>
        <v/>
      </c>
      <c r="H5" s="56" t="e">
        <f t="shared" ca="1" si="0"/>
        <v>#N/A</v>
      </c>
      <c r="I5" s="57" t="str">
        <f>_xlfn.XLOOKUP(C5,'Data Base'!D:D,'Data Base'!O:O)</f>
        <v>Documento Removido</v>
      </c>
    </row>
    <row r="6" spans="2:9" hidden="1" x14ac:dyDescent="0.25">
      <c r="B6" s="53" t="e">
        <f>_xlfn.XLOOKUP(C6,'Data Base'!D:D,'Data Base'!B:B)</f>
        <v>#N/A</v>
      </c>
      <c r="C6" s="53" t="s">
        <v>11</v>
      </c>
      <c r="D6" s="53" t="e">
        <f>_xlfn.XLOOKUP(C6,'LD-ELFA'!F:F,'LD-ELFA'!H:H)</f>
        <v>#N/A</v>
      </c>
      <c r="E6" s="53" t="e">
        <f>_xlfn.XLOOKUP(C6,'LD-ELFA'!F:F,'LD-ELFA'!Q:Q)</f>
        <v>#N/A</v>
      </c>
      <c r="F6" s="56" t="e">
        <f>_xlfn.XLOOKUP(C6,'Data Base'!D:D,'Data Base'!L:L)</f>
        <v>#N/A</v>
      </c>
      <c r="G6" s="56" t="str">
        <f>IF(I6="Blossom - Atendimento de Comentário",_xlfn.XLOOKUP(C6,'Data Base'!D:D,'Data Base'!Q:Q),"")</f>
        <v/>
      </c>
      <c r="H6" s="56" t="e">
        <f t="shared" ca="1" si="0"/>
        <v>#N/A</v>
      </c>
      <c r="I6" s="57" t="str">
        <f>_xlfn.XLOOKUP(C6,'Data Base'!D:D,'Data Base'!O:O)</f>
        <v>Documento Removido</v>
      </c>
    </row>
    <row r="7" spans="2:9" hidden="1" x14ac:dyDescent="0.25">
      <c r="B7" s="53" t="e">
        <f>_xlfn.XLOOKUP(C7,'Data Base'!D:D,'Data Base'!B:B)</f>
        <v>#N/A</v>
      </c>
      <c r="C7" s="53" t="s">
        <v>12</v>
      </c>
      <c r="D7" s="53" t="e">
        <f>_xlfn.XLOOKUP(C7,'LD-ELFA'!F:F,'LD-ELFA'!H:H)</f>
        <v>#N/A</v>
      </c>
      <c r="E7" s="53" t="e">
        <f>_xlfn.XLOOKUP(C7,'LD-ELFA'!F:F,'LD-ELFA'!Q:Q)</f>
        <v>#N/A</v>
      </c>
      <c r="F7" s="56" t="e">
        <f>_xlfn.XLOOKUP(C7,'Data Base'!D:D,'Data Base'!L:L)</f>
        <v>#N/A</v>
      </c>
      <c r="G7" s="56" t="str">
        <f>IF(I7="Blossom - Atendimento de Comentário",_xlfn.XLOOKUP(C7,'Data Base'!D:D,'Data Base'!Q:Q),"")</f>
        <v/>
      </c>
      <c r="H7" s="56" t="e">
        <f t="shared" ca="1" si="0"/>
        <v>#N/A</v>
      </c>
      <c r="I7" s="57" t="str">
        <f>_xlfn.XLOOKUP(C7,'Data Base'!D:D,'Data Base'!O:O)</f>
        <v>Documento Removido</v>
      </c>
    </row>
    <row r="8" spans="2:9" hidden="1" x14ac:dyDescent="0.25">
      <c r="B8" s="53" t="e">
        <f>_xlfn.XLOOKUP(C8,'Data Base'!D:D,'Data Base'!B:B)</f>
        <v>#N/A</v>
      </c>
      <c r="C8" s="53" t="s">
        <v>13</v>
      </c>
      <c r="D8" s="53" t="e">
        <f>_xlfn.XLOOKUP(C8,'LD-ELFA'!F:F,'LD-ELFA'!H:H)</f>
        <v>#N/A</v>
      </c>
      <c r="E8" s="53" t="e">
        <f>_xlfn.XLOOKUP(C8,'LD-ELFA'!F:F,'LD-ELFA'!Q:Q)</f>
        <v>#N/A</v>
      </c>
      <c r="F8" s="56" t="e">
        <f>_xlfn.XLOOKUP(C8,'Data Base'!D:D,'Data Base'!L:L)</f>
        <v>#N/A</v>
      </c>
      <c r="G8" s="56" t="str">
        <f>IF(I8="Blossom - Atendimento de Comentário",_xlfn.XLOOKUP(C8,'Data Base'!D:D,'Data Base'!Q:Q),"")</f>
        <v/>
      </c>
      <c r="H8" s="56" t="e">
        <f t="shared" ca="1" si="0"/>
        <v>#N/A</v>
      </c>
      <c r="I8" s="57" t="str">
        <f>_xlfn.XLOOKUP(C8,'Data Base'!D:D,'Data Base'!O:O)</f>
        <v>Documento Removido</v>
      </c>
    </row>
    <row r="9" spans="2:9" hidden="1" x14ac:dyDescent="0.25">
      <c r="B9" s="53" t="e">
        <f>_xlfn.XLOOKUP(C9,'Data Base'!D:D,'Data Base'!B:B)</f>
        <v>#N/A</v>
      </c>
      <c r="C9" s="53" t="s">
        <v>14</v>
      </c>
      <c r="D9" s="53" t="e">
        <f>_xlfn.XLOOKUP(C9,'LD-ELFA'!F:F,'LD-ELFA'!H:H)</f>
        <v>#N/A</v>
      </c>
      <c r="E9" s="53" t="e">
        <f>_xlfn.XLOOKUP(C9,'LD-ELFA'!F:F,'LD-ELFA'!Q:Q)</f>
        <v>#N/A</v>
      </c>
      <c r="F9" s="56" t="e">
        <f>_xlfn.XLOOKUP(C9,'Data Base'!D:D,'Data Base'!L:L)</f>
        <v>#N/A</v>
      </c>
      <c r="G9" s="56" t="str">
        <f>IF(I9="Blossom - Atendimento de Comentário",_xlfn.XLOOKUP(C9,'Data Base'!D:D,'Data Base'!Q:Q),"")</f>
        <v/>
      </c>
      <c r="H9" s="56" t="e">
        <f t="shared" ca="1" si="0"/>
        <v>#N/A</v>
      </c>
      <c r="I9" s="57" t="str">
        <f>_xlfn.XLOOKUP(C9,'Data Base'!D:D,'Data Base'!O:O)</f>
        <v>Documento Removido</v>
      </c>
    </row>
    <row r="10" spans="2:9" hidden="1" x14ac:dyDescent="0.25">
      <c r="B10" s="53" t="str">
        <f>_xlfn.XLOOKUP(C10,'Data Base'!D:D,'Data Base'!B:B)</f>
        <v>AI - Automacao E Instrumentacao</v>
      </c>
      <c r="C10" s="53" t="s">
        <v>15</v>
      </c>
      <c r="D10" s="53" t="str">
        <f>_xlfn.XLOOKUP(C10,'LD-ELFA'!F:F,'LD-ELFA'!H:H)</f>
        <v>DE-A1-2000-J-PB-0002</v>
      </c>
      <c r="E10" s="53" t="str">
        <f>_xlfn.XLOOKUP(C10,'LD-ELFA'!F:F,'LD-ELFA'!Q:Q)</f>
        <v>carol</v>
      </c>
      <c r="F10" s="56" t="str">
        <f>_xlfn.XLOOKUP(C10,'Data Base'!D:D,'Data Base'!L:L)</f>
        <v>carol</v>
      </c>
      <c r="G10" s="56" t="str">
        <f>IF(I10="Blossom - Atendimento de Comentário",_xlfn.XLOOKUP(C10,'Data Base'!D:D,'Data Base'!Q:Q),"")</f>
        <v/>
      </c>
      <c r="H10" s="56" t="str">
        <f t="shared" ca="1" si="0"/>
        <v>NO PRAZO</v>
      </c>
      <c r="I10" s="57" t="str">
        <f>_xlfn.XLOOKUP(C10,'Data Base'!D:D,'Data Base'!O:O)</f>
        <v>ERRO</v>
      </c>
    </row>
    <row r="11" spans="2:9" hidden="1" x14ac:dyDescent="0.25">
      <c r="B11" s="53" t="str">
        <f>_xlfn.XLOOKUP(C11,'Data Base'!D:D,'Data Base'!B:B)</f>
        <v>AI - Automacao E Instrumentacao</v>
      </c>
      <c r="C11" s="53" t="s">
        <v>16</v>
      </c>
      <c r="D11" s="53" t="str">
        <f>_xlfn.XLOOKUP(C11,'LD-ELFA'!F:F,'LD-ELFA'!H:H)</f>
        <v>DE-A1-2000-J-PB-0003</v>
      </c>
      <c r="E11" s="53" t="str">
        <f>_xlfn.XLOOKUP(C11,'LD-ELFA'!F:F,'LD-ELFA'!Q:Q)</f>
        <v>DIAGRAMA DE CONFIGURAÇÃO SAS/SGE</v>
      </c>
      <c r="F11" s="56" t="str">
        <f>_xlfn.XLOOKUP(C11,'Data Base'!D:D,'Data Base'!L:L)</f>
        <v>Documento a emitir</v>
      </c>
      <c r="G11" s="56" t="str">
        <f>IF(I11="Blossom - Atendimento de Comentário",_xlfn.XLOOKUP(C11,'Data Base'!D:D,'Data Base'!Q:Q),"")</f>
        <v/>
      </c>
      <c r="H11" s="56" t="str">
        <f t="shared" ca="1" si="0"/>
        <v>NO PRAZO</v>
      </c>
      <c r="I11" s="57" t="str">
        <f>_xlfn.XLOOKUP(C11,'Data Base'!D:D,'Data Base'!O:O)</f>
        <v>Blossom - Documento a emitir</v>
      </c>
    </row>
    <row r="12" spans="2:9" hidden="1" x14ac:dyDescent="0.25">
      <c r="B12" s="53" t="str">
        <f>_xlfn.XLOOKUP(C12,'Data Base'!D:D,'Data Base'!B:B)</f>
        <v>AI - Automacao E Instrumentacao</v>
      </c>
      <c r="C12" s="53" t="s">
        <v>17</v>
      </c>
      <c r="D12" s="53" t="str">
        <f>_xlfn.XLOOKUP(C12,'LD-ELFA'!F:F,'LD-ELFA'!H:H)</f>
        <v>DE-A1-2000-J-PB-0004</v>
      </c>
      <c r="E12" s="53" t="str">
        <f>_xlfn.XLOOKUP(C12,'LD-ELFA'!F:F,'LD-ELFA'!Q:Q)</f>
        <v xml:space="preserve">DIAGRAMA DE CONFIGURAÇÃO DE TELECOM </v>
      </c>
      <c r="F12" s="56" t="str">
        <f>_xlfn.XLOOKUP(C12,'Data Base'!D:D,'Data Base'!L:L)</f>
        <v>Documento a emitir</v>
      </c>
      <c r="G12" s="56" t="str">
        <f>IF(I12="Blossom - Atendimento de Comentário",_xlfn.XLOOKUP(C12,'Data Base'!D:D,'Data Base'!Q:Q),"")</f>
        <v/>
      </c>
      <c r="H12" s="56" t="str">
        <f t="shared" ca="1" si="0"/>
        <v>NO PRAZO</v>
      </c>
      <c r="I12" s="57" t="str">
        <f>_xlfn.XLOOKUP(C12,'Data Base'!D:D,'Data Base'!O:O)</f>
        <v>Blossom - Documento a emitir</v>
      </c>
    </row>
    <row r="13" spans="2:9" hidden="1" x14ac:dyDescent="0.25">
      <c r="B13" s="53" t="str">
        <f>_xlfn.XLOOKUP(C13,'Data Base'!D:D,'Data Base'!B:B)</f>
        <v>AI - Automacao E Instrumentacao</v>
      </c>
      <c r="C13" s="53" t="s">
        <v>18</v>
      </c>
      <c r="D13" s="53" t="str">
        <f>_xlfn.XLOOKUP(C13,'LD-ELFA'!F:F,'LD-ELFA'!H:H)</f>
        <v>DE-A1-2000-J-PB-0005</v>
      </c>
      <c r="E13" s="53" t="str">
        <f>_xlfn.XLOOKUP(C13,'LD-ELFA'!F:F,'LD-ELFA'!Q:Q)</f>
        <v xml:space="preserve">DIAGRAMA DE CONFIGURAÇÃO DE TELECOM </v>
      </c>
      <c r="F13" s="56" t="str">
        <f>_xlfn.XLOOKUP(C13,'Data Base'!D:D,'Data Base'!L:L)</f>
        <v>Documento a emitir</v>
      </c>
      <c r="G13" s="56" t="str">
        <f>IF(I13="Blossom - Atendimento de Comentário",_xlfn.XLOOKUP(C13,'Data Base'!D:D,'Data Base'!Q:Q),"")</f>
        <v/>
      </c>
      <c r="H13" s="56" t="str">
        <f t="shared" ca="1" si="0"/>
        <v>NO PRAZO</v>
      </c>
      <c r="I13" s="57" t="str">
        <f>_xlfn.XLOOKUP(C13,'Data Base'!D:D,'Data Base'!O:O)</f>
        <v>Blossom - Documento a emitir</v>
      </c>
    </row>
    <row r="14" spans="2:9" hidden="1" x14ac:dyDescent="0.25">
      <c r="B14" s="53" t="str">
        <f>_xlfn.XLOOKUP(C14,'Data Base'!D:D,'Data Base'!B:B)</f>
        <v>AI - Automacao E Instrumentacao</v>
      </c>
      <c r="C14" s="53" t="s">
        <v>19</v>
      </c>
      <c r="D14" s="53" t="str">
        <f>_xlfn.XLOOKUP(C14,'LD-ELFA'!F:F,'LD-ELFA'!H:H)</f>
        <v>DE-A1-2000-J-PB-0006</v>
      </c>
      <c r="E14" s="53" t="str">
        <f>_xlfn.XLOOKUP(C14,'LD-ELFA'!F:F,'LD-ELFA'!Q:Q)</f>
        <v>DIAGRAMA DE CONFIGURAÇÃO DE TELECOM</v>
      </c>
      <c r="F14" s="56" t="str">
        <f>_xlfn.XLOOKUP(C14,'Data Base'!D:D,'Data Base'!L:L)</f>
        <v>Documento a emitir</v>
      </c>
      <c r="G14" s="56" t="str">
        <f>IF(I14="Blossom - Atendimento de Comentário",_xlfn.XLOOKUP(C14,'Data Base'!D:D,'Data Base'!Q:Q),"")</f>
        <v/>
      </c>
      <c r="H14" s="56" t="str">
        <f t="shared" ca="1" si="0"/>
        <v>NO PRAZO</v>
      </c>
      <c r="I14" s="57" t="str">
        <f>_xlfn.XLOOKUP(C14,'Data Base'!D:D,'Data Base'!O:O)</f>
        <v>Blossom - Documento a emitir</v>
      </c>
    </row>
    <row r="15" spans="2:9" hidden="1" x14ac:dyDescent="0.25">
      <c r="B15" s="53" t="str">
        <f>_xlfn.XLOOKUP(C15,'Data Base'!D:D,'Data Base'!B:B)</f>
        <v>AI - Automacao E Instrumentacao</v>
      </c>
      <c r="C15" s="53" t="s">
        <v>20</v>
      </c>
      <c r="D15" s="53" t="str">
        <f>_xlfn.XLOOKUP(C15,'LD-ELFA'!F:F,'LD-ELFA'!H:H)</f>
        <v>DE-A1-2000-J-PB-0007</v>
      </c>
      <c r="E15" s="53" t="str">
        <f>_xlfn.XLOOKUP(C15,'LD-ELFA'!F:F,'LD-ELFA'!Q:Q)</f>
        <v>DIAGRAMA DE CONFIGURAÇÃO DE TELECOM</v>
      </c>
      <c r="F15" s="56" t="str">
        <f>_xlfn.XLOOKUP(C15,'Data Base'!D:D,'Data Base'!L:L)</f>
        <v>Documento a emitir</v>
      </c>
      <c r="G15" s="56" t="str">
        <f>IF(I15="Blossom - Atendimento de Comentário",_xlfn.XLOOKUP(C15,'Data Base'!D:D,'Data Base'!Q:Q),"")</f>
        <v/>
      </c>
      <c r="H15" s="56" t="str">
        <f t="shared" ca="1" si="0"/>
        <v>NO PRAZO</v>
      </c>
      <c r="I15" s="57" t="str">
        <f>_xlfn.XLOOKUP(C15,'Data Base'!D:D,'Data Base'!O:O)</f>
        <v>Blossom - Documento a emitir</v>
      </c>
    </row>
    <row r="16" spans="2:9" hidden="1" x14ac:dyDescent="0.25">
      <c r="B16" s="53" t="str">
        <f>_xlfn.XLOOKUP(C16,'Data Base'!D:D,'Data Base'!B:B)</f>
        <v>AI - Automacao E Instrumentacao</v>
      </c>
      <c r="C16" s="53" t="s">
        <v>21</v>
      </c>
      <c r="D16" s="53" t="str">
        <f>_xlfn.XLOOKUP(C16,'LD-ELFA'!F:F,'LD-ELFA'!H:H)</f>
        <v>DE-A1-2006-J-PB-0001</v>
      </c>
      <c r="E16" s="53" t="str">
        <f>_xlfn.XLOOKUP(C16,'LD-ELFA'!F:F,'LD-ELFA'!Q:Q)</f>
        <v>DIAGRAMA DE CONFIGURAÇÃO DE TELECOM</v>
      </c>
      <c r="F16" s="56" t="str">
        <f>_xlfn.XLOOKUP(C16,'Data Base'!D:D,'Data Base'!L:L)</f>
        <v>Documento a emitir</v>
      </c>
      <c r="G16" s="56" t="str">
        <f>IF(I16="Blossom - Atendimento de Comentário",_xlfn.XLOOKUP(C16,'Data Base'!D:D,'Data Base'!Q:Q),"")</f>
        <v/>
      </c>
      <c r="H16" s="56" t="str">
        <f t="shared" ca="1" si="0"/>
        <v>NO PRAZO</v>
      </c>
      <c r="I16" s="57" t="str">
        <f>_xlfn.XLOOKUP(C16,'Data Base'!D:D,'Data Base'!O:O)</f>
        <v>Blossom - Documento a emitir</v>
      </c>
    </row>
    <row r="17" spans="2:9" hidden="1" x14ac:dyDescent="0.25">
      <c r="B17" s="53" t="str">
        <f>_xlfn.XLOOKUP(C17,'Data Base'!D:D,'Data Base'!B:B)</f>
        <v>AI - Automacao E Instrumentacao</v>
      </c>
      <c r="C17" s="53" t="s">
        <v>22</v>
      </c>
      <c r="D17" s="53" t="str">
        <f>_xlfn.XLOOKUP(C17,'LD-ELFA'!F:F,'LD-ELFA'!H:H)</f>
        <v>ET-A1-2000-J-PB-0002</v>
      </c>
      <c r="E17" s="53" t="str">
        <f>_xlfn.XLOOKUP(C17,'LD-ELFA'!F:F,'LD-ELFA'!Q:Q)</f>
        <v>ESPECIFICAÇÃO TÉCNICA</v>
      </c>
      <c r="F17" s="56" t="str">
        <f>_xlfn.XLOOKUP(C17,'Data Base'!D:D,'Data Base'!L:L)</f>
        <v>Documento a emitir</v>
      </c>
      <c r="G17" s="56" t="str">
        <f>IF(I17="Blossom - Atendimento de Comentário",_xlfn.XLOOKUP(C17,'Data Base'!D:D,'Data Base'!Q:Q),"")</f>
        <v/>
      </c>
      <c r="H17" s="56" t="str">
        <f t="shared" ca="1" si="0"/>
        <v>NO PRAZO</v>
      </c>
      <c r="I17" s="57" t="str">
        <f>_xlfn.XLOOKUP(C17,'Data Base'!D:D,'Data Base'!O:O)</f>
        <v>Blossom - Documento a emitir</v>
      </c>
    </row>
    <row r="18" spans="2:9" hidden="1" x14ac:dyDescent="0.25">
      <c r="B18" s="53" t="str">
        <f>_xlfn.XLOOKUP(C18,'Data Base'!D:D,'Data Base'!B:B)</f>
        <v>AI - Automacao E Instrumentacao</v>
      </c>
      <c r="C18" s="53" t="s">
        <v>23</v>
      </c>
      <c r="D18" s="53" t="str">
        <f>_xlfn.XLOOKUP(C18,'LD-ELFA'!F:F,'LD-ELFA'!H:H)</f>
        <v>ET-A1-2006-J-PB-0002</v>
      </c>
      <c r="E18" s="53" t="str">
        <f>_xlfn.XLOOKUP(C18,'LD-ELFA'!F:F,'LD-ELFA'!Q:Q)</f>
        <v>ESPECIFICAÇÃO TÉCNICA</v>
      </c>
      <c r="F18" s="56" t="str">
        <f>_xlfn.XLOOKUP(C18,'Data Base'!D:D,'Data Base'!L:L)</f>
        <v>Documento a emitir</v>
      </c>
      <c r="G18" s="56" t="str">
        <f>IF(I18="Blossom - Atendimento de Comentário",_xlfn.XLOOKUP(C18,'Data Base'!D:D,'Data Base'!Q:Q),"")</f>
        <v/>
      </c>
      <c r="H18" s="56" t="str">
        <f t="shared" ca="1" si="0"/>
        <v>NO PRAZO</v>
      </c>
      <c r="I18" s="57" t="str">
        <f>_xlfn.XLOOKUP(C18,'Data Base'!D:D,'Data Base'!O:O)</f>
        <v>Blossom - Documento a emitir</v>
      </c>
    </row>
    <row r="19" spans="2:9" hidden="1" x14ac:dyDescent="0.25">
      <c r="B19" s="53" t="str">
        <f>_xlfn.XLOOKUP(C19,'Data Base'!D:D,'Data Base'!B:B)</f>
        <v>AI - Automacao E Instrumentacao</v>
      </c>
      <c r="C19" s="53" t="s">
        <v>24</v>
      </c>
      <c r="D19" s="53" t="str">
        <f>_xlfn.XLOOKUP(C19,'LD-ELFA'!F:F,'LD-ELFA'!H:H)</f>
        <v>ET-A1-2006-J-PB-0004</v>
      </c>
      <c r="E19" s="53" t="str">
        <f>_xlfn.XLOOKUP(C19,'LD-ELFA'!F:F,'LD-ELFA'!Q:Q)</f>
        <v>ESPECIFICAÇÃO TÉCNICA</v>
      </c>
      <c r="F19" s="56" t="str">
        <f>_xlfn.XLOOKUP(C19,'Data Base'!D:D,'Data Base'!L:L)</f>
        <v>Documento a emitir</v>
      </c>
      <c r="G19" s="56" t="str">
        <f>IF(I19="Blossom - Atendimento de Comentário",_xlfn.XLOOKUP(C19,'Data Base'!D:D,'Data Base'!Q:Q),"")</f>
        <v/>
      </c>
      <c r="H19" s="56" t="str">
        <f t="shared" ca="1" si="0"/>
        <v>NO PRAZO</v>
      </c>
      <c r="I19" s="57" t="str">
        <f>_xlfn.XLOOKUP(C19,'Data Base'!D:D,'Data Base'!O:O)</f>
        <v>Blossom - Documento a emitir</v>
      </c>
    </row>
    <row r="20" spans="2:9" hidden="1" x14ac:dyDescent="0.25">
      <c r="B20" s="53" t="str">
        <f>_xlfn.XLOOKUP(C20,'Data Base'!D:D,'Data Base'!B:B)</f>
        <v>AI - Automacao E Instrumentacao</v>
      </c>
      <c r="C20" s="53" t="s">
        <v>25</v>
      </c>
      <c r="D20" s="53" t="str">
        <f>_xlfn.XLOOKUP(C20,'LD-ELFA'!F:F,'LD-ELFA'!H:H)</f>
        <v>ET-A1-2007-J-PB-0001</v>
      </c>
      <c r="E20" s="53" t="str">
        <f>_xlfn.XLOOKUP(C20,'LD-ELFA'!F:F,'LD-ELFA'!Q:Q)</f>
        <v>ESPECIFICAÇÃO TÉCNICA</v>
      </c>
      <c r="F20" s="56" t="str">
        <f>_xlfn.XLOOKUP(C20,'Data Base'!D:D,'Data Base'!L:L)</f>
        <v>Documento a emitir</v>
      </c>
      <c r="G20" s="56" t="str">
        <f>IF(I20="Blossom - Atendimento de Comentário",_xlfn.XLOOKUP(C20,'Data Base'!D:D,'Data Base'!Q:Q),"")</f>
        <v/>
      </c>
      <c r="H20" s="56" t="str">
        <f t="shared" ca="1" si="0"/>
        <v>NO PRAZO</v>
      </c>
      <c r="I20" s="57" t="str">
        <f>_xlfn.XLOOKUP(C20,'Data Base'!D:D,'Data Base'!O:O)</f>
        <v>Blossom - Documento a emitir</v>
      </c>
    </row>
    <row r="21" spans="2:9" hidden="1" x14ac:dyDescent="0.25">
      <c r="B21" s="53" t="str">
        <f>_xlfn.XLOOKUP(C21,'Data Base'!D:D,'Data Base'!B:B)</f>
        <v>AI - Automacao E Instrumentacao</v>
      </c>
      <c r="C21" s="53" t="s">
        <v>26</v>
      </c>
      <c r="D21" s="53" t="str">
        <f>_xlfn.XLOOKUP(C21,'LD-ELFA'!F:F,'LD-ELFA'!H:H)</f>
        <v>FD-A1-2000-J-PB-0001</v>
      </c>
      <c r="E21" s="53" t="str">
        <f>_xlfn.XLOOKUP(C21,'LD-ELFA'!F:F,'LD-ELFA'!Q:Q)</f>
        <v>FOLHA DE DADOS</v>
      </c>
      <c r="F21" s="56" t="str">
        <f>_xlfn.XLOOKUP(C21,'Data Base'!D:D,'Data Base'!L:L)</f>
        <v>Documento a emitir</v>
      </c>
      <c r="G21" s="56" t="str">
        <f>IF(I21="Blossom - Atendimento de Comentário",_xlfn.XLOOKUP(C21,'Data Base'!D:D,'Data Base'!Q:Q),"")</f>
        <v/>
      </c>
      <c r="H21" s="56" t="str">
        <f t="shared" ca="1" si="0"/>
        <v>NO PRAZO</v>
      </c>
      <c r="I21" s="57" t="str">
        <f>_xlfn.XLOOKUP(C21,'Data Base'!D:D,'Data Base'!O:O)</f>
        <v>Blossom - Documento a emitir</v>
      </c>
    </row>
    <row r="22" spans="2:9" hidden="1" x14ac:dyDescent="0.25">
      <c r="B22" s="53" t="str">
        <f>_xlfn.XLOOKUP(C22,'Data Base'!D:D,'Data Base'!B:B)</f>
        <v>AI - Automacao E Instrumentacao</v>
      </c>
      <c r="C22" s="53" t="s">
        <v>27</v>
      </c>
      <c r="D22" s="53" t="str">
        <f>_xlfn.XLOOKUP(C22,'LD-ELFA'!F:F,'LD-ELFA'!H:H)</f>
        <v>FD-A1-2000-J-PB-0002</v>
      </c>
      <c r="E22" s="53" t="str">
        <f>_xlfn.XLOOKUP(C22,'LD-ELFA'!F:F,'LD-ELFA'!Q:Q)</f>
        <v>FOLHA DE DADOS</v>
      </c>
      <c r="F22" s="56" t="str">
        <f>_xlfn.XLOOKUP(C22,'Data Base'!D:D,'Data Base'!L:L)</f>
        <v>Documento a emitir</v>
      </c>
      <c r="G22" s="56" t="str">
        <f>IF(I22="Blossom - Atendimento de Comentário",_xlfn.XLOOKUP(C22,'Data Base'!D:D,'Data Base'!Q:Q),"")</f>
        <v/>
      </c>
      <c r="H22" s="56" t="str">
        <f t="shared" ca="1" si="0"/>
        <v>NO PRAZO</v>
      </c>
      <c r="I22" s="57" t="str">
        <f>_xlfn.XLOOKUP(C22,'Data Base'!D:D,'Data Base'!O:O)</f>
        <v>Blossom - Documento a emitir</v>
      </c>
    </row>
    <row r="23" spans="2:9" hidden="1" x14ac:dyDescent="0.25">
      <c r="B23" s="53" t="str">
        <f>_xlfn.XLOOKUP(C23,'Data Base'!D:D,'Data Base'!B:B)</f>
        <v>AI - Automacao E Instrumentacao</v>
      </c>
      <c r="C23" s="53" t="s">
        <v>28</v>
      </c>
      <c r="D23" s="53" t="str">
        <f>_xlfn.XLOOKUP(C23,'LD-ELFA'!F:F,'LD-ELFA'!H:H)</f>
        <v>FD-A1-2000-J-PB-0003</v>
      </c>
      <c r="E23" s="53" t="str">
        <f>_xlfn.XLOOKUP(C23,'LD-ELFA'!F:F,'LD-ELFA'!Q:Q)</f>
        <v>FOLHA DE DADOS</v>
      </c>
      <c r="F23" s="56">
        <f>_xlfn.XLOOKUP(C23,'Data Base'!D:D,'Data Base'!L:L)</f>
        <v>46212.670122997682</v>
      </c>
      <c r="G23" s="56" t="str">
        <f>IF(I23="Blossom - Atendimento de Comentário",_xlfn.XLOOKUP(C23,'Data Base'!D:D,'Data Base'!Q:Q),"")</f>
        <v/>
      </c>
      <c r="H23" s="56" t="str">
        <f t="shared" ca="1" si="0"/>
        <v>NO PRAZO</v>
      </c>
      <c r="I23" s="57" t="str">
        <f>_xlfn.XLOOKUP(C23,'Data Base'!D:D,'Data Base'!O:O)</f>
        <v>Documento Concluído</v>
      </c>
    </row>
    <row r="24" spans="2:9" hidden="1" x14ac:dyDescent="0.25">
      <c r="B24" s="53" t="str">
        <f>_xlfn.XLOOKUP(C24,'Data Base'!D:D,'Data Base'!B:B)</f>
        <v>AI - Automacao E Instrumentacao</v>
      </c>
      <c r="C24" s="53" t="s">
        <v>29</v>
      </c>
      <c r="D24" s="53" t="str">
        <f>_xlfn.XLOOKUP(C24,'LD-ELFA'!F:F,'LD-ELFA'!H:H)</f>
        <v>FD-A1-2000-J-PB-0004</v>
      </c>
      <c r="E24" s="53" t="str">
        <f>_xlfn.XLOOKUP(C24,'LD-ELFA'!F:F,'LD-ELFA'!Q:Q)</f>
        <v>FOLHA DE DADOS</v>
      </c>
      <c r="F24" s="56" t="str">
        <f>_xlfn.XLOOKUP(C24,'Data Base'!D:D,'Data Base'!L:L)</f>
        <v>Documento a emitir</v>
      </c>
      <c r="G24" s="56" t="str">
        <f>IF(I24="Blossom - Atendimento de Comentário",_xlfn.XLOOKUP(C24,'Data Base'!D:D,'Data Base'!Q:Q),"")</f>
        <v/>
      </c>
      <c r="H24" s="56" t="str">
        <f t="shared" ca="1" si="0"/>
        <v>NO PRAZO</v>
      </c>
      <c r="I24" s="57" t="str">
        <f>_xlfn.XLOOKUP(C24,'Data Base'!D:D,'Data Base'!O:O)</f>
        <v>Blossom - Documento a emitir</v>
      </c>
    </row>
    <row r="25" spans="2:9" hidden="1" x14ac:dyDescent="0.25">
      <c r="B25" s="53" t="str">
        <f>_xlfn.XLOOKUP(C25,'Data Base'!D:D,'Data Base'!B:B)</f>
        <v>AI - Automacao E Instrumentacao</v>
      </c>
      <c r="C25" s="53" t="s">
        <v>30</v>
      </c>
      <c r="D25" s="53" t="str">
        <f>_xlfn.XLOOKUP(C25,'LD-ELFA'!F:F,'LD-ELFA'!H:H)</f>
        <v>FD-A1-2000-J-PB-0005</v>
      </c>
      <c r="E25" s="53" t="str">
        <f>_xlfn.XLOOKUP(C25,'LD-ELFA'!F:F,'LD-ELFA'!Q:Q)</f>
        <v>FOLHA DE DADOS</v>
      </c>
      <c r="F25" s="56" t="str">
        <f>_xlfn.XLOOKUP(C25,'Data Base'!D:D,'Data Base'!L:L)</f>
        <v>Documento a emitir</v>
      </c>
      <c r="G25" s="56" t="str">
        <f>IF(I25="Blossom - Atendimento de Comentário",_xlfn.XLOOKUP(C25,'Data Base'!D:D,'Data Base'!Q:Q),"")</f>
        <v/>
      </c>
      <c r="H25" s="56" t="str">
        <f t="shared" ca="1" si="0"/>
        <v>NO PRAZO</v>
      </c>
      <c r="I25" s="57" t="str">
        <f>_xlfn.XLOOKUP(C25,'Data Base'!D:D,'Data Base'!O:O)</f>
        <v>Blossom - Documento a emitir</v>
      </c>
    </row>
    <row r="26" spans="2:9" hidden="1" x14ac:dyDescent="0.25">
      <c r="B26" s="53" t="str">
        <f>_xlfn.XLOOKUP(C26,'Data Base'!D:D,'Data Base'!B:B)</f>
        <v>AI - Automacao E Instrumentacao</v>
      </c>
      <c r="C26" s="53" t="s">
        <v>31</v>
      </c>
      <c r="D26" s="53" t="str">
        <f>_xlfn.XLOOKUP(C26,'LD-ELFA'!F:F,'LD-ELFA'!H:H)</f>
        <v>FD-A1-2000-J-PB-0006</v>
      </c>
      <c r="E26" s="53" t="str">
        <f>_xlfn.XLOOKUP(C26,'LD-ELFA'!F:F,'LD-ELFA'!Q:Q)</f>
        <v>FOLHA DE DADOS</v>
      </c>
      <c r="F26" s="56" t="str">
        <f>_xlfn.XLOOKUP(C26,'Data Base'!D:D,'Data Base'!L:L)</f>
        <v>Documento a emitir</v>
      </c>
      <c r="G26" s="56" t="str">
        <f>IF(I26="Blossom - Atendimento de Comentário",_xlfn.XLOOKUP(C26,'Data Base'!D:D,'Data Base'!Q:Q),"")</f>
        <v/>
      </c>
      <c r="H26" s="56" t="str">
        <f t="shared" ca="1" si="0"/>
        <v>NO PRAZO</v>
      </c>
      <c r="I26" s="57" t="str">
        <f>_xlfn.XLOOKUP(C26,'Data Base'!D:D,'Data Base'!O:O)</f>
        <v>Blossom - Documento a emitir</v>
      </c>
    </row>
    <row r="27" spans="2:9" hidden="1" x14ac:dyDescent="0.25">
      <c r="B27" s="53" t="str">
        <f>_xlfn.XLOOKUP(C27,'Data Base'!D:D,'Data Base'!B:B)</f>
        <v>AI - Automacao E Instrumentacao</v>
      </c>
      <c r="C27" s="53" t="s">
        <v>32</v>
      </c>
      <c r="D27" s="53" t="str">
        <f>_xlfn.XLOOKUP(C27,'LD-ELFA'!F:F,'LD-ELFA'!H:H)</f>
        <v>FD-A1-2000-J-PB-0007</v>
      </c>
      <c r="E27" s="53" t="str">
        <f>_xlfn.XLOOKUP(C27,'LD-ELFA'!F:F,'LD-ELFA'!Q:Q)</f>
        <v>FOLHA DE DADOS</v>
      </c>
      <c r="F27" s="56" t="str">
        <f>_xlfn.XLOOKUP(C27,'Data Base'!D:D,'Data Base'!L:L)</f>
        <v>Documento a emitir</v>
      </c>
      <c r="G27" s="56" t="str">
        <f>IF(I27="Blossom - Atendimento de Comentário",_xlfn.XLOOKUP(C27,'Data Base'!D:D,'Data Base'!Q:Q),"")</f>
        <v/>
      </c>
      <c r="H27" s="56" t="str">
        <f t="shared" ca="1" si="0"/>
        <v>NO PRAZO</v>
      </c>
      <c r="I27" s="57" t="str">
        <f>_xlfn.XLOOKUP(C27,'Data Base'!D:D,'Data Base'!O:O)</f>
        <v>Blossom - Documento a emitir</v>
      </c>
    </row>
    <row r="28" spans="2:9" hidden="1" x14ac:dyDescent="0.25">
      <c r="B28" s="53" t="str">
        <f>_xlfn.XLOOKUP(C28,'Data Base'!D:D,'Data Base'!B:B)</f>
        <v>AI - Automacao E Instrumentacao</v>
      </c>
      <c r="C28" s="53" t="s">
        <v>33</v>
      </c>
      <c r="D28" s="53" t="str">
        <f>_xlfn.XLOOKUP(C28,'LD-ELFA'!F:F,'LD-ELFA'!H:H)</f>
        <v>FD-A1-2000-J-PB-0008</v>
      </c>
      <c r="E28" s="53" t="str">
        <f>_xlfn.XLOOKUP(C28,'LD-ELFA'!F:F,'LD-ELFA'!Q:Q)</f>
        <v>FOLHA DE DADOS</v>
      </c>
      <c r="F28" s="56" t="str">
        <f>_xlfn.XLOOKUP(C28,'Data Base'!D:D,'Data Base'!L:L)</f>
        <v>Documento a emitir</v>
      </c>
      <c r="G28" s="56" t="str">
        <f>IF(I28="Blossom - Atendimento de Comentário",_xlfn.XLOOKUP(C28,'Data Base'!D:D,'Data Base'!Q:Q),"")</f>
        <v/>
      </c>
      <c r="H28" s="56" t="str">
        <f t="shared" ca="1" si="0"/>
        <v>NO PRAZO</v>
      </c>
      <c r="I28" s="57" t="str">
        <f>_xlfn.XLOOKUP(C28,'Data Base'!D:D,'Data Base'!O:O)</f>
        <v>Blossom - Documento a emitir</v>
      </c>
    </row>
    <row r="29" spans="2:9" hidden="1" x14ac:dyDescent="0.25">
      <c r="B29" s="53" t="str">
        <f>_xlfn.XLOOKUP(C29,'Data Base'!D:D,'Data Base'!B:B)</f>
        <v>AI - Automacao E Instrumentacao</v>
      </c>
      <c r="C29" s="53" t="s">
        <v>34</v>
      </c>
      <c r="D29" s="53" t="str">
        <f>_xlfn.XLOOKUP(C29,'LD-ELFA'!F:F,'LD-ELFA'!H:H)</f>
        <v>FD-A1-2000-J-PB-0009</v>
      </c>
      <c r="E29" s="53" t="str">
        <f>_xlfn.XLOOKUP(C29,'LD-ELFA'!F:F,'LD-ELFA'!Q:Q)</f>
        <v>FOLHA DE DADOS</v>
      </c>
      <c r="F29" s="56" t="str">
        <f>_xlfn.XLOOKUP(C29,'Data Base'!D:D,'Data Base'!L:L)</f>
        <v>Documento a emitir</v>
      </c>
      <c r="G29" s="56" t="str">
        <f>IF(I29="Blossom - Atendimento de Comentário",_xlfn.XLOOKUP(C29,'Data Base'!D:D,'Data Base'!Q:Q),"")</f>
        <v/>
      </c>
      <c r="H29" s="56" t="str">
        <f t="shared" ca="1" si="0"/>
        <v>NO PRAZO</v>
      </c>
      <c r="I29" s="57" t="str">
        <f>_xlfn.XLOOKUP(C29,'Data Base'!D:D,'Data Base'!O:O)</f>
        <v>Blossom - Documento a emitir</v>
      </c>
    </row>
    <row r="30" spans="2:9" hidden="1" x14ac:dyDescent="0.25">
      <c r="B30" s="53" t="str">
        <f>_xlfn.XLOOKUP(C30,'Data Base'!D:D,'Data Base'!B:B)</f>
        <v>AI - Automacao E Instrumentacao</v>
      </c>
      <c r="C30" s="53" t="s">
        <v>35</v>
      </c>
      <c r="D30" s="53" t="str">
        <f>_xlfn.XLOOKUP(C30,'LD-ELFA'!F:F,'LD-ELFA'!H:H)</f>
        <v>FD-A1-2000-J-PB-0010</v>
      </c>
      <c r="E30" s="53" t="str">
        <f>_xlfn.XLOOKUP(C30,'LD-ELFA'!F:F,'LD-ELFA'!Q:Q)</f>
        <v>FOLHA DE DADOS</v>
      </c>
      <c r="F30" s="56" t="str">
        <f>_xlfn.XLOOKUP(C30,'Data Base'!D:D,'Data Base'!L:L)</f>
        <v>Documento a emitir</v>
      </c>
      <c r="G30" s="56" t="str">
        <f>IF(I30="Blossom - Atendimento de Comentário",_xlfn.XLOOKUP(C30,'Data Base'!D:D,'Data Base'!Q:Q),"")</f>
        <v/>
      </c>
      <c r="H30" s="56" t="str">
        <f t="shared" ca="1" si="0"/>
        <v>NO PRAZO</v>
      </c>
      <c r="I30" s="57" t="str">
        <f>_xlfn.XLOOKUP(C30,'Data Base'!D:D,'Data Base'!O:O)</f>
        <v>Blossom - Documento a emitir</v>
      </c>
    </row>
    <row r="31" spans="2:9" hidden="1" x14ac:dyDescent="0.25">
      <c r="B31" s="53" t="str">
        <f>_xlfn.XLOOKUP(C31,'Data Base'!D:D,'Data Base'!B:B)</f>
        <v>AI - Automacao E Instrumentacao</v>
      </c>
      <c r="C31" s="53" t="s">
        <v>36</v>
      </c>
      <c r="D31" s="53" t="str">
        <f>_xlfn.XLOOKUP(C31,'LD-ELFA'!F:F,'LD-ELFA'!H:H)</f>
        <v>FD-A1-2000-J-PB-0011</v>
      </c>
      <c r="E31" s="53" t="str">
        <f>_xlfn.XLOOKUP(C31,'LD-ELFA'!F:F,'LD-ELFA'!Q:Q)</f>
        <v>FOLHA DE DADOS</v>
      </c>
      <c r="F31" s="56" t="str">
        <f>_xlfn.XLOOKUP(C31,'Data Base'!D:D,'Data Base'!L:L)</f>
        <v>Documento a emitir</v>
      </c>
      <c r="G31" s="56" t="str">
        <f>IF(I31="Blossom - Atendimento de Comentário",_xlfn.XLOOKUP(C31,'Data Base'!D:D,'Data Base'!Q:Q),"")</f>
        <v/>
      </c>
      <c r="H31" s="56" t="str">
        <f t="shared" ca="1" si="0"/>
        <v>NO PRAZO</v>
      </c>
      <c r="I31" s="57" t="str">
        <f>_xlfn.XLOOKUP(C31,'Data Base'!D:D,'Data Base'!O:O)</f>
        <v>Blossom - Documento a emitir</v>
      </c>
    </row>
    <row r="32" spans="2:9" hidden="1" x14ac:dyDescent="0.25">
      <c r="B32" s="53" t="str">
        <f>_xlfn.XLOOKUP(C32,'Data Base'!D:D,'Data Base'!B:B)</f>
        <v>AI - Automacao E Instrumentacao</v>
      </c>
      <c r="C32" s="53" t="s">
        <v>37</v>
      </c>
      <c r="D32" s="53" t="str">
        <f>_xlfn.XLOOKUP(C32,'LD-ELFA'!F:F,'LD-ELFA'!H:H)</f>
        <v>FD-A1-2000-J-PB-0012</v>
      </c>
      <c r="E32" s="53" t="str">
        <f>_xlfn.XLOOKUP(C32,'LD-ELFA'!F:F,'LD-ELFA'!Q:Q)</f>
        <v>FOLHA DE DADOS</v>
      </c>
      <c r="F32" s="56">
        <f>_xlfn.XLOOKUP(C32,'Data Base'!D:D,'Data Base'!L:L)</f>
        <v>46205.37610065972</v>
      </c>
      <c r="G32" s="56" t="str">
        <f>IF(I32="Blossom - Atendimento de Comentário",_xlfn.XLOOKUP(C32,'Data Base'!D:D,'Data Base'!Q:Q),"")</f>
        <v/>
      </c>
      <c r="H32" s="56" t="str">
        <f t="shared" ca="1" si="0"/>
        <v>ATRASADO</v>
      </c>
      <c r="I32" s="57" t="str">
        <f>_xlfn.XLOOKUP(C32,'Data Base'!D:D,'Data Base'!O:O)</f>
        <v>Documento Concluído</v>
      </c>
    </row>
    <row r="33" spans="2:9" hidden="1" x14ac:dyDescent="0.25">
      <c r="B33" s="53" t="str">
        <f>_xlfn.XLOOKUP(C33,'Data Base'!D:D,'Data Base'!B:B)</f>
        <v>AI - Automacao E Instrumentacao</v>
      </c>
      <c r="C33" s="53" t="s">
        <v>38</v>
      </c>
      <c r="D33" s="53" t="str">
        <f>_xlfn.XLOOKUP(C33,'LD-ELFA'!F:F,'LD-ELFA'!H:H)</f>
        <v>FD-A1-2000-J-PB-0013</v>
      </c>
      <c r="E33" s="53" t="str">
        <f>_xlfn.XLOOKUP(C33,'LD-ELFA'!F:F,'LD-ELFA'!Q:Q)</f>
        <v>FOLHA DE DADOS</v>
      </c>
      <c r="F33" s="56" t="str">
        <f>_xlfn.XLOOKUP(C33,'Data Base'!D:D,'Data Base'!L:L)</f>
        <v>Documento a emitir</v>
      </c>
      <c r="G33" s="56" t="str">
        <f>IF(I33="Blossom - Atendimento de Comentário",_xlfn.XLOOKUP(C33,'Data Base'!D:D,'Data Base'!Q:Q),"")</f>
        <v/>
      </c>
      <c r="H33" s="56" t="str">
        <f t="shared" ca="1" si="0"/>
        <v>NO PRAZO</v>
      </c>
      <c r="I33" s="57" t="str">
        <f>_xlfn.XLOOKUP(C33,'Data Base'!D:D,'Data Base'!O:O)</f>
        <v>Blossom - Documento a emitir</v>
      </c>
    </row>
    <row r="34" spans="2:9" x14ac:dyDescent="0.25">
      <c r="B34" s="53" t="str">
        <f>_xlfn.XLOOKUP(C34,'Data Base'!D:D,'Data Base'!B:B)</f>
        <v>AI - Automacao E Instrumentacao</v>
      </c>
      <c r="C34" s="53" t="s">
        <v>39</v>
      </c>
      <c r="D34" s="53" t="str">
        <f>_xlfn.XLOOKUP(C34,'LD-ELFA'!F:F,'LD-ELFA'!H:H)</f>
        <v>FD-A1-2000-J-PB-0014</v>
      </c>
      <c r="E34" s="53" t="str">
        <f>_xlfn.XLOOKUP(C34,'LD-ELFA'!F:F,'LD-ELFA'!Q:Q)</f>
        <v>FOLHA DE DADOS</v>
      </c>
      <c r="F34" s="56">
        <f>_xlfn.XLOOKUP(C34,'Data Base'!D:D,'Data Base'!L:L)</f>
        <v>46213.602180127316</v>
      </c>
      <c r="G34" s="56" t="str">
        <f>IF(I34="Blossom - Atendimento de Comentário",_xlfn.XLOOKUP(C34,'Data Base'!D:D,'Data Base'!Q:Q),"")</f>
        <v>APC-L  - APC-L  - Aprovado com Comentários (Retornar Aprovado)</v>
      </c>
      <c r="H34" s="56" t="str">
        <f t="shared" ca="1" si="0"/>
        <v>NO PRAZO</v>
      </c>
      <c r="I34" s="57" t="str">
        <f>_xlfn.XLOOKUP(C34,'Data Base'!D:D,'Data Base'!O:O)</f>
        <v>Blossom - Atendimento de Comentário</v>
      </c>
    </row>
    <row r="35" spans="2:9" hidden="1" x14ac:dyDescent="0.25">
      <c r="B35" s="53" t="str">
        <f>_xlfn.XLOOKUP(C35,'Data Base'!D:D,'Data Base'!B:B)</f>
        <v>AI - Automacao E Instrumentacao</v>
      </c>
      <c r="C35" s="53" t="s">
        <v>40</v>
      </c>
      <c r="D35" s="53" t="str">
        <f>_xlfn.XLOOKUP(C35,'LD-ELFA'!F:F,'LD-ELFA'!H:H)</f>
        <v>FD-A1-2000-J-PB-0015</v>
      </c>
      <c r="E35" s="53" t="str">
        <f>_xlfn.XLOOKUP(C35,'LD-ELFA'!F:F,'LD-ELFA'!Q:Q)</f>
        <v>FOLHA DE DADOS</v>
      </c>
      <c r="F35" s="56">
        <f>_xlfn.XLOOKUP(C35,'Data Base'!D:D,'Data Base'!L:L)</f>
        <v>46212.678822685193</v>
      </c>
      <c r="G35" s="56" t="str">
        <f>IF(I35="Blossom - Atendimento de Comentário",_xlfn.XLOOKUP(C35,'Data Base'!D:D,'Data Base'!Q:Q),"")</f>
        <v/>
      </c>
      <c r="H35" s="56" t="str">
        <f t="shared" ca="1" si="0"/>
        <v>NO PRAZO</v>
      </c>
      <c r="I35" s="57" t="str">
        <f>_xlfn.XLOOKUP(C35,'Data Base'!D:D,'Data Base'!O:O)</f>
        <v>Documento Concluído</v>
      </c>
    </row>
    <row r="36" spans="2:9" hidden="1" x14ac:dyDescent="0.25">
      <c r="B36" s="53" t="str">
        <f>_xlfn.XLOOKUP(C36,'Data Base'!D:D,'Data Base'!B:B)</f>
        <v>AI - Automacao E Instrumentacao</v>
      </c>
      <c r="C36" s="53" t="s">
        <v>41</v>
      </c>
      <c r="D36" s="53" t="str">
        <f>_xlfn.XLOOKUP(C36,'LD-ELFA'!F:F,'LD-ELFA'!H:H)</f>
        <v>FD-A1-2000-J-PB-0016</v>
      </c>
      <c r="E36" s="53" t="str">
        <f>_xlfn.XLOOKUP(C36,'LD-ELFA'!F:F,'LD-ELFA'!Q:Q)</f>
        <v>FOLHA DE DADOS</v>
      </c>
      <c r="F36" s="56" t="str">
        <f>_xlfn.XLOOKUP(C36,'Data Base'!D:D,'Data Base'!L:L)</f>
        <v/>
      </c>
      <c r="G36" s="56" t="str">
        <f>IF(I36="Blossom - Atendimento de Comentário",_xlfn.XLOOKUP(C36,'Data Base'!D:D,'Data Base'!Q:Q),"")</f>
        <v/>
      </c>
      <c r="H36" s="56" t="str">
        <f t="shared" ca="1" si="0"/>
        <v>NO PRAZO</v>
      </c>
      <c r="I36" s="57" t="str">
        <f>_xlfn.XLOOKUP(C36,'Data Base'!D:D,'Data Base'!O:O)</f>
        <v>Documento Concluído</v>
      </c>
    </row>
    <row r="37" spans="2:9" hidden="1" x14ac:dyDescent="0.25">
      <c r="B37" s="53" t="str">
        <f>_xlfn.XLOOKUP(C37,'Data Base'!D:D,'Data Base'!B:B)</f>
        <v>AI - Automacao E Instrumentacao</v>
      </c>
      <c r="C37" s="53" t="s">
        <v>42</v>
      </c>
      <c r="D37" s="53" t="str">
        <f>_xlfn.XLOOKUP(C37,'LD-ELFA'!F:F,'LD-ELFA'!H:H)</f>
        <v>FD-A1-2000-J-PB-0017</v>
      </c>
      <c r="E37" s="53" t="str">
        <f>_xlfn.XLOOKUP(C37,'LD-ELFA'!F:F,'LD-ELFA'!Q:Q)</f>
        <v>FOLHA DE DADOS</v>
      </c>
      <c r="F37" s="56" t="str">
        <f>_xlfn.XLOOKUP(C37,'Data Base'!D:D,'Data Base'!L:L)</f>
        <v>Documento a emitir</v>
      </c>
      <c r="G37" s="56" t="str">
        <f>IF(I37="Blossom - Atendimento de Comentário",_xlfn.XLOOKUP(C37,'Data Base'!D:D,'Data Base'!Q:Q),"")</f>
        <v/>
      </c>
      <c r="H37" s="56" t="str">
        <f t="shared" ca="1" si="0"/>
        <v>NO PRAZO</v>
      </c>
      <c r="I37" s="57" t="str">
        <f>_xlfn.XLOOKUP(C37,'Data Base'!D:D,'Data Base'!O:O)</f>
        <v>Blossom - Documento a emitir</v>
      </c>
    </row>
    <row r="38" spans="2:9" hidden="1" x14ac:dyDescent="0.25">
      <c r="B38" s="53" t="str">
        <f>_xlfn.XLOOKUP(C38,'Data Base'!D:D,'Data Base'!B:B)</f>
        <v>AI - Automacao E Instrumentacao</v>
      </c>
      <c r="C38" s="53" t="s">
        <v>43</v>
      </c>
      <c r="D38" s="53" t="str">
        <f>_xlfn.XLOOKUP(C38,'LD-ELFA'!F:F,'LD-ELFA'!H:H)</f>
        <v>FD-A1-2000-J-PB-0018</v>
      </c>
      <c r="E38" s="53" t="str">
        <f>_xlfn.XLOOKUP(C38,'LD-ELFA'!F:F,'LD-ELFA'!Q:Q)</f>
        <v>FOLHA DE DADOS</v>
      </c>
      <c r="F38" s="56" t="str">
        <f>_xlfn.XLOOKUP(C38,'Data Base'!D:D,'Data Base'!L:L)</f>
        <v>Documento a emitir</v>
      </c>
      <c r="G38" s="56" t="str">
        <f>IF(I38="Blossom - Atendimento de Comentário",_xlfn.XLOOKUP(C38,'Data Base'!D:D,'Data Base'!Q:Q),"")</f>
        <v/>
      </c>
      <c r="H38" s="56" t="str">
        <f t="shared" ca="1" si="0"/>
        <v>NO PRAZO</v>
      </c>
      <c r="I38" s="57" t="str">
        <f>_xlfn.XLOOKUP(C38,'Data Base'!D:D,'Data Base'!O:O)</f>
        <v>Blossom - Documento a emitir</v>
      </c>
    </row>
    <row r="39" spans="2:9" hidden="1" x14ac:dyDescent="0.25">
      <c r="B39" s="53" t="str">
        <f>_xlfn.XLOOKUP(C39,'Data Base'!D:D,'Data Base'!B:B)</f>
        <v>AI - Automacao E Instrumentacao</v>
      </c>
      <c r="C39" s="53" t="s">
        <v>44</v>
      </c>
      <c r="D39" s="53" t="str">
        <f>_xlfn.XLOOKUP(C39,'LD-ELFA'!F:F,'LD-ELFA'!H:H)</f>
        <v>FD-A1-2000-J-PB-0019</v>
      </c>
      <c r="E39" s="53" t="str">
        <f>_xlfn.XLOOKUP(C39,'LD-ELFA'!F:F,'LD-ELFA'!Q:Q)</f>
        <v>FOLHA DE DADOS</v>
      </c>
      <c r="F39" s="56" t="str">
        <f>_xlfn.XLOOKUP(C39,'Data Base'!D:D,'Data Base'!L:L)</f>
        <v>Documento a emitir</v>
      </c>
      <c r="G39" s="56" t="str">
        <f>IF(I39="Blossom - Atendimento de Comentário",_xlfn.XLOOKUP(C39,'Data Base'!D:D,'Data Base'!Q:Q),"")</f>
        <v/>
      </c>
      <c r="H39" s="56" t="str">
        <f t="shared" ca="1" si="0"/>
        <v>NO PRAZO</v>
      </c>
      <c r="I39" s="57" t="str">
        <f>_xlfn.XLOOKUP(C39,'Data Base'!D:D,'Data Base'!O:O)</f>
        <v>Blossom - Documento a emitir</v>
      </c>
    </row>
    <row r="40" spans="2:9" hidden="1" x14ac:dyDescent="0.25">
      <c r="B40" s="53" t="str">
        <f>_xlfn.XLOOKUP(C40,'Data Base'!D:D,'Data Base'!B:B)</f>
        <v>AI - Automacao E Instrumentacao</v>
      </c>
      <c r="C40" s="53" t="s">
        <v>45</v>
      </c>
      <c r="D40" s="53" t="str">
        <f>_xlfn.XLOOKUP(C40,'LD-ELFA'!F:F,'LD-ELFA'!H:H)</f>
        <v>FD-A1-2000-J-PB-0020</v>
      </c>
      <c r="E40" s="53" t="str">
        <f>_xlfn.XLOOKUP(C40,'LD-ELFA'!F:F,'LD-ELFA'!Q:Q)</f>
        <v>FOLHA DE DADOS</v>
      </c>
      <c r="F40" s="56" t="str">
        <f>_xlfn.XLOOKUP(C40,'Data Base'!D:D,'Data Base'!L:L)</f>
        <v>Documento a emitir</v>
      </c>
      <c r="G40" s="56" t="str">
        <f>IF(I40="Blossom - Atendimento de Comentário",_xlfn.XLOOKUP(C40,'Data Base'!D:D,'Data Base'!Q:Q),"")</f>
        <v/>
      </c>
      <c r="H40" s="56" t="str">
        <f t="shared" ca="1" si="0"/>
        <v>NO PRAZO</v>
      </c>
      <c r="I40" s="57" t="str">
        <f>_xlfn.XLOOKUP(C40,'Data Base'!D:D,'Data Base'!O:O)</f>
        <v>Blossom - Documento a emitir</v>
      </c>
    </row>
    <row r="41" spans="2:9" hidden="1" x14ac:dyDescent="0.25">
      <c r="B41" s="53" t="str">
        <f>_xlfn.XLOOKUP(C41,'Data Base'!D:D,'Data Base'!B:B)</f>
        <v>AI - Automacao E Instrumentacao</v>
      </c>
      <c r="C41" s="53" t="s">
        <v>46</v>
      </c>
      <c r="D41" s="53" t="str">
        <f>_xlfn.XLOOKUP(C41,'LD-ELFA'!F:F,'LD-ELFA'!H:H)</f>
        <v>FD-A1-2000-J-PB-0021</v>
      </c>
      <c r="E41" s="53" t="str">
        <f>_xlfn.XLOOKUP(C41,'LD-ELFA'!F:F,'LD-ELFA'!Q:Q)</f>
        <v>FOLHA DE DADOS</v>
      </c>
      <c r="F41" s="56" t="str">
        <f>_xlfn.XLOOKUP(C41,'Data Base'!D:D,'Data Base'!L:L)</f>
        <v>Documento a emitir</v>
      </c>
      <c r="G41" s="56" t="str">
        <f>IF(I41="Blossom - Atendimento de Comentário",_xlfn.XLOOKUP(C41,'Data Base'!D:D,'Data Base'!Q:Q),"")</f>
        <v/>
      </c>
      <c r="H41" s="56" t="str">
        <f t="shared" ca="1" si="0"/>
        <v>NO PRAZO</v>
      </c>
      <c r="I41" s="57" t="str">
        <f>_xlfn.XLOOKUP(C41,'Data Base'!D:D,'Data Base'!O:O)</f>
        <v>Blossom - Documento a emitir</v>
      </c>
    </row>
    <row r="42" spans="2:9" hidden="1" x14ac:dyDescent="0.25">
      <c r="B42" s="53" t="str">
        <f>_xlfn.XLOOKUP(C42,'Data Base'!D:D,'Data Base'!B:B)</f>
        <v>AI - Automacao E Instrumentacao</v>
      </c>
      <c r="C42" s="53" t="s">
        <v>47</v>
      </c>
      <c r="D42" s="53" t="str">
        <f>_xlfn.XLOOKUP(C42,'LD-ELFA'!F:F,'LD-ELFA'!H:H)</f>
        <v>FD-A1-2000-J-PB-0022</v>
      </c>
      <c r="E42" s="53" t="str">
        <f>_xlfn.XLOOKUP(C42,'LD-ELFA'!F:F,'LD-ELFA'!Q:Q)</f>
        <v>FOLHA DE DADOS</v>
      </c>
      <c r="F42" s="56" t="str">
        <f>_xlfn.XLOOKUP(C42,'Data Base'!D:D,'Data Base'!L:L)</f>
        <v/>
      </c>
      <c r="G42" s="56" t="str">
        <f>IF(I42="Blossom - Atendimento de Comentário",_xlfn.XLOOKUP(C42,'Data Base'!D:D,'Data Base'!Q:Q),"")</f>
        <v/>
      </c>
      <c r="H42" s="56" t="str">
        <f t="shared" ca="1" si="0"/>
        <v>NO PRAZO</v>
      </c>
      <c r="I42" s="57" t="str">
        <f>_xlfn.XLOOKUP(C42,'Data Base'!D:D,'Data Base'!O:O)</f>
        <v>Documento Concluído</v>
      </c>
    </row>
    <row r="43" spans="2:9" hidden="1" x14ac:dyDescent="0.25">
      <c r="B43" s="53" t="str">
        <f>_xlfn.XLOOKUP(C43,'Data Base'!D:D,'Data Base'!B:B)</f>
        <v>AI - Automacao E Instrumentacao</v>
      </c>
      <c r="C43" s="53" t="s">
        <v>48</v>
      </c>
      <c r="D43" s="53" t="str">
        <f>_xlfn.XLOOKUP(C43,'LD-ELFA'!F:F,'LD-ELFA'!H:H)</f>
        <v>FD-A1-2000-J-PB-0023</v>
      </c>
      <c r="E43" s="53" t="str">
        <f>_xlfn.XLOOKUP(C43,'LD-ELFA'!F:F,'LD-ELFA'!Q:Q)</f>
        <v>FOLHA DE DADOS</v>
      </c>
      <c r="F43" s="56" t="str">
        <f>_xlfn.XLOOKUP(C43,'Data Base'!D:D,'Data Base'!L:L)</f>
        <v>Documento a emitir</v>
      </c>
      <c r="G43" s="56" t="str">
        <f>IF(I43="Blossom - Atendimento de Comentário",_xlfn.XLOOKUP(C43,'Data Base'!D:D,'Data Base'!Q:Q),"")</f>
        <v/>
      </c>
      <c r="H43" s="56" t="str">
        <f t="shared" ca="1" si="0"/>
        <v>NO PRAZO</v>
      </c>
      <c r="I43" s="57" t="str">
        <f>_xlfn.XLOOKUP(C43,'Data Base'!D:D,'Data Base'!O:O)</f>
        <v>Blossom - Documento a emitir</v>
      </c>
    </row>
    <row r="44" spans="2:9" hidden="1" x14ac:dyDescent="0.25">
      <c r="B44" s="53" t="str">
        <f>_xlfn.XLOOKUP(C44,'Data Base'!D:D,'Data Base'!B:B)</f>
        <v>AI - Automacao E Instrumentacao</v>
      </c>
      <c r="C44" s="53" t="s">
        <v>49</v>
      </c>
      <c r="D44" s="53" t="str">
        <f>_xlfn.XLOOKUP(C44,'LD-ELFA'!F:F,'LD-ELFA'!H:H)</f>
        <v>FD-A1-2004-J-PB-0001</v>
      </c>
      <c r="E44" s="53" t="str">
        <f>_xlfn.XLOOKUP(C44,'LD-ELFA'!F:F,'LD-ELFA'!Q:Q)</f>
        <v>FOLHA DE DADOS</v>
      </c>
      <c r="F44" s="56" t="str">
        <f>_xlfn.XLOOKUP(C44,'Data Base'!D:D,'Data Base'!L:L)</f>
        <v>Documento a emitir</v>
      </c>
      <c r="G44" s="56" t="str">
        <f>IF(I44="Blossom - Atendimento de Comentário",_xlfn.XLOOKUP(C44,'Data Base'!D:D,'Data Base'!Q:Q),"")</f>
        <v/>
      </c>
      <c r="H44" s="56" t="str">
        <f t="shared" ca="1" si="0"/>
        <v>NO PRAZO</v>
      </c>
      <c r="I44" s="57" t="str">
        <f>_xlfn.XLOOKUP(C44,'Data Base'!D:D,'Data Base'!O:O)</f>
        <v>Blossom - Documento a emitir</v>
      </c>
    </row>
    <row r="45" spans="2:9" hidden="1" x14ac:dyDescent="0.25">
      <c r="B45" s="53" t="str">
        <f>_xlfn.XLOOKUP(C45,'Data Base'!D:D,'Data Base'!B:B)</f>
        <v>AI - Automacao E Instrumentacao</v>
      </c>
      <c r="C45" s="53" t="s">
        <v>50</v>
      </c>
      <c r="D45" s="53" t="str">
        <f>_xlfn.XLOOKUP(C45,'LD-ELFA'!F:F,'LD-ELFA'!H:H)</f>
        <v>FD-A1-2006-J-PB-0002</v>
      </c>
      <c r="E45" s="53" t="str">
        <f>_xlfn.XLOOKUP(C45,'LD-ELFA'!F:F,'LD-ELFA'!Q:Q)</f>
        <v>FOLHA DE DADOS</v>
      </c>
      <c r="F45" s="56" t="str">
        <f>_xlfn.XLOOKUP(C45,'Data Base'!D:D,'Data Base'!L:L)</f>
        <v>Documento a emitir</v>
      </c>
      <c r="G45" s="56" t="str">
        <f>IF(I45="Blossom - Atendimento de Comentário",_xlfn.XLOOKUP(C45,'Data Base'!D:D,'Data Base'!Q:Q),"")</f>
        <v/>
      </c>
      <c r="H45" s="56" t="str">
        <f t="shared" ca="1" si="0"/>
        <v>NO PRAZO</v>
      </c>
      <c r="I45" s="57" t="str">
        <f>_xlfn.XLOOKUP(C45,'Data Base'!D:D,'Data Base'!O:O)</f>
        <v>Blossom - Documento a emitir</v>
      </c>
    </row>
    <row r="46" spans="2:9" hidden="1" x14ac:dyDescent="0.25">
      <c r="B46" s="53" t="str">
        <f>_xlfn.XLOOKUP(C46,'Data Base'!D:D,'Data Base'!B:B)</f>
        <v>AI - Automacao E Instrumentacao</v>
      </c>
      <c r="C46" s="53" t="s">
        <v>51</v>
      </c>
      <c r="D46" s="53" t="str">
        <f>_xlfn.XLOOKUP(C46,'LD-ELFA'!F:F,'LD-ELFA'!H:H)</f>
        <v>FD-A1-2006-J-PB-0004</v>
      </c>
      <c r="E46" s="53" t="str">
        <f>_xlfn.XLOOKUP(C46,'LD-ELFA'!F:F,'LD-ELFA'!Q:Q)</f>
        <v>FOLHA DE DADOS</v>
      </c>
      <c r="F46" s="56" t="str">
        <f>_xlfn.XLOOKUP(C46,'Data Base'!D:D,'Data Base'!L:L)</f>
        <v>Documento a emitir</v>
      </c>
      <c r="G46" s="56" t="str">
        <f>IF(I46="Blossom - Atendimento de Comentário",_xlfn.XLOOKUP(C46,'Data Base'!D:D,'Data Base'!Q:Q),"")</f>
        <v/>
      </c>
      <c r="H46" s="56" t="str">
        <f t="shared" ca="1" si="0"/>
        <v>NO PRAZO</v>
      </c>
      <c r="I46" s="57" t="str">
        <f>_xlfn.XLOOKUP(C46,'Data Base'!D:D,'Data Base'!O:O)</f>
        <v>Blossom - Documento a emitir</v>
      </c>
    </row>
    <row r="47" spans="2:9" hidden="1" x14ac:dyDescent="0.25">
      <c r="B47" s="53" t="str">
        <f>_xlfn.XLOOKUP(C47,'Data Base'!D:D,'Data Base'!B:B)</f>
        <v>AI - Automacao E Instrumentacao</v>
      </c>
      <c r="C47" s="53" t="s">
        <v>52</v>
      </c>
      <c r="D47" s="53" t="str">
        <f>_xlfn.XLOOKUP(C47,'LD-ELFA'!F:F,'LD-ELFA'!H:H)</f>
        <v>FD-A1-2006-J-PB-0005</v>
      </c>
      <c r="E47" s="53" t="str">
        <f>_xlfn.XLOOKUP(C47,'LD-ELFA'!F:F,'LD-ELFA'!Q:Q)</f>
        <v>FOLHA DE DADOS</v>
      </c>
      <c r="F47" s="56" t="str">
        <f>_xlfn.XLOOKUP(C47,'Data Base'!D:D,'Data Base'!L:L)</f>
        <v>Documento a emitir</v>
      </c>
      <c r="G47" s="56" t="str">
        <f>IF(I47="Blossom - Atendimento de Comentário",_xlfn.XLOOKUP(C47,'Data Base'!D:D,'Data Base'!Q:Q),"")</f>
        <v/>
      </c>
      <c r="H47" s="56" t="str">
        <f t="shared" ca="1" si="0"/>
        <v>NO PRAZO</v>
      </c>
      <c r="I47" s="57" t="str">
        <f>_xlfn.XLOOKUP(C47,'Data Base'!D:D,'Data Base'!O:O)</f>
        <v>Blossom - Documento a emitir</v>
      </c>
    </row>
    <row r="48" spans="2:9" hidden="1" x14ac:dyDescent="0.25">
      <c r="B48" s="53" t="str">
        <f>_xlfn.XLOOKUP(C48,'Data Base'!D:D,'Data Base'!B:B)</f>
        <v>AI - Automacao E Instrumentacao</v>
      </c>
      <c r="C48" s="53" t="s">
        <v>53</v>
      </c>
      <c r="D48" s="53" t="str">
        <f>_xlfn.XLOOKUP(C48,'LD-ELFA'!F:F,'LD-ELFA'!H:H)</f>
        <v>FD-A1-2006-J-PB-0006</v>
      </c>
      <c r="E48" s="53" t="str">
        <f>_xlfn.XLOOKUP(C48,'LD-ELFA'!F:F,'LD-ELFA'!Q:Q)</f>
        <v>FOLHA DE DADOS</v>
      </c>
      <c r="F48" s="56" t="str">
        <f>_xlfn.XLOOKUP(C48,'Data Base'!D:D,'Data Base'!L:L)</f>
        <v>Documento a emitir</v>
      </c>
      <c r="G48" s="56" t="str">
        <f>IF(I48="Blossom - Atendimento de Comentário",_xlfn.XLOOKUP(C48,'Data Base'!D:D,'Data Base'!Q:Q),"")</f>
        <v/>
      </c>
      <c r="H48" s="56" t="str">
        <f t="shared" ca="1" si="0"/>
        <v>NO PRAZO</v>
      </c>
      <c r="I48" s="57" t="str">
        <f>_xlfn.XLOOKUP(C48,'Data Base'!D:D,'Data Base'!O:O)</f>
        <v>Blossom - Documento a emitir</v>
      </c>
    </row>
    <row r="49" spans="2:9" hidden="1" x14ac:dyDescent="0.25">
      <c r="B49" s="53" t="str">
        <f>_xlfn.XLOOKUP(C49,'Data Base'!D:D,'Data Base'!B:B)</f>
        <v>AI - Automacao E Instrumentacao</v>
      </c>
      <c r="C49" s="53" t="s">
        <v>54</v>
      </c>
      <c r="D49" s="53" t="str">
        <f>_xlfn.XLOOKUP(C49,'LD-ELFA'!F:F,'LD-ELFA'!H:H)</f>
        <v>FD-A1-2007-J-PB-0001</v>
      </c>
      <c r="E49" s="53" t="str">
        <f>_xlfn.XLOOKUP(C49,'LD-ELFA'!F:F,'LD-ELFA'!Q:Q)</f>
        <v>FOLHA DE DADOS</v>
      </c>
      <c r="F49" s="56" t="str">
        <f>_xlfn.XLOOKUP(C49,'Data Base'!D:D,'Data Base'!L:L)</f>
        <v>Documento a emitir</v>
      </c>
      <c r="G49" s="56" t="str">
        <f>IF(I49="Blossom - Atendimento de Comentário",_xlfn.XLOOKUP(C49,'Data Base'!D:D,'Data Base'!Q:Q),"")</f>
        <v/>
      </c>
      <c r="H49" s="56" t="str">
        <f t="shared" ca="1" si="0"/>
        <v>NO PRAZO</v>
      </c>
      <c r="I49" s="57" t="str">
        <f>_xlfn.XLOOKUP(C49,'Data Base'!D:D,'Data Base'!O:O)</f>
        <v>Blossom - Documento a emitir</v>
      </c>
    </row>
    <row r="50" spans="2:9" hidden="1" x14ac:dyDescent="0.25">
      <c r="B50" s="53" t="str">
        <f>_xlfn.XLOOKUP(C50,'Data Base'!D:D,'Data Base'!B:B)</f>
        <v>AI - Automacao E Instrumentacao</v>
      </c>
      <c r="C50" s="53" t="s">
        <v>55</v>
      </c>
      <c r="D50" s="53" t="str">
        <f>_xlfn.XLOOKUP(C50,'LD-ELFA'!F:F,'LD-ELFA'!H:H)</f>
        <v>FD-A1-2008-J-PB-0001</v>
      </c>
      <c r="E50" s="53" t="str">
        <f>_xlfn.XLOOKUP(C50,'LD-ELFA'!F:F,'LD-ELFA'!Q:Q)</f>
        <v>FOLHA DE DADOS</v>
      </c>
      <c r="F50" s="56" t="str">
        <f>_xlfn.XLOOKUP(C50,'Data Base'!D:D,'Data Base'!L:L)</f>
        <v>Documento a emitir</v>
      </c>
      <c r="G50" s="56" t="str">
        <f>IF(I50="Blossom - Atendimento de Comentário",_xlfn.XLOOKUP(C50,'Data Base'!D:D,'Data Base'!Q:Q),"")</f>
        <v/>
      </c>
      <c r="H50" s="56" t="str">
        <f t="shared" ca="1" si="0"/>
        <v>NO PRAZO</v>
      </c>
      <c r="I50" s="57" t="str">
        <f>_xlfn.XLOOKUP(C50,'Data Base'!D:D,'Data Base'!O:O)</f>
        <v>Blossom - Documento a emitir</v>
      </c>
    </row>
    <row r="51" spans="2:9" hidden="1" x14ac:dyDescent="0.25">
      <c r="B51" s="53" t="e">
        <f>_xlfn.XLOOKUP(C51,'Data Base'!D:D,'Data Base'!B:B)</f>
        <v>#N/A</v>
      </c>
      <c r="C51" s="53" t="s">
        <v>56</v>
      </c>
      <c r="D51" s="53" t="e">
        <f>_xlfn.XLOOKUP(C51,'LD-ELFA'!F:F,'LD-ELFA'!H:H)</f>
        <v>#N/A</v>
      </c>
      <c r="E51" s="53" t="e">
        <f>_xlfn.XLOOKUP(C51,'LD-ELFA'!F:F,'LD-ELFA'!Q:Q)</f>
        <v>#N/A</v>
      </c>
      <c r="F51" s="56" t="e">
        <f>_xlfn.XLOOKUP(C51,'Data Base'!D:D,'Data Base'!L:L)</f>
        <v>#N/A</v>
      </c>
      <c r="G51" s="56" t="str">
        <f>IF(I51="Blossom - Atendimento de Comentário",_xlfn.XLOOKUP(C51,'Data Base'!D:D,'Data Base'!Q:Q),"")</f>
        <v/>
      </c>
      <c r="H51" s="56" t="e">
        <f t="shared" ca="1" si="0"/>
        <v>#N/A</v>
      </c>
      <c r="I51" s="57" t="str">
        <f>_xlfn.XLOOKUP(C51,'Data Base'!D:D,'Data Base'!O:O)</f>
        <v>Documento Removido</v>
      </c>
    </row>
    <row r="52" spans="2:9" hidden="1" x14ac:dyDescent="0.25">
      <c r="B52" s="53" t="e">
        <f>_xlfn.XLOOKUP(C52,'Data Base'!D:D,'Data Base'!B:B)</f>
        <v>#N/A</v>
      </c>
      <c r="C52" s="53" t="s">
        <v>57</v>
      </c>
      <c r="D52" s="53" t="e">
        <f>_xlfn.XLOOKUP(C52,'LD-ELFA'!F:F,'LD-ELFA'!H:H)</f>
        <v>#N/A</v>
      </c>
      <c r="E52" s="53" t="e">
        <f>_xlfn.XLOOKUP(C52,'LD-ELFA'!F:F,'LD-ELFA'!Q:Q)</f>
        <v>#N/A</v>
      </c>
      <c r="F52" s="56" t="e">
        <f>_xlfn.XLOOKUP(C52,'Data Base'!D:D,'Data Base'!L:L)</f>
        <v>#N/A</v>
      </c>
      <c r="G52" s="56" t="str">
        <f>IF(I52="Blossom - Atendimento de Comentário",_xlfn.XLOOKUP(C52,'Data Base'!D:D,'Data Base'!Q:Q),"")</f>
        <v/>
      </c>
      <c r="H52" s="56" t="e">
        <f t="shared" ca="1" si="0"/>
        <v>#N/A</v>
      </c>
      <c r="I52" s="57" t="str">
        <f>_xlfn.XLOOKUP(C52,'Data Base'!D:D,'Data Base'!O:O)</f>
        <v>Documento Removido</v>
      </c>
    </row>
    <row r="53" spans="2:9" hidden="1" x14ac:dyDescent="0.25">
      <c r="B53" s="53" t="e">
        <f>_xlfn.XLOOKUP(C53,'Data Base'!D:D,'Data Base'!B:B)</f>
        <v>#N/A</v>
      </c>
      <c r="C53" s="53" t="s">
        <v>58</v>
      </c>
      <c r="D53" s="53" t="e">
        <f>_xlfn.XLOOKUP(C53,'LD-ELFA'!F:F,'LD-ELFA'!H:H)</f>
        <v>#N/A</v>
      </c>
      <c r="E53" s="53" t="e">
        <f>_xlfn.XLOOKUP(C53,'LD-ELFA'!F:F,'LD-ELFA'!Q:Q)</f>
        <v>#N/A</v>
      </c>
      <c r="F53" s="56" t="e">
        <f>_xlfn.XLOOKUP(C53,'Data Base'!D:D,'Data Base'!L:L)</f>
        <v>#N/A</v>
      </c>
      <c r="G53" s="56" t="str">
        <f>IF(I53="Blossom - Atendimento de Comentário",_xlfn.XLOOKUP(C53,'Data Base'!D:D,'Data Base'!Q:Q),"")</f>
        <v/>
      </c>
      <c r="H53" s="56" t="e">
        <f t="shared" ca="1" si="0"/>
        <v>#N/A</v>
      </c>
      <c r="I53" s="57" t="str">
        <f>_xlfn.XLOOKUP(C53,'Data Base'!D:D,'Data Base'!O:O)</f>
        <v>Documento Removido</v>
      </c>
    </row>
    <row r="54" spans="2:9" hidden="1" x14ac:dyDescent="0.25">
      <c r="B54" s="53" t="e">
        <f>_xlfn.XLOOKUP(C54,'Data Base'!D:D,'Data Base'!B:B)</f>
        <v>#N/A</v>
      </c>
      <c r="C54" s="53" t="s">
        <v>59</v>
      </c>
      <c r="D54" s="53" t="e">
        <f>_xlfn.XLOOKUP(C54,'LD-ELFA'!F:F,'LD-ELFA'!H:H)</f>
        <v>#N/A</v>
      </c>
      <c r="E54" s="53" t="e">
        <f>_xlfn.XLOOKUP(C54,'LD-ELFA'!F:F,'LD-ELFA'!Q:Q)</f>
        <v>#N/A</v>
      </c>
      <c r="F54" s="56" t="e">
        <f>_xlfn.XLOOKUP(C54,'Data Base'!D:D,'Data Base'!L:L)</f>
        <v>#N/A</v>
      </c>
      <c r="G54" s="56" t="str">
        <f>IF(I54="Blossom - Atendimento de Comentário",_xlfn.XLOOKUP(C54,'Data Base'!D:D,'Data Base'!Q:Q),"")</f>
        <v/>
      </c>
      <c r="H54" s="56" t="e">
        <f t="shared" ca="1" si="0"/>
        <v>#N/A</v>
      </c>
      <c r="I54" s="57" t="str">
        <f>_xlfn.XLOOKUP(C54,'Data Base'!D:D,'Data Base'!O:O)</f>
        <v>Documento Removido</v>
      </c>
    </row>
    <row r="55" spans="2:9" hidden="1" x14ac:dyDescent="0.25">
      <c r="B55" s="53" t="e">
        <f>_xlfn.XLOOKUP(C55,'Data Base'!D:D,'Data Base'!B:B)</f>
        <v>#N/A</v>
      </c>
      <c r="C55" s="53" t="s">
        <v>60</v>
      </c>
      <c r="D55" s="53" t="e">
        <f>_xlfn.XLOOKUP(C55,'LD-ELFA'!F:F,'LD-ELFA'!H:H)</f>
        <v>#N/A</v>
      </c>
      <c r="E55" s="53" t="e">
        <f>_xlfn.XLOOKUP(C55,'LD-ELFA'!F:F,'LD-ELFA'!Q:Q)</f>
        <v>#N/A</v>
      </c>
      <c r="F55" s="56" t="e">
        <f>_xlfn.XLOOKUP(C55,'Data Base'!D:D,'Data Base'!L:L)</f>
        <v>#N/A</v>
      </c>
      <c r="G55" s="56" t="str">
        <f>IF(I55="Blossom - Atendimento de Comentário",_xlfn.XLOOKUP(C55,'Data Base'!D:D,'Data Base'!Q:Q),"")</f>
        <v/>
      </c>
      <c r="H55" s="56" t="e">
        <f t="shared" ca="1" si="0"/>
        <v>#N/A</v>
      </c>
      <c r="I55" s="57" t="str">
        <f>_xlfn.XLOOKUP(C55,'Data Base'!D:D,'Data Base'!O:O)</f>
        <v>Documento Removido</v>
      </c>
    </row>
    <row r="56" spans="2:9" hidden="1" x14ac:dyDescent="0.25">
      <c r="B56" s="53" t="e">
        <f>_xlfn.XLOOKUP(C56,'Data Base'!D:D,'Data Base'!B:B)</f>
        <v>#N/A</v>
      </c>
      <c r="C56" s="53" t="s">
        <v>61</v>
      </c>
      <c r="D56" s="53" t="e">
        <f>_xlfn.XLOOKUP(C56,'LD-ELFA'!F:F,'LD-ELFA'!H:H)</f>
        <v>#N/A</v>
      </c>
      <c r="E56" s="53" t="e">
        <f>_xlfn.XLOOKUP(C56,'LD-ELFA'!F:F,'LD-ELFA'!Q:Q)</f>
        <v>#N/A</v>
      </c>
      <c r="F56" s="56" t="e">
        <f>_xlfn.XLOOKUP(C56,'Data Base'!D:D,'Data Base'!L:L)</f>
        <v>#N/A</v>
      </c>
      <c r="G56" s="56" t="str">
        <f>IF(I56="Blossom - Atendimento de Comentário",_xlfn.XLOOKUP(C56,'Data Base'!D:D,'Data Base'!Q:Q),"")</f>
        <v/>
      </c>
      <c r="H56" s="56" t="e">
        <f t="shared" ca="1" si="0"/>
        <v>#N/A</v>
      </c>
      <c r="I56" s="57" t="str">
        <f>_xlfn.XLOOKUP(C56,'Data Base'!D:D,'Data Base'!O:O)</f>
        <v>Documento Removido</v>
      </c>
    </row>
    <row r="57" spans="2:9" hidden="1" x14ac:dyDescent="0.25">
      <c r="B57" s="53" t="e">
        <f>_xlfn.XLOOKUP(C57,'Data Base'!D:D,'Data Base'!B:B)</f>
        <v>#N/A</v>
      </c>
      <c r="C57" s="53" t="s">
        <v>62</v>
      </c>
      <c r="D57" s="53" t="e">
        <f>_xlfn.XLOOKUP(C57,'LD-ELFA'!F:F,'LD-ELFA'!H:H)</f>
        <v>#N/A</v>
      </c>
      <c r="E57" s="53" t="e">
        <f>_xlfn.XLOOKUP(C57,'LD-ELFA'!F:F,'LD-ELFA'!Q:Q)</f>
        <v>#N/A</v>
      </c>
      <c r="F57" s="56" t="e">
        <f>_xlfn.XLOOKUP(C57,'Data Base'!D:D,'Data Base'!L:L)</f>
        <v>#N/A</v>
      </c>
      <c r="G57" s="56" t="str">
        <f>IF(I57="Blossom - Atendimento de Comentário",_xlfn.XLOOKUP(C57,'Data Base'!D:D,'Data Base'!Q:Q),"")</f>
        <v/>
      </c>
      <c r="H57" s="56" t="e">
        <f t="shared" ca="1" si="0"/>
        <v>#N/A</v>
      </c>
      <c r="I57" s="57" t="str">
        <f>_xlfn.XLOOKUP(C57,'Data Base'!D:D,'Data Base'!O:O)</f>
        <v>Documento Removido</v>
      </c>
    </row>
    <row r="58" spans="2:9" hidden="1" x14ac:dyDescent="0.25">
      <c r="B58" s="53" t="str">
        <f>_xlfn.XLOOKUP(C58,'Data Base'!D:D,'Data Base'!B:B)</f>
        <v>AI - Automacao E Instrumentacao</v>
      </c>
      <c r="C58" s="53" t="s">
        <v>63</v>
      </c>
      <c r="D58" s="53" t="str">
        <f>_xlfn.XLOOKUP(C58,'LD-ELFA'!F:F,'LD-ELFA'!H:H)</f>
        <v>FD-A1-2000-J-PB-4000</v>
      </c>
      <c r="E58" s="53" t="str">
        <f>_xlfn.XLOOKUP(C58,'LD-ELFA'!F:F,'LD-ELFA'!Q:Q)</f>
        <v>FOLHA DE DADOS</v>
      </c>
      <c r="F58" s="56" t="str">
        <f>_xlfn.XLOOKUP(C58,'Data Base'!D:D,'Data Base'!L:L)</f>
        <v/>
      </c>
      <c r="G58" s="56" t="str">
        <f>IF(I58="Blossom - Atendimento de Comentário",_xlfn.XLOOKUP(C58,'Data Base'!D:D,'Data Base'!Q:Q),"")</f>
        <v/>
      </c>
      <c r="H58" s="56" t="str">
        <f t="shared" ca="1" si="0"/>
        <v>NO PRAZO</v>
      </c>
      <c r="I58" s="57" t="str">
        <f>_xlfn.XLOOKUP(C58,'Data Base'!D:D,'Data Base'!O:O)</f>
        <v>Cliente - Atendimento de Comentário</v>
      </c>
    </row>
    <row r="59" spans="2:9" hidden="1" x14ac:dyDescent="0.25">
      <c r="B59" s="53" t="str">
        <f>_xlfn.XLOOKUP(C59,'Data Base'!D:D,'Data Base'!B:B)</f>
        <v>AI - Automacao E Instrumentacao</v>
      </c>
      <c r="C59" s="53" t="s">
        <v>64</v>
      </c>
      <c r="D59" s="53" t="str">
        <f>_xlfn.XLOOKUP(C59,'LD-ELFA'!F:F,'LD-ELFA'!H:H)</f>
        <v>LE-A1-2000-J-PB-0001</v>
      </c>
      <c r="E59" s="53" t="str">
        <f>_xlfn.XLOOKUP(C59,'LD-ELFA'!F:F,'LD-ELFA'!Q:Q)</f>
        <v>LISTA DE EQUIPAMENTOS DE AUTOMAÇÃO</v>
      </c>
      <c r="F59" s="56" t="str">
        <f>_xlfn.XLOOKUP(C59,'Data Base'!D:D,'Data Base'!L:L)</f>
        <v>Documento a emitir</v>
      </c>
      <c r="G59" s="56" t="str">
        <f>IF(I59="Blossom - Atendimento de Comentário",_xlfn.XLOOKUP(C59,'Data Base'!D:D,'Data Base'!Q:Q),"")</f>
        <v/>
      </c>
      <c r="H59" s="56" t="str">
        <f t="shared" ca="1" si="0"/>
        <v>NO PRAZO</v>
      </c>
      <c r="I59" s="57" t="str">
        <f>_xlfn.XLOOKUP(C59,'Data Base'!D:D,'Data Base'!O:O)</f>
        <v>Blossom - Documento a emitir</v>
      </c>
    </row>
    <row r="60" spans="2:9" hidden="1" x14ac:dyDescent="0.25">
      <c r="B60" s="53" t="str">
        <f>_xlfn.XLOOKUP(C60,'Data Base'!D:D,'Data Base'!B:B)</f>
        <v>AI - Automacao E Instrumentacao</v>
      </c>
      <c r="C60" s="53" t="s">
        <v>65</v>
      </c>
      <c r="D60" s="53" t="str">
        <f>_xlfn.XLOOKUP(C60,'LD-ELFA'!F:F,'LD-ELFA'!H:H)</f>
        <v>LE-A1-2006-J-PB-0001</v>
      </c>
      <c r="E60" s="53" t="str">
        <f>_xlfn.XLOOKUP(C60,'LD-ELFA'!F:F,'LD-ELFA'!Q:Q)</f>
        <v>LISTA DE EQUIPAMENTOS DE TELECOM</v>
      </c>
      <c r="F60" s="56" t="str">
        <f>_xlfn.XLOOKUP(C60,'Data Base'!D:D,'Data Base'!L:L)</f>
        <v>Documento a emitir</v>
      </c>
      <c r="G60" s="56" t="str">
        <f>IF(I60="Blossom - Atendimento de Comentário",_xlfn.XLOOKUP(C60,'Data Base'!D:D,'Data Base'!Q:Q),"")</f>
        <v/>
      </c>
      <c r="H60" s="56" t="str">
        <f t="shared" ca="1" si="0"/>
        <v>NO PRAZO</v>
      </c>
      <c r="I60" s="57" t="str">
        <f>_xlfn.XLOOKUP(C60,'Data Base'!D:D,'Data Base'!O:O)</f>
        <v>Blossom - Documento a emitir</v>
      </c>
    </row>
    <row r="61" spans="2:9" x14ac:dyDescent="0.25">
      <c r="B61" s="53" t="str">
        <f>_xlfn.XLOOKUP(C61,'Data Base'!D:D,'Data Base'!B:B)</f>
        <v>AI - Automacao E Instrumentacao</v>
      </c>
      <c r="C61" s="53" t="s">
        <v>66</v>
      </c>
      <c r="D61" s="53" t="str">
        <f>_xlfn.XLOOKUP(C61,'LD-ELFA'!F:F,'LD-ELFA'!H:H)</f>
        <v>LI-A1-2000-J-PB-0001</v>
      </c>
      <c r="E61" s="53" t="str">
        <f>_xlfn.XLOOKUP(C61,'LD-ELFA'!F:F,'LD-ELFA'!Q:Q)</f>
        <v>LISTA DE INSTRUMENTOS</v>
      </c>
      <c r="F61" s="56">
        <f>_xlfn.XLOOKUP(C61,'Data Base'!D:D,'Data Base'!L:L)</f>
        <v>46204.712519097222</v>
      </c>
      <c r="G61" s="56" t="str">
        <f>IF(I61="Blossom - Atendimento de Comentário",_xlfn.XLOOKUP(C61,'Data Base'!D:D,'Data Base'!Q:Q),"")</f>
        <v>APC-L  - APC-L  - Aprovado com Comentários (Retornar Aprovado)</v>
      </c>
      <c r="H61" s="56" t="str">
        <f t="shared" ca="1" si="0"/>
        <v>ATRASADO</v>
      </c>
      <c r="I61" s="57" t="str">
        <f>_xlfn.XLOOKUP(C61,'Data Base'!D:D,'Data Base'!O:O)</f>
        <v>Blossom - Atendimento de Comentário</v>
      </c>
    </row>
    <row r="62" spans="2:9" hidden="1" x14ac:dyDescent="0.25">
      <c r="B62" s="53" t="e">
        <f>_xlfn.XLOOKUP(C62,'Data Base'!D:D,'Data Base'!B:B)</f>
        <v>#N/A</v>
      </c>
      <c r="C62" s="53" t="s">
        <v>67</v>
      </c>
      <c r="D62" s="53" t="e">
        <f>_xlfn.XLOOKUP(C62,'LD-ELFA'!F:F,'LD-ELFA'!H:H)</f>
        <v>#N/A</v>
      </c>
      <c r="E62" s="53" t="e">
        <f>_xlfn.XLOOKUP(C62,'LD-ELFA'!F:F,'LD-ELFA'!Q:Q)</f>
        <v>#N/A</v>
      </c>
      <c r="F62" s="56" t="e">
        <f>_xlfn.XLOOKUP(C62,'Data Base'!D:D,'Data Base'!L:L)</f>
        <v>#N/A</v>
      </c>
      <c r="G62" s="56" t="str">
        <f>IF(I62="Blossom - Atendimento de Comentário",_xlfn.XLOOKUP(C62,'Data Base'!D:D,'Data Base'!Q:Q),"")</f>
        <v/>
      </c>
      <c r="H62" s="56" t="e">
        <f t="shared" ca="1" si="0"/>
        <v>#N/A</v>
      </c>
      <c r="I62" s="57" t="str">
        <f>_xlfn.XLOOKUP(C62,'Data Base'!D:D,'Data Base'!O:O)</f>
        <v>Documento Removido</v>
      </c>
    </row>
    <row r="63" spans="2:9" hidden="1" x14ac:dyDescent="0.25">
      <c r="B63" s="53" t="e">
        <f>_xlfn.XLOOKUP(C63,'Data Base'!D:D,'Data Base'!B:B)</f>
        <v>#N/A</v>
      </c>
      <c r="C63" s="53" t="s">
        <v>68</v>
      </c>
      <c r="D63" s="53" t="e">
        <f>_xlfn.XLOOKUP(C63,'LD-ELFA'!F:F,'LD-ELFA'!H:H)</f>
        <v>#N/A</v>
      </c>
      <c r="E63" s="53" t="e">
        <f>_xlfn.XLOOKUP(C63,'LD-ELFA'!F:F,'LD-ELFA'!Q:Q)</f>
        <v>#N/A</v>
      </c>
      <c r="F63" s="56" t="e">
        <f>_xlfn.XLOOKUP(C63,'Data Base'!D:D,'Data Base'!L:L)</f>
        <v>#N/A</v>
      </c>
      <c r="G63" s="56" t="str">
        <f>IF(I63="Blossom - Atendimento de Comentário",_xlfn.XLOOKUP(C63,'Data Base'!D:D,'Data Base'!Q:Q),"")</f>
        <v/>
      </c>
      <c r="H63" s="56" t="e">
        <f t="shared" ca="1" si="0"/>
        <v>#N/A</v>
      </c>
      <c r="I63" s="57" t="str">
        <f>_xlfn.XLOOKUP(C63,'Data Base'!D:D,'Data Base'!O:O)</f>
        <v>Documento Removido</v>
      </c>
    </row>
    <row r="64" spans="2:9" hidden="1" x14ac:dyDescent="0.25">
      <c r="B64" s="53" t="e">
        <f>_xlfn.XLOOKUP(C64,'Data Base'!D:D,'Data Base'!B:B)</f>
        <v>#N/A</v>
      </c>
      <c r="C64" s="53" t="s">
        <v>69</v>
      </c>
      <c r="D64" s="53" t="e">
        <f>_xlfn.XLOOKUP(C64,'LD-ELFA'!F:F,'LD-ELFA'!H:H)</f>
        <v>#N/A</v>
      </c>
      <c r="E64" s="53" t="e">
        <f>_xlfn.XLOOKUP(C64,'LD-ELFA'!F:F,'LD-ELFA'!Q:Q)</f>
        <v>#N/A</v>
      </c>
      <c r="F64" s="56" t="e">
        <f>_xlfn.XLOOKUP(C64,'Data Base'!D:D,'Data Base'!L:L)</f>
        <v>#N/A</v>
      </c>
      <c r="G64" s="56" t="str">
        <f>IF(I64="Blossom - Atendimento de Comentário",_xlfn.XLOOKUP(C64,'Data Base'!D:D,'Data Base'!Q:Q),"")</f>
        <v/>
      </c>
      <c r="H64" s="56" t="e">
        <f t="shared" ca="1" si="0"/>
        <v>#N/A</v>
      </c>
      <c r="I64" s="57" t="str">
        <f>_xlfn.XLOOKUP(C64,'Data Base'!D:D,'Data Base'!O:O)</f>
        <v>Documento Removido</v>
      </c>
    </row>
    <row r="65" spans="2:9" hidden="1" x14ac:dyDescent="0.25">
      <c r="B65" s="53" t="str">
        <f>_xlfn.XLOOKUP(C65,'Data Base'!D:D,'Data Base'!B:B)</f>
        <v>AI - Automacao E Instrumentacao</v>
      </c>
      <c r="C65" s="53" t="s">
        <v>70</v>
      </c>
      <c r="D65" s="53" t="str">
        <f>_xlfn.XLOOKUP(C65,'LD-ELFA'!F:F,'LD-ELFA'!H:H)</f>
        <v>RE-A1-2000-J-PB-0001</v>
      </c>
      <c r="E65" s="53" t="str">
        <f>_xlfn.XLOOKUP(C65,'LD-ELFA'!F:F,'LD-ELFA'!Q:Q)</f>
        <v>LISTA PRELIMINAR DE ENTRADAS E SAÍDAS</v>
      </c>
      <c r="F65" s="56" t="str">
        <f>_xlfn.XLOOKUP(C65,'Data Base'!D:D,'Data Base'!L:L)</f>
        <v>Documento a emitir</v>
      </c>
      <c r="G65" s="56" t="str">
        <f>IF(I65="Blossom - Atendimento de Comentário",_xlfn.XLOOKUP(C65,'Data Base'!D:D,'Data Base'!Q:Q),"")</f>
        <v/>
      </c>
      <c r="H65" s="56" t="str">
        <f t="shared" ca="1" si="0"/>
        <v>NO PRAZO</v>
      </c>
      <c r="I65" s="57" t="str">
        <f>_xlfn.XLOOKUP(C65,'Data Base'!D:D,'Data Base'!O:O)</f>
        <v>Blossom - Documento a emitir</v>
      </c>
    </row>
    <row r="66" spans="2:9" hidden="1" x14ac:dyDescent="0.25">
      <c r="B66" s="53" t="e">
        <f>_xlfn.XLOOKUP(C66,'Data Base'!D:D,'Data Base'!B:B)</f>
        <v>#N/A</v>
      </c>
      <c r="C66" s="53" t="s">
        <v>71</v>
      </c>
      <c r="D66" s="53" t="e">
        <f>_xlfn.XLOOKUP(C66,'LD-ELFA'!F:F,'LD-ELFA'!H:H)</f>
        <v>#N/A</v>
      </c>
      <c r="E66" s="53" t="e">
        <f>_xlfn.XLOOKUP(C66,'LD-ELFA'!F:F,'LD-ELFA'!Q:Q)</f>
        <v>#N/A</v>
      </c>
      <c r="F66" s="56" t="e">
        <f>_xlfn.XLOOKUP(C66,'Data Base'!D:D,'Data Base'!L:L)</f>
        <v>#N/A</v>
      </c>
      <c r="G66" s="56" t="str">
        <f>IF(I66="Blossom - Atendimento de Comentário",_xlfn.XLOOKUP(C66,'Data Base'!D:D,'Data Base'!Q:Q),"")</f>
        <v/>
      </c>
      <c r="H66" s="56" t="e">
        <f t="shared" ca="1" si="0"/>
        <v>#N/A</v>
      </c>
      <c r="I66" s="57" t="str">
        <f>_xlfn.XLOOKUP(C66,'Data Base'!D:D,'Data Base'!O:O)</f>
        <v>Documento Removido</v>
      </c>
    </row>
    <row r="67" spans="2:9" hidden="1" x14ac:dyDescent="0.25">
      <c r="B67" s="53" t="str">
        <f>_xlfn.XLOOKUP(C67,'Data Base'!D:D,'Data Base'!B:B)</f>
        <v>AR - Arquitetura</v>
      </c>
      <c r="C67" s="53" t="s">
        <v>72</v>
      </c>
      <c r="D67" s="53" t="str">
        <f>_xlfn.XLOOKUP(C67,'LD-ELFA'!F:F,'LD-ELFA'!H:H)</f>
        <v>CP-A1-1000-A-PB-0001</v>
      </c>
      <c r="E67" s="53" t="str">
        <f>_xlfn.XLOOKUP(C67,'LD-ELFA'!F:F,'LD-ELFA'!Q:Q)</f>
        <v>CRITÉRIOS DE PROJETO</v>
      </c>
      <c r="F67" s="56" t="str">
        <f>_xlfn.XLOOKUP(C67,'Data Base'!D:D,'Data Base'!L:L)</f>
        <v/>
      </c>
      <c r="G67" s="56" t="str">
        <f>IF(I67="Blossom - Atendimento de Comentário",_xlfn.XLOOKUP(C67,'Data Base'!D:D,'Data Base'!Q:Q),"")</f>
        <v/>
      </c>
      <c r="H67" s="56" t="str">
        <f t="shared" ref="H67:H130" ca="1" si="1">IF(F67&lt;=WORKDAY(TODAY(),-3),"ATRASADO","NO PRAZO")</f>
        <v>NO PRAZO</v>
      </c>
      <c r="I67" s="57" t="str">
        <f>_xlfn.XLOOKUP(C67,'Data Base'!D:D,'Data Base'!O:O)</f>
        <v>Documento Concluído</v>
      </c>
    </row>
    <row r="68" spans="2:9" hidden="1" x14ac:dyDescent="0.25">
      <c r="B68" s="53" t="str">
        <f>_xlfn.XLOOKUP(C68,'Data Base'!D:D,'Data Base'!B:B)</f>
        <v>AR - Arquitetura</v>
      </c>
      <c r="C68" s="53" t="s">
        <v>73</v>
      </c>
      <c r="D68" s="53" t="str">
        <f>_xlfn.XLOOKUP(C68,'LD-ELFA'!F:F,'LD-ELFA'!H:H)</f>
        <v>DE-A1-1911-A-PB-4000</v>
      </c>
      <c r="E68" s="53" t="str">
        <f>_xlfn.XLOOKUP(C68,'LD-ELFA'!F:F,'LD-ELFA'!Q:Q)</f>
        <v>PLANTA E CORTES</v>
      </c>
      <c r="F68" s="56" t="str">
        <f>_xlfn.XLOOKUP(C68,'Data Base'!D:D,'Data Base'!L:L)</f>
        <v>Documento a emitir</v>
      </c>
      <c r="G68" s="56" t="str">
        <f>IF(I68="Blossom - Atendimento de Comentário",_xlfn.XLOOKUP(C68,'Data Base'!D:D,'Data Base'!Q:Q),"")</f>
        <v/>
      </c>
      <c r="H68" s="56" t="str">
        <f t="shared" ca="1" si="1"/>
        <v>NO PRAZO</v>
      </c>
      <c r="I68" s="57" t="str">
        <f>_xlfn.XLOOKUP(C68,'Data Base'!D:D,'Data Base'!O:O)</f>
        <v>Blossom - Documento a emitir</v>
      </c>
    </row>
    <row r="69" spans="2:9" hidden="1" x14ac:dyDescent="0.25">
      <c r="B69" s="53" t="str">
        <f>_xlfn.XLOOKUP(C69,'Data Base'!D:D,'Data Base'!B:B)</f>
        <v>AR - Arquitetura</v>
      </c>
      <c r="C69" s="53" t="s">
        <v>74</v>
      </c>
      <c r="D69" s="53" t="str">
        <f>_xlfn.XLOOKUP(C69,'LD-ELFA'!F:F,'LD-ELFA'!H:H)</f>
        <v>DE-A1-1912-A-PB-4000</v>
      </c>
      <c r="E69" s="53" t="str">
        <f>_xlfn.XLOOKUP(C69,'LD-ELFA'!F:F,'LD-ELFA'!Q:Q)</f>
        <v>PLANTA E CORTES</v>
      </c>
      <c r="F69" s="56" t="str">
        <f>_xlfn.XLOOKUP(C69,'Data Base'!D:D,'Data Base'!L:L)</f>
        <v>Documento a emitir</v>
      </c>
      <c r="G69" s="56" t="str">
        <f>IF(I69="Blossom - Atendimento de Comentário",_xlfn.XLOOKUP(C69,'Data Base'!D:D,'Data Base'!Q:Q),"")</f>
        <v/>
      </c>
      <c r="H69" s="56" t="str">
        <f t="shared" ca="1" si="1"/>
        <v>NO PRAZO</v>
      </c>
      <c r="I69" s="57" t="str">
        <f>_xlfn.XLOOKUP(C69,'Data Base'!D:D,'Data Base'!O:O)</f>
        <v>Blossom - Documento a emitir</v>
      </c>
    </row>
    <row r="70" spans="2:9" hidden="1" x14ac:dyDescent="0.25">
      <c r="B70" s="53" t="str">
        <f>_xlfn.XLOOKUP(C70,'Data Base'!D:D,'Data Base'!B:B)</f>
        <v>AR - Arquitetura</v>
      </c>
      <c r="C70" s="53" t="s">
        <v>75</v>
      </c>
      <c r="D70" s="53" t="str">
        <f>_xlfn.XLOOKUP(C70,'LD-ELFA'!F:F,'LD-ELFA'!H:H)</f>
        <v>DE-A1-1913-A-PB-4000</v>
      </c>
      <c r="E70" s="53" t="str">
        <f>_xlfn.XLOOKUP(C70,'LD-ELFA'!F:F,'LD-ELFA'!Q:Q)</f>
        <v>PLANTA E CORTES</v>
      </c>
      <c r="F70" s="56" t="str">
        <f>_xlfn.XLOOKUP(C70,'Data Base'!D:D,'Data Base'!L:L)</f>
        <v>Documento a emitir</v>
      </c>
      <c r="G70" s="56" t="str">
        <f>IF(I70="Blossom - Atendimento de Comentário",_xlfn.XLOOKUP(C70,'Data Base'!D:D,'Data Base'!Q:Q),"")</f>
        <v/>
      </c>
      <c r="H70" s="56" t="str">
        <f t="shared" ca="1" si="1"/>
        <v>NO PRAZO</v>
      </c>
      <c r="I70" s="57" t="str">
        <f>_xlfn.XLOOKUP(C70,'Data Base'!D:D,'Data Base'!O:O)</f>
        <v>Blossom - Documento a emitir</v>
      </c>
    </row>
    <row r="71" spans="2:9" hidden="1" x14ac:dyDescent="0.25">
      <c r="B71" s="53" t="str">
        <f>_xlfn.XLOOKUP(C71,'Data Base'!D:D,'Data Base'!B:B)</f>
        <v>AR - Arquitetura</v>
      </c>
      <c r="C71" s="53" t="s">
        <v>76</v>
      </c>
      <c r="D71" s="53" t="str">
        <f>_xlfn.XLOOKUP(C71,'LD-ELFA'!F:F,'LD-ELFA'!H:H)</f>
        <v>DE-A1-2201-A-PB-4000</v>
      </c>
      <c r="E71" s="53" t="str">
        <f>_xlfn.XLOOKUP(C71,'LD-ELFA'!F:F,'LD-ELFA'!Q:Q)</f>
        <v>PLANTA E CORTES</v>
      </c>
      <c r="F71" s="56" t="str">
        <f>_xlfn.XLOOKUP(C71,'Data Base'!D:D,'Data Base'!L:L)</f>
        <v>Documento a emitir</v>
      </c>
      <c r="G71" s="56" t="str">
        <f>IF(I71="Blossom - Atendimento de Comentário",_xlfn.XLOOKUP(C71,'Data Base'!D:D,'Data Base'!Q:Q),"")</f>
        <v/>
      </c>
      <c r="H71" s="56" t="str">
        <f t="shared" ca="1" si="1"/>
        <v>NO PRAZO</v>
      </c>
      <c r="I71" s="57" t="str">
        <f>_xlfn.XLOOKUP(C71,'Data Base'!D:D,'Data Base'!O:O)</f>
        <v>Blossom - Documento a emitir</v>
      </c>
    </row>
    <row r="72" spans="2:9" hidden="1" x14ac:dyDescent="0.25">
      <c r="B72" s="53" t="str">
        <f>_xlfn.XLOOKUP(C72,'Data Base'!D:D,'Data Base'!B:B)</f>
        <v>AR - Arquitetura</v>
      </c>
      <c r="C72" s="53" t="s">
        <v>77</v>
      </c>
      <c r="D72" s="53" t="str">
        <f>_xlfn.XLOOKUP(C72,'LD-ELFA'!F:F,'LD-ELFA'!H:H)</f>
        <v>DE-A1-2202-A-PB-4000</v>
      </c>
      <c r="E72" s="53" t="str">
        <f>_xlfn.XLOOKUP(C72,'LD-ELFA'!F:F,'LD-ELFA'!Q:Q)</f>
        <v>PLANTA E CORTES</v>
      </c>
      <c r="F72" s="56" t="str">
        <f>_xlfn.XLOOKUP(C72,'Data Base'!D:D,'Data Base'!L:L)</f>
        <v>Documento a emitir</v>
      </c>
      <c r="G72" s="56" t="str">
        <f>IF(I72="Blossom - Atendimento de Comentário",_xlfn.XLOOKUP(C72,'Data Base'!D:D,'Data Base'!Q:Q),"")</f>
        <v/>
      </c>
      <c r="H72" s="56" t="str">
        <f t="shared" ca="1" si="1"/>
        <v>NO PRAZO</v>
      </c>
      <c r="I72" s="57" t="str">
        <f>_xlfn.XLOOKUP(C72,'Data Base'!D:D,'Data Base'!O:O)</f>
        <v>Blossom - Documento a emitir</v>
      </c>
    </row>
    <row r="73" spans="2:9" hidden="1" x14ac:dyDescent="0.25">
      <c r="B73" s="53" t="str">
        <f>_xlfn.XLOOKUP(C73,'Data Base'!D:D,'Data Base'!B:B)</f>
        <v>AR - Arquitetura</v>
      </c>
      <c r="C73" s="53" t="s">
        <v>78</v>
      </c>
      <c r="D73" s="53" t="str">
        <f>_xlfn.XLOOKUP(C73,'LD-ELFA'!F:F,'LD-ELFA'!H:H)</f>
        <v>DE-A1-2203-A-PB-4000</v>
      </c>
      <c r="E73" s="53" t="str">
        <f>_xlfn.XLOOKUP(C73,'LD-ELFA'!F:F,'LD-ELFA'!Q:Q)</f>
        <v>PLANTA E CORTES</v>
      </c>
      <c r="F73" s="56" t="str">
        <f>_xlfn.XLOOKUP(C73,'Data Base'!D:D,'Data Base'!L:L)</f>
        <v>Documento a emitir</v>
      </c>
      <c r="G73" s="56" t="str">
        <f>IF(I73="Blossom - Atendimento de Comentário",_xlfn.XLOOKUP(C73,'Data Base'!D:D,'Data Base'!Q:Q),"")</f>
        <v/>
      </c>
      <c r="H73" s="56" t="str">
        <f t="shared" ca="1" si="1"/>
        <v>NO PRAZO</v>
      </c>
      <c r="I73" s="57" t="str">
        <f>_xlfn.XLOOKUP(C73,'Data Base'!D:D,'Data Base'!O:O)</f>
        <v>Blossom - Documento a emitir</v>
      </c>
    </row>
    <row r="74" spans="2:9" hidden="1" x14ac:dyDescent="0.25">
      <c r="B74" s="53" t="str">
        <f>_xlfn.XLOOKUP(C74,'Data Base'!D:D,'Data Base'!B:B)</f>
        <v>AR - Arquitetura</v>
      </c>
      <c r="C74" s="53" t="s">
        <v>79</v>
      </c>
      <c r="D74" s="53" t="str">
        <f>_xlfn.XLOOKUP(C74,'LD-ELFA'!F:F,'LD-ELFA'!H:H)</f>
        <v>DE-A1-2204-A-PB-4000</v>
      </c>
      <c r="E74" s="53" t="str">
        <f>_xlfn.XLOOKUP(C74,'LD-ELFA'!F:F,'LD-ELFA'!Q:Q)</f>
        <v>PLANTA E CORTES</v>
      </c>
      <c r="F74" s="56" t="str">
        <f>_xlfn.XLOOKUP(C74,'Data Base'!D:D,'Data Base'!L:L)</f>
        <v>Documento a emitir</v>
      </c>
      <c r="G74" s="56" t="str">
        <f>IF(I74="Blossom - Atendimento de Comentário",_xlfn.XLOOKUP(C74,'Data Base'!D:D,'Data Base'!Q:Q),"")</f>
        <v/>
      </c>
      <c r="H74" s="56" t="str">
        <f t="shared" ca="1" si="1"/>
        <v>NO PRAZO</v>
      </c>
      <c r="I74" s="57" t="str">
        <f>_xlfn.XLOOKUP(C74,'Data Base'!D:D,'Data Base'!O:O)</f>
        <v>Blossom - Documento a emitir</v>
      </c>
    </row>
    <row r="75" spans="2:9" hidden="1" x14ac:dyDescent="0.25">
      <c r="B75" s="53" t="str">
        <f>_xlfn.XLOOKUP(C75,'Data Base'!D:D,'Data Base'!B:B)</f>
        <v>AR - Arquitetura</v>
      </c>
      <c r="C75" s="53" t="s">
        <v>80</v>
      </c>
      <c r="D75" s="53" t="str">
        <f>_xlfn.XLOOKUP(C75,'LD-ELFA'!F:F,'LD-ELFA'!H:H)</f>
        <v>PQ-A1-1000-C-PB-0800</v>
      </c>
      <c r="E75" s="53" t="str">
        <f>_xlfn.XLOOKUP(C75,'LD-ELFA'!F:F,'LD-ELFA'!Q:Q)</f>
        <v>PLANILHA DE QUANTIDADES -PACOTE DE OBRAS CIVIS-ESCRITÓRIO CENTRAL / SALA DE CONTROLE E LABORATÓRIO</v>
      </c>
      <c r="F75" s="56" t="str">
        <f>_xlfn.XLOOKUP(C75,'Data Base'!D:D,'Data Base'!L:L)</f>
        <v>Documento a emitir</v>
      </c>
      <c r="G75" s="56" t="str">
        <f>IF(I75="Blossom - Atendimento de Comentário",_xlfn.XLOOKUP(C75,'Data Base'!D:D,'Data Base'!Q:Q),"")</f>
        <v/>
      </c>
      <c r="H75" s="56" t="str">
        <f t="shared" ca="1" si="1"/>
        <v>NO PRAZO</v>
      </c>
      <c r="I75" s="57" t="str">
        <f>_xlfn.XLOOKUP(C75,'Data Base'!D:D,'Data Base'!O:O)</f>
        <v>Blossom - Documento a emitir</v>
      </c>
    </row>
    <row r="76" spans="2:9" hidden="1" x14ac:dyDescent="0.25">
      <c r="B76" s="53" t="str">
        <f>_xlfn.XLOOKUP(C76,'Data Base'!D:D,'Data Base'!B:B)</f>
        <v>AR - Arquitetura</v>
      </c>
      <c r="C76" s="53" t="s">
        <v>81</v>
      </c>
      <c r="D76" s="53" t="str">
        <f>_xlfn.XLOOKUP(C76,'LD-ELFA'!F:F,'LD-ELFA'!H:H)</f>
        <v>PQ-A1-1000-C-PB-0801</v>
      </c>
      <c r="E76" s="53" t="str">
        <f>_xlfn.XLOOKUP(C76,'LD-ELFA'!F:F,'LD-ELFA'!Q:Q)</f>
        <v>PLANILHA DE QUANTIDADES -PACOTE DE OBRAS CIVIS-VEST. / PAR. ÔNIBUS / REFEIT. / P. MÉDICO E B. INCÊNDIO</v>
      </c>
      <c r="F76" s="56" t="str">
        <f>_xlfn.XLOOKUP(C76,'Data Base'!D:D,'Data Base'!L:L)</f>
        <v>Documento a emitir</v>
      </c>
      <c r="G76" s="56" t="str">
        <f>IF(I76="Blossom - Atendimento de Comentário",_xlfn.XLOOKUP(C76,'Data Base'!D:D,'Data Base'!Q:Q),"")</f>
        <v/>
      </c>
      <c r="H76" s="56" t="str">
        <f t="shared" ca="1" si="1"/>
        <v>NO PRAZO</v>
      </c>
      <c r="I76" s="57" t="str">
        <f>_xlfn.XLOOKUP(C76,'Data Base'!D:D,'Data Base'!O:O)</f>
        <v>Blossom - Documento a emitir</v>
      </c>
    </row>
    <row r="77" spans="2:9" hidden="1" x14ac:dyDescent="0.25">
      <c r="B77" s="53" t="str">
        <f>_xlfn.XLOOKUP(C77,'Data Base'!D:D,'Data Base'!B:B)</f>
        <v>AR - Arquitetura</v>
      </c>
      <c r="C77" s="53" t="s">
        <v>82</v>
      </c>
      <c r="D77" s="53" t="str">
        <f>_xlfn.XLOOKUP(C77,'LD-ELFA'!F:F,'LD-ELFA'!H:H)</f>
        <v>RL-A1-1000-G-PB-0016</v>
      </c>
      <c r="E77" s="53" t="str">
        <f>_xlfn.XLOOKUP(C77,'LD-ELFA'!F:F,'LD-ELFA'!Q:Q)</f>
        <v xml:space="preserve">RELATÓRIO DO SISTEMA DE PROTEÇÃO E COMBATE A INCÊNDIO </v>
      </c>
      <c r="F77" s="56" t="str">
        <f>_xlfn.XLOOKUP(C77,'Data Base'!D:D,'Data Base'!L:L)</f>
        <v>Documento a emitir</v>
      </c>
      <c r="G77" s="56" t="str">
        <f>IF(I77="Blossom - Atendimento de Comentário",_xlfn.XLOOKUP(C77,'Data Base'!D:D,'Data Base'!Q:Q),"")</f>
        <v/>
      </c>
      <c r="H77" s="56" t="str">
        <f t="shared" ca="1" si="1"/>
        <v>NO PRAZO</v>
      </c>
      <c r="I77" s="57" t="str">
        <f>_xlfn.XLOOKUP(C77,'Data Base'!D:D,'Data Base'!O:O)</f>
        <v>Blossom - Documento a emitir</v>
      </c>
    </row>
    <row r="78" spans="2:9" hidden="1" x14ac:dyDescent="0.25">
      <c r="B78" s="53" t="str">
        <f>_xlfn.XLOOKUP(C78,'Data Base'!D:D,'Data Base'!B:B)</f>
        <v>CC - Concreto</v>
      </c>
      <c r="C78" s="53" t="s">
        <v>83</v>
      </c>
      <c r="D78" s="53" t="str">
        <f>_xlfn.XLOOKUP(C78,'LD-ELFA'!F:F,'LD-ELFA'!H:H)</f>
        <v>DE-A1-2303-C-PB-4000</v>
      </c>
      <c r="E78" s="53" t="str">
        <f>_xlfn.XLOOKUP(C78,'LD-ELFA'!F:F,'LD-ELFA'!Q:Q)</f>
        <v>LOCAÇÃO E FORMA</v>
      </c>
      <c r="F78" s="56" t="str">
        <f>_xlfn.XLOOKUP(C78,'Data Base'!D:D,'Data Base'!L:L)</f>
        <v>Documento a emitir</v>
      </c>
      <c r="G78" s="56" t="str">
        <f>IF(I78="Blossom - Atendimento de Comentário",_xlfn.XLOOKUP(C78,'Data Base'!D:D,'Data Base'!Q:Q),"")</f>
        <v/>
      </c>
      <c r="H78" s="56" t="str">
        <f t="shared" ca="1" si="1"/>
        <v>NO PRAZO</v>
      </c>
      <c r="I78" s="57" t="str">
        <f>_xlfn.XLOOKUP(C78,'Data Base'!D:D,'Data Base'!O:O)</f>
        <v>Blossom - Documento a emitir</v>
      </c>
    </row>
    <row r="79" spans="2:9" hidden="1" x14ac:dyDescent="0.25">
      <c r="B79" s="53" t="str">
        <f>_xlfn.XLOOKUP(C79,'Data Base'!D:D,'Data Base'!B:B)</f>
        <v>CC - Concreto</v>
      </c>
      <c r="C79" s="53" t="s">
        <v>84</v>
      </c>
      <c r="D79" s="53" t="str">
        <f>_xlfn.XLOOKUP(C79,'LD-ELFA'!F:F,'LD-ELFA'!H:H)</f>
        <v>DE-A1-2303-C-PB-4001</v>
      </c>
      <c r="E79" s="53" t="str">
        <f>_xlfn.XLOOKUP(C79,'LD-ELFA'!F:F,'LD-ELFA'!Q:Q)</f>
        <v>LOCAÇÃO E FORMA</v>
      </c>
      <c r="F79" s="56" t="str">
        <f>_xlfn.XLOOKUP(C79,'Data Base'!D:D,'Data Base'!L:L)</f>
        <v>Documento a emitir</v>
      </c>
      <c r="G79" s="56" t="str">
        <f>IF(I79="Blossom - Atendimento de Comentário",_xlfn.XLOOKUP(C79,'Data Base'!D:D,'Data Base'!Q:Q),"")</f>
        <v/>
      </c>
      <c r="H79" s="56" t="str">
        <f t="shared" ca="1" si="1"/>
        <v>NO PRAZO</v>
      </c>
      <c r="I79" s="57" t="str">
        <f>_xlfn.XLOOKUP(C79,'Data Base'!D:D,'Data Base'!O:O)</f>
        <v>Blossom - Documento a emitir</v>
      </c>
    </row>
    <row r="80" spans="2:9" hidden="1" x14ac:dyDescent="0.25">
      <c r="B80" s="53" t="str">
        <f>_xlfn.XLOOKUP(C80,'Data Base'!D:D,'Data Base'!B:B)</f>
        <v>CC - Concreto</v>
      </c>
      <c r="C80" s="53" t="s">
        <v>85</v>
      </c>
      <c r="D80" s="53" t="str">
        <f>_xlfn.XLOOKUP(C80,'LD-ELFA'!F:F,'LD-ELFA'!H:H)</f>
        <v>DE-A1-2303-C-PB-4002</v>
      </c>
      <c r="E80" s="53" t="str">
        <f>_xlfn.XLOOKUP(C80,'LD-ELFA'!F:F,'LD-ELFA'!Q:Q)</f>
        <v>LOCAÇÃO E FORMA</v>
      </c>
      <c r="F80" s="56" t="str">
        <f>_xlfn.XLOOKUP(C80,'Data Base'!D:D,'Data Base'!L:L)</f>
        <v>Documento a emitir</v>
      </c>
      <c r="G80" s="56" t="str">
        <f>IF(I80="Blossom - Atendimento de Comentário",_xlfn.XLOOKUP(C80,'Data Base'!D:D,'Data Base'!Q:Q),"")</f>
        <v/>
      </c>
      <c r="H80" s="56" t="str">
        <f t="shared" ca="1" si="1"/>
        <v>NO PRAZO</v>
      </c>
      <c r="I80" s="57" t="str">
        <f>_xlfn.XLOOKUP(C80,'Data Base'!D:D,'Data Base'!O:O)</f>
        <v>Blossom - Documento a emitir</v>
      </c>
    </row>
    <row r="81" spans="2:9" hidden="1" x14ac:dyDescent="0.25">
      <c r="B81" s="53" t="str">
        <f>_xlfn.XLOOKUP(C81,'Data Base'!D:D,'Data Base'!B:B)</f>
        <v>CC - Concreto</v>
      </c>
      <c r="C81" s="53" t="s">
        <v>86</v>
      </c>
      <c r="D81" s="53" t="str">
        <f>_xlfn.XLOOKUP(C81,'LD-ELFA'!F:F,'LD-ELFA'!H:H)</f>
        <v>DE-A1-2303-C-PB-4003</v>
      </c>
      <c r="E81" s="53" t="str">
        <f>_xlfn.XLOOKUP(C81,'LD-ELFA'!F:F,'LD-ELFA'!Q:Q)</f>
        <v>LOCAÇÃO E FORMA</v>
      </c>
      <c r="F81" s="56" t="str">
        <f>_xlfn.XLOOKUP(C81,'Data Base'!D:D,'Data Base'!L:L)</f>
        <v>Documento a emitir</v>
      </c>
      <c r="G81" s="56" t="str">
        <f>IF(I81="Blossom - Atendimento de Comentário",_xlfn.XLOOKUP(C81,'Data Base'!D:D,'Data Base'!Q:Q),"")</f>
        <v/>
      </c>
      <c r="H81" s="56" t="str">
        <f t="shared" ca="1" si="1"/>
        <v>NO PRAZO</v>
      </c>
      <c r="I81" s="57" t="str">
        <f>_xlfn.XLOOKUP(C81,'Data Base'!D:D,'Data Base'!O:O)</f>
        <v>Blossom - Documento a emitir</v>
      </c>
    </row>
    <row r="82" spans="2:9" hidden="1" x14ac:dyDescent="0.25">
      <c r="B82" s="53" t="str">
        <f>_xlfn.XLOOKUP(C82,'Data Base'!D:D,'Data Base'!B:B)</f>
        <v>CC - Concreto</v>
      </c>
      <c r="C82" s="53" t="s">
        <v>87</v>
      </c>
      <c r="D82" s="53" t="str">
        <f>_xlfn.XLOOKUP(C82,'LD-ELFA'!F:F,'LD-ELFA'!H:H)</f>
        <v>DE-A1-2303-C-PB-4004</v>
      </c>
      <c r="E82" s="53" t="str">
        <f>_xlfn.XLOOKUP(C82,'LD-ELFA'!F:F,'LD-ELFA'!Q:Q)</f>
        <v>LOCAÇÃO E FORMA</v>
      </c>
      <c r="F82" s="56" t="str">
        <f>_xlfn.XLOOKUP(C82,'Data Base'!D:D,'Data Base'!L:L)</f>
        <v>Documento a emitir</v>
      </c>
      <c r="G82" s="56" t="str">
        <f>IF(I82="Blossom - Atendimento de Comentário",_xlfn.XLOOKUP(C82,'Data Base'!D:D,'Data Base'!Q:Q),"")</f>
        <v/>
      </c>
      <c r="H82" s="56" t="str">
        <f t="shared" ca="1" si="1"/>
        <v>NO PRAZO</v>
      </c>
      <c r="I82" s="57" t="str">
        <f>_xlfn.XLOOKUP(C82,'Data Base'!D:D,'Data Base'!O:O)</f>
        <v>Blossom - Documento a emitir</v>
      </c>
    </row>
    <row r="83" spans="2:9" hidden="1" x14ac:dyDescent="0.25">
      <c r="B83" s="53" t="str">
        <f>_xlfn.XLOOKUP(C83,'Data Base'!D:D,'Data Base'!B:B)</f>
        <v>CC - Concreto</v>
      </c>
      <c r="C83" s="53" t="s">
        <v>88</v>
      </c>
      <c r="D83" s="53" t="str">
        <f>_xlfn.XLOOKUP(C83,'LD-ELFA'!F:F,'LD-ELFA'!H:H)</f>
        <v>DE-A1-2303-C-PB-4005</v>
      </c>
      <c r="E83" s="53" t="str">
        <f>_xlfn.XLOOKUP(C83,'LD-ELFA'!F:F,'LD-ELFA'!Q:Q)</f>
        <v>LOCAÇÃO E FORMA</v>
      </c>
      <c r="F83" s="56" t="str">
        <f>_xlfn.XLOOKUP(C83,'Data Base'!D:D,'Data Base'!L:L)</f>
        <v>Documento a emitir</v>
      </c>
      <c r="G83" s="56" t="str">
        <f>IF(I83="Blossom - Atendimento de Comentário",_xlfn.XLOOKUP(C83,'Data Base'!D:D,'Data Base'!Q:Q),"")</f>
        <v/>
      </c>
      <c r="H83" s="56" t="str">
        <f t="shared" ca="1" si="1"/>
        <v>NO PRAZO</v>
      </c>
      <c r="I83" s="57" t="str">
        <f>_xlfn.XLOOKUP(C83,'Data Base'!D:D,'Data Base'!O:O)</f>
        <v>Blossom - Documento a emitir</v>
      </c>
    </row>
    <row r="84" spans="2:9" hidden="1" x14ac:dyDescent="0.25">
      <c r="B84" s="53" t="str">
        <f>_xlfn.XLOOKUP(C84,'Data Base'!D:D,'Data Base'!B:B)</f>
        <v>CC - Concreto</v>
      </c>
      <c r="C84" s="53" t="s">
        <v>89</v>
      </c>
      <c r="D84" s="53" t="str">
        <f>_xlfn.XLOOKUP(C84,'LD-ELFA'!F:F,'LD-ELFA'!H:H)</f>
        <v>DE-A1-2303-C-PB-0001</v>
      </c>
      <c r="E84" s="53" t="str">
        <f>_xlfn.XLOOKUP(C84,'LD-ELFA'!F:F,'LD-ELFA'!Q:Q)</f>
        <v>VIADUTO SOBRE ESTRADA DE FERRO CARAJÁS - ALTERNATIVA 1</v>
      </c>
      <c r="F84" s="56" t="str">
        <f>_xlfn.XLOOKUP(C84,'Data Base'!D:D,'Data Base'!L:L)</f>
        <v>Documento a emitir</v>
      </c>
      <c r="G84" s="56" t="str">
        <f>IF(I84="Blossom - Atendimento de Comentário",_xlfn.XLOOKUP(C84,'Data Base'!D:D,'Data Base'!Q:Q),"")</f>
        <v/>
      </c>
      <c r="H84" s="56" t="str">
        <f t="shared" ca="1" si="1"/>
        <v>NO PRAZO</v>
      </c>
      <c r="I84" s="57" t="str">
        <f>_xlfn.XLOOKUP(C84,'Data Base'!D:D,'Data Base'!O:O)</f>
        <v>Blossom - Documento a emitir</v>
      </c>
    </row>
    <row r="85" spans="2:9" hidden="1" x14ac:dyDescent="0.25">
      <c r="B85" s="53" t="str">
        <f>_xlfn.XLOOKUP(C85,'Data Base'!D:D,'Data Base'!B:B)</f>
        <v>CC - Concreto</v>
      </c>
      <c r="C85" s="53" t="s">
        <v>90</v>
      </c>
      <c r="D85" s="53" t="str">
        <f>_xlfn.XLOOKUP(C85,'LD-ELFA'!F:F,'LD-ELFA'!H:H)</f>
        <v>DE-A1-1000-C-PB-4000</v>
      </c>
      <c r="E85" s="53" t="str">
        <f>_xlfn.XLOOKUP(C85,'LD-ELFA'!F:F,'LD-ELFA'!Q:Q)</f>
        <v>LOCAÇÃO E FORMA</v>
      </c>
      <c r="F85" s="56" t="str">
        <f>_xlfn.XLOOKUP(C85,'Data Base'!D:D,'Data Base'!L:L)</f>
        <v>Documento a emitir</v>
      </c>
      <c r="G85" s="56" t="str">
        <f>IF(I85="Blossom - Atendimento de Comentário",_xlfn.XLOOKUP(C85,'Data Base'!D:D,'Data Base'!Q:Q),"")</f>
        <v/>
      </c>
      <c r="H85" s="56" t="str">
        <f t="shared" ca="1" si="1"/>
        <v>NO PRAZO</v>
      </c>
      <c r="I85" s="57" t="str">
        <f>_xlfn.XLOOKUP(C85,'Data Base'!D:D,'Data Base'!O:O)</f>
        <v>Blossom - Documento a emitir</v>
      </c>
    </row>
    <row r="86" spans="2:9" hidden="1" x14ac:dyDescent="0.25">
      <c r="B86" s="53" t="str">
        <f>_xlfn.XLOOKUP(C86,'Data Base'!D:D,'Data Base'!B:B)</f>
        <v>CC - Concreto</v>
      </c>
      <c r="C86" s="53" t="s">
        <v>91</v>
      </c>
      <c r="D86" s="53" t="str">
        <f>_xlfn.XLOOKUP(C86,'LD-ELFA'!F:F,'LD-ELFA'!H:H)</f>
        <v>MC-A1-1911-C-PB-4000</v>
      </c>
      <c r="E86" s="53" t="str">
        <f>_xlfn.XLOOKUP(C86,'LD-ELFA'!F:F,'LD-ELFA'!Q:Q)</f>
        <v>MEMÓRIA DE CÁLCULO</v>
      </c>
      <c r="F86" s="56" t="str">
        <f>_xlfn.XLOOKUP(C86,'Data Base'!D:D,'Data Base'!L:L)</f>
        <v>Documento a emitir</v>
      </c>
      <c r="G86" s="56" t="str">
        <f>IF(I86="Blossom - Atendimento de Comentário",_xlfn.XLOOKUP(C86,'Data Base'!D:D,'Data Base'!Q:Q),"")</f>
        <v/>
      </c>
      <c r="H86" s="56" t="str">
        <f t="shared" ca="1" si="1"/>
        <v>NO PRAZO</v>
      </c>
      <c r="I86" s="57" t="str">
        <f>_xlfn.XLOOKUP(C86,'Data Base'!D:D,'Data Base'!O:O)</f>
        <v>Blossom - Documento a emitir</v>
      </c>
    </row>
    <row r="87" spans="2:9" hidden="1" x14ac:dyDescent="0.25">
      <c r="B87" s="53" t="str">
        <f>_xlfn.XLOOKUP(C87,'Data Base'!D:D,'Data Base'!B:B)</f>
        <v>CC - Concreto</v>
      </c>
      <c r="C87" s="53" t="s">
        <v>92</v>
      </c>
      <c r="D87" s="53" t="str">
        <f>_xlfn.XLOOKUP(C87,'LD-ELFA'!F:F,'LD-ELFA'!H:H)</f>
        <v>MC-A1-1912-C-PB-4000</v>
      </c>
      <c r="E87" s="53" t="str">
        <f>_xlfn.XLOOKUP(C87,'LD-ELFA'!F:F,'LD-ELFA'!Q:Q)</f>
        <v>MEMÓRIA DE CÁLCULO</v>
      </c>
      <c r="F87" s="56" t="str">
        <f>_xlfn.XLOOKUP(C87,'Data Base'!D:D,'Data Base'!L:L)</f>
        <v>Documento a emitir</v>
      </c>
      <c r="G87" s="56" t="str">
        <f>IF(I87="Blossom - Atendimento de Comentário",_xlfn.XLOOKUP(C87,'Data Base'!D:D,'Data Base'!Q:Q),"")</f>
        <v/>
      </c>
      <c r="H87" s="56" t="str">
        <f t="shared" ca="1" si="1"/>
        <v>NO PRAZO</v>
      </c>
      <c r="I87" s="57" t="str">
        <f>_xlfn.XLOOKUP(C87,'Data Base'!D:D,'Data Base'!O:O)</f>
        <v>Blossom - Documento a emitir</v>
      </c>
    </row>
    <row r="88" spans="2:9" hidden="1" x14ac:dyDescent="0.25">
      <c r="B88" s="53" t="str">
        <f>_xlfn.XLOOKUP(C88,'Data Base'!D:D,'Data Base'!B:B)</f>
        <v>CC - Concreto</v>
      </c>
      <c r="C88" s="53" t="s">
        <v>93</v>
      </c>
      <c r="D88" s="53" t="str">
        <f>_xlfn.XLOOKUP(C88,'LD-ELFA'!F:F,'LD-ELFA'!H:H)</f>
        <v>MC-A1-1913-C-PB-4000</v>
      </c>
      <c r="E88" s="53" t="str">
        <f>_xlfn.XLOOKUP(C88,'LD-ELFA'!F:F,'LD-ELFA'!Q:Q)</f>
        <v>MEMÓRIA DE CÁLCULO</v>
      </c>
      <c r="F88" s="56" t="str">
        <f>_xlfn.XLOOKUP(C88,'Data Base'!D:D,'Data Base'!L:L)</f>
        <v>Documento a emitir</v>
      </c>
      <c r="G88" s="56" t="str">
        <f>IF(I88="Blossom - Atendimento de Comentário",_xlfn.XLOOKUP(C88,'Data Base'!D:D,'Data Base'!Q:Q),"")</f>
        <v/>
      </c>
      <c r="H88" s="56" t="str">
        <f t="shared" ca="1" si="1"/>
        <v>NO PRAZO</v>
      </c>
      <c r="I88" s="57" t="str">
        <f>_xlfn.XLOOKUP(C88,'Data Base'!D:D,'Data Base'!O:O)</f>
        <v>Blossom - Documento a emitir</v>
      </c>
    </row>
    <row r="89" spans="2:9" hidden="1" x14ac:dyDescent="0.25">
      <c r="B89" s="53" t="str">
        <f>_xlfn.XLOOKUP(C89,'Data Base'!D:D,'Data Base'!B:B)</f>
        <v>CC - Concreto</v>
      </c>
      <c r="C89" s="53" t="s">
        <v>94</v>
      </c>
      <c r="D89" s="53" t="str">
        <f>_xlfn.XLOOKUP(C89,'LD-ELFA'!F:F,'LD-ELFA'!H:H)</f>
        <v>MC-A1-1315-C-PB-4000</v>
      </c>
      <c r="E89" s="53" t="str">
        <f>_xlfn.XLOOKUP(C89,'LD-ELFA'!F:F,'LD-ELFA'!Q:Q)</f>
        <v>MEMÓRIA DE CÁLCULO</v>
      </c>
      <c r="F89" s="56" t="str">
        <f>_xlfn.XLOOKUP(C89,'Data Base'!D:D,'Data Base'!L:L)</f>
        <v>Documento a emitir</v>
      </c>
      <c r="G89" s="56" t="str">
        <f>IF(I89="Blossom - Atendimento de Comentário",_xlfn.XLOOKUP(C89,'Data Base'!D:D,'Data Base'!Q:Q),"")</f>
        <v/>
      </c>
      <c r="H89" s="56" t="str">
        <f t="shared" ca="1" si="1"/>
        <v>NO PRAZO</v>
      </c>
      <c r="I89" s="57" t="str">
        <f>_xlfn.XLOOKUP(C89,'Data Base'!D:D,'Data Base'!O:O)</f>
        <v>Blossom - Documento a emitir</v>
      </c>
    </row>
    <row r="90" spans="2:9" hidden="1" x14ac:dyDescent="0.25">
      <c r="B90" s="53" t="e">
        <f>_xlfn.XLOOKUP(C90,'Data Base'!D:D,'Data Base'!B:B)</f>
        <v>#N/A</v>
      </c>
      <c r="C90" s="53" t="s">
        <v>95</v>
      </c>
      <c r="D90" s="53" t="e">
        <f>_xlfn.XLOOKUP(C90,'LD-ELFA'!F:F,'LD-ELFA'!H:H)</f>
        <v>#N/A</v>
      </c>
      <c r="E90" s="53" t="e">
        <f>_xlfn.XLOOKUP(C90,'LD-ELFA'!F:F,'LD-ELFA'!Q:Q)</f>
        <v>#N/A</v>
      </c>
      <c r="F90" s="56" t="e">
        <f>_xlfn.XLOOKUP(C90,'Data Base'!D:D,'Data Base'!L:L)</f>
        <v>#N/A</v>
      </c>
      <c r="G90" s="56" t="str">
        <f>IF(I90="Blossom - Atendimento de Comentário",_xlfn.XLOOKUP(C90,'Data Base'!D:D,'Data Base'!Q:Q),"")</f>
        <v/>
      </c>
      <c r="H90" s="56" t="e">
        <f t="shared" ca="1" si="1"/>
        <v>#N/A</v>
      </c>
      <c r="I90" s="57" t="str">
        <f>_xlfn.XLOOKUP(C90,'Data Base'!D:D,'Data Base'!O:O)</f>
        <v>Documento Removido</v>
      </c>
    </row>
    <row r="91" spans="2:9" hidden="1" x14ac:dyDescent="0.25">
      <c r="B91" s="53" t="e">
        <f>_xlfn.XLOOKUP(C91,'Data Base'!D:D,'Data Base'!B:B)</f>
        <v>#N/A</v>
      </c>
      <c r="C91" s="53" t="s">
        <v>96</v>
      </c>
      <c r="D91" s="53" t="e">
        <f>_xlfn.XLOOKUP(C91,'LD-ELFA'!F:F,'LD-ELFA'!H:H)</f>
        <v>#N/A</v>
      </c>
      <c r="E91" s="53" t="e">
        <f>_xlfn.XLOOKUP(C91,'LD-ELFA'!F:F,'LD-ELFA'!Q:Q)</f>
        <v>#N/A</v>
      </c>
      <c r="F91" s="56" t="e">
        <f>_xlfn.XLOOKUP(C91,'Data Base'!D:D,'Data Base'!L:L)</f>
        <v>#N/A</v>
      </c>
      <c r="G91" s="56" t="str">
        <f>IF(I91="Blossom - Atendimento de Comentário",_xlfn.XLOOKUP(C91,'Data Base'!D:D,'Data Base'!Q:Q),"")</f>
        <v/>
      </c>
      <c r="H91" s="56" t="e">
        <f t="shared" ca="1" si="1"/>
        <v>#N/A</v>
      </c>
      <c r="I91" s="57" t="str">
        <f>_xlfn.XLOOKUP(C91,'Data Base'!D:D,'Data Base'!O:O)</f>
        <v>Documento Removido</v>
      </c>
    </row>
    <row r="92" spans="2:9" hidden="1" x14ac:dyDescent="0.25">
      <c r="B92" s="53" t="e">
        <f>_xlfn.XLOOKUP(C92,'Data Base'!D:D,'Data Base'!B:B)</f>
        <v>#N/A</v>
      </c>
      <c r="C92" s="53" t="s">
        <v>97</v>
      </c>
      <c r="D92" s="53" t="e">
        <f>_xlfn.XLOOKUP(C92,'LD-ELFA'!F:F,'LD-ELFA'!H:H)</f>
        <v>#N/A</v>
      </c>
      <c r="E92" s="53" t="e">
        <f>_xlfn.XLOOKUP(C92,'LD-ELFA'!F:F,'LD-ELFA'!Q:Q)</f>
        <v>#N/A</v>
      </c>
      <c r="F92" s="56" t="e">
        <f>_xlfn.XLOOKUP(C92,'Data Base'!D:D,'Data Base'!L:L)</f>
        <v>#N/A</v>
      </c>
      <c r="G92" s="56" t="str">
        <f>IF(I92="Blossom - Atendimento de Comentário",_xlfn.XLOOKUP(C92,'Data Base'!D:D,'Data Base'!Q:Q),"")</f>
        <v/>
      </c>
      <c r="H92" s="56" t="e">
        <f t="shared" ca="1" si="1"/>
        <v>#N/A</v>
      </c>
      <c r="I92" s="57" t="str">
        <f>_xlfn.XLOOKUP(C92,'Data Base'!D:D,'Data Base'!O:O)</f>
        <v>Documento Removido</v>
      </c>
    </row>
    <row r="93" spans="2:9" hidden="1" x14ac:dyDescent="0.25">
      <c r="B93" s="53" t="str">
        <f>_xlfn.XLOOKUP(C93,'Data Base'!D:D,'Data Base'!B:B)</f>
        <v>CC - Concreto</v>
      </c>
      <c r="C93" s="53" t="s">
        <v>98</v>
      </c>
      <c r="D93" s="53" t="str">
        <f>_xlfn.XLOOKUP(C93,'LD-ELFA'!F:F,'LD-ELFA'!H:H)</f>
        <v>MC-A1-1500-C-PB-4000</v>
      </c>
      <c r="E93" s="53" t="str">
        <f>_xlfn.XLOOKUP(C93,'LD-ELFA'!F:F,'LD-ELFA'!Q:Q)</f>
        <v>MEMÓRIA DE CÁLCULO</v>
      </c>
      <c r="F93" s="56" t="str">
        <f>_xlfn.XLOOKUP(C93,'Data Base'!D:D,'Data Base'!L:L)</f>
        <v>Documento a emitir</v>
      </c>
      <c r="G93" s="56" t="str">
        <f>IF(I93="Blossom - Atendimento de Comentário",_xlfn.XLOOKUP(C93,'Data Base'!D:D,'Data Base'!Q:Q),"")</f>
        <v/>
      </c>
      <c r="H93" s="56" t="str">
        <f t="shared" ca="1" si="1"/>
        <v>NO PRAZO</v>
      </c>
      <c r="I93" s="57" t="str">
        <f>_xlfn.XLOOKUP(C93,'Data Base'!D:D,'Data Base'!O:O)</f>
        <v>Blossom - Documento a emitir</v>
      </c>
    </row>
    <row r="94" spans="2:9" hidden="1" x14ac:dyDescent="0.25">
      <c r="B94" s="53" t="str">
        <f>_xlfn.XLOOKUP(C94,'Data Base'!D:D,'Data Base'!B:B)</f>
        <v>CC - Concreto</v>
      </c>
      <c r="C94" s="53" t="s">
        <v>99</v>
      </c>
      <c r="D94" s="53" t="str">
        <f>_xlfn.XLOOKUP(C94,'LD-ELFA'!F:F,'LD-ELFA'!H:H)</f>
        <v>MC-A1-1000-C-PB-4000</v>
      </c>
      <c r="E94" s="53" t="str">
        <f>_xlfn.XLOOKUP(C94,'LD-ELFA'!F:F,'LD-ELFA'!Q:Q)</f>
        <v>MEMÓRIA DE CÁLCULO</v>
      </c>
      <c r="F94" s="56" t="str">
        <f>_xlfn.XLOOKUP(C94,'Data Base'!D:D,'Data Base'!L:L)</f>
        <v>Documento a emitir</v>
      </c>
      <c r="G94" s="56" t="str">
        <f>IF(I94="Blossom - Atendimento de Comentário",_xlfn.XLOOKUP(C94,'Data Base'!D:D,'Data Base'!Q:Q),"")</f>
        <v/>
      </c>
      <c r="H94" s="56" t="str">
        <f t="shared" ca="1" si="1"/>
        <v>NO PRAZO</v>
      </c>
      <c r="I94" s="57" t="str">
        <f>_xlfn.XLOOKUP(C94,'Data Base'!D:D,'Data Base'!O:O)</f>
        <v>Blossom - Documento a emitir</v>
      </c>
    </row>
    <row r="95" spans="2:9" hidden="1" x14ac:dyDescent="0.25">
      <c r="B95" s="53" t="str">
        <f>_xlfn.XLOOKUP(C95,'Data Base'!D:D,'Data Base'!B:B)</f>
        <v>CC - Concreto</v>
      </c>
      <c r="C95" s="53" t="s">
        <v>100</v>
      </c>
      <c r="D95" s="53" t="str">
        <f>_xlfn.XLOOKUP(C95,'LD-ELFA'!F:F,'LD-ELFA'!H:H)</f>
        <v>MC-A1-2303-C-PB-0001</v>
      </c>
      <c r="E95" s="53" t="str">
        <f>_xlfn.XLOOKUP(C95,'LD-ELFA'!F:F,'LD-ELFA'!Q:Q)</f>
        <v>MEMÓRIA DE CÁLCULO</v>
      </c>
      <c r="F95" s="56" t="str">
        <f>_xlfn.XLOOKUP(C95,'Data Base'!D:D,'Data Base'!L:L)</f>
        <v>Documento a emitir</v>
      </c>
      <c r="G95" s="56" t="str">
        <f>IF(I95="Blossom - Atendimento de Comentário",_xlfn.XLOOKUP(C95,'Data Base'!D:D,'Data Base'!Q:Q),"")</f>
        <v/>
      </c>
      <c r="H95" s="56" t="str">
        <f t="shared" ca="1" si="1"/>
        <v>NO PRAZO</v>
      </c>
      <c r="I95" s="57" t="str">
        <f>_xlfn.XLOOKUP(C95,'Data Base'!D:D,'Data Base'!O:O)</f>
        <v>Blossom - Documento a emitir</v>
      </c>
    </row>
    <row r="96" spans="2:9" hidden="1" x14ac:dyDescent="0.25">
      <c r="B96" s="53" t="str">
        <f>_xlfn.XLOOKUP(C96,'Data Base'!D:D,'Data Base'!B:B)</f>
        <v>CC - Concreto</v>
      </c>
      <c r="C96" s="53" t="s">
        <v>101</v>
      </c>
      <c r="D96" s="53" t="str">
        <f>_xlfn.XLOOKUP(C96,'LD-ELFA'!F:F,'LD-ELFA'!H:H)</f>
        <v>MC-A1-1200-C-PB-0001</v>
      </c>
      <c r="E96" s="53" t="str">
        <f>_xlfn.XLOOKUP(C96,'LD-ELFA'!F:F,'LD-ELFA'!Q:Q)</f>
        <v>MEMÓRIA DE CÁLCULO</v>
      </c>
      <c r="F96" s="56" t="str">
        <f>_xlfn.XLOOKUP(C96,'Data Base'!D:D,'Data Base'!L:L)</f>
        <v>Documento a emitir</v>
      </c>
      <c r="G96" s="56" t="str">
        <f>IF(I96="Blossom - Atendimento de Comentário",_xlfn.XLOOKUP(C96,'Data Base'!D:D,'Data Base'!Q:Q),"")</f>
        <v/>
      </c>
      <c r="H96" s="56" t="str">
        <f t="shared" ca="1" si="1"/>
        <v>NO PRAZO</v>
      </c>
      <c r="I96" s="57" t="str">
        <f>_xlfn.XLOOKUP(C96,'Data Base'!D:D,'Data Base'!O:O)</f>
        <v>Blossom - Documento a emitir</v>
      </c>
    </row>
    <row r="97" spans="2:9" hidden="1" x14ac:dyDescent="0.25">
      <c r="B97" s="53" t="str">
        <f>_xlfn.XLOOKUP(C97,'Data Base'!D:D,'Data Base'!B:B)</f>
        <v>CC - Concreto</v>
      </c>
      <c r="C97" s="53" t="s">
        <v>102</v>
      </c>
      <c r="D97" s="53" t="str">
        <f>_xlfn.XLOOKUP(C97,'LD-ELFA'!F:F,'LD-ELFA'!H:H)</f>
        <v>MC-A1-1201-C-PB-0001</v>
      </c>
      <c r="E97" s="53" t="str">
        <f>_xlfn.XLOOKUP(C97,'LD-ELFA'!F:F,'LD-ELFA'!Q:Q)</f>
        <v xml:space="preserve"> MEMÓRIA DE CÁLCULO</v>
      </c>
      <c r="F97" s="56" t="str">
        <f>_xlfn.XLOOKUP(C97,'Data Base'!D:D,'Data Base'!L:L)</f>
        <v>Documento a emitir</v>
      </c>
      <c r="G97" s="56" t="str">
        <f>IF(I97="Blossom - Atendimento de Comentário",_xlfn.XLOOKUP(C97,'Data Base'!D:D,'Data Base'!Q:Q),"")</f>
        <v/>
      </c>
      <c r="H97" s="56" t="str">
        <f t="shared" ca="1" si="1"/>
        <v>NO PRAZO</v>
      </c>
      <c r="I97" s="57" t="str">
        <f>_xlfn.XLOOKUP(C97,'Data Base'!D:D,'Data Base'!O:O)</f>
        <v>Blossom - Documento a emitir</v>
      </c>
    </row>
    <row r="98" spans="2:9" hidden="1" x14ac:dyDescent="0.25">
      <c r="B98" s="53" t="str">
        <f>_xlfn.XLOOKUP(C98,'Data Base'!D:D,'Data Base'!B:B)</f>
        <v>CC - Concreto</v>
      </c>
      <c r="C98" s="53" t="s">
        <v>103</v>
      </c>
      <c r="D98" s="53" t="str">
        <f>_xlfn.XLOOKUP(C98,'LD-ELFA'!F:F,'LD-ELFA'!H:H)</f>
        <v>MC-A1-1800-C-PB-0001</v>
      </c>
      <c r="E98" s="53" t="str">
        <f>_xlfn.XLOOKUP(C98,'LD-ELFA'!F:F,'LD-ELFA'!Q:Q)</f>
        <v>MEMÓRIA DE CÁLCULO</v>
      </c>
      <c r="F98" s="56" t="str">
        <f>_xlfn.XLOOKUP(C98,'Data Base'!D:D,'Data Base'!L:L)</f>
        <v>Documento a emitir</v>
      </c>
      <c r="G98" s="56" t="str">
        <f>IF(I98="Blossom - Atendimento de Comentário",_xlfn.XLOOKUP(C98,'Data Base'!D:D,'Data Base'!Q:Q),"")</f>
        <v/>
      </c>
      <c r="H98" s="56" t="str">
        <f t="shared" ca="1" si="1"/>
        <v>NO PRAZO</v>
      </c>
      <c r="I98" s="57" t="str">
        <f>_xlfn.XLOOKUP(C98,'Data Base'!D:D,'Data Base'!O:O)</f>
        <v>Blossom - Documento a emitir</v>
      </c>
    </row>
    <row r="99" spans="2:9" hidden="1" x14ac:dyDescent="0.25">
      <c r="B99" s="53" t="str">
        <f>_xlfn.XLOOKUP(C99,'Data Base'!D:D,'Data Base'!B:B)</f>
        <v>CC - Concreto</v>
      </c>
      <c r="C99" s="53" t="s">
        <v>104</v>
      </c>
      <c r="D99" s="53" t="str">
        <f>_xlfn.XLOOKUP(C99,'LD-ELFA'!F:F,'LD-ELFA'!H:H)</f>
        <v>MC-A1-2304-C-PB-0001</v>
      </c>
      <c r="E99" s="53" t="str">
        <f>_xlfn.XLOOKUP(C99,'LD-ELFA'!F:F,'LD-ELFA'!Q:Q)</f>
        <v>MEMÓRIA DE CÁLCULO</v>
      </c>
      <c r="F99" s="56" t="str">
        <f>_xlfn.XLOOKUP(C99,'Data Base'!D:D,'Data Base'!L:L)</f>
        <v>Documento a emitir</v>
      </c>
      <c r="G99" s="56" t="str">
        <f>IF(I99="Blossom - Atendimento de Comentário",_xlfn.XLOOKUP(C99,'Data Base'!D:D,'Data Base'!Q:Q),"")</f>
        <v/>
      </c>
      <c r="H99" s="56" t="str">
        <f t="shared" ca="1" si="1"/>
        <v>NO PRAZO</v>
      </c>
      <c r="I99" s="57" t="str">
        <f>_xlfn.XLOOKUP(C99,'Data Base'!D:D,'Data Base'!O:O)</f>
        <v>Blossom - Documento a emitir</v>
      </c>
    </row>
    <row r="100" spans="2:9" hidden="1" x14ac:dyDescent="0.25">
      <c r="B100" s="53" t="str">
        <f>_xlfn.XLOOKUP(C100,'Data Base'!D:D,'Data Base'!B:B)</f>
        <v>CC - Concreto</v>
      </c>
      <c r="C100" s="53" t="s">
        <v>105</v>
      </c>
      <c r="D100" s="53" t="str">
        <f>_xlfn.XLOOKUP(C100,'LD-ELFA'!F:F,'LD-ELFA'!H:H)</f>
        <v>MC-A1-1000-C-PB-0003</v>
      </c>
      <c r="E100" s="53" t="str">
        <f>_xlfn.XLOOKUP(C100,'LD-ELFA'!F:F,'LD-ELFA'!Q:Q)</f>
        <v>MEMÓRIA DE CÁLCULO</v>
      </c>
      <c r="F100" s="56" t="str">
        <f>_xlfn.XLOOKUP(C100,'Data Base'!D:D,'Data Base'!L:L)</f>
        <v>Documento a emitir</v>
      </c>
      <c r="G100" s="56" t="str">
        <f>IF(I100="Blossom - Atendimento de Comentário",_xlfn.XLOOKUP(C100,'Data Base'!D:D,'Data Base'!Q:Q),"")</f>
        <v/>
      </c>
      <c r="H100" s="56" t="str">
        <f t="shared" ca="1" si="1"/>
        <v>NO PRAZO</v>
      </c>
      <c r="I100" s="57" t="str">
        <f>_xlfn.XLOOKUP(C100,'Data Base'!D:D,'Data Base'!O:O)</f>
        <v>Blossom - Documento a emitir</v>
      </c>
    </row>
    <row r="101" spans="2:9" hidden="1" x14ac:dyDescent="0.25">
      <c r="B101" s="53" t="str">
        <f>_xlfn.XLOOKUP(C101,'Data Base'!D:D,'Data Base'!B:B)</f>
        <v>CC - Concreto</v>
      </c>
      <c r="C101" s="53" t="s">
        <v>106</v>
      </c>
      <c r="D101" s="53" t="str">
        <f>_xlfn.XLOOKUP(C101,'LD-ELFA'!F:F,'LD-ELFA'!H:H)</f>
        <v>MC-A1-1000-C-PB-0002</v>
      </c>
      <c r="E101" s="53" t="str">
        <f>_xlfn.XLOOKUP(C101,'LD-ELFA'!F:F,'LD-ELFA'!Q:Q)</f>
        <v>MEMÓRIA DE CÁLCULO</v>
      </c>
      <c r="F101" s="56" t="str">
        <f>_xlfn.XLOOKUP(C101,'Data Base'!D:D,'Data Base'!L:L)</f>
        <v>Documento a emitir</v>
      </c>
      <c r="G101" s="56" t="str">
        <f>IF(I101="Blossom - Atendimento de Comentário",_xlfn.XLOOKUP(C101,'Data Base'!D:D,'Data Base'!Q:Q),"")</f>
        <v/>
      </c>
      <c r="H101" s="56" t="str">
        <f t="shared" ca="1" si="1"/>
        <v>NO PRAZO</v>
      </c>
      <c r="I101" s="57" t="str">
        <f>_xlfn.XLOOKUP(C101,'Data Base'!D:D,'Data Base'!O:O)</f>
        <v>Blossom - Documento a emitir</v>
      </c>
    </row>
    <row r="102" spans="2:9" hidden="1" x14ac:dyDescent="0.25">
      <c r="B102" s="53" t="str">
        <f>_xlfn.XLOOKUP(C102,'Data Base'!D:D,'Data Base'!B:B)</f>
        <v>CC - Concreto</v>
      </c>
      <c r="C102" s="53" t="s">
        <v>107</v>
      </c>
      <c r="D102" s="53" t="str">
        <f>_xlfn.XLOOKUP(C102,'LD-ELFA'!F:F,'LD-ELFA'!H:H)</f>
        <v>MC-A1-1601-C-PB-0001</v>
      </c>
      <c r="E102" s="53" t="str">
        <f>_xlfn.XLOOKUP(C102,'LD-ELFA'!F:F,'LD-ELFA'!Q:Q)</f>
        <v>MEMÓRIA DE CÁLCULO</v>
      </c>
      <c r="F102" s="56" t="str">
        <f>_xlfn.XLOOKUP(C102,'Data Base'!D:D,'Data Base'!L:L)</f>
        <v>Documento a emitir</v>
      </c>
      <c r="G102" s="56" t="str">
        <f>IF(I102="Blossom - Atendimento de Comentário",_xlfn.XLOOKUP(C102,'Data Base'!D:D,'Data Base'!Q:Q),"")</f>
        <v/>
      </c>
      <c r="H102" s="56" t="str">
        <f t="shared" ca="1" si="1"/>
        <v>NO PRAZO</v>
      </c>
      <c r="I102" s="57" t="str">
        <f>_xlfn.XLOOKUP(C102,'Data Base'!D:D,'Data Base'!O:O)</f>
        <v>Blossom - Documento a emitir</v>
      </c>
    </row>
    <row r="103" spans="2:9" hidden="1" x14ac:dyDescent="0.25">
      <c r="B103" s="53" t="str">
        <f>_xlfn.XLOOKUP(C103,'Data Base'!D:D,'Data Base'!B:B)</f>
        <v>CC - Concreto</v>
      </c>
      <c r="C103" s="53" t="s">
        <v>108</v>
      </c>
      <c r="D103" s="53" t="str">
        <f>_xlfn.XLOOKUP(C103,'LD-ELFA'!F:F,'LD-ELFA'!H:H)</f>
        <v>MC-A1-1411-C-PB-4000</v>
      </c>
      <c r="E103" s="53" t="str">
        <f>_xlfn.XLOOKUP(C103,'LD-ELFA'!F:F,'LD-ELFA'!Q:Q)</f>
        <v>MEMÓRIA DE CÁLCULO</v>
      </c>
      <c r="F103" s="56" t="str">
        <f>_xlfn.XLOOKUP(C103,'Data Base'!D:D,'Data Base'!L:L)</f>
        <v>Documento a emitir</v>
      </c>
      <c r="G103" s="56" t="str">
        <f>IF(I103="Blossom - Atendimento de Comentário",_xlfn.XLOOKUP(C103,'Data Base'!D:D,'Data Base'!Q:Q),"")</f>
        <v/>
      </c>
      <c r="H103" s="56" t="str">
        <f t="shared" ca="1" si="1"/>
        <v>NO PRAZO</v>
      </c>
      <c r="I103" s="57" t="str">
        <f>_xlfn.XLOOKUP(C103,'Data Base'!D:D,'Data Base'!O:O)</f>
        <v>Blossom - Documento a emitir</v>
      </c>
    </row>
    <row r="104" spans="2:9" hidden="1" x14ac:dyDescent="0.25">
      <c r="B104" s="53" t="str">
        <f>_xlfn.XLOOKUP(C104,'Data Base'!D:D,'Data Base'!B:B)</f>
        <v>CC - Concreto</v>
      </c>
      <c r="C104" s="53" t="s">
        <v>109</v>
      </c>
      <c r="D104" s="53" t="str">
        <f>_xlfn.XLOOKUP(C104,'LD-ELFA'!F:F,'LD-ELFA'!H:H)</f>
        <v>MC-A1-1001-C-PB-4000</v>
      </c>
      <c r="E104" s="53" t="str">
        <f>_xlfn.XLOOKUP(C104,'LD-ELFA'!F:F,'LD-ELFA'!Q:Q)</f>
        <v>BALANÇA - FUNDAÇÕES - MEMÓRIA DE CÁLCULO - 11</v>
      </c>
      <c r="F104" s="56" t="str">
        <f>_xlfn.XLOOKUP(C104,'Data Base'!D:D,'Data Base'!L:L)</f>
        <v>Documento a emitir</v>
      </c>
      <c r="G104" s="56" t="str">
        <f>IF(I104="Blossom - Atendimento de Comentário",_xlfn.XLOOKUP(C104,'Data Base'!D:D,'Data Base'!Q:Q),"")</f>
        <v/>
      </c>
      <c r="H104" s="56" t="str">
        <f t="shared" ca="1" si="1"/>
        <v>NO PRAZO</v>
      </c>
      <c r="I104" s="57" t="str">
        <f>_xlfn.XLOOKUP(C104,'Data Base'!D:D,'Data Base'!O:O)</f>
        <v>Blossom - Documento a emitir</v>
      </c>
    </row>
    <row r="105" spans="2:9" x14ac:dyDescent="0.25">
      <c r="B105" s="53" t="str">
        <f>_xlfn.XLOOKUP(C105,'Data Base'!D:D,'Data Base'!B:B)</f>
        <v>CC - Concreto</v>
      </c>
      <c r="C105" s="53" t="s">
        <v>110</v>
      </c>
      <c r="D105" s="53" t="str">
        <f>_xlfn.XLOOKUP(C105,'LD-ELFA'!F:F,'LD-ELFA'!H:H)</f>
        <v>MC-A1-2201-C-PB-4000</v>
      </c>
      <c r="E105" s="53" t="str">
        <f>_xlfn.XLOOKUP(C105,'LD-ELFA'!F:F,'LD-ELFA'!Q:Q)</f>
        <v>MEMÓRIA DE CÁLCULO</v>
      </c>
      <c r="F105" s="56">
        <f>_xlfn.XLOOKUP(C105,'Data Base'!D:D,'Data Base'!L:L)</f>
        <v>46216.503071678242</v>
      </c>
      <c r="G105" s="56" t="str">
        <f>IF(I105="Blossom - Atendimento de Comentário",_xlfn.XLOOKUP(C105,'Data Base'!D:D,'Data Base'!Q:Q),"")</f>
        <v>APC-R  - APC-R - Aprovado com Comentários (Retornar para uma nova Aprovação)</v>
      </c>
      <c r="H105" s="56" t="str">
        <f t="shared" ca="1" si="1"/>
        <v>NO PRAZO</v>
      </c>
      <c r="I105" s="57" t="str">
        <f>_xlfn.XLOOKUP(C105,'Data Base'!D:D,'Data Base'!O:O)</f>
        <v>Blossom - Atendimento de Comentário</v>
      </c>
    </row>
    <row r="106" spans="2:9" x14ac:dyDescent="0.25">
      <c r="B106" s="53" t="str">
        <f>_xlfn.XLOOKUP(C106,'Data Base'!D:D,'Data Base'!B:B)</f>
        <v>CC - Concreto</v>
      </c>
      <c r="C106" s="53" t="s">
        <v>111</v>
      </c>
      <c r="D106" s="53" t="str">
        <f>_xlfn.XLOOKUP(C106,'LD-ELFA'!F:F,'LD-ELFA'!H:H)</f>
        <v>MC-A1-2202-C-PB-4000</v>
      </c>
      <c r="E106" s="53" t="str">
        <f>_xlfn.XLOOKUP(C106,'LD-ELFA'!F:F,'LD-ELFA'!Q:Q)</f>
        <v>MEMÓRIA DE CÁLCULO</v>
      </c>
      <c r="F106" s="56">
        <f>_xlfn.XLOOKUP(C106,'Data Base'!D:D,'Data Base'!L:L)</f>
        <v>46212.497367824071</v>
      </c>
      <c r="G106" s="56" t="str">
        <f>IF(I106="Blossom - Atendimento de Comentário",_xlfn.XLOOKUP(C106,'Data Base'!D:D,'Data Base'!Q:Q),"")</f>
        <v>APC-L  - APC-L  - Aprovado com Comentários (Retornar Aprovado)</v>
      </c>
      <c r="H106" s="56" t="str">
        <f t="shared" ca="1" si="1"/>
        <v>NO PRAZO</v>
      </c>
      <c r="I106" s="57" t="str">
        <f>_xlfn.XLOOKUP(C106,'Data Base'!D:D,'Data Base'!O:O)</f>
        <v>Blossom - Atendimento de Comentário</v>
      </c>
    </row>
    <row r="107" spans="2:9" x14ac:dyDescent="0.25">
      <c r="B107" s="53" t="str">
        <f>_xlfn.XLOOKUP(C107,'Data Base'!D:D,'Data Base'!B:B)</f>
        <v>CC - Concreto</v>
      </c>
      <c r="C107" s="53" t="s">
        <v>112</v>
      </c>
      <c r="D107" s="53" t="str">
        <f>_xlfn.XLOOKUP(C107,'LD-ELFA'!F:F,'LD-ELFA'!H:H)</f>
        <v>MC-A1-2203-C-PB-4000</v>
      </c>
      <c r="E107" s="53" t="str">
        <f>_xlfn.XLOOKUP(C107,'LD-ELFA'!F:F,'LD-ELFA'!Q:Q)</f>
        <v>MEMÓRIA DE CÁLCULO</v>
      </c>
      <c r="F107" s="56">
        <f>_xlfn.XLOOKUP(C107,'Data Base'!D:D,'Data Base'!L:L)</f>
        <v>46212.499945983793</v>
      </c>
      <c r="G107" s="56" t="str">
        <f>IF(I107="Blossom - Atendimento de Comentário",_xlfn.XLOOKUP(C107,'Data Base'!D:D,'Data Base'!Q:Q),"")</f>
        <v>APC-L  - APC-L  - Aprovado com Comentários (Retornar Aprovado)</v>
      </c>
      <c r="H107" s="56" t="str">
        <f t="shared" ca="1" si="1"/>
        <v>NO PRAZO</v>
      </c>
      <c r="I107" s="57" t="str">
        <f>_xlfn.XLOOKUP(C107,'Data Base'!D:D,'Data Base'!O:O)</f>
        <v>Blossom - Atendimento de Comentário</v>
      </c>
    </row>
    <row r="108" spans="2:9" x14ac:dyDescent="0.25">
      <c r="B108" s="53" t="str">
        <f>_xlfn.XLOOKUP(C108,'Data Base'!D:D,'Data Base'!B:B)</f>
        <v>CC - Concreto</v>
      </c>
      <c r="C108" s="53" t="s">
        <v>113</v>
      </c>
      <c r="D108" s="53" t="str">
        <f>_xlfn.XLOOKUP(C108,'LD-ELFA'!F:F,'LD-ELFA'!H:H)</f>
        <v>MC-A1-2204-C-PB-4000</v>
      </c>
      <c r="E108" s="53" t="str">
        <f>_xlfn.XLOOKUP(C108,'LD-ELFA'!F:F,'LD-ELFA'!Q:Q)</f>
        <v>MEMÓRIA DE CÁLCULO</v>
      </c>
      <c r="F108" s="56">
        <f>_xlfn.XLOOKUP(C108,'Data Base'!D:D,'Data Base'!L:L)</f>
        <v>46213.628457256942</v>
      </c>
      <c r="G108" s="56" t="str">
        <f>IF(I108="Blossom - Atendimento de Comentário",_xlfn.XLOOKUP(C108,'Data Base'!D:D,'Data Base'!Q:Q),"")</f>
        <v>APC-R  - APC-R - Aprovado com Comentários (Retornar para uma nova Aprovação)</v>
      </c>
      <c r="H108" s="56" t="str">
        <f t="shared" ca="1" si="1"/>
        <v>NO PRAZO</v>
      </c>
      <c r="I108" s="57" t="str">
        <f>_xlfn.XLOOKUP(C108,'Data Base'!D:D,'Data Base'!O:O)</f>
        <v>Blossom - Atendimento de Comentário</v>
      </c>
    </row>
    <row r="109" spans="2:9" hidden="1" x14ac:dyDescent="0.25">
      <c r="B109" s="53" t="str">
        <f>_xlfn.XLOOKUP(C109,'Data Base'!D:D,'Data Base'!B:B)</f>
        <v>CC - Concreto</v>
      </c>
      <c r="C109" s="53" t="s">
        <v>114</v>
      </c>
      <c r="D109" s="53" t="str">
        <f>_xlfn.XLOOKUP(C109,'LD-ELFA'!F:F,'LD-ELFA'!H:H)</f>
        <v>MC-A1-1000-C-PB-4001</v>
      </c>
      <c r="E109" s="53" t="str">
        <f>_xlfn.XLOOKUP(C109,'LD-ELFA'!F:F,'LD-ELFA'!Q:Q)</f>
        <v>MEMORIAL DESCRITIVO</v>
      </c>
      <c r="F109" s="56" t="str">
        <f>_xlfn.XLOOKUP(C109,'Data Base'!D:D,'Data Base'!L:L)</f>
        <v>Documento a emitir</v>
      </c>
      <c r="G109" s="56" t="str">
        <f>IF(I109="Blossom - Atendimento de Comentário",_xlfn.XLOOKUP(C109,'Data Base'!D:D,'Data Base'!Q:Q),"")</f>
        <v/>
      </c>
      <c r="H109" s="56" t="str">
        <f t="shared" ca="1" si="1"/>
        <v>NO PRAZO</v>
      </c>
      <c r="I109" s="57" t="str">
        <f>_xlfn.XLOOKUP(C109,'Data Base'!D:D,'Data Base'!O:O)</f>
        <v>Blossom - Documento a emitir</v>
      </c>
    </row>
    <row r="110" spans="2:9" hidden="1" x14ac:dyDescent="0.25">
      <c r="B110" s="53" t="str">
        <f>_xlfn.XLOOKUP(C110,'Data Base'!D:D,'Data Base'!B:B)</f>
        <v>CC - Concreto</v>
      </c>
      <c r="C110" s="53" t="s">
        <v>115</v>
      </c>
      <c r="D110" s="53" t="str">
        <f>_xlfn.XLOOKUP(C110,'LD-ELFA'!F:F,'LD-ELFA'!H:H)</f>
        <v>PQ-A1-1000-C-PB-4000</v>
      </c>
      <c r="E110" s="53" t="str">
        <f>_xlfn.XLOOKUP(C110,'LD-ELFA'!F:F,'LD-ELFA'!Q:Q)</f>
        <v>PLANILHA DE QUANTIDADES</v>
      </c>
      <c r="F110" s="56" t="str">
        <f>_xlfn.XLOOKUP(C110,'Data Base'!D:D,'Data Base'!L:L)</f>
        <v>Documento a emitir</v>
      </c>
      <c r="G110" s="56" t="str">
        <f>IF(I110="Blossom - Atendimento de Comentário",_xlfn.XLOOKUP(C110,'Data Base'!D:D,'Data Base'!Q:Q),"")</f>
        <v/>
      </c>
      <c r="H110" s="56" t="str">
        <f t="shared" ca="1" si="1"/>
        <v>NO PRAZO</v>
      </c>
      <c r="I110" s="57" t="str">
        <f>_xlfn.XLOOKUP(C110,'Data Base'!D:D,'Data Base'!O:O)</f>
        <v>Blossom - Documento a emitir</v>
      </c>
    </row>
    <row r="111" spans="2:9" hidden="1" x14ac:dyDescent="0.25">
      <c r="B111" s="53" t="str">
        <f>_xlfn.XLOOKUP(C111,'Data Base'!D:D,'Data Base'!B:B)</f>
        <v>CC - Concreto</v>
      </c>
      <c r="C111" s="53" t="s">
        <v>116</v>
      </c>
      <c r="D111" s="53" t="str">
        <f>_xlfn.XLOOKUP(C111,'LD-ELFA'!F:F,'LD-ELFA'!H:H)</f>
        <v>PQ-A1-1000-C-PB-0001</v>
      </c>
      <c r="E111" s="53" t="str">
        <f>_xlfn.XLOOKUP(C111,'LD-ELFA'!F:F,'LD-ELFA'!Q:Q)</f>
        <v>PLANILHA DE QUANTIDADES</v>
      </c>
      <c r="F111" s="56" t="str">
        <f>_xlfn.XLOOKUP(C111,'Data Base'!D:D,'Data Base'!L:L)</f>
        <v>Documento a emitir</v>
      </c>
      <c r="G111" s="56" t="str">
        <f>IF(I111="Blossom - Atendimento de Comentário",_xlfn.XLOOKUP(C111,'Data Base'!D:D,'Data Base'!Q:Q),"")</f>
        <v/>
      </c>
      <c r="H111" s="56" t="str">
        <f t="shared" ca="1" si="1"/>
        <v>NO PRAZO</v>
      </c>
      <c r="I111" s="57" t="str">
        <f>_xlfn.XLOOKUP(C111,'Data Base'!D:D,'Data Base'!O:O)</f>
        <v>Blossom - Documento a emitir</v>
      </c>
    </row>
    <row r="112" spans="2:9" hidden="1" x14ac:dyDescent="0.25">
      <c r="B112" s="53" t="str">
        <f>_xlfn.XLOOKUP(C112,'Data Base'!D:D,'Data Base'!B:B)</f>
        <v>CI - Infraestrutura</v>
      </c>
      <c r="C112" s="53" t="s">
        <v>117</v>
      </c>
      <c r="D112" s="53" t="str">
        <f>_xlfn.XLOOKUP(C112,'LD-ELFA'!F:F,'LD-ELFA'!H:H)</f>
        <v>DE-A1-1102-B-PC-4000</v>
      </c>
      <c r="E112" s="53" t="str">
        <f>_xlfn.XLOOKUP(C112,'LD-ELFA'!F:F,'LD-ELFA'!Q:Q)</f>
        <v>PROJETO DE TERRAPLENAGEM</v>
      </c>
      <c r="F112" s="56" t="str">
        <f>_xlfn.XLOOKUP(C112,'Data Base'!D:D,'Data Base'!L:L)</f>
        <v>Documento a emitir</v>
      </c>
      <c r="G112" s="56" t="str">
        <f>IF(I112="Blossom - Atendimento de Comentário",_xlfn.XLOOKUP(C112,'Data Base'!D:D,'Data Base'!Q:Q),"")</f>
        <v/>
      </c>
      <c r="H112" s="56" t="str">
        <f t="shared" ca="1" si="1"/>
        <v>NO PRAZO</v>
      </c>
      <c r="I112" s="57" t="str">
        <f>_xlfn.XLOOKUP(C112,'Data Base'!D:D,'Data Base'!O:O)</f>
        <v>Blossom - Documento a emitir</v>
      </c>
    </row>
    <row r="113" spans="1:9" hidden="1" x14ac:dyDescent="0.25">
      <c r="B113" s="53" t="str">
        <f>_xlfn.XLOOKUP(C113,'Data Base'!D:D,'Data Base'!B:B)</f>
        <v>CI - Infraestrutura</v>
      </c>
      <c r="C113" s="53" t="s">
        <v>118</v>
      </c>
      <c r="D113" s="53" t="str">
        <f>_xlfn.XLOOKUP(C113,'LD-ELFA'!F:F,'LD-ELFA'!H:H)</f>
        <v>DE-A1-1102-B-PC-4001</v>
      </c>
      <c r="E113" s="53" t="str">
        <f>_xlfn.XLOOKUP(C113,'LD-ELFA'!F:F,'LD-ELFA'!Q:Q)</f>
        <v>PROJETO GEOMÉTRICO - ACESSO</v>
      </c>
      <c r="F113" s="56" t="str">
        <f>_xlfn.XLOOKUP(C113,'Data Base'!D:D,'Data Base'!L:L)</f>
        <v>Documento a emitir</v>
      </c>
      <c r="G113" s="56" t="str">
        <f>IF(I113="Blossom - Atendimento de Comentário",_xlfn.XLOOKUP(C113,'Data Base'!D:D,'Data Base'!Q:Q),"")</f>
        <v/>
      </c>
      <c r="H113" s="56" t="str">
        <f t="shared" ca="1" si="1"/>
        <v>NO PRAZO</v>
      </c>
      <c r="I113" s="57" t="str">
        <f>_xlfn.XLOOKUP(C113,'Data Base'!D:D,'Data Base'!O:O)</f>
        <v>Blossom - Documento a emitir</v>
      </c>
    </row>
    <row r="114" spans="1:9" hidden="1" x14ac:dyDescent="0.25">
      <c r="B114" s="53" t="str">
        <f>_xlfn.XLOOKUP(C114,'Data Base'!D:D,'Data Base'!B:B)</f>
        <v>CI - Infraestrutura</v>
      </c>
      <c r="C114" s="53" t="s">
        <v>119</v>
      </c>
      <c r="D114" s="53" t="str">
        <f>_xlfn.XLOOKUP(C114,'LD-ELFA'!F:F,'LD-ELFA'!H:H)</f>
        <v>MC-A1-1102-B-PB-4000</v>
      </c>
      <c r="E114" s="53" t="str">
        <f>_xlfn.XLOOKUP(C114,'LD-ELFA'!F:F,'LD-ELFA'!Q:Q)</f>
        <v>MEMÓRIA DE CÁLCULO DE TERRAPLENAGEM</v>
      </c>
      <c r="F114" s="56" t="str">
        <f>_xlfn.XLOOKUP(C114,'Data Base'!D:D,'Data Base'!L:L)</f>
        <v>Documento a emitir</v>
      </c>
      <c r="G114" s="56" t="str">
        <f>IF(I114="Blossom - Atendimento de Comentário",_xlfn.XLOOKUP(C114,'Data Base'!D:D,'Data Base'!Q:Q),"")</f>
        <v/>
      </c>
      <c r="H114" s="56" t="str">
        <f t="shared" ca="1" si="1"/>
        <v>NO PRAZO</v>
      </c>
      <c r="I114" s="57" t="str">
        <f>_xlfn.XLOOKUP(C114,'Data Base'!D:D,'Data Base'!O:O)</f>
        <v>Blossom - Documento a emitir</v>
      </c>
    </row>
    <row r="115" spans="1:9" hidden="1" x14ac:dyDescent="0.25">
      <c r="B115" s="53" t="str">
        <f>_xlfn.XLOOKUP(C115,'Data Base'!D:D,'Data Base'!B:B)</f>
        <v>CI - Infraestrutura</v>
      </c>
      <c r="C115" s="53" t="s">
        <v>120</v>
      </c>
      <c r="D115" s="53" t="str">
        <f>_xlfn.XLOOKUP(C115,'LD-ELFA'!F:F,'LD-ELFA'!H:H)</f>
        <v>MC-A1-1102-B-PB-4001</v>
      </c>
      <c r="E115" s="53" t="str">
        <f>_xlfn.XLOOKUP(C115,'LD-ELFA'!F:F,'LD-ELFA'!Q:Q)</f>
        <v>MEMÓRIA DE CÁLCULO DE DRENAGEM</v>
      </c>
      <c r="F115" s="56" t="str">
        <f>_xlfn.XLOOKUP(C115,'Data Base'!D:D,'Data Base'!L:L)</f>
        <v>Documento a emitir</v>
      </c>
      <c r="G115" s="56" t="str">
        <f>IF(I115="Blossom - Atendimento de Comentário",_xlfn.XLOOKUP(C115,'Data Base'!D:D,'Data Base'!Q:Q),"")</f>
        <v/>
      </c>
      <c r="H115" s="56" t="str">
        <f t="shared" ca="1" si="1"/>
        <v>NO PRAZO</v>
      </c>
      <c r="I115" s="57" t="str">
        <f>_xlfn.XLOOKUP(C115,'Data Base'!D:D,'Data Base'!O:O)</f>
        <v>Blossom - Documento a emitir</v>
      </c>
    </row>
    <row r="116" spans="1:9" hidden="1" x14ac:dyDescent="0.25">
      <c r="B116" s="53" t="str">
        <f>_xlfn.XLOOKUP(C116,'Data Base'!D:D,'Data Base'!B:B)</f>
        <v>CI - Infraestrutura</v>
      </c>
      <c r="C116" s="53" t="s">
        <v>121</v>
      </c>
      <c r="D116" s="53" t="str">
        <f>_xlfn.XLOOKUP(C116,'LD-ELFA'!F:F,'LD-ELFA'!H:H)</f>
        <v>MC-A1-1000-B-PB-0002</v>
      </c>
      <c r="E116" s="53" t="str">
        <f>_xlfn.XLOOKUP(C116,'LD-ELFA'!F:F,'LD-ELFA'!Q:Q)</f>
        <v>MEMÓRIA DE CÁLCULO DE DRENAGEM</v>
      </c>
      <c r="F116" s="56" t="str">
        <f>_xlfn.XLOOKUP(C116,'Data Base'!D:D,'Data Base'!L:L)</f>
        <v>Documento a emitir</v>
      </c>
      <c r="G116" s="56" t="str">
        <f>IF(I116="Blossom - Atendimento de Comentário",_xlfn.XLOOKUP(C116,'Data Base'!D:D,'Data Base'!Q:Q),"")</f>
        <v/>
      </c>
      <c r="H116" s="56" t="str">
        <f t="shared" ca="1" si="1"/>
        <v>NO PRAZO</v>
      </c>
      <c r="I116" s="57" t="str">
        <f>_xlfn.XLOOKUP(C116,'Data Base'!D:D,'Data Base'!O:O)</f>
        <v>Blossom - Documento a emitir</v>
      </c>
    </row>
    <row r="117" spans="1:9" hidden="1" x14ac:dyDescent="0.25">
      <c r="B117" s="53" t="str">
        <f>_xlfn.XLOOKUP(C117,'Data Base'!D:D,'Data Base'!B:B)</f>
        <v>CI - Infraestrutura</v>
      </c>
      <c r="C117" s="53" t="s">
        <v>122</v>
      </c>
      <c r="D117" s="53" t="str">
        <f>_xlfn.XLOOKUP(C117,'LD-ELFA'!F:F,'LD-ELFA'!H:H)</f>
        <v>MC-A1-1000-B-PB-0001</v>
      </c>
      <c r="E117" s="53" t="str">
        <f>_xlfn.XLOOKUP(C117,'LD-ELFA'!F:F,'LD-ELFA'!Q:Q)</f>
        <v>MEMÓRIA DE CÁLCULO DE TERRAPLENAGEM</v>
      </c>
      <c r="F117" s="56" t="str">
        <f>_xlfn.XLOOKUP(C117,'Data Base'!D:D,'Data Base'!L:L)</f>
        <v>Documento a emitir</v>
      </c>
      <c r="G117" s="56" t="str">
        <f>IF(I117="Blossom - Atendimento de Comentário",_xlfn.XLOOKUP(C117,'Data Base'!D:D,'Data Base'!Q:Q),"")</f>
        <v/>
      </c>
      <c r="H117" s="56" t="str">
        <f t="shared" ca="1" si="1"/>
        <v>NO PRAZO</v>
      </c>
      <c r="I117" s="57" t="str">
        <f>_xlfn.XLOOKUP(C117,'Data Base'!D:D,'Data Base'!O:O)</f>
        <v>Blossom - Documento a emitir</v>
      </c>
    </row>
    <row r="118" spans="1:9" hidden="1" x14ac:dyDescent="0.25">
      <c r="B118" s="53" t="str">
        <f>_xlfn.XLOOKUP(C118,'Data Base'!D:D,'Data Base'!B:B)</f>
        <v>CI - Infraestrutura</v>
      </c>
      <c r="C118" s="53" t="s">
        <v>123</v>
      </c>
      <c r="D118" s="53" t="str">
        <f>_xlfn.XLOOKUP(C118,'LD-ELFA'!F:F,'LD-ELFA'!H:H)</f>
        <v>MC-A1-1000-B-PB-0003</v>
      </c>
      <c r="E118" s="53" t="str">
        <f>_xlfn.XLOOKUP(C118,'LD-ELFA'!F:F,'LD-ELFA'!Q:Q)</f>
        <v>MEMÓRIA DE CÁLCULO DE PAVIMENTAÇÃO</v>
      </c>
      <c r="F118" s="56" t="str">
        <f>_xlfn.XLOOKUP(C118,'Data Base'!D:D,'Data Base'!L:L)</f>
        <v>Documento a emitir</v>
      </c>
      <c r="G118" s="56" t="str">
        <f>IF(I118="Blossom - Atendimento de Comentário",_xlfn.XLOOKUP(C118,'Data Base'!D:D,'Data Base'!Q:Q),"")</f>
        <v/>
      </c>
      <c r="H118" s="56" t="str">
        <f t="shared" ca="1" si="1"/>
        <v>NO PRAZO</v>
      </c>
      <c r="I118" s="57" t="str">
        <f>_xlfn.XLOOKUP(C118,'Data Base'!D:D,'Data Base'!O:O)</f>
        <v>Blossom - Documento a emitir</v>
      </c>
    </row>
    <row r="119" spans="1:9" hidden="1" x14ac:dyDescent="0.25">
      <c r="B119" s="53" t="str">
        <f>_xlfn.XLOOKUP(C119,'Data Base'!D:D,'Data Base'!B:B)</f>
        <v>CI - Infraestrutura</v>
      </c>
      <c r="C119" s="53" t="s">
        <v>124</v>
      </c>
      <c r="D119" s="53" t="str">
        <f>_xlfn.XLOOKUP(C119,'LD-ELFA'!F:F,'LD-ELFA'!H:H)</f>
        <v>MC-A1-1600-B-PB-4000</v>
      </c>
      <c r="E119" s="53" t="str">
        <f>_xlfn.XLOOKUP(C119,'LD-ELFA'!F:F,'LD-ELFA'!Q:Q)</f>
        <v xml:space="preserve"> MEMÓRIA DE CÁLCULO - GEOTECNIA - ANÁLISE DE ESTABILIDADE</v>
      </c>
      <c r="F119" s="56" t="str">
        <f>_xlfn.XLOOKUP(C119,'Data Base'!D:D,'Data Base'!L:L)</f>
        <v>Documento a emitir</v>
      </c>
      <c r="G119" s="56" t="str">
        <f>IF(I119="Blossom - Atendimento de Comentário",_xlfn.XLOOKUP(C119,'Data Base'!D:D,'Data Base'!Q:Q),"")</f>
        <v/>
      </c>
      <c r="H119" s="56" t="str">
        <f t="shared" ca="1" si="1"/>
        <v>NO PRAZO</v>
      </c>
      <c r="I119" s="57" t="str">
        <f>_xlfn.XLOOKUP(C119,'Data Base'!D:D,'Data Base'!O:O)</f>
        <v>Blossom - Documento a emitir</v>
      </c>
    </row>
    <row r="120" spans="1:9" hidden="1" x14ac:dyDescent="0.25">
      <c r="B120" s="53" t="str">
        <f>_xlfn.XLOOKUP(C120,'Data Base'!D:D,'Data Base'!B:B)</f>
        <v>CI - Infraestrutura</v>
      </c>
      <c r="C120" s="53" t="s">
        <v>125</v>
      </c>
      <c r="D120" s="53" t="str">
        <f>_xlfn.XLOOKUP(C120,'LD-ELFA'!F:F,'LD-ELFA'!H:H)</f>
        <v>PQ-A1-1000-G-PB-0002</v>
      </c>
      <c r="E120" s="53" t="str">
        <f>_xlfn.XLOOKUP(C120,'LD-ELFA'!F:F,'LD-ELFA'!Q:Q)</f>
        <v>PLANILHA DE QUANTIDADES</v>
      </c>
      <c r="F120" s="56" t="str">
        <f>_xlfn.XLOOKUP(C120,'Data Base'!D:D,'Data Base'!L:L)</f>
        <v>Documento a emitir</v>
      </c>
      <c r="G120" s="56" t="str">
        <f>IF(I120="Blossom - Atendimento de Comentário",_xlfn.XLOOKUP(C120,'Data Base'!D:D,'Data Base'!Q:Q),"")</f>
        <v/>
      </c>
      <c r="H120" s="56" t="str">
        <f t="shared" ca="1" si="1"/>
        <v>NO PRAZO</v>
      </c>
      <c r="I120" s="57" t="str">
        <f>_xlfn.XLOOKUP(C120,'Data Base'!D:D,'Data Base'!O:O)</f>
        <v>Blossom - Documento a emitir</v>
      </c>
    </row>
    <row r="121" spans="1:9" hidden="1" x14ac:dyDescent="0.25">
      <c r="B121" s="53" t="str">
        <f>_xlfn.XLOOKUP(C121,'Data Base'!D:D,'Data Base'!B:B)</f>
        <v>CI - Infraestrutura</v>
      </c>
      <c r="C121" s="53" t="s">
        <v>126</v>
      </c>
      <c r="D121" s="53" t="str">
        <f>_xlfn.XLOOKUP(C121,'LD-ELFA'!F:F,'LD-ELFA'!H:H)</f>
        <v>RL-A1-1000-B-PB-0001</v>
      </c>
      <c r="E121" s="53" t="str">
        <f>_xlfn.XLOOKUP(C121,'LD-ELFA'!F:F,'LD-ELFA'!Q:Q)</f>
        <v>RELATÓRIO TÉCNICO - DISPOSITIVOS AMORTECIMENTO DE CHEIAS</v>
      </c>
      <c r="F121" s="56" t="str">
        <f>_xlfn.XLOOKUP(C121,'Data Base'!D:D,'Data Base'!L:L)</f>
        <v>Documento a emitir</v>
      </c>
      <c r="G121" s="56" t="str">
        <f>IF(I121="Blossom - Atendimento de Comentário",_xlfn.XLOOKUP(C121,'Data Base'!D:D,'Data Base'!Q:Q),"")</f>
        <v/>
      </c>
      <c r="H121" s="56" t="str">
        <f t="shared" ca="1" si="1"/>
        <v>NO PRAZO</v>
      </c>
      <c r="I121" s="57" t="str">
        <f>_xlfn.XLOOKUP(C121,'Data Base'!D:D,'Data Base'!O:O)</f>
        <v>Blossom - Documento a emitir</v>
      </c>
    </row>
    <row r="122" spans="1:9" hidden="1" x14ac:dyDescent="0.25">
      <c r="B122" s="53" t="e">
        <f>_xlfn.XLOOKUP(C122,'Data Base'!D:D,'Data Base'!B:B)</f>
        <v>#N/A</v>
      </c>
      <c r="C122" s="53" t="s">
        <v>127</v>
      </c>
      <c r="D122" s="53" t="e">
        <f>_xlfn.XLOOKUP(C122,'LD-ELFA'!F:F,'LD-ELFA'!H:H)</f>
        <v>#N/A</v>
      </c>
      <c r="E122" s="53" t="e">
        <f>_xlfn.XLOOKUP(C122,'LD-ELFA'!F:F,'LD-ELFA'!Q:Q)</f>
        <v>#N/A</v>
      </c>
      <c r="F122" s="56" t="e">
        <f>_xlfn.XLOOKUP(C122,'Data Base'!D:D,'Data Base'!L:L)</f>
        <v>#N/A</v>
      </c>
      <c r="G122" s="56" t="str">
        <f>IF(I122="Blossom - Atendimento de Comentário",_xlfn.XLOOKUP(C122,'Data Base'!D:D,'Data Base'!Q:Q),"")</f>
        <v/>
      </c>
      <c r="H122" s="56" t="e">
        <f t="shared" ca="1" si="1"/>
        <v>#N/A</v>
      </c>
      <c r="I122" s="57" t="str">
        <f>_xlfn.XLOOKUP(C122,'Data Base'!D:D,'Data Base'!O:O)</f>
        <v>Documento Removido</v>
      </c>
    </row>
    <row r="123" spans="1:9" hidden="1" x14ac:dyDescent="0.25">
      <c r="B123" s="53" t="e">
        <f>_xlfn.XLOOKUP(C123,'Data Base'!D:D,'Data Base'!B:B)</f>
        <v>#N/A</v>
      </c>
      <c r="C123" s="53" t="s">
        <v>128</v>
      </c>
      <c r="D123" s="53" t="e">
        <f>_xlfn.XLOOKUP(C123,'LD-ELFA'!F:F,'LD-ELFA'!H:H)</f>
        <v>#N/A</v>
      </c>
      <c r="E123" s="53" t="e">
        <f>_xlfn.XLOOKUP(C123,'LD-ELFA'!F:F,'LD-ELFA'!Q:Q)</f>
        <v>#N/A</v>
      </c>
      <c r="F123" s="56" t="e">
        <f>_xlfn.XLOOKUP(C123,'Data Base'!D:D,'Data Base'!L:L)</f>
        <v>#N/A</v>
      </c>
      <c r="G123" s="56" t="str">
        <f>IF(I123="Blossom - Atendimento de Comentário",_xlfn.XLOOKUP(C123,'Data Base'!D:D,'Data Base'!Q:Q),"")</f>
        <v/>
      </c>
      <c r="H123" s="56" t="e">
        <f t="shared" ca="1" si="1"/>
        <v>#N/A</v>
      </c>
      <c r="I123" s="57" t="str">
        <f>_xlfn.XLOOKUP(C123,'Data Base'!D:D,'Data Base'!O:O)</f>
        <v>Documento Removido</v>
      </c>
    </row>
    <row r="124" spans="1:9" hidden="1" x14ac:dyDescent="0.25">
      <c r="B124" s="53" t="str">
        <f>_xlfn.XLOOKUP(C124,'Data Base'!D:D,'Data Base'!B:B)</f>
        <v>DC - Controle De Documentos</v>
      </c>
      <c r="C124" s="53" t="s">
        <v>129</v>
      </c>
      <c r="D124" s="53" t="str">
        <f>_xlfn.XLOOKUP(C124,'LD-ELFA'!F:F,'LD-ELFA'!H:H)</f>
        <v>LD-A1-1000-G-PB-4000</v>
      </c>
      <c r="E124" s="53" t="str">
        <f>_xlfn.XLOOKUP(C124,'LD-ELFA'!F:F,'LD-ELFA'!Q:Q)</f>
        <v>LISTA DE DOCUMENTOS</v>
      </c>
      <c r="F124" s="56">
        <f>_xlfn.XLOOKUP(C124,'Data Base'!D:D,'Data Base'!L:L)</f>
        <v>46205.485891585653</v>
      </c>
      <c r="G124" s="56" t="str">
        <f>IF(I124="Blossom - Atendimento de Comentário",_xlfn.XLOOKUP(C124,'Data Base'!D:D,'Data Base'!Q:Q),"")</f>
        <v/>
      </c>
      <c r="H124" s="56" t="str">
        <f t="shared" ca="1" si="1"/>
        <v>ATRASADO</v>
      </c>
      <c r="I124" s="57" t="str">
        <f>_xlfn.XLOOKUP(C124,'Data Base'!D:D,'Data Base'!O:O)</f>
        <v>Documento Concluído</v>
      </c>
    </row>
    <row r="125" spans="1:9" hidden="1" x14ac:dyDescent="0.25">
      <c r="B125" s="53" t="str">
        <f>_xlfn.XLOOKUP(C125,'Data Base'!D:D,'Data Base'!B:B)</f>
        <v>ED - Engenharia Digital</v>
      </c>
      <c r="C125" s="53" t="s">
        <v>130</v>
      </c>
      <c r="D125" s="53" t="str">
        <f>_xlfn.XLOOKUP(C125,'LD-ELFA'!F:F,'LD-ELFA'!H:H)</f>
        <v>ML-A1-1000-G-PB-4000</v>
      </c>
      <c r="E125" s="53" t="str">
        <f>_xlfn.XLOOKUP(C125,'LD-ELFA'!F:F,'LD-ELFA'!Q:Q)</f>
        <v>MODELO 3D</v>
      </c>
      <c r="F125" s="56" t="str">
        <f>_xlfn.XLOOKUP(C125,'Data Base'!D:D,'Data Base'!L:L)</f>
        <v>Documento a emitir</v>
      </c>
      <c r="G125" s="56" t="str">
        <f>IF(I125="Blossom - Atendimento de Comentário",_xlfn.XLOOKUP(C125,'Data Base'!D:D,'Data Base'!Q:Q),"")</f>
        <v/>
      </c>
      <c r="H125" s="56" t="str">
        <f t="shared" ca="1" si="1"/>
        <v>NO PRAZO</v>
      </c>
      <c r="I125" s="57" t="str">
        <f>_xlfn.XLOOKUP(C125,'Data Base'!D:D,'Data Base'!O:O)</f>
        <v>Blossom - Documento a emitir</v>
      </c>
    </row>
    <row r="126" spans="1:9" x14ac:dyDescent="0.25">
      <c r="B126" s="53" t="str">
        <f>_xlfn.XLOOKUP(C126,'Data Base'!D:D,'Data Base'!B:B)</f>
        <v>ED - Engenharia Digital</v>
      </c>
      <c r="C126" s="53" t="s">
        <v>131</v>
      </c>
      <c r="D126" s="53" t="str">
        <f>_xlfn.XLOOKUP(C126,'LD-ELFA'!F:F,'LD-ELFA'!H:H)</f>
        <v>RL-A1-1000-G-PB-4000</v>
      </c>
      <c r="E126" s="53" t="str">
        <f>_xlfn.XLOOKUP(C126,'LD-ELFA'!F:F,'LD-ELFA'!Q:Q)</f>
        <v>BEP</v>
      </c>
      <c r="F126" s="56">
        <f>_xlfn.XLOOKUP(C126,'Data Base'!D:D,'Data Base'!L:L)</f>
        <v>46204.477128668979</v>
      </c>
      <c r="G126" s="56" t="str">
        <f>IF(I126="Blossom - Atendimento de Comentário",_xlfn.XLOOKUP(C126,'Data Base'!D:D,'Data Base'!Q:Q),"")</f>
        <v>APC-R  - APC-R - Aprovado com Comentários (Retornar para uma nova Aprovação)</v>
      </c>
      <c r="H126" s="56" t="str">
        <f t="shared" ca="1" si="1"/>
        <v>ATRASADO</v>
      </c>
      <c r="I126" s="57" t="str">
        <f>_xlfn.XLOOKUP(C126,'Data Base'!D:D,'Data Base'!O:O)</f>
        <v>Blossom - Atendimento de Comentário</v>
      </c>
    </row>
    <row r="127" spans="1:9" hidden="1" x14ac:dyDescent="0.25">
      <c r="B127" s="53" t="str">
        <f>_xlfn.XLOOKUP(C127,'Data Base'!D:D,'Data Base'!B:B)</f>
        <v>ED - Engenharia Digital</v>
      </c>
      <c r="C127" s="53" t="s">
        <v>132</v>
      </c>
      <c r="D127" s="53" t="str">
        <f>_xlfn.XLOOKUP(C127,'LD-ELFA'!F:F,'LD-ELFA'!H:H)</f>
        <v>RL-A1-1000-G-PB-4001</v>
      </c>
      <c r="E127" s="53" t="str">
        <f>_xlfn.XLOOKUP(C127,'LD-ELFA'!F:F,'LD-ELFA'!Q:Q)</f>
        <v>RELATÓRIO DE INTERFERÊNCIAS</v>
      </c>
      <c r="F127" s="56" t="str">
        <f>_xlfn.XLOOKUP(C127,'Data Base'!D:D,'Data Base'!L:L)</f>
        <v>Documento a emitir</v>
      </c>
      <c r="G127" s="56" t="str">
        <f>IF(I127="Blossom - Atendimento de Comentário",_xlfn.XLOOKUP(C127,'Data Base'!D:D,'Data Base'!Q:Q),"")</f>
        <v/>
      </c>
      <c r="H127" s="56" t="str">
        <f t="shared" ca="1" si="1"/>
        <v>NO PRAZO</v>
      </c>
      <c r="I127" s="57" t="str">
        <f>_xlfn.XLOOKUP(C127,'Data Base'!D:D,'Data Base'!O:O)</f>
        <v>Blossom - Documento a emitir</v>
      </c>
    </row>
    <row r="128" spans="1:9" hidden="1" x14ac:dyDescent="0.25">
      <c r="A128" s="101"/>
      <c r="B128" s="53" t="str">
        <f>_xlfn.XLOOKUP(C128,'Data Base'!D:D,'Data Base'!B:B)</f>
        <v>ED - Engenharia Digital</v>
      </c>
      <c r="C128" s="53" t="s">
        <v>133</v>
      </c>
      <c r="D128" s="53" t="str">
        <f>_xlfn.XLOOKUP(C128,'LD-ELFA'!F:F,'LD-ELFA'!H:H)</f>
        <v>RL-A1-1000-G-PB-4004</v>
      </c>
      <c r="E128" s="53" t="str">
        <f>_xlfn.XLOOKUP(C128,'LD-ELFA'!F:F,'LD-ELFA'!Q:Q)</f>
        <v>FICHA DE SETUP - 3D</v>
      </c>
      <c r="F128" s="56">
        <f>_xlfn.XLOOKUP(C128,'Data Base'!D:D,'Data Base'!L:L)</f>
        <v>46213.699135034723</v>
      </c>
      <c r="G128" s="56" t="str">
        <f>IF(I128="Blossom - Atendimento de Comentário",_xlfn.XLOOKUP(C128,'Data Base'!D:D,'Data Base'!Q:Q),"")</f>
        <v/>
      </c>
      <c r="H128" s="56" t="str">
        <f t="shared" ca="1" si="1"/>
        <v>NO PRAZO</v>
      </c>
      <c r="I128" s="57" t="str">
        <f>_xlfn.XLOOKUP(C128,'Data Base'!D:D,'Data Base'!O:O)</f>
        <v>Documento Concluído</v>
      </c>
    </row>
    <row r="129" spans="2:9" x14ac:dyDescent="0.25">
      <c r="B129" s="53" t="str">
        <f>_xlfn.XLOOKUP(C129,'Data Base'!D:D,'Data Base'!B:B)</f>
        <v>EL - Eletrica</v>
      </c>
      <c r="C129" s="53" t="s">
        <v>134</v>
      </c>
      <c r="D129" s="53" t="str">
        <f>_xlfn.XLOOKUP(C129,'LD-ELFA'!F:F,'LD-ELFA'!H:H)</f>
        <v>DE-A1-1900-E-PB-4000</v>
      </c>
      <c r="E129" s="53" t="str">
        <f>_xlfn.XLOOKUP(C129,'LD-ELFA'!F:F,'LD-ELFA'!Q:Q)</f>
        <v>DIAGRAMA UNIFILAR  GERAL SIMPLIFICADO</v>
      </c>
      <c r="F129" s="56">
        <f>_xlfn.XLOOKUP(C129,'Data Base'!D:D,'Data Base'!L:L)</f>
        <v>46204.64638903935</v>
      </c>
      <c r="G129" s="56" t="str">
        <f>IF(I129="Blossom - Atendimento de Comentário",_xlfn.XLOOKUP(C129,'Data Base'!D:D,'Data Base'!Q:Q),"")</f>
        <v>APC-R  - APC-R - Aprovado com Comentários (Retornar para uma nova Aprovação)</v>
      </c>
      <c r="H129" s="56" t="str">
        <f t="shared" ca="1" si="1"/>
        <v>ATRASADO</v>
      </c>
      <c r="I129" s="57" t="str">
        <f>_xlfn.XLOOKUP(C129,'Data Base'!D:D,'Data Base'!O:O)</f>
        <v>Blossom - Atendimento de Comentário</v>
      </c>
    </row>
    <row r="130" spans="2:9" hidden="1" x14ac:dyDescent="0.25">
      <c r="B130" s="53" t="str">
        <f>_xlfn.XLOOKUP(C130,'Data Base'!D:D,'Data Base'!B:B)</f>
        <v>EL - Eletrica</v>
      </c>
      <c r="C130" s="53" t="s">
        <v>135</v>
      </c>
      <c r="D130" s="53" t="str">
        <f>_xlfn.XLOOKUP(C130,'LD-ELFA'!F:F,'LD-ELFA'!H:H)</f>
        <v>DE-A1-1901-E-PB-4000</v>
      </c>
      <c r="E130" s="53" t="str">
        <f>_xlfn.XLOOKUP(C130,'LD-ELFA'!F:F,'LD-ELFA'!Q:Q)</f>
        <v>DIAGRAMA UNIFILAR SUBESTAÇÃO 1901-SE-001</v>
      </c>
      <c r="F130" s="56" t="str">
        <f>_xlfn.XLOOKUP(C130,'Data Base'!D:D,'Data Base'!L:L)</f>
        <v/>
      </c>
      <c r="G130" s="56" t="str">
        <f>IF(I130="Blossom - Atendimento de Comentário",_xlfn.XLOOKUP(C130,'Data Base'!D:D,'Data Base'!Q:Q),"")</f>
        <v/>
      </c>
      <c r="H130" s="56" t="str">
        <f t="shared" ca="1" si="1"/>
        <v>NO PRAZO</v>
      </c>
      <c r="I130" s="57" t="str">
        <f>_xlfn.XLOOKUP(C130,'Data Base'!D:D,'Data Base'!O:O)</f>
        <v>Cliente - Atendimento de Comentário</v>
      </c>
    </row>
    <row r="131" spans="2:9" x14ac:dyDescent="0.25">
      <c r="B131" s="53" t="str">
        <f>_xlfn.XLOOKUP(C131,'Data Base'!D:D,'Data Base'!B:B)</f>
        <v>EL - Eletrica</v>
      </c>
      <c r="C131" s="53" t="s">
        <v>136</v>
      </c>
      <c r="D131" s="53" t="str">
        <f>_xlfn.XLOOKUP(C131,'LD-ELFA'!F:F,'LD-ELFA'!H:H)</f>
        <v>DE-A1-1901-E-PB-4001</v>
      </c>
      <c r="E131" s="53" t="str">
        <f>_xlfn.XLOOKUP(C131,'LD-ELFA'!F:F,'LD-ELFA'!Q:Q)</f>
        <v>DIAGRAMA UNIFILAR SUBESTAÇÃO 1901-SE-001</v>
      </c>
      <c r="F131" s="56">
        <f>_xlfn.XLOOKUP(C131,'Data Base'!D:D,'Data Base'!L:L)</f>
        <v>46213.653990243052</v>
      </c>
      <c r="G131" s="56" t="str">
        <f>IF(I131="Blossom - Atendimento de Comentário",_xlfn.XLOOKUP(C131,'Data Base'!D:D,'Data Base'!Q:Q),"")</f>
        <v>APC-R  - APC-R - Aprovado com Comentários (Retornar para uma nova Aprovação)</v>
      </c>
      <c r="H131" s="56" t="str">
        <f t="shared" ref="H131:H194" ca="1" si="2">IF(F131&lt;=WORKDAY(TODAY(),-3),"ATRASADO","NO PRAZO")</f>
        <v>NO PRAZO</v>
      </c>
      <c r="I131" s="57" t="str">
        <f>_xlfn.XLOOKUP(C131,'Data Base'!D:D,'Data Base'!O:O)</f>
        <v>Blossom - Atendimento de Comentário</v>
      </c>
    </row>
    <row r="132" spans="2:9" hidden="1" x14ac:dyDescent="0.25">
      <c r="B132" s="53" t="str">
        <f>_xlfn.XLOOKUP(C132,'Data Base'!D:D,'Data Base'!B:B)</f>
        <v>EL - Eletrica</v>
      </c>
      <c r="C132" s="53" t="s">
        <v>137</v>
      </c>
      <c r="D132" s="53" t="str">
        <f>_xlfn.XLOOKUP(C132,'LD-ELFA'!F:F,'LD-ELFA'!H:H)</f>
        <v>DE-A1-1911-E-PB-4000</v>
      </c>
      <c r="E132" s="53" t="str">
        <f>_xlfn.XLOOKUP(C132,'LD-ELFA'!F:F,'LD-ELFA'!Q:Q)</f>
        <v>DIAGRAMA UNIFILAR SUBESTAÇÃO 1911-SE-001</v>
      </c>
      <c r="F132" s="56" t="str">
        <f>_xlfn.XLOOKUP(C132,'Data Base'!D:D,'Data Base'!L:L)</f>
        <v>Documento a emitir</v>
      </c>
      <c r="G132" s="56" t="str">
        <f>IF(I132="Blossom - Atendimento de Comentário",_xlfn.XLOOKUP(C132,'Data Base'!D:D,'Data Base'!Q:Q),"")</f>
        <v/>
      </c>
      <c r="H132" s="56" t="str">
        <f t="shared" ca="1" si="2"/>
        <v>NO PRAZO</v>
      </c>
      <c r="I132" s="57" t="str">
        <f>_xlfn.XLOOKUP(C132,'Data Base'!D:D,'Data Base'!O:O)</f>
        <v>Blossom - Documento a emitir</v>
      </c>
    </row>
    <row r="133" spans="2:9" hidden="1" x14ac:dyDescent="0.25">
      <c r="B133" s="53" t="str">
        <f>_xlfn.XLOOKUP(C133,'Data Base'!D:D,'Data Base'!B:B)</f>
        <v>EL - Eletrica</v>
      </c>
      <c r="C133" s="53" t="s">
        <v>138</v>
      </c>
      <c r="D133" s="53" t="str">
        <f>_xlfn.XLOOKUP(C133,'LD-ELFA'!F:F,'LD-ELFA'!H:H)</f>
        <v>DE-A1-1911-E-PB-4001</v>
      </c>
      <c r="E133" s="53" t="str">
        <f>_xlfn.XLOOKUP(C133,'LD-ELFA'!F:F,'LD-ELFA'!Q:Q)</f>
        <v>DIAGRAMA UNIFILAR SUBESTAÇÃO 1911-SE-001</v>
      </c>
      <c r="F133" s="56" t="str">
        <f>_xlfn.XLOOKUP(C133,'Data Base'!D:D,'Data Base'!L:L)</f>
        <v>Documento a emitir</v>
      </c>
      <c r="G133" s="56" t="str">
        <f>IF(I133="Blossom - Atendimento de Comentário",_xlfn.XLOOKUP(C133,'Data Base'!D:D,'Data Base'!Q:Q),"")</f>
        <v/>
      </c>
      <c r="H133" s="56" t="str">
        <f t="shared" ca="1" si="2"/>
        <v>NO PRAZO</v>
      </c>
      <c r="I133" s="57" t="str">
        <f>_xlfn.XLOOKUP(C133,'Data Base'!D:D,'Data Base'!O:O)</f>
        <v>Blossom - Documento a emitir</v>
      </c>
    </row>
    <row r="134" spans="2:9" hidden="1" x14ac:dyDescent="0.25">
      <c r="B134" s="53" t="str">
        <f>_xlfn.XLOOKUP(C134,'Data Base'!D:D,'Data Base'!B:B)</f>
        <v>EL - Eletrica</v>
      </c>
      <c r="C134" s="53" t="s">
        <v>139</v>
      </c>
      <c r="D134" s="53" t="str">
        <f>_xlfn.XLOOKUP(C134,'LD-ELFA'!F:F,'LD-ELFA'!H:H)</f>
        <v>DE-A1-1911-E-PB-4002</v>
      </c>
      <c r="E134" s="53" t="str">
        <f>_xlfn.XLOOKUP(C134,'LD-ELFA'!F:F,'LD-ELFA'!Q:Q)</f>
        <v>DIAGRAMA UNIFILAR SUBESTAÇÃO 1911-SE-001</v>
      </c>
      <c r="F134" s="56" t="str">
        <f>_xlfn.XLOOKUP(C134,'Data Base'!D:D,'Data Base'!L:L)</f>
        <v>Documento a emitir</v>
      </c>
      <c r="G134" s="56" t="str">
        <f>IF(I134="Blossom - Atendimento de Comentário",_xlfn.XLOOKUP(C134,'Data Base'!D:D,'Data Base'!Q:Q),"")</f>
        <v/>
      </c>
      <c r="H134" s="56" t="str">
        <f t="shared" ca="1" si="2"/>
        <v>NO PRAZO</v>
      </c>
      <c r="I134" s="57" t="str">
        <f>_xlfn.XLOOKUP(C134,'Data Base'!D:D,'Data Base'!O:O)</f>
        <v>Blossom - Documento a emitir</v>
      </c>
    </row>
    <row r="135" spans="2:9" hidden="1" x14ac:dyDescent="0.25">
      <c r="B135" s="53" t="str">
        <f>_xlfn.XLOOKUP(C135,'Data Base'!D:D,'Data Base'!B:B)</f>
        <v>EL - Eletrica</v>
      </c>
      <c r="C135" s="53" t="s">
        <v>140</v>
      </c>
      <c r="D135" s="53" t="str">
        <f>_xlfn.XLOOKUP(C135,'LD-ELFA'!F:F,'LD-ELFA'!H:H)</f>
        <v>DE-A1-1912-E-PB-4000</v>
      </c>
      <c r="E135" s="53" t="str">
        <f>_xlfn.XLOOKUP(C135,'LD-ELFA'!F:F,'LD-ELFA'!Q:Q)</f>
        <v>DIAGRAMA UNIFILAR SUBESTAÇÃO 1912-SE-001</v>
      </c>
      <c r="F135" s="56" t="str">
        <f>_xlfn.XLOOKUP(C135,'Data Base'!D:D,'Data Base'!L:L)</f>
        <v>Documento a emitir</v>
      </c>
      <c r="G135" s="56" t="str">
        <f>IF(I135="Blossom - Atendimento de Comentário",_xlfn.XLOOKUP(C135,'Data Base'!D:D,'Data Base'!Q:Q),"")</f>
        <v/>
      </c>
      <c r="H135" s="56" t="str">
        <f t="shared" ca="1" si="2"/>
        <v>NO PRAZO</v>
      </c>
      <c r="I135" s="57" t="str">
        <f>_xlfn.XLOOKUP(C135,'Data Base'!D:D,'Data Base'!O:O)</f>
        <v>Blossom - Documento a emitir</v>
      </c>
    </row>
    <row r="136" spans="2:9" hidden="1" x14ac:dyDescent="0.25">
      <c r="B136" s="53" t="str">
        <f>_xlfn.XLOOKUP(C136,'Data Base'!D:D,'Data Base'!B:B)</f>
        <v>EL - Eletrica</v>
      </c>
      <c r="C136" s="53" t="s">
        <v>141</v>
      </c>
      <c r="D136" s="53" t="str">
        <f>_xlfn.XLOOKUP(C136,'LD-ELFA'!F:F,'LD-ELFA'!H:H)</f>
        <v>DE-A1-1912-E-PB-4001</v>
      </c>
      <c r="E136" s="53" t="str">
        <f>_xlfn.XLOOKUP(C136,'LD-ELFA'!F:F,'LD-ELFA'!Q:Q)</f>
        <v>DIAGRAMA UNIFILAR SUBESTAÇÃO 1912-SE-001</v>
      </c>
      <c r="F136" s="56" t="str">
        <f>_xlfn.XLOOKUP(C136,'Data Base'!D:D,'Data Base'!L:L)</f>
        <v>Documento a emitir</v>
      </c>
      <c r="G136" s="56" t="str">
        <f>IF(I136="Blossom - Atendimento de Comentário",_xlfn.XLOOKUP(C136,'Data Base'!D:D,'Data Base'!Q:Q),"")</f>
        <v/>
      </c>
      <c r="H136" s="56" t="str">
        <f t="shared" ca="1" si="2"/>
        <v>NO PRAZO</v>
      </c>
      <c r="I136" s="57" t="str">
        <f>_xlfn.XLOOKUP(C136,'Data Base'!D:D,'Data Base'!O:O)</f>
        <v>Blossom - Documento a emitir</v>
      </c>
    </row>
    <row r="137" spans="2:9" hidden="1" x14ac:dyDescent="0.25">
      <c r="B137" s="53" t="str">
        <f>_xlfn.XLOOKUP(C137,'Data Base'!D:D,'Data Base'!B:B)</f>
        <v>EL - Eletrica</v>
      </c>
      <c r="C137" s="53" t="s">
        <v>142</v>
      </c>
      <c r="D137" s="53" t="str">
        <f>_xlfn.XLOOKUP(C137,'LD-ELFA'!F:F,'LD-ELFA'!H:H)</f>
        <v>DE-A1-1912-E-PB-4002</v>
      </c>
      <c r="E137" s="53" t="str">
        <f>_xlfn.XLOOKUP(C137,'LD-ELFA'!F:F,'LD-ELFA'!Q:Q)</f>
        <v>DIAGRAMA UNIFILAR SUBESTAÇÃO 1912-SE-001</v>
      </c>
      <c r="F137" s="56" t="str">
        <f>_xlfn.XLOOKUP(C137,'Data Base'!D:D,'Data Base'!L:L)</f>
        <v>Documento a emitir</v>
      </c>
      <c r="G137" s="56" t="str">
        <f>IF(I137="Blossom - Atendimento de Comentário",_xlfn.XLOOKUP(C137,'Data Base'!D:D,'Data Base'!Q:Q),"")</f>
        <v/>
      </c>
      <c r="H137" s="56" t="str">
        <f t="shared" ca="1" si="2"/>
        <v>NO PRAZO</v>
      </c>
      <c r="I137" s="57" t="str">
        <f>_xlfn.XLOOKUP(C137,'Data Base'!D:D,'Data Base'!O:O)</f>
        <v>Blossom - Documento a emitir</v>
      </c>
    </row>
    <row r="138" spans="2:9" hidden="1" x14ac:dyDescent="0.25">
      <c r="B138" s="53" t="str">
        <f>_xlfn.XLOOKUP(C138,'Data Base'!D:D,'Data Base'!B:B)</f>
        <v>EL - Eletrica</v>
      </c>
      <c r="C138" s="53" t="s">
        <v>143</v>
      </c>
      <c r="D138" s="53" t="str">
        <f>_xlfn.XLOOKUP(C138,'LD-ELFA'!F:F,'LD-ELFA'!H:H)</f>
        <v>DE-A1-1913-E-PB-4000</v>
      </c>
      <c r="E138" s="53" t="str">
        <f>_xlfn.XLOOKUP(C138,'LD-ELFA'!F:F,'LD-ELFA'!Q:Q)</f>
        <v>DIAGRAMA UNIFILAR SUBESTAÇÃO 1913-SE-001</v>
      </c>
      <c r="F138" s="56" t="str">
        <f>_xlfn.XLOOKUP(C138,'Data Base'!D:D,'Data Base'!L:L)</f>
        <v>Documento a emitir</v>
      </c>
      <c r="G138" s="56" t="str">
        <f>IF(I138="Blossom - Atendimento de Comentário",_xlfn.XLOOKUP(C138,'Data Base'!D:D,'Data Base'!Q:Q),"")</f>
        <v/>
      </c>
      <c r="H138" s="56" t="str">
        <f t="shared" ca="1" si="2"/>
        <v>NO PRAZO</v>
      </c>
      <c r="I138" s="57" t="str">
        <f>_xlfn.XLOOKUP(C138,'Data Base'!D:D,'Data Base'!O:O)</f>
        <v>Blossom - Documento a emitir</v>
      </c>
    </row>
    <row r="139" spans="2:9" hidden="1" x14ac:dyDescent="0.25">
      <c r="B139" s="53" t="str">
        <f>_xlfn.XLOOKUP(C139,'Data Base'!D:D,'Data Base'!B:B)</f>
        <v>EL - Eletrica</v>
      </c>
      <c r="C139" s="53" t="s">
        <v>144</v>
      </c>
      <c r="D139" s="53" t="str">
        <f>_xlfn.XLOOKUP(C139,'LD-ELFA'!F:F,'LD-ELFA'!H:H)</f>
        <v>DE-A1-1913-E-PB-4001</v>
      </c>
      <c r="E139" s="53" t="str">
        <f>_xlfn.XLOOKUP(C139,'LD-ELFA'!F:F,'LD-ELFA'!Q:Q)</f>
        <v>DIAGRAMA UNIFILAR SUBESTAÇÃO 1913-SE-001</v>
      </c>
      <c r="F139" s="56" t="str">
        <f>_xlfn.XLOOKUP(C139,'Data Base'!D:D,'Data Base'!L:L)</f>
        <v>Documento a emitir</v>
      </c>
      <c r="G139" s="56" t="str">
        <f>IF(I139="Blossom - Atendimento de Comentário",_xlfn.XLOOKUP(C139,'Data Base'!D:D,'Data Base'!Q:Q),"")</f>
        <v/>
      </c>
      <c r="H139" s="56" t="str">
        <f t="shared" ca="1" si="2"/>
        <v>NO PRAZO</v>
      </c>
      <c r="I139" s="57" t="str">
        <f>_xlfn.XLOOKUP(C139,'Data Base'!D:D,'Data Base'!O:O)</f>
        <v>Blossom - Documento a emitir</v>
      </c>
    </row>
    <row r="140" spans="2:9" hidden="1" x14ac:dyDescent="0.25">
      <c r="B140" s="53" t="str">
        <f>_xlfn.XLOOKUP(C140,'Data Base'!D:D,'Data Base'!B:B)</f>
        <v>EL - Eletrica</v>
      </c>
      <c r="C140" s="53" t="s">
        <v>145</v>
      </c>
      <c r="D140" s="53" t="str">
        <f>_xlfn.XLOOKUP(C140,'LD-ELFA'!F:F,'LD-ELFA'!H:H)</f>
        <v>DE-A1-1913-E-PB-4002</v>
      </c>
      <c r="E140" s="53" t="str">
        <f>_xlfn.XLOOKUP(C140,'LD-ELFA'!F:F,'LD-ELFA'!Q:Q)</f>
        <v>DIAGRAMA UNIFILAR SUBESTAÇÃO 1913-SE-001</v>
      </c>
      <c r="F140" s="56" t="str">
        <f>_xlfn.XLOOKUP(C140,'Data Base'!D:D,'Data Base'!L:L)</f>
        <v>Documento a emitir</v>
      </c>
      <c r="G140" s="56" t="str">
        <f>IF(I140="Blossom - Atendimento de Comentário",_xlfn.XLOOKUP(C140,'Data Base'!D:D,'Data Base'!Q:Q),"")</f>
        <v/>
      </c>
      <c r="H140" s="56" t="str">
        <f t="shared" ca="1" si="2"/>
        <v>NO PRAZO</v>
      </c>
      <c r="I140" s="57" t="str">
        <f>_xlfn.XLOOKUP(C140,'Data Base'!D:D,'Data Base'!O:O)</f>
        <v>Blossom - Documento a emitir</v>
      </c>
    </row>
    <row r="141" spans="2:9" hidden="1" x14ac:dyDescent="0.25">
      <c r="B141" s="53" t="e">
        <f>_xlfn.XLOOKUP(C141,'Data Base'!D:D,'Data Base'!B:B)</f>
        <v>#N/A</v>
      </c>
      <c r="C141" s="53" t="s">
        <v>146</v>
      </c>
      <c r="D141" s="53" t="e">
        <f>_xlfn.XLOOKUP(C141,'LD-ELFA'!F:F,'LD-ELFA'!H:H)</f>
        <v>#N/A</v>
      </c>
      <c r="E141" s="53" t="e">
        <f>_xlfn.XLOOKUP(C141,'LD-ELFA'!F:F,'LD-ELFA'!Q:Q)</f>
        <v>#N/A</v>
      </c>
      <c r="F141" s="56" t="e">
        <f>_xlfn.XLOOKUP(C141,'Data Base'!D:D,'Data Base'!L:L)</f>
        <v>#N/A</v>
      </c>
      <c r="G141" s="56" t="str">
        <f>IF(I141="Blossom - Atendimento de Comentário",_xlfn.XLOOKUP(C141,'Data Base'!D:D,'Data Base'!Q:Q),"")</f>
        <v/>
      </c>
      <c r="H141" s="56" t="e">
        <f t="shared" ca="1" si="2"/>
        <v>#N/A</v>
      </c>
      <c r="I141" s="57" t="str">
        <f>_xlfn.XLOOKUP(C141,'Data Base'!D:D,'Data Base'!O:O)</f>
        <v>Documento Removido</v>
      </c>
    </row>
    <row r="142" spans="2:9" x14ac:dyDescent="0.25">
      <c r="B142" s="53" t="str">
        <f>_xlfn.XLOOKUP(C142,'Data Base'!D:D,'Data Base'!B:B)</f>
        <v>EL - Eletrica</v>
      </c>
      <c r="C142" s="53" t="s">
        <v>147</v>
      </c>
      <c r="D142" s="53" t="str">
        <f>_xlfn.XLOOKUP(C142,'LD-ELFA'!F:F,'LD-ELFA'!H:H)</f>
        <v>RL-A1-1900-E-PB-4000</v>
      </c>
      <c r="E142" s="53" t="str">
        <f>_xlfn.XLOOKUP(C142,'LD-ELFA'!F:F,'LD-ELFA'!Q:Q)</f>
        <v>ESTUDO DE CARGAS E DEMANDA
RELATÓRIO TÉCNICO</v>
      </c>
      <c r="F142" s="56">
        <f>_xlfn.XLOOKUP(C142,'Data Base'!D:D,'Data Base'!L:L)</f>
        <v>46204.495983761582</v>
      </c>
      <c r="G142" s="56" t="str">
        <f>IF(I142="Blossom - Atendimento de Comentário",_xlfn.XLOOKUP(C142,'Data Base'!D:D,'Data Base'!Q:Q),"")</f>
        <v>APC-R  - APC-R - Aprovado com Comentários (Retornar para uma nova Aprovação)</v>
      </c>
      <c r="H142" s="56" t="str">
        <f t="shared" ca="1" si="2"/>
        <v>ATRASADO</v>
      </c>
      <c r="I142" s="57" t="str">
        <f>_xlfn.XLOOKUP(C142,'Data Base'!D:D,'Data Base'!O:O)</f>
        <v>Blossom - Atendimento de Comentário</v>
      </c>
    </row>
    <row r="143" spans="2:9" hidden="1" x14ac:dyDescent="0.25">
      <c r="B143" s="53" t="str">
        <f>_xlfn.XLOOKUP(C143,'Data Base'!D:D,'Data Base'!B:B)</f>
        <v>EL - Eletrica</v>
      </c>
      <c r="C143" s="53" t="s">
        <v>148</v>
      </c>
      <c r="D143" s="53" t="str">
        <f>_xlfn.XLOOKUP(C143,'LD-ELFA'!F:F,'LD-ELFA'!H:H)</f>
        <v>RL-A1-1100-E-PB-4000</v>
      </c>
      <c r="E143" s="53" t="str">
        <f>_xlfn.XLOOKUP(C143,'LD-ELFA'!F:F,'LD-ELFA'!Q:Q)</f>
        <v>ESTUDO DE CARGAS E DEMANDA
RELATÓRIO TÉCNICO</v>
      </c>
      <c r="F143" s="56" t="str">
        <f>_xlfn.XLOOKUP(C143,'Data Base'!D:D,'Data Base'!L:L)</f>
        <v>Documento a emitir</v>
      </c>
      <c r="G143" s="56" t="str">
        <f>IF(I143="Blossom - Atendimento de Comentário",_xlfn.XLOOKUP(C143,'Data Base'!D:D,'Data Base'!Q:Q),"")</f>
        <v/>
      </c>
      <c r="H143" s="56" t="str">
        <f t="shared" ca="1" si="2"/>
        <v>NO PRAZO</v>
      </c>
      <c r="I143" s="57" t="str">
        <f>_xlfn.XLOOKUP(C143,'Data Base'!D:D,'Data Base'!O:O)</f>
        <v>Blossom - Documento a emitir</v>
      </c>
    </row>
    <row r="144" spans="2:9" hidden="1" x14ac:dyDescent="0.25">
      <c r="B144" s="53" t="str">
        <f>_xlfn.XLOOKUP(C144,'Data Base'!D:D,'Data Base'!B:B)</f>
        <v>EL - Eletrica</v>
      </c>
      <c r="C144" s="53" t="s">
        <v>149</v>
      </c>
      <c r="D144" s="53" t="str">
        <f>_xlfn.XLOOKUP(C144,'LD-ELFA'!F:F,'LD-ELFA'!H:H)</f>
        <v>ET-A1-1900-E-PB-0001</v>
      </c>
      <c r="E144" s="53" t="str">
        <f>_xlfn.XLOOKUP(C144,'LD-ELFA'!F:F,'LD-ELFA'!Q:Q)</f>
        <v>ESPECIFICAÇÃO TÉCNICA
FORNECIMENTO TURN KEY DA SUBESTAÇÃO PRINCIPAL 
1901-SE-01</v>
      </c>
      <c r="F144" s="56" t="str">
        <f>_xlfn.XLOOKUP(C144,'Data Base'!D:D,'Data Base'!L:L)</f>
        <v>Documento a emitir</v>
      </c>
      <c r="G144" s="56" t="str">
        <f>IF(I144="Blossom - Atendimento de Comentário",_xlfn.XLOOKUP(C144,'Data Base'!D:D,'Data Base'!Q:Q),"")</f>
        <v/>
      </c>
      <c r="H144" s="56" t="str">
        <f t="shared" ca="1" si="2"/>
        <v>NO PRAZO</v>
      </c>
      <c r="I144" s="57" t="str">
        <f>_xlfn.XLOOKUP(C144,'Data Base'!D:D,'Data Base'!O:O)</f>
        <v>Blossom - Documento a emitir</v>
      </c>
    </row>
    <row r="145" spans="2:9" hidden="1" x14ac:dyDescent="0.25">
      <c r="B145" s="53" t="str">
        <f>_xlfn.XLOOKUP(C145,'Data Base'!D:D,'Data Base'!B:B)</f>
        <v>EL - Eletrica</v>
      </c>
      <c r="C145" s="53" t="s">
        <v>150</v>
      </c>
      <c r="D145" s="53" t="str">
        <f>_xlfn.XLOOKUP(C145,'LD-ELFA'!F:F,'LD-ELFA'!H:H)</f>
        <v>ET-A1-1903-E-PB-0001</v>
      </c>
      <c r="E145" s="53" t="str">
        <f>_xlfn.XLOOKUP(C145,'LD-ELFA'!F:F,'LD-ELFA'!Q:Q)</f>
        <v>ESPECIFICAÇÃO TÉCNICA
FORNECIMENTO TURN KEY DE LINHAS DE DISTRIBUIÇÃO PROTEGIDAS DE 13,8 kV</v>
      </c>
      <c r="F145" s="56" t="str">
        <f>_xlfn.XLOOKUP(C145,'Data Base'!D:D,'Data Base'!L:L)</f>
        <v>Documento a emitir</v>
      </c>
      <c r="G145" s="56" t="str">
        <f>IF(I145="Blossom - Atendimento de Comentário",_xlfn.XLOOKUP(C145,'Data Base'!D:D,'Data Base'!Q:Q),"")</f>
        <v/>
      </c>
      <c r="H145" s="56" t="str">
        <f t="shared" ca="1" si="2"/>
        <v>NO PRAZO</v>
      </c>
      <c r="I145" s="57" t="str">
        <f>_xlfn.XLOOKUP(C145,'Data Base'!D:D,'Data Base'!O:O)</f>
        <v>Blossom - Documento a emitir</v>
      </c>
    </row>
    <row r="146" spans="2:9" hidden="1" x14ac:dyDescent="0.25">
      <c r="B146" s="53" t="str">
        <f>_xlfn.XLOOKUP(C146,'Data Base'!D:D,'Data Base'!B:B)</f>
        <v>EL - Eletrica</v>
      </c>
      <c r="C146" s="53" t="s">
        <v>151</v>
      </c>
      <c r="D146" s="53" t="str">
        <f>_xlfn.XLOOKUP(C146,'LD-ELFA'!F:F,'LD-ELFA'!H:H)</f>
        <v>FD-A1-1911-E-PB-0006</v>
      </c>
      <c r="E146" s="53" t="str">
        <f>_xlfn.XLOOKUP(C146,'LD-ELFA'!F:F,'LD-ELFA'!Q:Q)</f>
        <v>FOLHA DE DADOS</v>
      </c>
      <c r="F146" s="56" t="str">
        <f>_xlfn.XLOOKUP(C146,'Data Base'!D:D,'Data Base'!L:L)</f>
        <v>Documento a emitir</v>
      </c>
      <c r="G146" s="56" t="str">
        <f>IF(I146="Blossom - Atendimento de Comentário",_xlfn.XLOOKUP(C146,'Data Base'!D:D,'Data Base'!Q:Q),"")</f>
        <v/>
      </c>
      <c r="H146" s="56" t="str">
        <f t="shared" ca="1" si="2"/>
        <v>NO PRAZO</v>
      </c>
      <c r="I146" s="57" t="str">
        <f>_xlfn.XLOOKUP(C146,'Data Base'!D:D,'Data Base'!O:O)</f>
        <v>Blossom - Documento a emitir</v>
      </c>
    </row>
    <row r="147" spans="2:9" hidden="1" x14ac:dyDescent="0.25">
      <c r="B147" s="53" t="str">
        <f>_xlfn.XLOOKUP(C147,'Data Base'!D:D,'Data Base'!B:B)</f>
        <v>EL - Eletrica</v>
      </c>
      <c r="C147" s="53" t="s">
        <v>152</v>
      </c>
      <c r="D147" s="53" t="str">
        <f>_xlfn.XLOOKUP(C147,'LD-ELFA'!F:F,'LD-ELFA'!H:H)</f>
        <v>FD-A1-1911-E-PB-0005</v>
      </c>
      <c r="E147" s="53" t="str">
        <f>_xlfn.XLOOKUP(C147,'LD-ELFA'!F:F,'LD-ELFA'!Q:Q)</f>
        <v>FOLHA DE DADOS</v>
      </c>
      <c r="F147" s="56">
        <f>_xlfn.XLOOKUP(C147,'Data Base'!D:D,'Data Base'!L:L)</f>
        <v>46213.660067627323</v>
      </c>
      <c r="G147" s="56" t="str">
        <f>IF(I147="Blossom - Atendimento de Comentário",_xlfn.XLOOKUP(C147,'Data Base'!D:D,'Data Base'!Q:Q),"")</f>
        <v/>
      </c>
      <c r="H147" s="56" t="str">
        <f t="shared" ca="1" si="2"/>
        <v>NO PRAZO</v>
      </c>
      <c r="I147" s="57" t="str">
        <f>_xlfn.XLOOKUP(C147,'Data Base'!D:D,'Data Base'!O:O)</f>
        <v>Documento Concluído</v>
      </c>
    </row>
    <row r="148" spans="2:9" hidden="1" x14ac:dyDescent="0.25">
      <c r="B148" s="53" t="str">
        <f>_xlfn.XLOOKUP(C148,'Data Base'!D:D,'Data Base'!B:B)</f>
        <v>EL - Eletrica</v>
      </c>
      <c r="C148" s="53" t="s">
        <v>153</v>
      </c>
      <c r="D148" s="53" t="str">
        <f>_xlfn.XLOOKUP(C148,'LD-ELFA'!F:F,'LD-ELFA'!H:H)</f>
        <v>FD-A1-1900-E-PB-0007</v>
      </c>
      <c r="E148" s="53" t="str">
        <f>_xlfn.XLOOKUP(C148,'LD-ELFA'!F:F,'LD-ELFA'!Q:Q)</f>
        <v>FOLHA DE DADOS</v>
      </c>
      <c r="F148" s="56" t="str">
        <f>_xlfn.XLOOKUP(C148,'Data Base'!D:D,'Data Base'!L:L)</f>
        <v>Documento a emitir</v>
      </c>
      <c r="G148" s="56" t="str">
        <f>IF(I148="Blossom - Atendimento de Comentário",_xlfn.XLOOKUP(C148,'Data Base'!D:D,'Data Base'!Q:Q),"")</f>
        <v/>
      </c>
      <c r="H148" s="56" t="str">
        <f t="shared" ca="1" si="2"/>
        <v>NO PRAZO</v>
      </c>
      <c r="I148" s="57" t="str">
        <f>_xlfn.XLOOKUP(C148,'Data Base'!D:D,'Data Base'!O:O)</f>
        <v>Blossom - Documento a emitir</v>
      </c>
    </row>
    <row r="149" spans="2:9" hidden="1" x14ac:dyDescent="0.25">
      <c r="B149" s="53" t="str">
        <f>_xlfn.XLOOKUP(C149,'Data Base'!D:D,'Data Base'!B:B)</f>
        <v>EL - Eletrica</v>
      </c>
      <c r="C149" s="53" t="s">
        <v>154</v>
      </c>
      <c r="D149" s="53" t="str">
        <f>_xlfn.XLOOKUP(C149,'LD-ELFA'!F:F,'LD-ELFA'!H:H)</f>
        <v>FD-A1-1900-E-PB-0001</v>
      </c>
      <c r="E149" s="53" t="str">
        <f>_xlfn.XLOOKUP(C149,'LD-ELFA'!F:F,'LD-ELFA'!Q:Q)</f>
        <v>FOLHA DE DADOS</v>
      </c>
      <c r="F149" s="56" t="str">
        <f>_xlfn.XLOOKUP(C149,'Data Base'!D:D,'Data Base'!L:L)</f>
        <v>Documento a emitir</v>
      </c>
      <c r="G149" s="56" t="str">
        <f>IF(I149="Blossom - Atendimento de Comentário",_xlfn.XLOOKUP(C149,'Data Base'!D:D,'Data Base'!Q:Q),"")</f>
        <v/>
      </c>
      <c r="H149" s="56" t="str">
        <f t="shared" ca="1" si="2"/>
        <v>NO PRAZO</v>
      </c>
      <c r="I149" s="57" t="str">
        <f>_xlfn.XLOOKUP(C149,'Data Base'!D:D,'Data Base'!O:O)</f>
        <v>Blossom - Documento a emitir</v>
      </c>
    </row>
    <row r="150" spans="2:9" hidden="1" x14ac:dyDescent="0.25">
      <c r="B150" s="53" t="str">
        <f>_xlfn.XLOOKUP(C150,'Data Base'!D:D,'Data Base'!B:B)</f>
        <v>EL - Eletrica</v>
      </c>
      <c r="C150" s="53" t="s">
        <v>155</v>
      </c>
      <c r="D150" s="53" t="str">
        <f>_xlfn.XLOOKUP(C150,'LD-ELFA'!F:F,'LD-ELFA'!H:H)</f>
        <v>FD-A1-1911-E-PB-0004</v>
      </c>
      <c r="E150" s="53" t="str">
        <f>_xlfn.XLOOKUP(C150,'LD-ELFA'!F:F,'LD-ELFA'!Q:Q)</f>
        <v>FOLHA DE DADOS</v>
      </c>
      <c r="F150" s="56" t="str">
        <f>_xlfn.XLOOKUP(C150,'Data Base'!D:D,'Data Base'!L:L)</f>
        <v>Documento a emitir</v>
      </c>
      <c r="G150" s="56" t="str">
        <f>IF(I150="Blossom - Atendimento de Comentário",_xlfn.XLOOKUP(C150,'Data Base'!D:D,'Data Base'!Q:Q),"")</f>
        <v/>
      </c>
      <c r="H150" s="56" t="str">
        <f t="shared" ca="1" si="2"/>
        <v>NO PRAZO</v>
      </c>
      <c r="I150" s="57" t="str">
        <f>_xlfn.XLOOKUP(C150,'Data Base'!D:D,'Data Base'!O:O)</f>
        <v>Blossom - Documento a emitir</v>
      </c>
    </row>
    <row r="151" spans="2:9" hidden="1" x14ac:dyDescent="0.25">
      <c r="B151" s="53" t="str">
        <f>_xlfn.XLOOKUP(C151,'Data Base'!D:D,'Data Base'!B:B)</f>
        <v>EL - Eletrica</v>
      </c>
      <c r="C151" s="53" t="s">
        <v>156</v>
      </c>
      <c r="D151" s="53" t="str">
        <f>_xlfn.XLOOKUP(C151,'LD-ELFA'!F:F,'LD-ELFA'!H:H)</f>
        <v>FD-A1-1900-E-PB-0008</v>
      </c>
      <c r="E151" s="53" t="str">
        <f>_xlfn.XLOOKUP(C151,'LD-ELFA'!F:F,'LD-ELFA'!Q:Q)</f>
        <v>FOLHA DE DADOS</v>
      </c>
      <c r="F151" s="56" t="str">
        <f>_xlfn.XLOOKUP(C151,'Data Base'!D:D,'Data Base'!L:L)</f>
        <v>Documento a emitir</v>
      </c>
      <c r="G151" s="56" t="str">
        <f>IF(I151="Blossom - Atendimento de Comentário",_xlfn.XLOOKUP(C151,'Data Base'!D:D,'Data Base'!Q:Q),"")</f>
        <v/>
      </c>
      <c r="H151" s="56" t="str">
        <f t="shared" ca="1" si="2"/>
        <v>NO PRAZO</v>
      </c>
      <c r="I151" s="57" t="str">
        <f>_xlfn.XLOOKUP(C151,'Data Base'!D:D,'Data Base'!O:O)</f>
        <v>Blossom - Documento a emitir</v>
      </c>
    </row>
    <row r="152" spans="2:9" hidden="1" x14ac:dyDescent="0.25">
      <c r="B152" s="53" t="str">
        <f>_xlfn.XLOOKUP(C152,'Data Base'!D:D,'Data Base'!B:B)</f>
        <v>EL - Eletrica</v>
      </c>
      <c r="C152" s="53" t="s">
        <v>157</v>
      </c>
      <c r="D152" s="53" t="str">
        <f>_xlfn.XLOOKUP(C152,'LD-ELFA'!F:F,'LD-ELFA'!H:H)</f>
        <v>FD-A1-1911-E-PB-0002</v>
      </c>
      <c r="E152" s="53" t="str">
        <f>_xlfn.XLOOKUP(C152,'LD-ELFA'!F:F,'LD-ELFA'!Q:Q)</f>
        <v>FOLHA DE DADOS</v>
      </c>
      <c r="F152" s="56" t="str">
        <f>_xlfn.XLOOKUP(C152,'Data Base'!D:D,'Data Base'!L:L)</f>
        <v>Documento a emitir</v>
      </c>
      <c r="G152" s="56" t="str">
        <f>IF(I152="Blossom - Atendimento de Comentário",_xlfn.XLOOKUP(C152,'Data Base'!D:D,'Data Base'!Q:Q),"")</f>
        <v/>
      </c>
      <c r="H152" s="56" t="str">
        <f t="shared" ca="1" si="2"/>
        <v>NO PRAZO</v>
      </c>
      <c r="I152" s="57" t="str">
        <f>_xlfn.XLOOKUP(C152,'Data Base'!D:D,'Data Base'!O:O)</f>
        <v>Blossom - Documento a emitir</v>
      </c>
    </row>
    <row r="153" spans="2:9" hidden="1" x14ac:dyDescent="0.25">
      <c r="B153" s="53" t="str">
        <f>_xlfn.XLOOKUP(C153,'Data Base'!D:D,'Data Base'!B:B)</f>
        <v>EL - Eletrica</v>
      </c>
      <c r="C153" s="53" t="s">
        <v>158</v>
      </c>
      <c r="D153" s="53" t="str">
        <f>_xlfn.XLOOKUP(C153,'LD-ELFA'!F:F,'LD-ELFA'!H:H)</f>
        <v>FD-A1-1900-E-PB-0005</v>
      </c>
      <c r="E153" s="53" t="str">
        <f>_xlfn.XLOOKUP(C153,'LD-ELFA'!F:F,'LD-ELFA'!Q:Q)</f>
        <v>FOLHA DE DADOS</v>
      </c>
      <c r="F153" s="56" t="str">
        <f>_xlfn.XLOOKUP(C153,'Data Base'!D:D,'Data Base'!L:L)</f>
        <v>Documento a emitir</v>
      </c>
      <c r="G153" s="56" t="str">
        <f>IF(I153="Blossom - Atendimento de Comentário",_xlfn.XLOOKUP(C153,'Data Base'!D:D,'Data Base'!Q:Q),"")</f>
        <v/>
      </c>
      <c r="H153" s="56" t="str">
        <f t="shared" ca="1" si="2"/>
        <v>NO PRAZO</v>
      </c>
      <c r="I153" s="57" t="str">
        <f>_xlfn.XLOOKUP(C153,'Data Base'!D:D,'Data Base'!O:O)</f>
        <v>Blossom - Documento a emitir</v>
      </c>
    </row>
    <row r="154" spans="2:9" hidden="1" x14ac:dyDescent="0.25">
      <c r="B154" s="53" t="str">
        <f>_xlfn.XLOOKUP(C154,'Data Base'!D:D,'Data Base'!B:B)</f>
        <v>EL - Eletrica</v>
      </c>
      <c r="C154" s="53" t="s">
        <v>159</v>
      </c>
      <c r="D154" s="53" t="str">
        <f>_xlfn.XLOOKUP(C154,'LD-ELFA'!F:F,'LD-ELFA'!H:H)</f>
        <v>FD-A1-1903-E-PB-0001</v>
      </c>
      <c r="E154" s="53" t="str">
        <f>_xlfn.XLOOKUP(C154,'LD-ELFA'!F:F,'LD-ELFA'!Q:Q)</f>
        <v>FOLHA DE DADOS</v>
      </c>
      <c r="F154" s="56" t="str">
        <f>_xlfn.XLOOKUP(C154,'Data Base'!D:D,'Data Base'!L:L)</f>
        <v>Documento a emitir</v>
      </c>
      <c r="G154" s="56" t="str">
        <f>IF(I154="Blossom - Atendimento de Comentário",_xlfn.XLOOKUP(C154,'Data Base'!D:D,'Data Base'!Q:Q),"")</f>
        <v/>
      </c>
      <c r="H154" s="56" t="str">
        <f t="shared" ca="1" si="2"/>
        <v>NO PRAZO</v>
      </c>
      <c r="I154" s="57" t="str">
        <f>_xlfn.XLOOKUP(C154,'Data Base'!D:D,'Data Base'!O:O)</f>
        <v>Blossom - Documento a emitir</v>
      </c>
    </row>
    <row r="155" spans="2:9" hidden="1" x14ac:dyDescent="0.25">
      <c r="B155" s="53" t="str">
        <f>_xlfn.XLOOKUP(C155,'Data Base'!D:D,'Data Base'!B:B)</f>
        <v>EL - Eletrica</v>
      </c>
      <c r="C155" s="53" t="s">
        <v>160</v>
      </c>
      <c r="D155" s="53" t="str">
        <f>_xlfn.XLOOKUP(C155,'LD-ELFA'!F:F,'LD-ELFA'!H:H)</f>
        <v>FD-A1-1900-E-PB-0009</v>
      </c>
      <c r="E155" s="53" t="str">
        <f>_xlfn.XLOOKUP(C155,'LD-ELFA'!F:F,'LD-ELFA'!Q:Q)</f>
        <v>FOLHA DE DADOS</v>
      </c>
      <c r="F155" s="56" t="str">
        <f>_xlfn.XLOOKUP(C155,'Data Base'!D:D,'Data Base'!L:L)</f>
        <v>Documento a emitir</v>
      </c>
      <c r="G155" s="56" t="str">
        <f>IF(I155="Blossom - Atendimento de Comentário",_xlfn.XLOOKUP(C155,'Data Base'!D:D,'Data Base'!Q:Q),"")</f>
        <v/>
      </c>
      <c r="H155" s="56" t="str">
        <f t="shared" ca="1" si="2"/>
        <v>NO PRAZO</v>
      </c>
      <c r="I155" s="57" t="str">
        <f>_xlfn.XLOOKUP(C155,'Data Base'!D:D,'Data Base'!O:O)</f>
        <v>Blossom - Documento a emitir</v>
      </c>
    </row>
    <row r="156" spans="2:9" hidden="1" x14ac:dyDescent="0.25">
      <c r="B156" s="53" t="str">
        <f>_xlfn.XLOOKUP(C156,'Data Base'!D:D,'Data Base'!B:B)</f>
        <v>EL - Eletrica</v>
      </c>
      <c r="C156" s="53" t="s">
        <v>161</v>
      </c>
      <c r="D156" s="53" t="str">
        <f>_xlfn.XLOOKUP(C156,'LD-ELFA'!F:F,'LD-ELFA'!H:H)</f>
        <v>FD-A1-1900-E-PB-0004</v>
      </c>
      <c r="E156" s="53" t="str">
        <f>_xlfn.XLOOKUP(C156,'LD-ELFA'!F:F,'LD-ELFA'!Q:Q)</f>
        <v>FOLHA DE DADOS</v>
      </c>
      <c r="F156" s="56" t="str">
        <f>_xlfn.XLOOKUP(C156,'Data Base'!D:D,'Data Base'!L:L)</f>
        <v>Documento a emitir</v>
      </c>
      <c r="G156" s="56" t="str">
        <f>IF(I156="Blossom - Atendimento de Comentário",_xlfn.XLOOKUP(C156,'Data Base'!D:D,'Data Base'!Q:Q),"")</f>
        <v/>
      </c>
      <c r="H156" s="56" t="str">
        <f t="shared" ca="1" si="2"/>
        <v>NO PRAZO</v>
      </c>
      <c r="I156" s="57" t="str">
        <f>_xlfn.XLOOKUP(C156,'Data Base'!D:D,'Data Base'!O:O)</f>
        <v>Blossom - Documento a emitir</v>
      </c>
    </row>
    <row r="157" spans="2:9" hidden="1" x14ac:dyDescent="0.25">
      <c r="B157" s="53" t="str">
        <f>_xlfn.XLOOKUP(C157,'Data Base'!D:D,'Data Base'!B:B)</f>
        <v>EL - Eletrica</v>
      </c>
      <c r="C157" s="53" t="s">
        <v>162</v>
      </c>
      <c r="D157" s="53" t="str">
        <f>_xlfn.XLOOKUP(C157,'LD-ELFA'!F:F,'LD-ELFA'!H:H)</f>
        <v>FD-A1-1900-E-PB-0006</v>
      </c>
      <c r="E157" s="53" t="str">
        <f>_xlfn.XLOOKUP(C157,'LD-ELFA'!F:F,'LD-ELFA'!Q:Q)</f>
        <v>FOLHA DE DADOS</v>
      </c>
      <c r="F157" s="56" t="str">
        <f>_xlfn.XLOOKUP(C157,'Data Base'!D:D,'Data Base'!L:L)</f>
        <v>Documento a emitir</v>
      </c>
      <c r="G157" s="56" t="str">
        <f>IF(I157="Blossom - Atendimento de Comentário",_xlfn.XLOOKUP(C157,'Data Base'!D:D,'Data Base'!Q:Q),"")</f>
        <v/>
      </c>
      <c r="H157" s="56" t="str">
        <f t="shared" ca="1" si="2"/>
        <v>NO PRAZO</v>
      </c>
      <c r="I157" s="57" t="str">
        <f>_xlfn.XLOOKUP(C157,'Data Base'!D:D,'Data Base'!O:O)</f>
        <v>Blossom - Documento a emitir</v>
      </c>
    </row>
    <row r="158" spans="2:9" hidden="1" x14ac:dyDescent="0.25">
      <c r="B158" s="53" t="str">
        <f>_xlfn.XLOOKUP(C158,'Data Base'!D:D,'Data Base'!B:B)</f>
        <v>EL - Eletrica</v>
      </c>
      <c r="C158" s="53" t="s">
        <v>163</v>
      </c>
      <c r="D158" s="53" t="str">
        <f>_xlfn.XLOOKUP(C158,'LD-ELFA'!F:F,'LD-ELFA'!H:H)</f>
        <v>FD-A1-1911-E-PB-0003</v>
      </c>
      <c r="E158" s="53" t="str">
        <f>_xlfn.XLOOKUP(C158,'LD-ELFA'!F:F,'LD-ELFA'!Q:Q)</f>
        <v>FOLHA DE DADOS</v>
      </c>
      <c r="F158" s="56" t="str">
        <f>_xlfn.XLOOKUP(C158,'Data Base'!D:D,'Data Base'!L:L)</f>
        <v>Documento a emitir</v>
      </c>
      <c r="G158" s="56" t="str">
        <f>IF(I158="Blossom - Atendimento de Comentário",_xlfn.XLOOKUP(C158,'Data Base'!D:D,'Data Base'!Q:Q),"")</f>
        <v/>
      </c>
      <c r="H158" s="56" t="str">
        <f t="shared" ca="1" si="2"/>
        <v>NO PRAZO</v>
      </c>
      <c r="I158" s="57" t="str">
        <f>_xlfn.XLOOKUP(C158,'Data Base'!D:D,'Data Base'!O:O)</f>
        <v>Blossom - Documento a emitir</v>
      </c>
    </row>
    <row r="159" spans="2:9" hidden="1" x14ac:dyDescent="0.25">
      <c r="B159" s="53" t="str">
        <f>_xlfn.XLOOKUP(C159,'Data Base'!D:D,'Data Base'!B:B)</f>
        <v>EL - Eletrica</v>
      </c>
      <c r="C159" s="53" t="s">
        <v>164</v>
      </c>
      <c r="D159" s="53" t="str">
        <f>_xlfn.XLOOKUP(C159,'LD-ELFA'!F:F,'LD-ELFA'!H:H)</f>
        <v>FD-A1-1900-E-PB-0002</v>
      </c>
      <c r="E159" s="53" t="str">
        <f>_xlfn.XLOOKUP(C159,'LD-ELFA'!F:F,'LD-ELFA'!Q:Q)</f>
        <v>FOLHA DE DADOS</v>
      </c>
      <c r="F159" s="56" t="str">
        <f>_xlfn.XLOOKUP(C159,'Data Base'!D:D,'Data Base'!L:L)</f>
        <v>Documento a emitir</v>
      </c>
      <c r="G159" s="56" t="str">
        <f>IF(I159="Blossom - Atendimento de Comentário",_xlfn.XLOOKUP(C159,'Data Base'!D:D,'Data Base'!Q:Q),"")</f>
        <v/>
      </c>
      <c r="H159" s="56" t="str">
        <f t="shared" ca="1" si="2"/>
        <v>NO PRAZO</v>
      </c>
      <c r="I159" s="57" t="str">
        <f>_xlfn.XLOOKUP(C159,'Data Base'!D:D,'Data Base'!O:O)</f>
        <v>Blossom - Documento a emitir</v>
      </c>
    </row>
    <row r="160" spans="2:9" hidden="1" x14ac:dyDescent="0.25">
      <c r="B160" s="53" t="str">
        <f>_xlfn.XLOOKUP(C160,'Data Base'!D:D,'Data Base'!B:B)</f>
        <v>EL - Eletrica</v>
      </c>
      <c r="C160" s="53" t="s">
        <v>165</v>
      </c>
      <c r="D160" s="53" t="str">
        <f>_xlfn.XLOOKUP(C160,'LD-ELFA'!F:F,'LD-ELFA'!H:H)</f>
        <v>FD-A1-1900-E-PB-0003</v>
      </c>
      <c r="E160" s="53" t="str">
        <f>_xlfn.XLOOKUP(C160,'LD-ELFA'!F:F,'LD-ELFA'!Q:Q)</f>
        <v>FOLHA DE DADOS</v>
      </c>
      <c r="F160" s="56" t="str">
        <f>_xlfn.XLOOKUP(C160,'Data Base'!D:D,'Data Base'!L:L)</f>
        <v>Documento a emitir</v>
      </c>
      <c r="G160" s="56" t="str">
        <f>IF(I160="Blossom - Atendimento de Comentário",_xlfn.XLOOKUP(C160,'Data Base'!D:D,'Data Base'!Q:Q),"")</f>
        <v/>
      </c>
      <c r="H160" s="56" t="str">
        <f t="shared" ca="1" si="2"/>
        <v>NO PRAZO</v>
      </c>
      <c r="I160" s="57" t="str">
        <f>_xlfn.XLOOKUP(C160,'Data Base'!D:D,'Data Base'!O:O)</f>
        <v>Blossom - Documento a emitir</v>
      </c>
    </row>
    <row r="161" spans="2:9" hidden="1" x14ac:dyDescent="0.25">
      <c r="B161" s="53" t="str">
        <f>_xlfn.XLOOKUP(C161,'Data Base'!D:D,'Data Base'!B:B)</f>
        <v>EL - Eletrica</v>
      </c>
      <c r="C161" s="53" t="s">
        <v>166</v>
      </c>
      <c r="D161" s="53" t="str">
        <f>_xlfn.XLOOKUP(C161,'LD-ELFA'!F:F,'LD-ELFA'!H:H)</f>
        <v>FD-A1-1911-E-PB-0001</v>
      </c>
      <c r="E161" s="53" t="str">
        <f>_xlfn.XLOOKUP(C161,'LD-ELFA'!F:F,'LD-ELFA'!Q:Q)</f>
        <v>FOLHA DE DADOS</v>
      </c>
      <c r="F161" s="56" t="str">
        <f>_xlfn.XLOOKUP(C161,'Data Base'!D:D,'Data Base'!L:L)</f>
        <v>Documento a emitir</v>
      </c>
      <c r="G161" s="56" t="str">
        <f>IF(I161="Blossom - Atendimento de Comentário",_xlfn.XLOOKUP(C161,'Data Base'!D:D,'Data Base'!Q:Q),"")</f>
        <v/>
      </c>
      <c r="H161" s="56" t="str">
        <f t="shared" ca="1" si="2"/>
        <v>NO PRAZO</v>
      </c>
      <c r="I161" s="57" t="str">
        <f>_xlfn.XLOOKUP(C161,'Data Base'!D:D,'Data Base'!O:O)</f>
        <v>Blossom - Documento a emitir</v>
      </c>
    </row>
    <row r="162" spans="2:9" hidden="1" x14ac:dyDescent="0.25">
      <c r="B162" s="53" t="str">
        <f>_xlfn.XLOOKUP(C162,'Data Base'!D:D,'Data Base'!B:B)</f>
        <v>EL - Eletrica</v>
      </c>
      <c r="C162" s="53" t="s">
        <v>167</v>
      </c>
      <c r="D162" s="53" t="str">
        <f>_xlfn.XLOOKUP(C162,'LD-ELFA'!F:F,'LD-ELFA'!H:H)</f>
        <v>LE-A1-1900-E-PB-4000</v>
      </c>
      <c r="E162" s="53" t="str">
        <f>_xlfn.XLOOKUP(C162,'LD-ELFA'!F:F,'LD-ELFA'!Q:Q)</f>
        <v>LISTA DE EQUIPAMENTOS ELÉTRICOS</v>
      </c>
      <c r="F162" s="56" t="str">
        <f>_xlfn.XLOOKUP(C162,'Data Base'!D:D,'Data Base'!L:L)</f>
        <v>Documento a emitir</v>
      </c>
      <c r="G162" s="56" t="str">
        <f>IF(I162="Blossom - Atendimento de Comentário",_xlfn.XLOOKUP(C162,'Data Base'!D:D,'Data Base'!Q:Q),"")</f>
        <v/>
      </c>
      <c r="H162" s="56" t="str">
        <f t="shared" ca="1" si="2"/>
        <v>NO PRAZO</v>
      </c>
      <c r="I162" s="57" t="str">
        <f>_xlfn.XLOOKUP(C162,'Data Base'!D:D,'Data Base'!O:O)</f>
        <v>Blossom - Documento a emitir</v>
      </c>
    </row>
    <row r="163" spans="2:9" hidden="1" x14ac:dyDescent="0.25">
      <c r="B163" s="53" t="str">
        <f>_xlfn.XLOOKUP(C163,'Data Base'!D:D,'Data Base'!B:B)</f>
        <v>EL - Eletrica</v>
      </c>
      <c r="C163" s="53" t="s">
        <v>168</v>
      </c>
      <c r="D163" s="53" t="str">
        <f>_xlfn.XLOOKUP(C163,'LD-ELFA'!F:F,'LD-ELFA'!H:H)</f>
        <v>LE-A1-1100-E-PB-4000</v>
      </c>
      <c r="E163" s="53" t="str">
        <f>_xlfn.XLOOKUP(C163,'LD-ELFA'!F:F,'LD-ELFA'!Q:Q)</f>
        <v>LISTA DE EQUIPAMENTOS ELÉTRICOS</v>
      </c>
      <c r="F163" s="56" t="str">
        <f>_xlfn.XLOOKUP(C163,'Data Base'!D:D,'Data Base'!L:L)</f>
        <v>Documento a emitir</v>
      </c>
      <c r="G163" s="56" t="str">
        <f>IF(I163="Blossom - Atendimento de Comentário",_xlfn.XLOOKUP(C163,'Data Base'!D:D,'Data Base'!Q:Q),"")</f>
        <v/>
      </c>
      <c r="H163" s="56" t="str">
        <f t="shared" ca="1" si="2"/>
        <v>NO PRAZO</v>
      </c>
      <c r="I163" s="57" t="str">
        <f>_xlfn.XLOOKUP(C163,'Data Base'!D:D,'Data Base'!O:O)</f>
        <v>Blossom - Documento a emitir</v>
      </c>
    </row>
    <row r="164" spans="2:9" hidden="1" x14ac:dyDescent="0.25">
      <c r="B164" s="53" t="str">
        <f>_xlfn.XLOOKUP(C164,'Data Base'!D:D,'Data Base'!B:B)</f>
        <v>EL - Eletrica</v>
      </c>
      <c r="C164" s="53" t="s">
        <v>169</v>
      </c>
      <c r="D164" s="53" t="str">
        <f>_xlfn.XLOOKUP(C164,'LD-ELFA'!F:F,'LD-ELFA'!H:H)</f>
        <v>LB-A1-1900-E-PB-4000</v>
      </c>
      <c r="E164" s="53" t="str">
        <f>_xlfn.XLOOKUP(C164,'LD-ELFA'!F:F,'LD-ELFA'!Q:Q)</f>
        <v>LISTAS DE CABOS ELÉTRICOS</v>
      </c>
      <c r="F164" s="56" t="str">
        <f>_xlfn.XLOOKUP(C164,'Data Base'!D:D,'Data Base'!L:L)</f>
        <v>Documento a emitir</v>
      </c>
      <c r="G164" s="56" t="str">
        <f>IF(I164="Blossom - Atendimento de Comentário",_xlfn.XLOOKUP(C164,'Data Base'!D:D,'Data Base'!Q:Q),"")</f>
        <v/>
      </c>
      <c r="H164" s="56" t="str">
        <f t="shared" ca="1" si="2"/>
        <v>NO PRAZO</v>
      </c>
      <c r="I164" s="57" t="str">
        <f>_xlfn.XLOOKUP(C164,'Data Base'!D:D,'Data Base'!O:O)</f>
        <v>Blossom - Documento a emitir</v>
      </c>
    </row>
    <row r="165" spans="2:9" hidden="1" x14ac:dyDescent="0.25">
      <c r="B165" s="53" t="str">
        <f>_xlfn.XLOOKUP(C165,'Data Base'!D:D,'Data Base'!B:B)</f>
        <v>EL - Eletrica</v>
      </c>
      <c r="C165" s="53" t="s">
        <v>170</v>
      </c>
      <c r="D165" s="53" t="str">
        <f>_xlfn.XLOOKUP(C165,'LD-ELFA'!F:F,'LD-ELFA'!H:H)</f>
        <v>LB-A1-1100-E-PB-4000</v>
      </c>
      <c r="E165" s="53" t="str">
        <f>_xlfn.XLOOKUP(C165,'LD-ELFA'!F:F,'LD-ELFA'!Q:Q)</f>
        <v>LISTAS DE CABOS ELÉTRICOS</v>
      </c>
      <c r="F165" s="56" t="str">
        <f>_xlfn.XLOOKUP(C165,'Data Base'!D:D,'Data Base'!L:L)</f>
        <v>Documento a emitir</v>
      </c>
      <c r="G165" s="56" t="str">
        <f>IF(I165="Blossom - Atendimento de Comentário",_xlfn.XLOOKUP(C165,'Data Base'!D:D,'Data Base'!Q:Q),"")</f>
        <v/>
      </c>
      <c r="H165" s="56" t="str">
        <f t="shared" ca="1" si="2"/>
        <v>NO PRAZO</v>
      </c>
      <c r="I165" s="57" t="str">
        <f>_xlfn.XLOOKUP(C165,'Data Base'!D:D,'Data Base'!O:O)</f>
        <v>Blossom - Documento a emitir</v>
      </c>
    </row>
    <row r="166" spans="2:9" hidden="1" x14ac:dyDescent="0.25">
      <c r="B166" s="53" t="str">
        <f>_xlfn.XLOOKUP(C166,'Data Base'!D:D,'Data Base'!B:B)</f>
        <v>EL - Eletrica</v>
      </c>
      <c r="C166" s="53" t="s">
        <v>171</v>
      </c>
      <c r="D166" s="53" t="str">
        <f>_xlfn.XLOOKUP(C166,'LD-ELFA'!F:F,'LD-ELFA'!H:H)</f>
        <v>MC-A1-1900-E-PB-4000</v>
      </c>
      <c r="E166" s="53" t="str">
        <f>_xlfn.XLOOKUP(C166,'LD-ELFA'!F:F,'LD-ELFA'!Q:Q)</f>
        <v>MEMÓRIA DE CÁLCULO DE CABOS</v>
      </c>
      <c r="F166" s="56" t="str">
        <f>_xlfn.XLOOKUP(C166,'Data Base'!D:D,'Data Base'!L:L)</f>
        <v>Documento a emitir</v>
      </c>
      <c r="G166" s="56" t="str">
        <f>IF(I166="Blossom - Atendimento de Comentário",_xlfn.XLOOKUP(C166,'Data Base'!D:D,'Data Base'!Q:Q),"")</f>
        <v/>
      </c>
      <c r="H166" s="56" t="str">
        <f t="shared" ca="1" si="2"/>
        <v>NO PRAZO</v>
      </c>
      <c r="I166" s="57" t="str">
        <f>_xlfn.XLOOKUP(C166,'Data Base'!D:D,'Data Base'!O:O)</f>
        <v>Blossom - Documento a emitir</v>
      </c>
    </row>
    <row r="167" spans="2:9" hidden="1" x14ac:dyDescent="0.25">
      <c r="B167" s="53" t="str">
        <f>_xlfn.XLOOKUP(C167,'Data Base'!D:D,'Data Base'!B:B)</f>
        <v>EL - Eletrica</v>
      </c>
      <c r="C167" s="53" t="s">
        <v>172</v>
      </c>
      <c r="D167" s="53" t="str">
        <f>_xlfn.XLOOKUP(C167,'LD-ELFA'!F:F,'LD-ELFA'!H:H)</f>
        <v>MC-A1-1900-E-PB-4001</v>
      </c>
      <c r="E167" s="53" t="str">
        <f>_xlfn.XLOOKUP(C167,'LD-ELFA'!F:F,'LD-ELFA'!Q:Q)</f>
        <v>MEMÓRIA DE CÁLCULO DE EQUIPAMENTOS ELÉTRICOS</v>
      </c>
      <c r="F167" s="56" t="str">
        <f>_xlfn.XLOOKUP(C167,'Data Base'!D:D,'Data Base'!L:L)</f>
        <v>Documento a emitir</v>
      </c>
      <c r="G167" s="56" t="str">
        <f>IF(I167="Blossom - Atendimento de Comentário",_xlfn.XLOOKUP(C167,'Data Base'!D:D,'Data Base'!Q:Q),"")</f>
        <v/>
      </c>
      <c r="H167" s="56" t="str">
        <f t="shared" ca="1" si="2"/>
        <v>NO PRAZO</v>
      </c>
      <c r="I167" s="57" t="str">
        <f>_xlfn.XLOOKUP(C167,'Data Base'!D:D,'Data Base'!O:O)</f>
        <v>Blossom - Documento a emitir</v>
      </c>
    </row>
    <row r="168" spans="2:9" hidden="1" x14ac:dyDescent="0.25">
      <c r="B168" s="53" t="str">
        <f>_xlfn.XLOOKUP(C168,'Data Base'!D:D,'Data Base'!B:B)</f>
        <v>EL - Eletrica</v>
      </c>
      <c r="C168" s="53" t="s">
        <v>173</v>
      </c>
      <c r="D168" s="53" t="str">
        <f>_xlfn.XLOOKUP(C168,'LD-ELFA'!F:F,'LD-ELFA'!H:H)</f>
        <v>MC-A1-1100-E-PB-4000</v>
      </c>
      <c r="E168" s="53" t="str">
        <f>_xlfn.XLOOKUP(C168,'LD-ELFA'!F:F,'LD-ELFA'!Q:Q)</f>
        <v>MEMÓRA DE CÁLCULO DE CABOS</v>
      </c>
      <c r="F168" s="56" t="str">
        <f>_xlfn.XLOOKUP(C168,'Data Base'!D:D,'Data Base'!L:L)</f>
        <v>Documento a emitir</v>
      </c>
      <c r="G168" s="56" t="str">
        <f>IF(I168="Blossom - Atendimento de Comentário",_xlfn.XLOOKUP(C168,'Data Base'!D:D,'Data Base'!Q:Q),"")</f>
        <v/>
      </c>
      <c r="H168" s="56" t="str">
        <f t="shared" ca="1" si="2"/>
        <v>NO PRAZO</v>
      </c>
      <c r="I168" s="57" t="str">
        <f>_xlfn.XLOOKUP(C168,'Data Base'!D:D,'Data Base'!O:O)</f>
        <v>Blossom - Documento a emitir</v>
      </c>
    </row>
    <row r="169" spans="2:9" hidden="1" x14ac:dyDescent="0.25">
      <c r="B169" s="53" t="str">
        <f>_xlfn.XLOOKUP(C169,'Data Base'!D:D,'Data Base'!B:B)</f>
        <v>EL - Eletrica</v>
      </c>
      <c r="C169" s="53" t="s">
        <v>174</v>
      </c>
      <c r="D169" s="53" t="str">
        <f>_xlfn.XLOOKUP(C169,'LD-ELFA'!F:F,'LD-ELFA'!H:H)</f>
        <v>MC-A1-2000-J-PB-0001</v>
      </c>
      <c r="E169" s="53" t="str">
        <f>_xlfn.XLOOKUP(C169,'LD-ELFA'!F:F,'LD-ELFA'!Q:Q)</f>
        <v>MEMÓRIA DE CÁLCULO DE CABOS DE CONTROLE</v>
      </c>
      <c r="F169" s="56" t="str">
        <f>_xlfn.XLOOKUP(C169,'Data Base'!D:D,'Data Base'!L:L)</f>
        <v>Documento a emitir</v>
      </c>
      <c r="G169" s="56" t="str">
        <f>IF(I169="Blossom - Atendimento de Comentário",_xlfn.XLOOKUP(C169,'Data Base'!D:D,'Data Base'!Q:Q),"")</f>
        <v/>
      </c>
      <c r="H169" s="56" t="str">
        <f t="shared" ca="1" si="2"/>
        <v>NO PRAZO</v>
      </c>
      <c r="I169" s="57" t="str">
        <f>_xlfn.XLOOKUP(C169,'Data Base'!D:D,'Data Base'!O:O)</f>
        <v>Blossom - Documento a emitir</v>
      </c>
    </row>
    <row r="170" spans="2:9" hidden="1" x14ac:dyDescent="0.25">
      <c r="B170" s="53" t="str">
        <f>_xlfn.XLOOKUP(C170,'Data Base'!D:D,'Data Base'!B:B)</f>
        <v>EL - Eletrica</v>
      </c>
      <c r="C170" s="53" t="s">
        <v>175</v>
      </c>
      <c r="D170" s="53" t="str">
        <f>_xlfn.XLOOKUP(C170,'LD-ELFA'!F:F,'LD-ELFA'!H:H)</f>
        <v>MD-A1-1900-E-PB-4000</v>
      </c>
      <c r="E170" s="53" t="str">
        <f>_xlfn.XLOOKUP(C170,'LD-ELFA'!F:F,'LD-ELFA'!Q:Q)</f>
        <v>MEMORIAL DESCRITIVO DO PROJETO BÁSICO DO SISTEMA ELÉTRICO</v>
      </c>
      <c r="F170" s="56" t="str">
        <f>_xlfn.XLOOKUP(C170,'Data Base'!D:D,'Data Base'!L:L)</f>
        <v>Documento a emitir</v>
      </c>
      <c r="G170" s="56" t="str">
        <f>IF(I170="Blossom - Atendimento de Comentário",_xlfn.XLOOKUP(C170,'Data Base'!D:D,'Data Base'!Q:Q),"")</f>
        <v/>
      </c>
      <c r="H170" s="56" t="str">
        <f t="shared" ca="1" si="2"/>
        <v>NO PRAZO</v>
      </c>
      <c r="I170" s="57" t="str">
        <f>_xlfn.XLOOKUP(C170,'Data Base'!D:D,'Data Base'!O:O)</f>
        <v>Blossom - Documento a emitir</v>
      </c>
    </row>
    <row r="171" spans="2:9" hidden="1" x14ac:dyDescent="0.25">
      <c r="B171" s="53" t="str">
        <f>_xlfn.XLOOKUP(C171,'Data Base'!D:D,'Data Base'!B:B)</f>
        <v>EL - Eletrica</v>
      </c>
      <c r="C171" s="53" t="s">
        <v>176</v>
      </c>
      <c r="D171" s="53" t="str">
        <f>_xlfn.XLOOKUP(C171,'LD-ELFA'!F:F,'LD-ELFA'!H:H)</f>
        <v>MD-A1-1100-E-PB-4000</v>
      </c>
      <c r="E171" s="53" t="str">
        <f>_xlfn.XLOOKUP(C171,'LD-ELFA'!F:F,'LD-ELFA'!Q:Q)</f>
        <v>MEMORIAL DESCRITIVO DO PROJETO BÁSICO DO SISTEMA ELÉTRICO</v>
      </c>
      <c r="F171" s="56" t="str">
        <f>_xlfn.XLOOKUP(C171,'Data Base'!D:D,'Data Base'!L:L)</f>
        <v>Documento a emitir</v>
      </c>
      <c r="G171" s="56" t="str">
        <f>IF(I171="Blossom - Atendimento de Comentário",_xlfn.XLOOKUP(C171,'Data Base'!D:D,'Data Base'!Q:Q),"")</f>
        <v/>
      </c>
      <c r="H171" s="56" t="str">
        <f t="shared" ca="1" si="2"/>
        <v>NO PRAZO</v>
      </c>
      <c r="I171" s="57" t="str">
        <f>_xlfn.XLOOKUP(C171,'Data Base'!D:D,'Data Base'!O:O)</f>
        <v>Blossom - Documento a emitir</v>
      </c>
    </row>
    <row r="172" spans="2:9" hidden="1" x14ac:dyDescent="0.25">
      <c r="B172" s="53" t="str">
        <f>_xlfn.XLOOKUP(C172,'Data Base'!D:D,'Data Base'!B:B)</f>
        <v>EL - Eletrica</v>
      </c>
      <c r="C172" s="53" t="s">
        <v>177</v>
      </c>
      <c r="D172" s="53" t="str">
        <f>_xlfn.XLOOKUP(C172,'LD-ELFA'!F:F,'LD-ELFA'!H:H)</f>
        <v>PQ-A1-1900-E-PB-4000</v>
      </c>
      <c r="E172" s="53" t="str">
        <f>_xlfn.XLOOKUP(C172,'LD-ELFA'!F:F,'LD-ELFA'!Q:Q)</f>
        <v xml:space="preserve">PLANILHA DE QUANTIDADES </v>
      </c>
      <c r="F172" s="56" t="str">
        <f>_xlfn.XLOOKUP(C172,'Data Base'!D:D,'Data Base'!L:L)</f>
        <v>Documento a emitir</v>
      </c>
      <c r="G172" s="56" t="str">
        <f>IF(I172="Blossom - Atendimento de Comentário",_xlfn.XLOOKUP(C172,'Data Base'!D:D,'Data Base'!Q:Q),"")</f>
        <v/>
      </c>
      <c r="H172" s="56" t="str">
        <f t="shared" ca="1" si="2"/>
        <v>NO PRAZO</v>
      </c>
      <c r="I172" s="57" t="str">
        <f>_xlfn.XLOOKUP(C172,'Data Base'!D:D,'Data Base'!O:O)</f>
        <v>Blossom - Documento a emitir</v>
      </c>
    </row>
    <row r="173" spans="2:9" hidden="1" x14ac:dyDescent="0.25">
      <c r="B173" s="53" t="str">
        <f>_xlfn.XLOOKUP(C173,'Data Base'!D:D,'Data Base'!B:B)</f>
        <v>EL - Eletrica</v>
      </c>
      <c r="C173" s="53" t="s">
        <v>178</v>
      </c>
      <c r="D173" s="53" t="str">
        <f>_xlfn.XLOOKUP(C173,'LD-ELFA'!F:F,'LD-ELFA'!H:H)</f>
        <v>PQ-A1-1100-E-PB-4000</v>
      </c>
      <c r="E173" s="53" t="str">
        <f>_xlfn.XLOOKUP(C173,'LD-ELFA'!F:F,'LD-ELFA'!Q:Q)</f>
        <v xml:space="preserve">PLANILHA DE QUANTIDADES </v>
      </c>
      <c r="F173" s="56" t="str">
        <f>_xlfn.XLOOKUP(C173,'Data Base'!D:D,'Data Base'!L:L)</f>
        <v>Documento a emitir</v>
      </c>
      <c r="G173" s="56" t="str">
        <f>IF(I173="Blossom - Atendimento de Comentário",_xlfn.XLOOKUP(C173,'Data Base'!D:D,'Data Base'!Q:Q),"")</f>
        <v/>
      </c>
      <c r="H173" s="56" t="str">
        <f t="shared" ca="1" si="2"/>
        <v>NO PRAZO</v>
      </c>
      <c r="I173" s="57" t="str">
        <f>_xlfn.XLOOKUP(C173,'Data Base'!D:D,'Data Base'!O:O)</f>
        <v>Blossom - Documento a emitir</v>
      </c>
    </row>
    <row r="174" spans="2:9" hidden="1" x14ac:dyDescent="0.25">
      <c r="B174" s="53" t="e">
        <f>_xlfn.XLOOKUP(C174,'Data Base'!D:D,'Data Base'!B:B)</f>
        <v>#N/A</v>
      </c>
      <c r="C174" s="53" t="s">
        <v>179</v>
      </c>
      <c r="D174" s="53" t="e">
        <f>_xlfn.XLOOKUP(C174,'LD-ELFA'!F:F,'LD-ELFA'!H:H)</f>
        <v>#N/A</v>
      </c>
      <c r="E174" s="53" t="e">
        <f>_xlfn.XLOOKUP(C174,'LD-ELFA'!F:F,'LD-ELFA'!Q:Q)</f>
        <v>#N/A</v>
      </c>
      <c r="F174" s="56" t="e">
        <f>_xlfn.XLOOKUP(C174,'Data Base'!D:D,'Data Base'!L:L)</f>
        <v>#N/A</v>
      </c>
      <c r="G174" s="56" t="str">
        <f>IF(I174="Blossom - Atendimento de Comentário",_xlfn.XLOOKUP(C174,'Data Base'!D:D,'Data Base'!Q:Q),"")</f>
        <v/>
      </c>
      <c r="H174" s="56" t="e">
        <f t="shared" ca="1" si="2"/>
        <v>#N/A</v>
      </c>
      <c r="I174" s="57" t="str">
        <f>_xlfn.XLOOKUP(C174,'Data Base'!D:D,'Data Base'!O:O)</f>
        <v>Documento Removido</v>
      </c>
    </row>
    <row r="175" spans="2:9" hidden="1" x14ac:dyDescent="0.25">
      <c r="B175" s="53" t="str">
        <f>_xlfn.XLOOKUP(C175,'Data Base'!D:D,'Data Base'!B:B)</f>
        <v>EM - Estrutura Metalica</v>
      </c>
      <c r="C175" s="53" t="s">
        <v>180</v>
      </c>
      <c r="D175" s="53" t="str">
        <f>_xlfn.XLOOKUP(C175,'LD-ELFA'!F:F,'LD-ELFA'!H:H)</f>
        <v>MC-A1-1911-S-PB-4000</v>
      </c>
      <c r="E175" s="53" t="str">
        <f>_xlfn.XLOOKUP(C175,'LD-ELFA'!F:F,'LD-ELFA'!Q:Q)</f>
        <v>MEMÓRIA DE CÁLCULO</v>
      </c>
      <c r="F175" s="56" t="str">
        <f>_xlfn.XLOOKUP(C175,'Data Base'!D:D,'Data Base'!L:L)</f>
        <v>Documento a emitir</v>
      </c>
      <c r="G175" s="56" t="str">
        <f>IF(I175="Blossom - Atendimento de Comentário",_xlfn.XLOOKUP(C175,'Data Base'!D:D,'Data Base'!Q:Q),"")</f>
        <v/>
      </c>
      <c r="H175" s="56" t="str">
        <f t="shared" ca="1" si="2"/>
        <v>NO PRAZO</v>
      </c>
      <c r="I175" s="57" t="str">
        <f>_xlfn.XLOOKUP(C175,'Data Base'!D:D,'Data Base'!O:O)</f>
        <v>Blossom - Documento a emitir</v>
      </c>
    </row>
    <row r="176" spans="2:9" hidden="1" x14ac:dyDescent="0.25">
      <c r="B176" s="53" t="str">
        <f>_xlfn.XLOOKUP(C176,'Data Base'!D:D,'Data Base'!B:B)</f>
        <v>EM - Estrutura Metalica</v>
      </c>
      <c r="C176" s="53" t="s">
        <v>181</v>
      </c>
      <c r="D176" s="53" t="str">
        <f>_xlfn.XLOOKUP(C176,'LD-ELFA'!F:F,'LD-ELFA'!H:H)</f>
        <v>MC-A1-1912-S-PB-4000</v>
      </c>
      <c r="E176" s="53" t="str">
        <f>_xlfn.XLOOKUP(C176,'LD-ELFA'!F:F,'LD-ELFA'!Q:Q)</f>
        <v>MEMÓRIA DE CÁLCULO</v>
      </c>
      <c r="F176" s="56" t="str">
        <f>_xlfn.XLOOKUP(C176,'Data Base'!D:D,'Data Base'!L:L)</f>
        <v>Documento a emitir</v>
      </c>
      <c r="G176" s="56" t="str">
        <f>IF(I176="Blossom - Atendimento de Comentário",_xlfn.XLOOKUP(C176,'Data Base'!D:D,'Data Base'!Q:Q),"")</f>
        <v/>
      </c>
      <c r="H176" s="56" t="str">
        <f t="shared" ca="1" si="2"/>
        <v>NO PRAZO</v>
      </c>
      <c r="I176" s="57" t="str">
        <f>_xlfn.XLOOKUP(C176,'Data Base'!D:D,'Data Base'!O:O)</f>
        <v>Blossom - Documento a emitir</v>
      </c>
    </row>
    <row r="177" spans="2:9" hidden="1" x14ac:dyDescent="0.25">
      <c r="B177" s="53" t="str">
        <f>_xlfn.XLOOKUP(C177,'Data Base'!D:D,'Data Base'!B:B)</f>
        <v>EM - Estrutura Metalica</v>
      </c>
      <c r="C177" s="53" t="s">
        <v>182</v>
      </c>
      <c r="D177" s="53" t="str">
        <f>_xlfn.XLOOKUP(C177,'LD-ELFA'!F:F,'LD-ELFA'!H:H)</f>
        <v>MC-A1-1913-S-PB-4000</v>
      </c>
      <c r="E177" s="53" t="str">
        <f>_xlfn.XLOOKUP(C177,'LD-ELFA'!F:F,'LD-ELFA'!Q:Q)</f>
        <v>MEMÓRIA DE CÁLCULO</v>
      </c>
      <c r="F177" s="56" t="str">
        <f>_xlfn.XLOOKUP(C177,'Data Base'!D:D,'Data Base'!L:L)</f>
        <v>Documento a emitir</v>
      </c>
      <c r="G177" s="56" t="str">
        <f>IF(I177="Blossom - Atendimento de Comentário",_xlfn.XLOOKUP(C177,'Data Base'!D:D,'Data Base'!Q:Q),"")</f>
        <v/>
      </c>
      <c r="H177" s="56" t="str">
        <f t="shared" ca="1" si="2"/>
        <v>NO PRAZO</v>
      </c>
      <c r="I177" s="57" t="str">
        <f>_xlfn.XLOOKUP(C177,'Data Base'!D:D,'Data Base'!O:O)</f>
        <v>Blossom - Documento a emitir</v>
      </c>
    </row>
    <row r="178" spans="2:9" hidden="1" x14ac:dyDescent="0.25">
      <c r="B178" s="53" t="e">
        <f>_xlfn.XLOOKUP(C178,'Data Base'!D:D,'Data Base'!B:B)</f>
        <v>#N/A</v>
      </c>
      <c r="C178" s="53" t="s">
        <v>183</v>
      </c>
      <c r="D178" s="53" t="e">
        <f>_xlfn.XLOOKUP(C178,'LD-ELFA'!F:F,'LD-ELFA'!H:H)</f>
        <v>#N/A</v>
      </c>
      <c r="E178" s="53" t="e">
        <f>_xlfn.XLOOKUP(C178,'LD-ELFA'!F:F,'LD-ELFA'!Q:Q)</f>
        <v>#N/A</v>
      </c>
      <c r="F178" s="56" t="e">
        <f>_xlfn.XLOOKUP(C178,'Data Base'!D:D,'Data Base'!L:L)</f>
        <v>#N/A</v>
      </c>
      <c r="G178" s="56" t="str">
        <f>IF(I178="Blossom - Atendimento de Comentário",_xlfn.XLOOKUP(C178,'Data Base'!D:D,'Data Base'!Q:Q),"")</f>
        <v/>
      </c>
      <c r="H178" s="56" t="e">
        <f t="shared" ca="1" si="2"/>
        <v>#N/A</v>
      </c>
      <c r="I178" s="57" t="str">
        <f>_xlfn.XLOOKUP(C178,'Data Base'!D:D,'Data Base'!O:O)</f>
        <v>Documento Removido</v>
      </c>
    </row>
    <row r="179" spans="2:9" hidden="1" x14ac:dyDescent="0.25">
      <c r="B179" s="53" t="str">
        <f>_xlfn.XLOOKUP(C179,'Data Base'!D:D,'Data Base'!B:B)</f>
        <v>EM - Estrutura Metalica</v>
      </c>
      <c r="C179" s="53" t="s">
        <v>184</v>
      </c>
      <c r="D179" s="53" t="str">
        <f>_xlfn.XLOOKUP(C179,'LD-ELFA'!F:F,'LD-ELFA'!H:H)</f>
        <v>MC-A1-1201-S-PB-0001</v>
      </c>
      <c r="E179" s="53" t="str">
        <f>_xlfn.XLOOKUP(C179,'LD-ELFA'!F:F,'LD-ELFA'!Q:Q)</f>
        <v>BRITAGEM PRIMÁRIA - 1201-ED-001</v>
      </c>
      <c r="F179" s="56" t="str">
        <f>_xlfn.XLOOKUP(C179,'Data Base'!D:D,'Data Base'!L:L)</f>
        <v>Documento a emitir</v>
      </c>
      <c r="G179" s="56" t="str">
        <f>IF(I179="Blossom - Atendimento de Comentário",_xlfn.XLOOKUP(C179,'Data Base'!D:D,'Data Base'!Q:Q),"")</f>
        <v/>
      </c>
      <c r="H179" s="56" t="str">
        <f t="shared" ca="1" si="2"/>
        <v>NO PRAZO</v>
      </c>
      <c r="I179" s="57" t="str">
        <f>_xlfn.XLOOKUP(C179,'Data Base'!D:D,'Data Base'!O:O)</f>
        <v>Blossom - Documento a emitir</v>
      </c>
    </row>
    <row r="180" spans="2:9" hidden="1" x14ac:dyDescent="0.25">
      <c r="B180" s="53" t="str">
        <f>_xlfn.XLOOKUP(C180,'Data Base'!D:D,'Data Base'!B:B)</f>
        <v>EM - Estrutura Metalica</v>
      </c>
      <c r="C180" s="53" t="s">
        <v>185</v>
      </c>
      <c r="D180" s="53" t="str">
        <f>_xlfn.XLOOKUP(C180,'LD-ELFA'!F:F,'LD-ELFA'!H:H)</f>
        <v>MC-A1-1200-S-PB-0001</v>
      </c>
      <c r="E180" s="53" t="str">
        <f>_xlfn.XLOOKUP(C180,'LD-ELFA'!F:F,'LD-ELFA'!Q:Q)</f>
        <v>CASAS DE TRANSFERÊNCIA -1201-CT-001</v>
      </c>
      <c r="F180" s="56" t="str">
        <f>_xlfn.XLOOKUP(C180,'Data Base'!D:D,'Data Base'!L:L)</f>
        <v>Documento a emitir</v>
      </c>
      <c r="G180" s="56" t="str">
        <f>IF(I180="Blossom - Atendimento de Comentário",_xlfn.XLOOKUP(C180,'Data Base'!D:D,'Data Base'!Q:Q),"")</f>
        <v/>
      </c>
      <c r="H180" s="56" t="str">
        <f t="shared" ca="1" si="2"/>
        <v>NO PRAZO</v>
      </c>
      <c r="I180" s="57" t="str">
        <f>_xlfn.XLOOKUP(C180,'Data Base'!D:D,'Data Base'!O:O)</f>
        <v>Blossom - Documento a emitir</v>
      </c>
    </row>
    <row r="181" spans="2:9" hidden="1" x14ac:dyDescent="0.25">
      <c r="B181" s="53" t="str">
        <f>_xlfn.XLOOKUP(C181,'Data Base'!D:D,'Data Base'!B:B)</f>
        <v>EM - Estrutura Metalica</v>
      </c>
      <c r="C181" s="53" t="s">
        <v>186</v>
      </c>
      <c r="D181" s="53" t="str">
        <f>_xlfn.XLOOKUP(C181,'LD-ELFA'!F:F,'LD-ELFA'!H:H)</f>
        <v>MC-A1-1502-S-PB-0001</v>
      </c>
      <c r="E181" s="53" t="str">
        <f>_xlfn.XLOOKUP(C181,'LD-ELFA'!F:F,'LD-ELFA'!Q:Q)</f>
        <v>(ESCADA DE ACESSO (1502-ED-001), TORRE DE ESCADA (1502-ED-002),PLATAFORMA 01 (1502-ED-003), PLATAFORMA 02 (1502-ED-004)</v>
      </c>
      <c r="F181" s="56" t="str">
        <f>_xlfn.XLOOKUP(C181,'Data Base'!D:D,'Data Base'!L:L)</f>
        <v>Documento a emitir</v>
      </c>
      <c r="G181" s="56" t="str">
        <f>IF(I181="Blossom - Atendimento de Comentário",_xlfn.XLOOKUP(C181,'Data Base'!D:D,'Data Base'!Q:Q),"")</f>
        <v/>
      </c>
      <c r="H181" s="56" t="str">
        <f t="shared" ca="1" si="2"/>
        <v>NO PRAZO</v>
      </c>
      <c r="I181" s="57" t="str">
        <f>_xlfn.XLOOKUP(C181,'Data Base'!D:D,'Data Base'!O:O)</f>
        <v>Blossom - Documento a emitir</v>
      </c>
    </row>
    <row r="182" spans="2:9" hidden="1" x14ac:dyDescent="0.25">
      <c r="B182" s="53" t="e">
        <f>_xlfn.XLOOKUP(C182,'Data Base'!D:D,'Data Base'!B:B)</f>
        <v>#N/A</v>
      </c>
      <c r="C182" s="53" t="s">
        <v>187</v>
      </c>
      <c r="D182" s="53" t="e">
        <f>_xlfn.XLOOKUP(C182,'LD-ELFA'!F:F,'LD-ELFA'!H:H)</f>
        <v>#N/A</v>
      </c>
      <c r="E182" s="53" t="e">
        <f>_xlfn.XLOOKUP(C182,'LD-ELFA'!F:F,'LD-ELFA'!Q:Q)</f>
        <v>#N/A</v>
      </c>
      <c r="F182" s="56" t="e">
        <f>_xlfn.XLOOKUP(C182,'Data Base'!D:D,'Data Base'!L:L)</f>
        <v>#N/A</v>
      </c>
      <c r="G182" s="56" t="str">
        <f>IF(I182="Blossom - Atendimento de Comentário",_xlfn.XLOOKUP(C182,'Data Base'!D:D,'Data Base'!Q:Q),"")</f>
        <v/>
      </c>
      <c r="H182" s="56" t="e">
        <f t="shared" ca="1" si="2"/>
        <v>#N/A</v>
      </c>
      <c r="I182" s="57" t="str">
        <f>_xlfn.XLOOKUP(C182,'Data Base'!D:D,'Data Base'!O:O)</f>
        <v>Documento Removido</v>
      </c>
    </row>
    <row r="183" spans="2:9" hidden="1" x14ac:dyDescent="0.25">
      <c r="B183" s="53" t="e">
        <f>_xlfn.XLOOKUP(C183,'Data Base'!D:D,'Data Base'!B:B)</f>
        <v>#N/A</v>
      </c>
      <c r="C183" s="53" t="s">
        <v>188</v>
      </c>
      <c r="D183" s="53" t="e">
        <f>_xlfn.XLOOKUP(C183,'LD-ELFA'!F:F,'LD-ELFA'!H:H)</f>
        <v>#N/A</v>
      </c>
      <c r="E183" s="53" t="e">
        <f>_xlfn.XLOOKUP(C183,'LD-ELFA'!F:F,'LD-ELFA'!Q:Q)</f>
        <v>#N/A</v>
      </c>
      <c r="F183" s="56" t="e">
        <f>_xlfn.XLOOKUP(C183,'Data Base'!D:D,'Data Base'!L:L)</f>
        <v>#N/A</v>
      </c>
      <c r="G183" s="56" t="str">
        <f>IF(I183="Blossom - Atendimento de Comentário",_xlfn.XLOOKUP(C183,'Data Base'!D:D,'Data Base'!Q:Q),"")</f>
        <v/>
      </c>
      <c r="H183" s="56" t="e">
        <f t="shared" ca="1" si="2"/>
        <v>#N/A</v>
      </c>
      <c r="I183" s="57" t="str">
        <f>_xlfn.XLOOKUP(C183,'Data Base'!D:D,'Data Base'!O:O)</f>
        <v>Documento Removido</v>
      </c>
    </row>
    <row r="184" spans="2:9" hidden="1" x14ac:dyDescent="0.25">
      <c r="B184" s="53" t="str">
        <f>_xlfn.XLOOKUP(C184,'Data Base'!D:D,'Data Base'!B:B)</f>
        <v>EM - Estrutura Metalica</v>
      </c>
      <c r="C184" s="53" t="s">
        <v>189</v>
      </c>
      <c r="D184" s="53" t="str">
        <f>_xlfn.XLOOKUP(C184,'LD-ELFA'!F:F,'LD-ELFA'!H:H)</f>
        <v>MC-A1-2304-S-PB-0001</v>
      </c>
      <c r="E184" s="53" t="str">
        <f>_xlfn.XLOOKUP(C184,'LD-ELFA'!F:F,'LD-ELFA'!Q:Q)</f>
        <v>PIPECABLE RACK</v>
      </c>
      <c r="F184" s="56" t="str">
        <f>_xlfn.XLOOKUP(C184,'Data Base'!D:D,'Data Base'!L:L)</f>
        <v>Documento a emitir</v>
      </c>
      <c r="G184" s="56" t="str">
        <f>IF(I184="Blossom - Atendimento de Comentário",_xlfn.XLOOKUP(C184,'Data Base'!D:D,'Data Base'!Q:Q),"")</f>
        <v/>
      </c>
      <c r="H184" s="56" t="str">
        <f t="shared" ca="1" si="2"/>
        <v>NO PRAZO</v>
      </c>
      <c r="I184" s="57" t="str">
        <f>_xlfn.XLOOKUP(C184,'Data Base'!D:D,'Data Base'!O:O)</f>
        <v>Blossom - Documento a emitir</v>
      </c>
    </row>
    <row r="185" spans="2:9" hidden="1" x14ac:dyDescent="0.25">
      <c r="B185" s="53" t="str">
        <f>_xlfn.XLOOKUP(C185,'Data Base'!D:D,'Data Base'!B:B)</f>
        <v>EM - Estrutura Metalica</v>
      </c>
      <c r="C185" s="53" t="s">
        <v>190</v>
      </c>
      <c r="D185" s="53" t="str">
        <f>_xlfn.XLOOKUP(C185,'LD-ELFA'!F:F,'LD-ELFA'!H:H)</f>
        <v>MC-A1-1411-S-PB-4000</v>
      </c>
      <c r="E185" s="53" t="str">
        <f>_xlfn.XLOOKUP(C185,'LD-ELFA'!F:F,'LD-ELFA'!Q:Q)</f>
        <v>MEMÓRIA DE CÁLCULO</v>
      </c>
      <c r="F185" s="56" t="str">
        <f>_xlfn.XLOOKUP(C185,'Data Base'!D:D,'Data Base'!L:L)</f>
        <v>Documento a emitir</v>
      </c>
      <c r="G185" s="56" t="str">
        <f>IF(I185="Blossom - Atendimento de Comentário",_xlfn.XLOOKUP(C185,'Data Base'!D:D,'Data Base'!Q:Q),"")</f>
        <v/>
      </c>
      <c r="H185" s="56" t="str">
        <f t="shared" ca="1" si="2"/>
        <v>NO PRAZO</v>
      </c>
      <c r="I185" s="57" t="str">
        <f>_xlfn.XLOOKUP(C185,'Data Base'!D:D,'Data Base'!O:O)</f>
        <v>Blossom - Documento a emitir</v>
      </c>
    </row>
    <row r="186" spans="2:9" x14ac:dyDescent="0.25">
      <c r="B186" s="53" t="str">
        <f>_xlfn.XLOOKUP(C186,'Data Base'!D:D,'Data Base'!B:B)</f>
        <v>EM - Estrutura Metalica</v>
      </c>
      <c r="C186" s="53" t="s">
        <v>191</v>
      </c>
      <c r="D186" s="53" t="str">
        <f>_xlfn.XLOOKUP(C186,'LD-ELFA'!F:F,'LD-ELFA'!H:H)</f>
        <v>MC-A1-2201-S-PB-4000</v>
      </c>
      <c r="E186" s="53" t="str">
        <f>_xlfn.XLOOKUP(C186,'LD-ELFA'!F:F,'LD-ELFA'!Q:Q)</f>
        <v xml:space="preserve">MEMÓRIA DE CÁLCULO </v>
      </c>
      <c r="F186" s="56">
        <f>_xlfn.XLOOKUP(C186,'Data Base'!D:D,'Data Base'!L:L)</f>
        <v>46205.400029942131</v>
      </c>
      <c r="G186" s="56" t="str">
        <f>IF(I186="Blossom - Atendimento de Comentário",_xlfn.XLOOKUP(C186,'Data Base'!D:D,'Data Base'!Q:Q),"")</f>
        <v>APC-R  - APC-R - Aprovado com Comentários (Retornar para uma nova Aprovação)</v>
      </c>
      <c r="H186" s="56" t="str">
        <f t="shared" ca="1" si="2"/>
        <v>ATRASADO</v>
      </c>
      <c r="I186" s="57" t="str">
        <f>_xlfn.XLOOKUP(C186,'Data Base'!D:D,'Data Base'!O:O)</f>
        <v>Blossom - Atendimento de Comentário</v>
      </c>
    </row>
    <row r="187" spans="2:9" x14ac:dyDescent="0.25">
      <c r="B187" s="53" t="str">
        <f>_xlfn.XLOOKUP(C187,'Data Base'!D:D,'Data Base'!B:B)</f>
        <v>EM - Estrutura Metalica</v>
      </c>
      <c r="C187" s="53" t="s">
        <v>192</v>
      </c>
      <c r="D187" s="53" t="str">
        <f>_xlfn.XLOOKUP(C187,'LD-ELFA'!F:F,'LD-ELFA'!H:H)</f>
        <v>MC-A1-2202-S-PB-4000</v>
      </c>
      <c r="E187" s="53" t="str">
        <f>_xlfn.XLOOKUP(C187,'LD-ELFA'!F:F,'LD-ELFA'!Q:Q)</f>
        <v xml:space="preserve">MEMÓRIA DE CÁLCULO </v>
      </c>
      <c r="F187" s="56">
        <f>_xlfn.XLOOKUP(C187,'Data Base'!D:D,'Data Base'!L:L)</f>
        <v>46205.449777083333</v>
      </c>
      <c r="G187" s="56" t="str">
        <f>IF(I187="Blossom - Atendimento de Comentário",_xlfn.XLOOKUP(C187,'Data Base'!D:D,'Data Base'!Q:Q),"")</f>
        <v>APC-L  - APC-L  - Aprovado com Comentários (Retornar Aprovado)</v>
      </c>
      <c r="H187" s="56" t="str">
        <f t="shared" ca="1" si="2"/>
        <v>ATRASADO</v>
      </c>
      <c r="I187" s="57" t="str">
        <f>_xlfn.XLOOKUP(C187,'Data Base'!D:D,'Data Base'!O:O)</f>
        <v>Blossom - Atendimento de Comentário</v>
      </c>
    </row>
    <row r="188" spans="2:9" x14ac:dyDescent="0.25">
      <c r="B188" s="53" t="str">
        <f>_xlfn.XLOOKUP(C188,'Data Base'!D:D,'Data Base'!B:B)</f>
        <v>EM - Estrutura Metalica</v>
      </c>
      <c r="C188" s="53" t="s">
        <v>193</v>
      </c>
      <c r="D188" s="53" t="str">
        <f>_xlfn.XLOOKUP(C188,'LD-ELFA'!F:F,'LD-ELFA'!H:H)</f>
        <v>MC-A1-2203-S-PB-4000</v>
      </c>
      <c r="E188" s="53" t="str">
        <f>_xlfn.XLOOKUP(C188,'LD-ELFA'!F:F,'LD-ELFA'!Q:Q)</f>
        <v xml:space="preserve">MEMÓRIA DE CÁLCULO </v>
      </c>
      <c r="F188" s="56">
        <f>_xlfn.XLOOKUP(C188,'Data Base'!D:D,'Data Base'!L:L)</f>
        <v>46205.480170868053</v>
      </c>
      <c r="G188" s="56" t="str">
        <f>IF(I188="Blossom - Atendimento de Comentário",_xlfn.XLOOKUP(C188,'Data Base'!D:D,'Data Base'!Q:Q),"")</f>
        <v>APC-L  - APC-L  - Aprovado com Comentários (Retornar Aprovado)</v>
      </c>
      <c r="H188" s="56" t="str">
        <f t="shared" ca="1" si="2"/>
        <v>ATRASADO</v>
      </c>
      <c r="I188" s="57" t="str">
        <f>_xlfn.XLOOKUP(C188,'Data Base'!D:D,'Data Base'!O:O)</f>
        <v>Blossom - Atendimento de Comentário</v>
      </c>
    </row>
    <row r="189" spans="2:9" x14ac:dyDescent="0.25">
      <c r="B189" s="53" t="str">
        <f>_xlfn.XLOOKUP(C189,'Data Base'!D:D,'Data Base'!B:B)</f>
        <v>EM - Estrutura Metalica</v>
      </c>
      <c r="C189" s="53" t="s">
        <v>194</v>
      </c>
      <c r="D189" s="53" t="str">
        <f>_xlfn.XLOOKUP(C189,'LD-ELFA'!F:F,'LD-ELFA'!H:H)</f>
        <v>MC-A1-2204-S-PB-4000</v>
      </c>
      <c r="E189" s="53" t="str">
        <f>_xlfn.XLOOKUP(C189,'LD-ELFA'!F:F,'LD-ELFA'!Q:Q)</f>
        <v xml:space="preserve">MEMÓRIA DE CÁLCULO </v>
      </c>
      <c r="F189" s="56">
        <f>_xlfn.XLOOKUP(C189,'Data Base'!D:D,'Data Base'!L:L)</f>
        <v>46209.573631134263</v>
      </c>
      <c r="G189" s="56" t="str">
        <f>IF(I189="Blossom - Atendimento de Comentário",_xlfn.XLOOKUP(C189,'Data Base'!D:D,'Data Base'!Q:Q),"")</f>
        <v>APC-L  - APC-L  - Aprovado com Comentários (Retornar Aprovado)</v>
      </c>
      <c r="H189" s="56" t="str">
        <f t="shared" ca="1" si="2"/>
        <v>ATRASADO</v>
      </c>
      <c r="I189" s="57" t="str">
        <f>_xlfn.XLOOKUP(C189,'Data Base'!D:D,'Data Base'!O:O)</f>
        <v>Blossom - Atendimento de Comentário</v>
      </c>
    </row>
    <row r="190" spans="2:9" x14ac:dyDescent="0.25">
      <c r="B190" s="53" t="str">
        <f>_xlfn.XLOOKUP(C190,'Data Base'!D:D,'Data Base'!B:B)</f>
        <v>EM - Estrutura Metalica</v>
      </c>
      <c r="C190" s="53" t="s">
        <v>195</v>
      </c>
      <c r="D190" s="53" t="str">
        <f>_xlfn.XLOOKUP(C190,'LD-ELFA'!F:F,'LD-ELFA'!H:H)</f>
        <v>MC-A1-2205-S-PB-4000</v>
      </c>
      <c r="E190" s="53" t="str">
        <f>_xlfn.XLOOKUP(C190,'LD-ELFA'!F:F,'LD-ELFA'!Q:Q)</f>
        <v xml:space="preserve">MEMÓRIA DE CÁLCULO </v>
      </c>
      <c r="F190" s="56">
        <f>_xlfn.XLOOKUP(C190,'Data Base'!D:D,'Data Base'!L:L)</f>
        <v>46209.576741666657</v>
      </c>
      <c r="G190" s="56" t="str">
        <f>IF(I190="Blossom - Atendimento de Comentário",_xlfn.XLOOKUP(C190,'Data Base'!D:D,'Data Base'!Q:Q),"")</f>
        <v>APC-L  - APC-L  - Aprovado com Comentários (Retornar Aprovado)</v>
      </c>
      <c r="H190" s="56" t="str">
        <f t="shared" ca="1" si="2"/>
        <v>ATRASADO</v>
      </c>
      <c r="I190" s="57" t="str">
        <f>_xlfn.XLOOKUP(C190,'Data Base'!D:D,'Data Base'!O:O)</f>
        <v>Blossom - Atendimento de Comentário</v>
      </c>
    </row>
    <row r="191" spans="2:9" hidden="1" x14ac:dyDescent="0.25">
      <c r="B191" s="53" t="e">
        <f>_xlfn.XLOOKUP(C191,'Data Base'!D:D,'Data Base'!B:B)</f>
        <v>#N/A</v>
      </c>
      <c r="C191" s="53" t="s">
        <v>196</v>
      </c>
      <c r="D191" s="53" t="e">
        <f>_xlfn.XLOOKUP(C191,'LD-ELFA'!F:F,'LD-ELFA'!H:H)</f>
        <v>#N/A</v>
      </c>
      <c r="E191" s="53" t="e">
        <f>_xlfn.XLOOKUP(C191,'LD-ELFA'!F:F,'LD-ELFA'!Q:Q)</f>
        <v>#N/A</v>
      </c>
      <c r="F191" s="56" t="e">
        <f>_xlfn.XLOOKUP(C191,'Data Base'!D:D,'Data Base'!L:L)</f>
        <v>#N/A</v>
      </c>
      <c r="G191" s="56" t="str">
        <f>IF(I191="Blossom - Atendimento de Comentário",_xlfn.XLOOKUP(C191,'Data Base'!D:D,'Data Base'!Q:Q),"")</f>
        <v/>
      </c>
      <c r="H191" s="56" t="e">
        <f t="shared" ca="1" si="2"/>
        <v>#N/A</v>
      </c>
      <c r="I191" s="57" t="str">
        <f>_xlfn.XLOOKUP(C191,'Data Base'!D:D,'Data Base'!O:O)</f>
        <v>Documento Removido</v>
      </c>
    </row>
    <row r="192" spans="2:9" hidden="1" x14ac:dyDescent="0.25">
      <c r="B192" s="53" t="str">
        <f>_xlfn.XLOOKUP(C192,'Data Base'!D:D,'Data Base'!B:B)</f>
        <v>EM - Estrutura Metalica</v>
      </c>
      <c r="C192" s="53" t="s">
        <v>197</v>
      </c>
      <c r="D192" s="53" t="str">
        <f>_xlfn.XLOOKUP(C192,'LD-ELFA'!F:F,'LD-ELFA'!H:H)</f>
        <v>PQ-A1-1411-S-PB-4000</v>
      </c>
      <c r="E192" s="53" t="str">
        <f>_xlfn.XLOOKUP(C192,'LD-ELFA'!F:F,'LD-ELFA'!Q:Q)</f>
        <v>PLANILHA DE QUANTIDADES</v>
      </c>
      <c r="F192" s="56" t="str">
        <f>_xlfn.XLOOKUP(C192,'Data Base'!D:D,'Data Base'!L:L)</f>
        <v>Documento a emitir</v>
      </c>
      <c r="G192" s="56" t="str">
        <f>IF(I192="Blossom - Atendimento de Comentário",_xlfn.XLOOKUP(C192,'Data Base'!D:D,'Data Base'!Q:Q),"")</f>
        <v/>
      </c>
      <c r="H192" s="56" t="str">
        <f t="shared" ca="1" si="2"/>
        <v>NO PRAZO</v>
      </c>
      <c r="I192" s="57" t="str">
        <f>_xlfn.XLOOKUP(C192,'Data Base'!D:D,'Data Base'!O:O)</f>
        <v>Blossom - Documento a emitir</v>
      </c>
    </row>
    <row r="193" spans="2:9" hidden="1" x14ac:dyDescent="0.25">
      <c r="B193" s="53" t="str">
        <f>_xlfn.XLOOKUP(C193,'Data Base'!D:D,'Data Base'!B:B)</f>
        <v>EM - Estrutura Metalica</v>
      </c>
      <c r="C193" s="53" t="s">
        <v>198</v>
      </c>
      <c r="D193" s="53" t="str">
        <f>_xlfn.XLOOKUP(C193,'LD-ELFA'!F:F,'LD-ELFA'!H:H)</f>
        <v>PQ-A1-1000-S-PB-0001</v>
      </c>
      <c r="E193" s="53" t="str">
        <f>_xlfn.XLOOKUP(C193,'LD-ELFA'!F:F,'LD-ELFA'!Q:Q)</f>
        <v>PLANILHA DE QUANTIDADES</v>
      </c>
      <c r="F193" s="56" t="str">
        <f>_xlfn.XLOOKUP(C193,'Data Base'!D:D,'Data Base'!L:L)</f>
        <v>Documento a emitir</v>
      </c>
      <c r="G193" s="56" t="str">
        <f>IF(I193="Blossom - Atendimento de Comentário",_xlfn.XLOOKUP(C193,'Data Base'!D:D,'Data Base'!Q:Q),"")</f>
        <v/>
      </c>
      <c r="H193" s="56" t="str">
        <f t="shared" ca="1" si="2"/>
        <v>NO PRAZO</v>
      </c>
      <c r="I193" s="57" t="str">
        <f>_xlfn.XLOOKUP(C193,'Data Base'!D:D,'Data Base'!O:O)</f>
        <v>Blossom - Documento a emitir</v>
      </c>
    </row>
    <row r="194" spans="2:9" hidden="1" x14ac:dyDescent="0.25">
      <c r="B194" s="53" t="e">
        <f>_xlfn.XLOOKUP(C194,'Data Base'!D:D,'Data Base'!B:B)</f>
        <v>#N/A</v>
      </c>
      <c r="C194" s="53" t="s">
        <v>199</v>
      </c>
      <c r="D194" s="53" t="e">
        <f>_xlfn.XLOOKUP(C194,'LD-ELFA'!F:F,'LD-ELFA'!H:H)</f>
        <v>#N/A</v>
      </c>
      <c r="E194" s="53" t="e">
        <f>_xlfn.XLOOKUP(C194,'LD-ELFA'!F:F,'LD-ELFA'!Q:Q)</f>
        <v>#N/A</v>
      </c>
      <c r="F194" s="56" t="e">
        <f>_xlfn.XLOOKUP(C194,'Data Base'!D:D,'Data Base'!L:L)</f>
        <v>#N/A</v>
      </c>
      <c r="G194" s="56" t="str">
        <f>IF(I194="Blossom - Atendimento de Comentário",_xlfn.XLOOKUP(C194,'Data Base'!D:D,'Data Base'!Q:Q),"")</f>
        <v/>
      </c>
      <c r="H194" s="56" t="e">
        <f t="shared" ca="1" si="2"/>
        <v>#N/A</v>
      </c>
      <c r="I194" s="57" t="str">
        <f>_xlfn.XLOOKUP(C194,'Data Base'!D:D,'Data Base'!O:O)</f>
        <v>Documento Removido</v>
      </c>
    </row>
    <row r="195" spans="2:9" hidden="1" x14ac:dyDescent="0.25">
      <c r="B195" s="53" t="str">
        <f>_xlfn.XLOOKUP(C195,'Data Base'!D:D,'Data Base'!B:B)</f>
        <v>GE - Gestao De Engenharia</v>
      </c>
      <c r="C195" s="53" t="s">
        <v>200</v>
      </c>
      <c r="D195" s="53" t="str">
        <f>_xlfn.XLOOKUP(C195,'LD-ELFA'!F:F,'LD-ELFA'!H:H)</f>
        <v>AR-A1-1000-G-PB-4000</v>
      </c>
      <c r="E195" s="53" t="str">
        <f>_xlfn.XLOOKUP(C195,'LD-ELFA'!F:F,'LD-ELFA'!Q:Q)</f>
        <v>ATA - APRESENTAÇÃO PROJETO</v>
      </c>
      <c r="F195" s="56">
        <f>_xlfn.XLOOKUP(C195,'Data Base'!D:D,'Data Base'!L:L)</f>
        <v>46216.486942557873</v>
      </c>
      <c r="G195" s="56" t="str">
        <f>IF(I195="Blossom - Atendimento de Comentário",_xlfn.XLOOKUP(C195,'Data Base'!D:D,'Data Base'!Q:Q),"")</f>
        <v/>
      </c>
      <c r="H195" s="56" t="str">
        <f t="shared" ref="H195:H258" ca="1" si="3">IF(F195&lt;=WORKDAY(TODAY(),-3),"ATRASADO","NO PRAZO")</f>
        <v>NO PRAZO</v>
      </c>
      <c r="I195" s="57" t="str">
        <f>_xlfn.XLOOKUP(C195,'Data Base'!D:D,'Data Base'!O:O)</f>
        <v>Documento Concluído</v>
      </c>
    </row>
    <row r="196" spans="2:9" x14ac:dyDescent="0.25">
      <c r="B196" s="53" t="str">
        <f>_xlfn.XLOOKUP(C196,'Data Base'!D:D,'Data Base'!B:B)</f>
        <v>GE - Gestao De Engenharia</v>
      </c>
      <c r="C196" s="53" t="s">
        <v>201</v>
      </c>
      <c r="D196" s="53" t="str">
        <f>_xlfn.XLOOKUP(C196,'LD-ELFA'!F:F,'LD-ELFA'!H:H)</f>
        <v>AR-A1-1000-G-PB-4001</v>
      </c>
      <c r="E196" s="53" t="str">
        <f>_xlfn.XLOOKUP(C196,'LD-ELFA'!F:F,'LD-ELFA'!Q:Q)</f>
        <v>ATA - APRESENTAÇÃO PROJETO</v>
      </c>
      <c r="F196" s="56">
        <f>_xlfn.XLOOKUP(C196,'Data Base'!D:D,'Data Base'!L:L)</f>
        <v>46213.598301238417</v>
      </c>
      <c r="G196" s="56" t="str">
        <f>IF(I196="Blossom - Atendimento de Comentário",_xlfn.XLOOKUP(C196,'Data Base'!D:D,'Data Base'!Q:Q),"")</f>
        <v>APC-R  - APC-R - Aprovado com Comentários (Retornar para uma nova Aprovação)</v>
      </c>
      <c r="H196" s="56" t="str">
        <f t="shared" ca="1" si="3"/>
        <v>NO PRAZO</v>
      </c>
      <c r="I196" s="57" t="str">
        <f>_xlfn.XLOOKUP(C196,'Data Base'!D:D,'Data Base'!O:O)</f>
        <v>Blossom - Atendimento de Comentário</v>
      </c>
    </row>
    <row r="197" spans="2:9" x14ac:dyDescent="0.25">
      <c r="B197" s="53" t="str">
        <f>_xlfn.XLOOKUP(C197,'Data Base'!D:D,'Data Base'!B:B)</f>
        <v>GE - Gestao De Engenharia</v>
      </c>
      <c r="C197" s="53" t="s">
        <v>202</v>
      </c>
      <c r="D197" s="53" t="str">
        <f>_xlfn.XLOOKUP(C197,'LD-ELFA'!F:F,'LD-ELFA'!H:H)</f>
        <v>AR-A1-1000-G-PB-4002</v>
      </c>
      <c r="E197" s="53" t="str">
        <f>_xlfn.XLOOKUP(C197,'LD-ELFA'!F:F,'LD-ELFA'!Q:Q)</f>
        <v>ATA - APRESENTAÇÃO PROJETO</v>
      </c>
      <c r="F197" s="56">
        <f>_xlfn.XLOOKUP(C197,'Data Base'!D:D,'Data Base'!L:L)</f>
        <v>46213.599122453707</v>
      </c>
      <c r="G197" s="56" t="str">
        <f>IF(I197="Blossom - Atendimento de Comentário",_xlfn.XLOOKUP(C197,'Data Base'!D:D,'Data Base'!Q:Q),"")</f>
        <v>APR - APROVADO</v>
      </c>
      <c r="H197" s="56" t="str">
        <f t="shared" ca="1" si="3"/>
        <v>NO PRAZO</v>
      </c>
      <c r="I197" s="57" t="str">
        <f>_xlfn.XLOOKUP(C197,'Data Base'!D:D,'Data Base'!O:O)</f>
        <v>Blossom - Atendimento de Comentário</v>
      </c>
    </row>
    <row r="198" spans="2:9" x14ac:dyDescent="0.25">
      <c r="B198" s="53" t="str">
        <f>_xlfn.XLOOKUP(C198,'Data Base'!D:D,'Data Base'!B:B)</f>
        <v>GE - Gestao De Engenharia</v>
      </c>
      <c r="C198" s="53" t="s">
        <v>203</v>
      </c>
      <c r="D198" s="53" t="str">
        <f>_xlfn.XLOOKUP(C198,'LD-ELFA'!F:F,'LD-ELFA'!H:H)</f>
        <v>AR-A1-1000-G-PB-4003</v>
      </c>
      <c r="E198" s="53" t="str">
        <f>_xlfn.XLOOKUP(C198,'LD-ELFA'!F:F,'LD-ELFA'!Q:Q)</f>
        <v>ATA - APRESENTAÇÃO PROJETO</v>
      </c>
      <c r="F198" s="56">
        <f>_xlfn.XLOOKUP(C198,'Data Base'!D:D,'Data Base'!L:L)</f>
        <v>46213.5970241088</v>
      </c>
      <c r="G198" s="56" t="str">
        <f>IF(I198="Blossom - Atendimento de Comentário",_xlfn.XLOOKUP(C198,'Data Base'!D:D,'Data Base'!Q:Q),"")</f>
        <v>APC-R  - APC-R - Aprovado com Comentários (Retornar para uma nova Aprovação)</v>
      </c>
      <c r="H198" s="56" t="str">
        <f t="shared" ca="1" si="3"/>
        <v>NO PRAZO</v>
      </c>
      <c r="I198" s="57" t="str">
        <f>_xlfn.XLOOKUP(C198,'Data Base'!D:D,'Data Base'!O:O)</f>
        <v>Blossom - Atendimento de Comentário</v>
      </c>
    </row>
    <row r="199" spans="2:9" hidden="1" x14ac:dyDescent="0.25">
      <c r="B199" s="53" t="str">
        <f>_xlfn.XLOOKUP(C199,'Data Base'!D:D,'Data Base'!B:B)</f>
        <v>GE - Gestao De Engenharia</v>
      </c>
      <c r="C199" s="53" t="s">
        <v>204</v>
      </c>
      <c r="D199" s="53" t="str">
        <f>_xlfn.XLOOKUP(C199,'LD-ELFA'!F:F,'LD-ELFA'!H:H)</f>
        <v>AR-A1-1000-G-PB-4004</v>
      </c>
      <c r="E199" s="53" t="str">
        <f>_xlfn.XLOOKUP(C199,'LD-ELFA'!F:F,'LD-ELFA'!Q:Q)</f>
        <v>ATA - APRESENTAÇÃO PROJETO</v>
      </c>
      <c r="F199" s="56" t="str">
        <f>_xlfn.XLOOKUP(C199,'Data Base'!D:D,'Data Base'!L:L)</f>
        <v>Documento a emitir</v>
      </c>
      <c r="G199" s="56" t="str">
        <f>IF(I199="Blossom - Atendimento de Comentário",_xlfn.XLOOKUP(C199,'Data Base'!D:D,'Data Base'!Q:Q),"")</f>
        <v/>
      </c>
      <c r="H199" s="56" t="str">
        <f t="shared" ca="1" si="3"/>
        <v>NO PRAZO</v>
      </c>
      <c r="I199" s="57" t="str">
        <f>_xlfn.XLOOKUP(C199,'Data Base'!D:D,'Data Base'!O:O)</f>
        <v>Documento Removido</v>
      </c>
    </row>
    <row r="200" spans="2:9" hidden="1" x14ac:dyDescent="0.25">
      <c r="B200" s="53" t="str">
        <f>_xlfn.XLOOKUP(C200,'Data Base'!D:D,'Data Base'!B:B)</f>
        <v>GE - Gestao De Engenharia</v>
      </c>
      <c r="C200" s="53" t="s">
        <v>205</v>
      </c>
      <c r="D200" s="53" t="str">
        <f>_xlfn.XLOOKUP(C200,'LD-ELFA'!F:F,'LD-ELFA'!H:H)</f>
        <v>AR-A1-1000-G-PB-4005</v>
      </c>
      <c r="E200" s="53" t="str">
        <f>_xlfn.XLOOKUP(C200,'LD-ELFA'!F:F,'LD-ELFA'!Q:Q)</f>
        <v>ATA - APRESENTAÇÃO PROJETO</v>
      </c>
      <c r="F200" s="56" t="str">
        <f>_xlfn.XLOOKUP(C200,'Data Base'!D:D,'Data Base'!L:L)</f>
        <v>Documento a emitir</v>
      </c>
      <c r="G200" s="56" t="str">
        <f>IF(I200="Blossom - Atendimento de Comentário",_xlfn.XLOOKUP(C200,'Data Base'!D:D,'Data Base'!Q:Q),"")</f>
        <v/>
      </c>
      <c r="H200" s="56" t="str">
        <f t="shared" ca="1" si="3"/>
        <v>NO PRAZO</v>
      </c>
      <c r="I200" s="57" t="str">
        <f>_xlfn.XLOOKUP(C200,'Data Base'!D:D,'Data Base'!O:O)</f>
        <v>Documento Removido</v>
      </c>
    </row>
    <row r="201" spans="2:9" hidden="1" x14ac:dyDescent="0.25">
      <c r="B201" s="53" t="str">
        <f>_xlfn.XLOOKUP(C201,'Data Base'!D:D,'Data Base'!B:B)</f>
        <v>GE - Gestao De Engenharia</v>
      </c>
      <c r="C201" s="53" t="s">
        <v>206</v>
      </c>
      <c r="D201" s="53" t="str">
        <f>_xlfn.XLOOKUP(C201,'LD-ELFA'!F:F,'LD-ELFA'!H:H)</f>
        <v>AR-A1-1000-G-PB-4006</v>
      </c>
      <c r="E201" s="53" t="str">
        <f>_xlfn.XLOOKUP(C201,'LD-ELFA'!F:F,'LD-ELFA'!Q:Q)</f>
        <v>ATA - APRESENTAÇÃO PROJETO</v>
      </c>
      <c r="F201" s="56" t="str">
        <f>_xlfn.XLOOKUP(C201,'Data Base'!D:D,'Data Base'!L:L)</f>
        <v>Documento a emitir</v>
      </c>
      <c r="G201" s="56" t="str">
        <f>IF(I201="Blossom - Atendimento de Comentário",_xlfn.XLOOKUP(C201,'Data Base'!D:D,'Data Base'!Q:Q),"")</f>
        <v/>
      </c>
      <c r="H201" s="56" t="str">
        <f t="shared" ca="1" si="3"/>
        <v>NO PRAZO</v>
      </c>
      <c r="I201" s="57" t="str">
        <f>_xlfn.XLOOKUP(C201,'Data Base'!D:D,'Data Base'!O:O)</f>
        <v>Documento Removido</v>
      </c>
    </row>
    <row r="202" spans="2:9" hidden="1" x14ac:dyDescent="0.25">
      <c r="B202" s="53" t="str">
        <f>_xlfn.XLOOKUP(C202,'Data Base'!D:D,'Data Base'!B:B)</f>
        <v>GE - Gestao De Engenharia</v>
      </c>
      <c r="C202" s="53" t="s">
        <v>207</v>
      </c>
      <c r="D202" s="53" t="str">
        <f>_xlfn.XLOOKUP(C202,'LD-ELFA'!F:F,'LD-ELFA'!H:H)</f>
        <v>AR-A1-1000-G-PB-4007</v>
      </c>
      <c r="E202" s="53" t="str">
        <f>_xlfn.XLOOKUP(C202,'LD-ELFA'!F:F,'LD-ELFA'!Q:Q)</f>
        <v>ATA - APRESENTAÇÃO PROJETO</v>
      </c>
      <c r="F202" s="56" t="str">
        <f>_xlfn.XLOOKUP(C202,'Data Base'!D:D,'Data Base'!L:L)</f>
        <v>Documento a emitir</v>
      </c>
      <c r="G202" s="56" t="str">
        <f>IF(I202="Blossom - Atendimento de Comentário",_xlfn.XLOOKUP(C202,'Data Base'!D:D,'Data Base'!Q:Q),"")</f>
        <v/>
      </c>
      <c r="H202" s="56" t="str">
        <f t="shared" ca="1" si="3"/>
        <v>NO PRAZO</v>
      </c>
      <c r="I202" s="57" t="str">
        <f>_xlfn.XLOOKUP(C202,'Data Base'!D:D,'Data Base'!O:O)</f>
        <v>Documento Removido</v>
      </c>
    </row>
    <row r="203" spans="2:9" hidden="1" x14ac:dyDescent="0.25">
      <c r="B203" s="53" t="str">
        <f>_xlfn.XLOOKUP(C203,'Data Base'!D:D,'Data Base'!B:B)</f>
        <v>GE - Gestao De Engenharia</v>
      </c>
      <c r="C203" s="53" t="s">
        <v>208</v>
      </c>
      <c r="D203" s="53" t="str">
        <f>_xlfn.XLOOKUP(C203,'LD-ELFA'!F:F,'LD-ELFA'!H:H)</f>
        <v>AR-A1-1000-G-PB-4008</v>
      </c>
      <c r="E203" s="53" t="str">
        <f>_xlfn.XLOOKUP(C203,'LD-ELFA'!F:F,'LD-ELFA'!Q:Q)</f>
        <v>ATA - APRESENTAÇÃO PROJETO</v>
      </c>
      <c r="F203" s="56" t="str">
        <f>_xlfn.XLOOKUP(C203,'Data Base'!D:D,'Data Base'!L:L)</f>
        <v>Documento a emitir</v>
      </c>
      <c r="G203" s="56" t="str">
        <f>IF(I203="Blossom - Atendimento de Comentário",_xlfn.XLOOKUP(C203,'Data Base'!D:D,'Data Base'!Q:Q),"")</f>
        <v/>
      </c>
      <c r="H203" s="56" t="str">
        <f t="shared" ca="1" si="3"/>
        <v>NO PRAZO</v>
      </c>
      <c r="I203" s="57" t="str">
        <f>_xlfn.XLOOKUP(C203,'Data Base'!D:D,'Data Base'!O:O)</f>
        <v>Documento Removido</v>
      </c>
    </row>
    <row r="204" spans="2:9" hidden="1" x14ac:dyDescent="0.25">
      <c r="B204" s="53" t="str">
        <f>_xlfn.XLOOKUP(C204,'Data Base'!D:D,'Data Base'!B:B)</f>
        <v>GE - Gestao De Engenharia</v>
      </c>
      <c r="C204" s="53" t="s">
        <v>209</v>
      </c>
      <c r="D204" s="53" t="str">
        <f>_xlfn.XLOOKUP(C204,'LD-ELFA'!F:F,'LD-ELFA'!H:H)</f>
        <v>AR-A1-1000-G-PB-4009</v>
      </c>
      <c r="E204" s="53" t="str">
        <f>_xlfn.XLOOKUP(C204,'LD-ELFA'!F:F,'LD-ELFA'!Q:Q)</f>
        <v>ATA - APRESENTAÇÃO PROJETO</v>
      </c>
      <c r="F204" s="56" t="str">
        <f>_xlfn.XLOOKUP(C204,'Data Base'!D:D,'Data Base'!L:L)</f>
        <v>Documento a emitir</v>
      </c>
      <c r="G204" s="56" t="str">
        <f>IF(I204="Blossom - Atendimento de Comentário",_xlfn.XLOOKUP(C204,'Data Base'!D:D,'Data Base'!Q:Q),"")</f>
        <v/>
      </c>
      <c r="H204" s="56" t="str">
        <f t="shared" ca="1" si="3"/>
        <v>NO PRAZO</v>
      </c>
      <c r="I204" s="57" t="str">
        <f>_xlfn.XLOOKUP(C204,'Data Base'!D:D,'Data Base'!O:O)</f>
        <v>Documento Removido</v>
      </c>
    </row>
    <row r="205" spans="2:9" hidden="1" x14ac:dyDescent="0.25">
      <c r="B205" s="53" t="str">
        <f>_xlfn.XLOOKUP(C205,'Data Base'!D:D,'Data Base'!B:B)</f>
        <v>GE - Gestao De Engenharia</v>
      </c>
      <c r="C205" s="53" t="s">
        <v>210</v>
      </c>
      <c r="D205" s="53" t="str">
        <f>_xlfn.XLOOKUP(C205,'LD-ELFA'!F:F,'LD-ELFA'!H:H)</f>
        <v>AR-A1-1000-G-PB-4010</v>
      </c>
      <c r="E205" s="53" t="str">
        <f>_xlfn.XLOOKUP(C205,'LD-ELFA'!F:F,'LD-ELFA'!Q:Q)</f>
        <v>ATA - APRESENTAÇÃO PROJETO</v>
      </c>
      <c r="F205" s="56" t="str">
        <f>_xlfn.XLOOKUP(C205,'Data Base'!D:D,'Data Base'!L:L)</f>
        <v>Documento a emitir</v>
      </c>
      <c r="G205" s="56" t="str">
        <f>IF(I205="Blossom - Atendimento de Comentário",_xlfn.XLOOKUP(C205,'Data Base'!D:D,'Data Base'!Q:Q),"")</f>
        <v/>
      </c>
      <c r="H205" s="56" t="str">
        <f t="shared" ca="1" si="3"/>
        <v>NO PRAZO</v>
      </c>
      <c r="I205" s="57" t="str">
        <f>_xlfn.XLOOKUP(C205,'Data Base'!D:D,'Data Base'!O:O)</f>
        <v>Documento Removido</v>
      </c>
    </row>
    <row r="206" spans="2:9" hidden="1" x14ac:dyDescent="0.25">
      <c r="B206" s="53" t="str">
        <f>_xlfn.XLOOKUP(C206,'Data Base'!D:D,'Data Base'!B:B)</f>
        <v>GE - Gestao De Engenharia</v>
      </c>
      <c r="C206" s="53" t="s">
        <v>211</v>
      </c>
      <c r="D206" s="53" t="str">
        <f>_xlfn.XLOOKUP(C206,'LD-ELFA'!F:F,'LD-ELFA'!H:H)</f>
        <v>AR-A1-1000-G-PB-4011</v>
      </c>
      <c r="E206" s="53" t="str">
        <f>_xlfn.XLOOKUP(C206,'LD-ELFA'!F:F,'LD-ELFA'!Q:Q)</f>
        <v>ATA - APRESENTAÇÃO PROJETO</v>
      </c>
      <c r="F206" s="56" t="str">
        <f>_xlfn.XLOOKUP(C206,'Data Base'!D:D,'Data Base'!L:L)</f>
        <v>Documento a emitir</v>
      </c>
      <c r="G206" s="56" t="str">
        <f>IF(I206="Blossom - Atendimento de Comentário",_xlfn.XLOOKUP(C206,'Data Base'!D:D,'Data Base'!Q:Q),"")</f>
        <v/>
      </c>
      <c r="H206" s="56" t="str">
        <f t="shared" ca="1" si="3"/>
        <v>NO PRAZO</v>
      </c>
      <c r="I206" s="57" t="str">
        <f>_xlfn.XLOOKUP(C206,'Data Base'!D:D,'Data Base'!O:O)</f>
        <v>Documento Removido</v>
      </c>
    </row>
    <row r="207" spans="2:9" hidden="1" x14ac:dyDescent="0.25">
      <c r="B207" s="53" t="str">
        <f>_xlfn.XLOOKUP(C207,'Data Base'!D:D,'Data Base'!B:B)</f>
        <v>GE - Gestao De Engenharia</v>
      </c>
      <c r="C207" s="53" t="s">
        <v>212</v>
      </c>
      <c r="D207" s="53" t="str">
        <f>_xlfn.XLOOKUP(C207,'LD-ELFA'!F:F,'LD-ELFA'!H:H)</f>
        <v>AR-A1-1000-G-PB-4012</v>
      </c>
      <c r="E207" s="53" t="str">
        <f>_xlfn.XLOOKUP(C207,'LD-ELFA'!F:F,'LD-ELFA'!Q:Q)</f>
        <v>ATA - APRESENTAÇÃO PROJETO</v>
      </c>
      <c r="F207" s="56" t="str">
        <f>_xlfn.XLOOKUP(C207,'Data Base'!D:D,'Data Base'!L:L)</f>
        <v>Documento a emitir</v>
      </c>
      <c r="G207" s="56" t="str">
        <f>IF(I207="Blossom - Atendimento de Comentário",_xlfn.XLOOKUP(C207,'Data Base'!D:D,'Data Base'!Q:Q),"")</f>
        <v/>
      </c>
      <c r="H207" s="56" t="str">
        <f t="shared" ca="1" si="3"/>
        <v>NO PRAZO</v>
      </c>
      <c r="I207" s="57" t="str">
        <f>_xlfn.XLOOKUP(C207,'Data Base'!D:D,'Data Base'!O:O)</f>
        <v>Documento Removido</v>
      </c>
    </row>
    <row r="208" spans="2:9" hidden="1" x14ac:dyDescent="0.25">
      <c r="B208" s="53" t="str">
        <f>_xlfn.XLOOKUP(C208,'Data Base'!D:D,'Data Base'!B:B)</f>
        <v>GE - Gestao De Engenharia</v>
      </c>
      <c r="C208" s="53" t="s">
        <v>213</v>
      </c>
      <c r="D208" s="53" t="str">
        <f>_xlfn.XLOOKUP(C208,'LD-ELFA'!F:F,'LD-ELFA'!H:H)</f>
        <v>AR-A1-1000-G-PB-4013</v>
      </c>
      <c r="E208" s="53" t="str">
        <f>_xlfn.XLOOKUP(C208,'LD-ELFA'!F:F,'LD-ELFA'!Q:Q)</f>
        <v>ATA - APRESENTAÇÃO PROJETO</v>
      </c>
      <c r="F208" s="56" t="str">
        <f>_xlfn.XLOOKUP(C208,'Data Base'!D:D,'Data Base'!L:L)</f>
        <v>Documento a emitir</v>
      </c>
      <c r="G208" s="56" t="str">
        <f>IF(I208="Blossom - Atendimento de Comentário",_xlfn.XLOOKUP(C208,'Data Base'!D:D,'Data Base'!Q:Q),"")</f>
        <v/>
      </c>
      <c r="H208" s="56" t="str">
        <f t="shared" ca="1" si="3"/>
        <v>NO PRAZO</v>
      </c>
      <c r="I208" s="57" t="str">
        <f>_xlfn.XLOOKUP(C208,'Data Base'!D:D,'Data Base'!O:O)</f>
        <v>Documento Removido</v>
      </c>
    </row>
    <row r="209" spans="2:9" hidden="1" x14ac:dyDescent="0.25">
      <c r="B209" s="53" t="str">
        <f>_xlfn.XLOOKUP(C209,'Data Base'!D:D,'Data Base'!B:B)</f>
        <v>GE - Gestao De Engenharia</v>
      </c>
      <c r="C209" s="53" t="s">
        <v>214</v>
      </c>
      <c r="D209" s="53" t="str">
        <f>_xlfn.XLOOKUP(C209,'LD-ELFA'!F:F,'LD-ELFA'!H:H)</f>
        <v>AR-A1-1000-G-PB-4014</v>
      </c>
      <c r="E209" s="53" t="str">
        <f>_xlfn.XLOOKUP(C209,'LD-ELFA'!F:F,'LD-ELFA'!Q:Q)</f>
        <v>ATA - APRESENTAÇÃO PROJETO</v>
      </c>
      <c r="F209" s="56" t="str">
        <f>_xlfn.XLOOKUP(C209,'Data Base'!D:D,'Data Base'!L:L)</f>
        <v>Documento a emitir</v>
      </c>
      <c r="G209" s="56" t="str">
        <f>IF(I209="Blossom - Atendimento de Comentário",_xlfn.XLOOKUP(C209,'Data Base'!D:D,'Data Base'!Q:Q),"")</f>
        <v/>
      </c>
      <c r="H209" s="56" t="str">
        <f t="shared" ca="1" si="3"/>
        <v>NO PRAZO</v>
      </c>
      <c r="I209" s="57" t="str">
        <f>_xlfn.XLOOKUP(C209,'Data Base'!D:D,'Data Base'!O:O)</f>
        <v>Documento Removido</v>
      </c>
    </row>
    <row r="210" spans="2:9" hidden="1" x14ac:dyDescent="0.25">
      <c r="B210" s="53" t="str">
        <f>_xlfn.XLOOKUP(C210,'Data Base'!D:D,'Data Base'!B:B)</f>
        <v>GE - Gestao De Engenharia</v>
      </c>
      <c r="C210" s="53" t="s">
        <v>215</v>
      </c>
      <c r="D210" s="53" t="str">
        <f>_xlfn.XLOOKUP(C210,'LD-ELFA'!F:F,'LD-ELFA'!H:H)</f>
        <v>AR-A1-1000-G-PB-4015</v>
      </c>
      <c r="E210" s="53" t="str">
        <f>_xlfn.XLOOKUP(C210,'LD-ELFA'!F:F,'LD-ELFA'!Q:Q)</f>
        <v>ATA - APRESENTAÇÃO PROJETO</v>
      </c>
      <c r="F210" s="56" t="str">
        <f>_xlfn.XLOOKUP(C210,'Data Base'!D:D,'Data Base'!L:L)</f>
        <v>Documento a emitir</v>
      </c>
      <c r="G210" s="56" t="str">
        <f>IF(I210="Blossom - Atendimento de Comentário",_xlfn.XLOOKUP(C210,'Data Base'!D:D,'Data Base'!Q:Q),"")</f>
        <v/>
      </c>
      <c r="H210" s="56" t="str">
        <f t="shared" ca="1" si="3"/>
        <v>NO PRAZO</v>
      </c>
      <c r="I210" s="57" t="str">
        <f>_xlfn.XLOOKUP(C210,'Data Base'!D:D,'Data Base'!O:O)</f>
        <v>Documento Removido</v>
      </c>
    </row>
    <row r="211" spans="2:9" hidden="1" x14ac:dyDescent="0.25">
      <c r="B211" s="53" t="str">
        <f>_xlfn.XLOOKUP(C211,'Data Base'!D:D,'Data Base'!B:B)</f>
        <v>GE - Gestao De Engenharia</v>
      </c>
      <c r="C211" s="53" t="s">
        <v>216</v>
      </c>
      <c r="D211" s="53" t="str">
        <f>_xlfn.XLOOKUP(C211,'LD-ELFA'!F:F,'LD-ELFA'!H:H)</f>
        <v>AR-A1-1000-G-PB-4016</v>
      </c>
      <c r="E211" s="53" t="str">
        <f>_xlfn.XLOOKUP(C211,'LD-ELFA'!F:F,'LD-ELFA'!Q:Q)</f>
        <v>ATA - APRESENTAÇÃO PROJETO</v>
      </c>
      <c r="F211" s="56" t="str">
        <f>_xlfn.XLOOKUP(C211,'Data Base'!D:D,'Data Base'!L:L)</f>
        <v>Documento a emitir</v>
      </c>
      <c r="G211" s="56" t="str">
        <f>IF(I211="Blossom - Atendimento de Comentário",_xlfn.XLOOKUP(C211,'Data Base'!D:D,'Data Base'!Q:Q),"")</f>
        <v/>
      </c>
      <c r="H211" s="56" t="str">
        <f t="shared" ca="1" si="3"/>
        <v>NO PRAZO</v>
      </c>
      <c r="I211" s="57" t="str">
        <f>_xlfn.XLOOKUP(C211,'Data Base'!D:D,'Data Base'!O:O)</f>
        <v>Documento Removido</v>
      </c>
    </row>
    <row r="212" spans="2:9" hidden="1" x14ac:dyDescent="0.25">
      <c r="B212" s="53" t="str">
        <f>_xlfn.XLOOKUP(C212,'Data Base'!D:D,'Data Base'!B:B)</f>
        <v>GE - Gestao De Engenharia</v>
      </c>
      <c r="C212" s="53" t="s">
        <v>217</v>
      </c>
      <c r="D212" s="53" t="str">
        <f>_xlfn.XLOOKUP(C212,'LD-ELFA'!F:F,'LD-ELFA'!H:H)</f>
        <v>AR-A1-1000-G-PB-4017</v>
      </c>
      <c r="E212" s="53" t="str">
        <f>_xlfn.XLOOKUP(C212,'LD-ELFA'!F:F,'LD-ELFA'!Q:Q)</f>
        <v>ATA - APRESENTAÇÃO PROJETO</v>
      </c>
      <c r="F212" s="56" t="str">
        <f>_xlfn.XLOOKUP(C212,'Data Base'!D:D,'Data Base'!L:L)</f>
        <v>Documento a emitir</v>
      </c>
      <c r="G212" s="56" t="str">
        <f>IF(I212="Blossom - Atendimento de Comentário",_xlfn.XLOOKUP(C212,'Data Base'!D:D,'Data Base'!Q:Q),"")</f>
        <v/>
      </c>
      <c r="H212" s="56" t="str">
        <f t="shared" ca="1" si="3"/>
        <v>NO PRAZO</v>
      </c>
      <c r="I212" s="57" t="str">
        <f>_xlfn.XLOOKUP(C212,'Data Base'!D:D,'Data Base'!O:O)</f>
        <v>Documento Removido</v>
      </c>
    </row>
    <row r="213" spans="2:9" hidden="1" x14ac:dyDescent="0.25">
      <c r="B213" s="53" t="str">
        <f>_xlfn.XLOOKUP(C213,'Data Base'!D:D,'Data Base'!B:B)</f>
        <v>GE - Gestao De Engenharia</v>
      </c>
      <c r="C213" s="53" t="s">
        <v>218</v>
      </c>
      <c r="D213" s="53" t="str">
        <f>_xlfn.XLOOKUP(C213,'LD-ELFA'!F:F,'LD-ELFA'!H:H)</f>
        <v>AR-A1-1000-G-PB-4018</v>
      </c>
      <c r="E213" s="53" t="str">
        <f>_xlfn.XLOOKUP(C213,'LD-ELFA'!F:F,'LD-ELFA'!Q:Q)</f>
        <v>ATA - APRESENTAÇÃO PROJETO</v>
      </c>
      <c r="F213" s="56" t="str">
        <f>_xlfn.XLOOKUP(C213,'Data Base'!D:D,'Data Base'!L:L)</f>
        <v>Documento a emitir</v>
      </c>
      <c r="G213" s="56" t="str">
        <f>IF(I213="Blossom - Atendimento de Comentário",_xlfn.XLOOKUP(C213,'Data Base'!D:D,'Data Base'!Q:Q),"")</f>
        <v/>
      </c>
      <c r="H213" s="56" t="str">
        <f t="shared" ca="1" si="3"/>
        <v>NO PRAZO</v>
      </c>
      <c r="I213" s="57" t="str">
        <f>_xlfn.XLOOKUP(C213,'Data Base'!D:D,'Data Base'!O:O)</f>
        <v>Documento Removido</v>
      </c>
    </row>
    <row r="214" spans="2:9" hidden="1" x14ac:dyDescent="0.25">
      <c r="B214" s="53" t="str">
        <f>_xlfn.XLOOKUP(C214,'Data Base'!D:D,'Data Base'!B:B)</f>
        <v>GE - Gestao De Engenharia</v>
      </c>
      <c r="C214" s="53" t="s">
        <v>219</v>
      </c>
      <c r="D214" s="53" t="str">
        <f>_xlfn.XLOOKUP(C214,'LD-ELFA'!F:F,'LD-ELFA'!H:H)</f>
        <v>AR-A1-1000-G-PB-4019</v>
      </c>
      <c r="E214" s="53" t="str">
        <f>_xlfn.XLOOKUP(C214,'LD-ELFA'!F:F,'LD-ELFA'!Q:Q)</f>
        <v>ATA - APRESENTAÇÃO PROJETO</v>
      </c>
      <c r="F214" s="56" t="str">
        <f>_xlfn.XLOOKUP(C214,'Data Base'!D:D,'Data Base'!L:L)</f>
        <v>Documento a emitir</v>
      </c>
      <c r="G214" s="56" t="str">
        <f>IF(I214="Blossom - Atendimento de Comentário",_xlfn.XLOOKUP(C214,'Data Base'!D:D,'Data Base'!Q:Q),"")</f>
        <v/>
      </c>
      <c r="H214" s="56" t="str">
        <f t="shared" ca="1" si="3"/>
        <v>NO PRAZO</v>
      </c>
      <c r="I214" s="57" t="str">
        <f>_xlfn.XLOOKUP(C214,'Data Base'!D:D,'Data Base'!O:O)</f>
        <v>Documento Removido</v>
      </c>
    </row>
    <row r="215" spans="2:9" hidden="1" x14ac:dyDescent="0.25">
      <c r="B215" s="53" t="e">
        <f>_xlfn.XLOOKUP(C215,'Data Base'!D:D,'Data Base'!B:B)</f>
        <v>#N/A</v>
      </c>
      <c r="C215" s="53" t="s">
        <v>220</v>
      </c>
      <c r="D215" s="53" t="e">
        <f>_xlfn.XLOOKUP(C215,'LD-ELFA'!F:F,'LD-ELFA'!H:H)</f>
        <v>#N/A</v>
      </c>
      <c r="E215" s="53" t="e">
        <f>_xlfn.XLOOKUP(C215,'LD-ELFA'!F:F,'LD-ELFA'!Q:Q)</f>
        <v>#N/A</v>
      </c>
      <c r="F215" s="56" t="e">
        <f>_xlfn.XLOOKUP(C215,'Data Base'!D:D,'Data Base'!L:L)</f>
        <v>#N/A</v>
      </c>
      <c r="G215" s="56" t="str">
        <f>IF(I215="Blossom - Atendimento de Comentário",_xlfn.XLOOKUP(C215,'Data Base'!D:D,'Data Base'!Q:Q),"")</f>
        <v/>
      </c>
      <c r="H215" s="56" t="e">
        <f t="shared" ca="1" si="3"/>
        <v>#N/A</v>
      </c>
      <c r="I215" s="57" t="str">
        <f>_xlfn.XLOOKUP(C215,'Data Base'!D:D,'Data Base'!O:O)</f>
        <v>Documento Removido</v>
      </c>
    </row>
    <row r="216" spans="2:9" hidden="1" x14ac:dyDescent="0.25">
      <c r="B216" s="53" t="e">
        <f>_xlfn.XLOOKUP(C216,'Data Base'!D:D,'Data Base'!B:B)</f>
        <v>#N/A</v>
      </c>
      <c r="C216" s="53" t="s">
        <v>221</v>
      </c>
      <c r="D216" s="53" t="e">
        <f>_xlfn.XLOOKUP(C216,'LD-ELFA'!F:F,'LD-ELFA'!H:H)</f>
        <v>#N/A</v>
      </c>
      <c r="E216" s="53" t="e">
        <f>_xlfn.XLOOKUP(C216,'LD-ELFA'!F:F,'LD-ELFA'!Q:Q)</f>
        <v>#N/A</v>
      </c>
      <c r="F216" s="56" t="e">
        <f>_xlfn.XLOOKUP(C216,'Data Base'!D:D,'Data Base'!L:L)</f>
        <v>#N/A</v>
      </c>
      <c r="G216" s="56" t="str">
        <f>IF(I216="Blossom - Atendimento de Comentário",_xlfn.XLOOKUP(C216,'Data Base'!D:D,'Data Base'!Q:Q),"")</f>
        <v/>
      </c>
      <c r="H216" s="56" t="e">
        <f t="shared" ca="1" si="3"/>
        <v>#N/A</v>
      </c>
      <c r="I216" s="57" t="str">
        <f>_xlfn.XLOOKUP(C216,'Data Base'!D:D,'Data Base'!O:O)</f>
        <v>Documento Removido</v>
      </c>
    </row>
    <row r="217" spans="2:9" hidden="1" x14ac:dyDescent="0.25">
      <c r="B217" s="53" t="e">
        <f>_xlfn.XLOOKUP(C217,'Data Base'!D:D,'Data Base'!B:B)</f>
        <v>#N/A</v>
      </c>
      <c r="C217" s="53" t="s">
        <v>222</v>
      </c>
      <c r="D217" s="53" t="e">
        <f>_xlfn.XLOOKUP(C217,'LD-ELFA'!F:F,'LD-ELFA'!H:H)</f>
        <v>#N/A</v>
      </c>
      <c r="E217" s="53" t="e">
        <f>_xlfn.XLOOKUP(C217,'LD-ELFA'!F:F,'LD-ELFA'!Q:Q)</f>
        <v>#N/A</v>
      </c>
      <c r="F217" s="56" t="e">
        <f>_xlfn.XLOOKUP(C217,'Data Base'!D:D,'Data Base'!L:L)</f>
        <v>#N/A</v>
      </c>
      <c r="G217" s="56" t="str">
        <f>IF(I217="Blossom - Atendimento de Comentário",_xlfn.XLOOKUP(C217,'Data Base'!D:D,'Data Base'!Q:Q),"")</f>
        <v/>
      </c>
      <c r="H217" s="56" t="e">
        <f t="shared" ca="1" si="3"/>
        <v>#N/A</v>
      </c>
      <c r="I217" s="57" t="str">
        <f>_xlfn.XLOOKUP(C217,'Data Base'!D:D,'Data Base'!O:O)</f>
        <v>Documento Removido</v>
      </c>
    </row>
    <row r="218" spans="2:9" hidden="1" x14ac:dyDescent="0.25">
      <c r="B218" s="53" t="str">
        <f>_xlfn.XLOOKUP(C218,'Data Base'!D:D,'Data Base'!B:B)</f>
        <v>GP - Gestao De Projetos</v>
      </c>
      <c r="C218" s="53" t="s">
        <v>223</v>
      </c>
      <c r="D218" s="53" t="str">
        <f>_xlfn.XLOOKUP(C218,'LD-ELFA'!F:F,'LD-ELFA'!H:H)</f>
        <v>RL-A1-1000-G-PB-4002</v>
      </c>
      <c r="E218" s="53" t="str">
        <f>_xlfn.XLOOKUP(C218,'LD-ELFA'!F:F,'LD-ELFA'!Q:Q)</f>
        <v>NORMA DE COORDENAÇÃO</v>
      </c>
      <c r="F218" s="56" t="str">
        <f>_xlfn.XLOOKUP(C218,'Data Base'!D:D,'Data Base'!L:L)</f>
        <v/>
      </c>
      <c r="G218" s="56" t="str">
        <f>IF(I218="Blossom - Atendimento de Comentário",_xlfn.XLOOKUP(C218,'Data Base'!D:D,'Data Base'!Q:Q),"")</f>
        <v/>
      </c>
      <c r="H218" s="56" t="str">
        <f t="shared" ca="1" si="3"/>
        <v>NO PRAZO</v>
      </c>
      <c r="I218" s="57" t="str">
        <f>_xlfn.XLOOKUP(C218,'Data Base'!D:D,'Data Base'!O:O)</f>
        <v>Documento Concluído</v>
      </c>
    </row>
    <row r="219" spans="2:9" hidden="1" x14ac:dyDescent="0.25">
      <c r="B219" s="53" t="str">
        <f>_xlfn.XLOOKUP(C219,'Data Base'!D:D,'Data Base'!B:B)</f>
        <v>GP - Gestao De Projetos</v>
      </c>
      <c r="C219" s="53" t="s">
        <v>224</v>
      </c>
      <c r="D219" s="53" t="str">
        <f>_xlfn.XLOOKUP(C219,'LD-ELFA'!F:F,'LD-ELFA'!H:H)</f>
        <v>RL-A1-1000-G-PB-4003</v>
      </c>
      <c r="E219" s="53" t="str">
        <f>_xlfn.XLOOKUP(C219,'LD-ELFA'!F:F,'LD-ELFA'!Q:Q)</f>
        <v>RELATÓRIO DE ACOMPANHAMENTO PARA PRÓXIMAS FASES</v>
      </c>
      <c r="F219" s="56" t="str">
        <f>_xlfn.XLOOKUP(C219,'Data Base'!D:D,'Data Base'!L:L)</f>
        <v>Documento a emitir</v>
      </c>
      <c r="G219" s="56" t="str">
        <f>IF(I219="Blossom - Atendimento de Comentário",_xlfn.XLOOKUP(C219,'Data Base'!D:D,'Data Base'!Q:Q),"")</f>
        <v/>
      </c>
      <c r="H219" s="56" t="str">
        <f t="shared" ca="1" si="3"/>
        <v>NO PRAZO</v>
      </c>
      <c r="I219" s="57" t="str">
        <f>_xlfn.XLOOKUP(C219,'Data Base'!D:D,'Data Base'!O:O)</f>
        <v>Blossom - Documento a emitir</v>
      </c>
    </row>
    <row r="220" spans="2:9" x14ac:dyDescent="0.25">
      <c r="B220" s="53" t="str">
        <f>_xlfn.XLOOKUP(C220,'Data Base'!D:D,'Data Base'!B:B)</f>
        <v>ME - Mecanica</v>
      </c>
      <c r="C220" s="53" t="s">
        <v>225</v>
      </c>
      <c r="D220" s="53" t="str">
        <f>_xlfn.XLOOKUP(C220,'LD-ELFA'!F:F,'LD-ELFA'!H:H)</f>
        <v>DE-A1-1802-M-PB-0001</v>
      </c>
      <c r="E220" s="53" t="str">
        <f>_xlfn.XLOOKUP(C220,'LD-ELFA'!F:F,'LD-ELFA'!Q:Q)</f>
        <v>PLANTA DE LOCAÇÃO</v>
      </c>
      <c r="F220" s="56">
        <f>_xlfn.XLOOKUP(C220,'Data Base'!D:D,'Data Base'!L:L)</f>
        <v>46213.593920798608</v>
      </c>
      <c r="G220" s="56" t="str">
        <f>IF(I220="Blossom - Atendimento de Comentário",_xlfn.XLOOKUP(C220,'Data Base'!D:D,'Data Base'!Q:Q),"")</f>
        <v>APR - APROVADO</v>
      </c>
      <c r="H220" s="56" t="str">
        <f t="shared" ca="1" si="3"/>
        <v>NO PRAZO</v>
      </c>
      <c r="I220" s="57" t="str">
        <f>_xlfn.XLOOKUP(C220,'Data Base'!D:D,'Data Base'!O:O)</f>
        <v>Blossom - Atendimento de Comentário</v>
      </c>
    </row>
    <row r="221" spans="2:9" hidden="1" x14ac:dyDescent="0.25">
      <c r="B221" s="53" t="str">
        <f>_xlfn.XLOOKUP(C221,'Data Base'!D:D,'Data Base'!B:B)</f>
        <v>ME - Mecanica</v>
      </c>
      <c r="C221" s="53" t="s">
        <v>226</v>
      </c>
      <c r="D221" s="53" t="str">
        <f>_xlfn.XLOOKUP(C221,'LD-ELFA'!F:F,'LD-ELFA'!H:H)</f>
        <v>DE-A1-1000-M-PB-0001</v>
      </c>
      <c r="E221" s="53" t="str">
        <f>_xlfn.XLOOKUP(C221,'LD-ELFA'!F:F,'LD-ELFA'!Q:Q)</f>
        <v>PLANO DIRETOR</v>
      </c>
      <c r="F221" s="56" t="str">
        <f>_xlfn.XLOOKUP(C221,'Data Base'!D:D,'Data Base'!L:L)</f>
        <v>Documento a emitir</v>
      </c>
      <c r="G221" s="56" t="str">
        <f>IF(I221="Blossom - Atendimento de Comentário",_xlfn.XLOOKUP(C221,'Data Base'!D:D,'Data Base'!Q:Q),"")</f>
        <v/>
      </c>
      <c r="H221" s="56" t="str">
        <f t="shared" ca="1" si="3"/>
        <v>NO PRAZO</v>
      </c>
      <c r="I221" s="57" t="str">
        <f>_xlfn.XLOOKUP(C221,'Data Base'!D:D,'Data Base'!O:O)</f>
        <v>Blossom - Documento a emitir</v>
      </c>
    </row>
    <row r="222" spans="2:9" hidden="1" x14ac:dyDescent="0.25">
      <c r="B222" s="53" t="str">
        <f>_xlfn.XLOOKUP(C222,'Data Base'!D:D,'Data Base'!B:B)</f>
        <v>ME - Mecanica</v>
      </c>
      <c r="C222" s="53" t="s">
        <v>227</v>
      </c>
      <c r="D222" s="53" t="str">
        <f>_xlfn.XLOOKUP(C222,'LD-ELFA'!F:F,'LD-ELFA'!H:H)</f>
        <v>ET-A1-1201-M-PB-4000</v>
      </c>
      <c r="E222" s="53" t="str">
        <f>_xlfn.XLOOKUP(C222,'LD-ELFA'!F:F,'LD-ELFA'!Q:Q)</f>
        <v>ESPECIFICAÇÃO TÉCNICA</v>
      </c>
      <c r="F222" s="56" t="str">
        <f>_xlfn.XLOOKUP(C222,'Data Base'!D:D,'Data Base'!L:L)</f>
        <v>Documento a emitir</v>
      </c>
      <c r="G222" s="56" t="str">
        <f>IF(I222="Blossom - Atendimento de Comentário",_xlfn.XLOOKUP(C222,'Data Base'!D:D,'Data Base'!Q:Q),"")</f>
        <v/>
      </c>
      <c r="H222" s="56" t="str">
        <f t="shared" ca="1" si="3"/>
        <v>NO PRAZO</v>
      </c>
      <c r="I222" s="57" t="str">
        <f>_xlfn.XLOOKUP(C222,'Data Base'!D:D,'Data Base'!O:O)</f>
        <v>Blossom - Documento a emitir</v>
      </c>
    </row>
    <row r="223" spans="2:9" hidden="1" x14ac:dyDescent="0.25">
      <c r="B223" s="53" t="str">
        <f>_xlfn.XLOOKUP(C223,'Data Base'!D:D,'Data Base'!B:B)</f>
        <v>ME - Mecanica</v>
      </c>
      <c r="C223" s="53" t="s">
        <v>228</v>
      </c>
      <c r="D223" s="53" t="str">
        <f>_xlfn.XLOOKUP(C223,'LD-ELFA'!F:F,'LD-ELFA'!H:H)</f>
        <v>ET-A1-1602-M-PB-4000</v>
      </c>
      <c r="E223" s="53" t="str">
        <f>_xlfn.XLOOKUP(C223,'LD-ELFA'!F:F,'LD-ELFA'!Q:Q)</f>
        <v>ESPECIFICAÇÃO TÉCNICA</v>
      </c>
      <c r="F223" s="56" t="str">
        <f>_xlfn.XLOOKUP(C223,'Data Base'!D:D,'Data Base'!L:L)</f>
        <v>Documento a emitir</v>
      </c>
      <c r="G223" s="56" t="str">
        <f>IF(I223="Blossom - Atendimento de Comentário",_xlfn.XLOOKUP(C223,'Data Base'!D:D,'Data Base'!Q:Q),"")</f>
        <v/>
      </c>
      <c r="H223" s="56" t="str">
        <f t="shared" ca="1" si="3"/>
        <v>NO PRAZO</v>
      </c>
      <c r="I223" s="57" t="str">
        <f>_xlfn.XLOOKUP(C223,'Data Base'!D:D,'Data Base'!O:O)</f>
        <v>Blossom - Documento a emitir</v>
      </c>
    </row>
    <row r="224" spans="2:9" hidden="1" x14ac:dyDescent="0.25">
      <c r="B224" s="53" t="str">
        <f>_xlfn.XLOOKUP(C224,'Data Base'!D:D,'Data Base'!B:B)</f>
        <v>ME - Mecanica</v>
      </c>
      <c r="C224" s="53" t="s">
        <v>229</v>
      </c>
      <c r="D224" s="53" t="str">
        <f>_xlfn.XLOOKUP(C224,'LD-ELFA'!F:F,'LD-ELFA'!H:H)</f>
        <v>ET-A1-1000-G-PB-0004</v>
      </c>
      <c r="E224" s="53" t="str">
        <f>_xlfn.XLOOKUP(C224,'LD-ELFA'!F:F,'LD-ELFA'!Q:Q)</f>
        <v>ESPECIFICAÇÃO DE SERVIÇO</v>
      </c>
      <c r="F224" s="56" t="str">
        <f>_xlfn.XLOOKUP(C224,'Data Base'!D:D,'Data Base'!L:L)</f>
        <v/>
      </c>
      <c r="G224" s="56" t="str">
        <f>IF(I224="Blossom - Atendimento de Comentário",_xlfn.XLOOKUP(C224,'Data Base'!D:D,'Data Base'!Q:Q),"")</f>
        <v/>
      </c>
      <c r="H224" s="56" t="str">
        <f t="shared" ca="1" si="3"/>
        <v>NO PRAZO</v>
      </c>
      <c r="I224" s="57" t="str">
        <f>_xlfn.XLOOKUP(C224,'Data Base'!D:D,'Data Base'!O:O)</f>
        <v>Cliente - Atendimento de Comentário</v>
      </c>
    </row>
    <row r="225" spans="2:9" hidden="1" x14ac:dyDescent="0.25">
      <c r="B225" s="53" t="str">
        <f>_xlfn.XLOOKUP(C225,'Data Base'!D:D,'Data Base'!B:B)</f>
        <v>ME - Mecanica</v>
      </c>
      <c r="C225" s="53" t="s">
        <v>230</v>
      </c>
      <c r="D225" s="53" t="str">
        <f>_xlfn.XLOOKUP(C225,'LD-ELFA'!F:F,'LD-ELFA'!H:H)</f>
        <v>ET-A1-1411-M-PB-4000</v>
      </c>
      <c r="E225" s="53" t="str">
        <f>_xlfn.XLOOKUP(C225,'LD-ELFA'!F:F,'LD-ELFA'!Q:Q)</f>
        <v>ESPECIFICAÇÃO TÉCNICA</v>
      </c>
      <c r="F225" s="56" t="str">
        <f>_xlfn.XLOOKUP(C225,'Data Base'!D:D,'Data Base'!L:L)</f>
        <v>Documento a emitir</v>
      </c>
      <c r="G225" s="56" t="str">
        <f>IF(I225="Blossom - Atendimento de Comentário",_xlfn.XLOOKUP(C225,'Data Base'!D:D,'Data Base'!Q:Q),"")</f>
        <v/>
      </c>
      <c r="H225" s="56" t="str">
        <f t="shared" ca="1" si="3"/>
        <v>NO PRAZO</v>
      </c>
      <c r="I225" s="57" t="str">
        <f>_xlfn.XLOOKUP(C225,'Data Base'!D:D,'Data Base'!O:O)</f>
        <v>Blossom - Documento a emitir</v>
      </c>
    </row>
    <row r="226" spans="2:9" hidden="1" x14ac:dyDescent="0.25">
      <c r="B226" s="53" t="e">
        <f>_xlfn.XLOOKUP(C226,'Data Base'!D:D,'Data Base'!B:B)</f>
        <v>#N/A</v>
      </c>
      <c r="C226" s="53" t="s">
        <v>231</v>
      </c>
      <c r="D226" s="53" t="e">
        <f>_xlfn.XLOOKUP(C226,'LD-ELFA'!F:F,'LD-ELFA'!H:H)</f>
        <v>#N/A</v>
      </c>
      <c r="E226" s="53" t="e">
        <f>_xlfn.XLOOKUP(C226,'LD-ELFA'!F:F,'LD-ELFA'!Q:Q)</f>
        <v>#N/A</v>
      </c>
      <c r="F226" s="56" t="e">
        <f>_xlfn.XLOOKUP(C226,'Data Base'!D:D,'Data Base'!L:L)</f>
        <v>#N/A</v>
      </c>
      <c r="G226" s="56" t="str">
        <f>IF(I226="Blossom - Atendimento de Comentário",_xlfn.XLOOKUP(C226,'Data Base'!D:D,'Data Base'!Q:Q),"")</f>
        <v/>
      </c>
      <c r="H226" s="56" t="e">
        <f t="shared" ca="1" si="3"/>
        <v>#N/A</v>
      </c>
      <c r="I226" s="57" t="str">
        <f>_xlfn.XLOOKUP(C226,'Data Base'!D:D,'Data Base'!O:O)</f>
        <v>Documento Removido</v>
      </c>
    </row>
    <row r="227" spans="2:9" hidden="1" x14ac:dyDescent="0.25">
      <c r="B227" s="53" t="str">
        <f>_xlfn.XLOOKUP(C227,'Data Base'!D:D,'Data Base'!B:B)</f>
        <v>ME - Mecanica</v>
      </c>
      <c r="C227" s="53" t="s">
        <v>232</v>
      </c>
      <c r="D227" s="53" t="str">
        <f>_xlfn.XLOOKUP(C227,'LD-ELFA'!F:F,'LD-ELFA'!H:H)</f>
        <v>FD-A1-1000-M-PB-0004</v>
      </c>
      <c r="E227" s="53" t="str">
        <f>_xlfn.XLOOKUP(C227,'LD-ELFA'!F:F,'LD-ELFA'!Q:Q)</f>
        <v>FOLHA DE DADOS</v>
      </c>
      <c r="F227" s="56" t="str">
        <f>_xlfn.XLOOKUP(C227,'Data Base'!D:D,'Data Base'!L:L)</f>
        <v/>
      </c>
      <c r="G227" s="56" t="str">
        <f>IF(I227="Blossom - Atendimento de Comentário",_xlfn.XLOOKUP(C227,'Data Base'!D:D,'Data Base'!Q:Q),"")</f>
        <v/>
      </c>
      <c r="H227" s="56" t="str">
        <f t="shared" ca="1" si="3"/>
        <v>NO PRAZO</v>
      </c>
      <c r="I227" s="57" t="str">
        <f>_xlfn.XLOOKUP(C227,'Data Base'!D:D,'Data Base'!O:O)</f>
        <v>Cliente - Atendimento de Comentário</v>
      </c>
    </row>
    <row r="228" spans="2:9" hidden="1" x14ac:dyDescent="0.25">
      <c r="B228" s="53" t="str">
        <f>_xlfn.XLOOKUP(C228,'Data Base'!D:D,'Data Base'!B:B)</f>
        <v>ME - Mecanica</v>
      </c>
      <c r="C228" s="53" t="s">
        <v>233</v>
      </c>
      <c r="D228" s="53" t="str">
        <f>_xlfn.XLOOKUP(C228,'LD-ELFA'!F:F,'LD-ELFA'!H:H)</f>
        <v>FD-A1-1411-M-PB-4000</v>
      </c>
      <c r="E228" s="53" t="str">
        <f>_xlfn.XLOOKUP(C228,'LD-ELFA'!F:F,'LD-ELFA'!Q:Q)</f>
        <v>FOLHA DE DADOS</v>
      </c>
      <c r="F228" s="56" t="str">
        <f>_xlfn.XLOOKUP(C228,'Data Base'!D:D,'Data Base'!L:L)</f>
        <v>Documento a emitir</v>
      </c>
      <c r="G228" s="56" t="str">
        <f>IF(I228="Blossom - Atendimento de Comentário",_xlfn.XLOOKUP(C228,'Data Base'!D:D,'Data Base'!Q:Q),"")</f>
        <v/>
      </c>
      <c r="H228" s="56" t="str">
        <f t="shared" ca="1" si="3"/>
        <v>NO PRAZO</v>
      </c>
      <c r="I228" s="57" t="str">
        <f>_xlfn.XLOOKUP(C228,'Data Base'!D:D,'Data Base'!O:O)</f>
        <v>Blossom - Documento a emitir</v>
      </c>
    </row>
    <row r="229" spans="2:9" hidden="1" x14ac:dyDescent="0.25">
      <c r="B229" s="53" t="e">
        <f>_xlfn.XLOOKUP(C229,'Data Base'!D:D,'Data Base'!B:B)</f>
        <v>#N/A</v>
      </c>
      <c r="C229" s="53" t="s">
        <v>234</v>
      </c>
      <c r="D229" s="53" t="e">
        <f>_xlfn.XLOOKUP(C229,'LD-ELFA'!F:F,'LD-ELFA'!H:H)</f>
        <v>#N/A</v>
      </c>
      <c r="E229" s="53" t="e">
        <f>_xlfn.XLOOKUP(C229,'LD-ELFA'!F:F,'LD-ELFA'!Q:Q)</f>
        <v>#N/A</v>
      </c>
      <c r="F229" s="56" t="e">
        <f>_xlfn.XLOOKUP(C229,'Data Base'!D:D,'Data Base'!L:L)</f>
        <v>#N/A</v>
      </c>
      <c r="G229" s="56" t="str">
        <f>IF(I229="Blossom - Atendimento de Comentário",_xlfn.XLOOKUP(C229,'Data Base'!D:D,'Data Base'!Q:Q),"")</f>
        <v/>
      </c>
      <c r="H229" s="56" t="e">
        <f t="shared" ca="1" si="3"/>
        <v>#N/A</v>
      </c>
      <c r="I229" s="57" t="str">
        <f>_xlfn.XLOOKUP(C229,'Data Base'!D:D,'Data Base'!O:O)</f>
        <v>Documento Removido</v>
      </c>
    </row>
    <row r="230" spans="2:9" hidden="1" x14ac:dyDescent="0.25">
      <c r="B230" s="53" t="str">
        <f>_xlfn.XLOOKUP(C230,'Data Base'!D:D,'Data Base'!B:B)</f>
        <v>ME - Mecanica</v>
      </c>
      <c r="C230" s="53" t="s">
        <v>235</v>
      </c>
      <c r="D230" s="53" t="str">
        <f>_xlfn.XLOOKUP(C230,'LD-ELFA'!F:F,'LD-ELFA'!H:H)</f>
        <v>FD-A1-1411-M-PB-4001</v>
      </c>
      <c r="E230" s="53" t="str">
        <f>_xlfn.XLOOKUP(C230,'LD-ELFA'!F:F,'LD-ELFA'!Q:Q)</f>
        <v>FOLHA DE DADOS</v>
      </c>
      <c r="F230" s="56" t="str">
        <f>_xlfn.XLOOKUP(C230,'Data Base'!D:D,'Data Base'!L:L)</f>
        <v>Documento a emitir</v>
      </c>
      <c r="G230" s="56" t="str">
        <f>IF(I230="Blossom - Atendimento de Comentário",_xlfn.XLOOKUP(C230,'Data Base'!D:D,'Data Base'!Q:Q),"")</f>
        <v/>
      </c>
      <c r="H230" s="56" t="str">
        <f t="shared" ca="1" si="3"/>
        <v>NO PRAZO</v>
      </c>
      <c r="I230" s="57" t="str">
        <f>_xlfn.XLOOKUP(C230,'Data Base'!D:D,'Data Base'!O:O)</f>
        <v>Blossom - Documento a emitir</v>
      </c>
    </row>
    <row r="231" spans="2:9" hidden="1" x14ac:dyDescent="0.25">
      <c r="B231" s="53" t="str">
        <f>_xlfn.XLOOKUP(C231,'Data Base'!D:D,'Data Base'!B:B)</f>
        <v>ME - Mecanica</v>
      </c>
      <c r="C231" s="53" t="s">
        <v>236</v>
      </c>
      <c r="D231" s="53" t="str">
        <f>_xlfn.XLOOKUP(C231,'LD-ELFA'!F:F,'LD-ELFA'!H:H)</f>
        <v>FD-A1-1201-M-PB-4000</v>
      </c>
      <c r="E231" s="53" t="str">
        <f>_xlfn.XLOOKUP(C231,'LD-ELFA'!F:F,'LD-ELFA'!Q:Q)</f>
        <v>ESPECIFICAÇÃO TÉCNICA</v>
      </c>
      <c r="F231" s="56" t="str">
        <f>_xlfn.XLOOKUP(C231,'Data Base'!D:D,'Data Base'!L:L)</f>
        <v>Documento a emitir</v>
      </c>
      <c r="G231" s="56" t="str">
        <f>IF(I231="Blossom - Atendimento de Comentário",_xlfn.XLOOKUP(C231,'Data Base'!D:D,'Data Base'!Q:Q),"")</f>
        <v/>
      </c>
      <c r="H231" s="56" t="str">
        <f t="shared" ca="1" si="3"/>
        <v>NO PRAZO</v>
      </c>
      <c r="I231" s="57" t="str">
        <f>_xlfn.XLOOKUP(C231,'Data Base'!D:D,'Data Base'!O:O)</f>
        <v>Blossom - Documento a emitir</v>
      </c>
    </row>
    <row r="232" spans="2:9" hidden="1" x14ac:dyDescent="0.25">
      <c r="B232" s="53" t="str">
        <f>_xlfn.XLOOKUP(C232,'Data Base'!D:D,'Data Base'!B:B)</f>
        <v>ME - Mecanica</v>
      </c>
      <c r="C232" s="53" t="s">
        <v>237</v>
      </c>
      <c r="D232" s="53" t="str">
        <f>_xlfn.XLOOKUP(C232,'LD-ELFA'!F:F,'LD-ELFA'!H:H)</f>
        <v>FD-A1-1602-M-PB-4000</v>
      </c>
      <c r="E232" s="53" t="str">
        <f>_xlfn.XLOOKUP(C232,'LD-ELFA'!F:F,'LD-ELFA'!Q:Q)</f>
        <v>FOLHA DE DADOS</v>
      </c>
      <c r="F232" s="56" t="str">
        <f>_xlfn.XLOOKUP(C232,'Data Base'!D:D,'Data Base'!L:L)</f>
        <v>Documento a emitir</v>
      </c>
      <c r="G232" s="56" t="str">
        <f>IF(I232="Blossom - Atendimento de Comentário",_xlfn.XLOOKUP(C232,'Data Base'!D:D,'Data Base'!Q:Q),"")</f>
        <v/>
      </c>
      <c r="H232" s="56" t="str">
        <f t="shared" ca="1" si="3"/>
        <v>NO PRAZO</v>
      </c>
      <c r="I232" s="57" t="str">
        <f>_xlfn.XLOOKUP(C232,'Data Base'!D:D,'Data Base'!O:O)</f>
        <v>Blossom - Documento a emitir</v>
      </c>
    </row>
    <row r="233" spans="2:9" hidden="1" x14ac:dyDescent="0.25">
      <c r="B233" s="53" t="str">
        <f>_xlfn.XLOOKUP(C233,'Data Base'!D:D,'Data Base'!B:B)</f>
        <v>ME - Mecanica</v>
      </c>
      <c r="C233" s="53" t="s">
        <v>238</v>
      </c>
      <c r="D233" s="53" t="str">
        <f>_xlfn.XLOOKUP(C233,'LD-ELFA'!F:F,'LD-ELFA'!H:H)</f>
        <v>LE-A1-1000-M-PB-0001</v>
      </c>
      <c r="E233" s="53" t="str">
        <f>_xlfn.XLOOKUP(C233,'LD-ELFA'!F:F,'LD-ELFA'!Q:Q)</f>
        <v>LISTA DE EQUIPAMENTOS MECÂNICOS</v>
      </c>
      <c r="F233" s="56" t="str">
        <f>_xlfn.XLOOKUP(C233,'Data Base'!D:D,'Data Base'!L:L)</f>
        <v/>
      </c>
      <c r="G233" s="56" t="str">
        <f>IF(I233="Blossom - Atendimento de Comentário",_xlfn.XLOOKUP(C233,'Data Base'!D:D,'Data Base'!Q:Q),"")</f>
        <v/>
      </c>
      <c r="H233" s="56" t="str">
        <f t="shared" ca="1" si="3"/>
        <v>NO PRAZO</v>
      </c>
      <c r="I233" s="57" t="str">
        <f>_xlfn.XLOOKUP(C233,'Data Base'!D:D,'Data Base'!O:O)</f>
        <v>Cliente - Atendimento de Comentário</v>
      </c>
    </row>
    <row r="234" spans="2:9" hidden="1" x14ac:dyDescent="0.25">
      <c r="B234" s="53" t="e">
        <f>_xlfn.XLOOKUP(C234,'Data Base'!D:D,'Data Base'!B:B)</f>
        <v>#N/A</v>
      </c>
      <c r="C234" s="53" t="s">
        <v>239</v>
      </c>
      <c r="D234" s="53" t="e">
        <f>_xlfn.XLOOKUP(C234,'LD-ELFA'!F:F,'LD-ELFA'!H:H)</f>
        <v>#N/A</v>
      </c>
      <c r="E234" s="53" t="e">
        <f>_xlfn.XLOOKUP(C234,'LD-ELFA'!F:F,'LD-ELFA'!Q:Q)</f>
        <v>#N/A</v>
      </c>
      <c r="F234" s="56" t="e">
        <f>_xlfn.XLOOKUP(C234,'Data Base'!D:D,'Data Base'!L:L)</f>
        <v>#N/A</v>
      </c>
      <c r="G234" s="56" t="str">
        <f>IF(I234="Blossom - Atendimento de Comentário",_xlfn.XLOOKUP(C234,'Data Base'!D:D,'Data Base'!Q:Q),"")</f>
        <v/>
      </c>
      <c r="H234" s="56" t="e">
        <f t="shared" ca="1" si="3"/>
        <v>#N/A</v>
      </c>
      <c r="I234" s="57" t="str">
        <f>_xlfn.XLOOKUP(C234,'Data Base'!D:D,'Data Base'!O:O)</f>
        <v>Documento Removido</v>
      </c>
    </row>
    <row r="235" spans="2:9" hidden="1" x14ac:dyDescent="0.25">
      <c r="B235" s="53" t="str">
        <f>_xlfn.XLOOKUP(C235,'Data Base'!D:D,'Data Base'!B:B)</f>
        <v>ME - Mecanica</v>
      </c>
      <c r="C235" s="53" t="s">
        <v>240</v>
      </c>
      <c r="D235" s="53" t="str">
        <f>_xlfn.XLOOKUP(C235,'LD-ELFA'!F:F,'LD-ELFA'!H:H)</f>
        <v>MC-A1-1000-M-PB-0001</v>
      </c>
      <c r="E235" s="53" t="str">
        <f>_xlfn.XLOOKUP(C235,'LD-ELFA'!F:F,'LD-ELFA'!Q:Q)</f>
        <v>MEMÓRIA DE CÁLCULO</v>
      </c>
      <c r="F235" s="56" t="str">
        <f>_xlfn.XLOOKUP(C235,'Data Base'!D:D,'Data Base'!L:L)</f>
        <v>Documento a emitir</v>
      </c>
      <c r="G235" s="56" t="str">
        <f>IF(I235="Blossom - Atendimento de Comentário",_xlfn.XLOOKUP(C235,'Data Base'!D:D,'Data Base'!Q:Q),"")</f>
        <v/>
      </c>
      <c r="H235" s="56" t="str">
        <f t="shared" ca="1" si="3"/>
        <v>NO PRAZO</v>
      </c>
      <c r="I235" s="57" t="str">
        <f>_xlfn.XLOOKUP(C235,'Data Base'!D:D,'Data Base'!O:O)</f>
        <v>Blossom - Documento a emitir</v>
      </c>
    </row>
    <row r="236" spans="2:9" hidden="1" x14ac:dyDescent="0.25">
      <c r="B236" s="53" t="str">
        <f>_xlfn.XLOOKUP(C236,'Data Base'!D:D,'Data Base'!B:B)</f>
        <v>ME - Mecanica</v>
      </c>
      <c r="C236" s="53" t="s">
        <v>241</v>
      </c>
      <c r="D236" s="53" t="str">
        <f>_xlfn.XLOOKUP(C236,'LD-ELFA'!F:F,'LD-ELFA'!H:H)</f>
        <v>MC-A1-1000-M-PB-0002</v>
      </c>
      <c r="E236" s="53" t="str">
        <f>_xlfn.XLOOKUP(C236,'LD-ELFA'!F:F,'LD-ELFA'!Q:Q)</f>
        <v>MEMÓRIAL DE CÁLCULO</v>
      </c>
      <c r="F236" s="56">
        <f>_xlfn.XLOOKUP(C236,'Data Base'!D:D,'Data Base'!L:L)</f>
        <v>46216.557405983804</v>
      </c>
      <c r="G236" s="56" t="str">
        <f>IF(I236="Blossom - Atendimento de Comentário",_xlfn.XLOOKUP(C236,'Data Base'!D:D,'Data Base'!Q:Q),"")</f>
        <v>APC-R  - APC-R - Aprovado com Comentários (Retornar para uma nova Aprovação)</v>
      </c>
      <c r="H236" s="56" t="str">
        <f t="shared" ca="1" si="3"/>
        <v>NO PRAZO</v>
      </c>
      <c r="I236" s="57" t="str">
        <f>_xlfn.XLOOKUP(C236,'Data Base'!D:D,'Data Base'!O:O)</f>
        <v>Blossom - Atendimento de Comentário</v>
      </c>
    </row>
    <row r="237" spans="2:9" hidden="1" x14ac:dyDescent="0.25">
      <c r="B237" s="53" t="e">
        <f>_xlfn.XLOOKUP(C237,'Data Base'!D:D,'Data Base'!B:B)</f>
        <v>#N/A</v>
      </c>
      <c r="C237" s="53" t="s">
        <v>242</v>
      </c>
      <c r="D237" s="53" t="e">
        <f>_xlfn.XLOOKUP(C237,'LD-ELFA'!F:F,'LD-ELFA'!H:H)</f>
        <v>#N/A</v>
      </c>
      <c r="E237" s="53" t="e">
        <f>_xlfn.XLOOKUP(C237,'LD-ELFA'!F:F,'LD-ELFA'!Q:Q)</f>
        <v>#N/A</v>
      </c>
      <c r="F237" s="56" t="e">
        <f>_xlfn.XLOOKUP(C237,'Data Base'!D:D,'Data Base'!L:L)</f>
        <v>#N/A</v>
      </c>
      <c r="G237" s="56" t="str">
        <f>IF(I237="Blossom - Atendimento de Comentário",_xlfn.XLOOKUP(C237,'Data Base'!D:D,'Data Base'!Q:Q),"")</f>
        <v/>
      </c>
      <c r="H237" s="56" t="e">
        <f t="shared" ca="1" si="3"/>
        <v>#N/A</v>
      </c>
      <c r="I237" s="57" t="str">
        <f>_xlfn.XLOOKUP(C237,'Data Base'!D:D,'Data Base'!O:O)</f>
        <v>Documento Removido</v>
      </c>
    </row>
    <row r="238" spans="2:9" hidden="1" x14ac:dyDescent="0.25">
      <c r="B238" s="53" t="str">
        <f>_xlfn.XLOOKUP(C238,'Data Base'!D:D,'Data Base'!B:B)</f>
        <v>ME - Mecanica</v>
      </c>
      <c r="C238" s="53" t="s">
        <v>243</v>
      </c>
      <c r="D238" s="53" t="str">
        <f>_xlfn.XLOOKUP(C238,'LD-ELFA'!F:F,'LD-ELFA'!H:H)</f>
        <v>MC-A1-1411-M-PB-4000</v>
      </c>
      <c r="E238" s="53" t="str">
        <f>_xlfn.XLOOKUP(C238,'LD-ELFA'!F:F,'LD-ELFA'!Q:Q)</f>
        <v>MEMÓRIA DE CÁLCULO</v>
      </c>
      <c r="F238" s="56" t="str">
        <f>_xlfn.XLOOKUP(C238,'Data Base'!D:D,'Data Base'!L:L)</f>
        <v>Documento a emitir</v>
      </c>
      <c r="G238" s="56" t="str">
        <f>IF(I238="Blossom - Atendimento de Comentário",_xlfn.XLOOKUP(C238,'Data Base'!D:D,'Data Base'!Q:Q),"")</f>
        <v/>
      </c>
      <c r="H238" s="56" t="str">
        <f t="shared" ca="1" si="3"/>
        <v>NO PRAZO</v>
      </c>
      <c r="I238" s="57" t="str">
        <f>_xlfn.XLOOKUP(C238,'Data Base'!D:D,'Data Base'!O:O)</f>
        <v>Blossom - Documento a emitir</v>
      </c>
    </row>
    <row r="239" spans="2:9" x14ac:dyDescent="0.25">
      <c r="B239" s="53" t="str">
        <f>_xlfn.XLOOKUP(C239,'Data Base'!D:D,'Data Base'!B:B)</f>
        <v>ME - Mecanica</v>
      </c>
      <c r="C239" s="53" t="s">
        <v>244</v>
      </c>
      <c r="D239" s="53" t="str">
        <f>_xlfn.XLOOKUP(C239,'LD-ELFA'!F:F,'LD-ELFA'!H:H)</f>
        <v>MC-A1-1411-M-PB-4001</v>
      </c>
      <c r="E239" s="53" t="str">
        <f>_xlfn.XLOOKUP(C239,'LD-ELFA'!F:F,'LD-ELFA'!Q:Q)</f>
        <v>MEMÓRIA DE CÁLCULO</v>
      </c>
      <c r="F239" s="56">
        <f>_xlfn.XLOOKUP(C239,'Data Base'!D:D,'Data Base'!L:L)</f>
        <v>46212.489805092591</v>
      </c>
      <c r="G239" s="56" t="str">
        <f>IF(I239="Blossom - Atendimento de Comentário",_xlfn.XLOOKUP(C239,'Data Base'!D:D,'Data Base'!Q:Q),"")</f>
        <v>APC-R  - APC-R - Aprovado com Comentários (Retornar para uma nova Aprovação)</v>
      </c>
      <c r="H239" s="56" t="str">
        <f t="shared" ca="1" si="3"/>
        <v>NO PRAZO</v>
      </c>
      <c r="I239" s="57" t="str">
        <f>_xlfn.XLOOKUP(C239,'Data Base'!D:D,'Data Base'!O:O)</f>
        <v>Blossom - Atendimento de Comentário</v>
      </c>
    </row>
    <row r="240" spans="2:9" hidden="1" x14ac:dyDescent="0.25">
      <c r="B240" s="53" t="str">
        <f>_xlfn.XLOOKUP(C240,'Data Base'!D:D,'Data Base'!B:B)</f>
        <v>ME - Mecanica</v>
      </c>
      <c r="C240" s="53" t="s">
        <v>245</v>
      </c>
      <c r="D240" s="53" t="str">
        <f>_xlfn.XLOOKUP(C240,'LD-ELFA'!F:F,'LD-ELFA'!H:H)</f>
        <v>MC-A1-1411-M-PB-4002</v>
      </c>
      <c r="E240" s="53" t="str">
        <f>_xlfn.XLOOKUP(C240,'LD-ELFA'!F:F,'LD-ELFA'!Q:Q)</f>
        <v>MEMÓRIA DE CÁLCULO</v>
      </c>
      <c r="F240" s="56" t="str">
        <f>_xlfn.XLOOKUP(C240,'Data Base'!D:D,'Data Base'!L:L)</f>
        <v/>
      </c>
      <c r="G240" s="56" t="str">
        <f>IF(I240="Blossom - Atendimento de Comentário",_xlfn.XLOOKUP(C240,'Data Base'!D:D,'Data Base'!Q:Q),"")</f>
        <v/>
      </c>
      <c r="H240" s="56" t="str">
        <f t="shared" ca="1" si="3"/>
        <v>NO PRAZO</v>
      </c>
      <c r="I240" s="57" t="str">
        <f>_xlfn.XLOOKUP(C240,'Data Base'!D:D,'Data Base'!O:O)</f>
        <v>Cliente - Atendimento de Comentário</v>
      </c>
    </row>
    <row r="241" spans="2:9" hidden="1" x14ac:dyDescent="0.25">
      <c r="B241" s="53" t="e">
        <f>_xlfn.XLOOKUP(C241,'Data Base'!D:D,'Data Base'!B:B)</f>
        <v>#N/A</v>
      </c>
      <c r="C241" s="53" t="s">
        <v>246</v>
      </c>
      <c r="D241" s="53" t="e">
        <f>_xlfn.XLOOKUP(C241,'LD-ELFA'!F:F,'LD-ELFA'!H:H)</f>
        <v>#N/A</v>
      </c>
      <c r="E241" s="53" t="e">
        <f>_xlfn.XLOOKUP(C241,'LD-ELFA'!F:F,'LD-ELFA'!Q:Q)</f>
        <v>#N/A</v>
      </c>
      <c r="F241" s="56" t="e">
        <f>_xlfn.XLOOKUP(C241,'Data Base'!D:D,'Data Base'!L:L)</f>
        <v>#N/A</v>
      </c>
      <c r="G241" s="56" t="str">
        <f>IF(I241="Blossom - Atendimento de Comentário",_xlfn.XLOOKUP(C241,'Data Base'!D:D,'Data Base'!Q:Q),"")</f>
        <v/>
      </c>
      <c r="H241" s="56" t="e">
        <f t="shared" ca="1" si="3"/>
        <v>#N/A</v>
      </c>
      <c r="I241" s="57" t="str">
        <f>_xlfn.XLOOKUP(C241,'Data Base'!D:D,'Data Base'!O:O)</f>
        <v>Documento Removido</v>
      </c>
    </row>
    <row r="242" spans="2:9" hidden="1" x14ac:dyDescent="0.25">
      <c r="B242" s="53" t="e">
        <f>_xlfn.XLOOKUP(C242,'Data Base'!D:D,'Data Base'!B:B)</f>
        <v>#N/A</v>
      </c>
      <c r="C242" s="53" t="s">
        <v>247</v>
      </c>
      <c r="D242" s="53" t="e">
        <f>_xlfn.XLOOKUP(C242,'LD-ELFA'!F:F,'LD-ELFA'!H:H)</f>
        <v>#N/A</v>
      </c>
      <c r="E242" s="53" t="e">
        <f>_xlfn.XLOOKUP(C242,'LD-ELFA'!F:F,'LD-ELFA'!Q:Q)</f>
        <v>#N/A</v>
      </c>
      <c r="F242" s="56" t="e">
        <f>_xlfn.XLOOKUP(C242,'Data Base'!D:D,'Data Base'!L:L)</f>
        <v>#N/A</v>
      </c>
      <c r="G242" s="56" t="str">
        <f>IF(I242="Blossom - Atendimento de Comentário",_xlfn.XLOOKUP(C242,'Data Base'!D:D,'Data Base'!Q:Q),"")</f>
        <v/>
      </c>
      <c r="H242" s="56" t="e">
        <f t="shared" ca="1" si="3"/>
        <v>#N/A</v>
      </c>
      <c r="I242" s="57" t="str">
        <f>_xlfn.XLOOKUP(C242,'Data Base'!D:D,'Data Base'!O:O)</f>
        <v>Documento Removido</v>
      </c>
    </row>
    <row r="243" spans="2:9" hidden="1" x14ac:dyDescent="0.25">
      <c r="B243" s="53" t="e">
        <f>_xlfn.XLOOKUP(C243,'Data Base'!D:D,'Data Base'!B:B)</f>
        <v>#N/A</v>
      </c>
      <c r="C243" s="53" t="s">
        <v>248</v>
      </c>
      <c r="D243" s="53" t="e">
        <f>_xlfn.XLOOKUP(C243,'LD-ELFA'!F:F,'LD-ELFA'!H:H)</f>
        <v>#N/A</v>
      </c>
      <c r="E243" s="53" t="e">
        <f>_xlfn.XLOOKUP(C243,'LD-ELFA'!F:F,'LD-ELFA'!Q:Q)</f>
        <v>#N/A</v>
      </c>
      <c r="F243" s="56" t="e">
        <f>_xlfn.XLOOKUP(C243,'Data Base'!D:D,'Data Base'!L:L)</f>
        <v>#N/A</v>
      </c>
      <c r="G243" s="56" t="str">
        <f>IF(I243="Blossom - Atendimento de Comentário",_xlfn.XLOOKUP(C243,'Data Base'!D:D,'Data Base'!Q:Q),"")</f>
        <v/>
      </c>
      <c r="H243" s="56" t="e">
        <f t="shared" ca="1" si="3"/>
        <v>#N/A</v>
      </c>
      <c r="I243" s="57" t="str">
        <f>_xlfn.XLOOKUP(C243,'Data Base'!D:D,'Data Base'!O:O)</f>
        <v>Documento Removido</v>
      </c>
    </row>
    <row r="244" spans="2:9" hidden="1" x14ac:dyDescent="0.25">
      <c r="B244" s="53" t="str">
        <f>_xlfn.XLOOKUP(C244,'Data Base'!D:D,'Data Base'!B:B)</f>
        <v>ME - Mecanica</v>
      </c>
      <c r="C244" s="53" t="s">
        <v>249</v>
      </c>
      <c r="D244" s="53" t="str">
        <f>_xlfn.XLOOKUP(C244,'LD-ELFA'!F:F,'LD-ELFA'!H:H)</f>
        <v>MC-A1-1001-M-PB-4000</v>
      </c>
      <c r="E244" s="53" t="str">
        <f>_xlfn.XLOOKUP(C244,'LD-ELFA'!F:F,'LD-ELFA'!Q:Q)</f>
        <v>MEMÓRIA DE CÁLCULO</v>
      </c>
      <c r="F244" s="56" t="str">
        <f>_xlfn.XLOOKUP(C244,'Data Base'!D:D,'Data Base'!L:L)</f>
        <v>Documento a emitir</v>
      </c>
      <c r="G244" s="56" t="str">
        <f>IF(I244="Blossom - Atendimento de Comentário",_xlfn.XLOOKUP(C244,'Data Base'!D:D,'Data Base'!Q:Q),"")</f>
        <v/>
      </c>
      <c r="H244" s="56" t="str">
        <f t="shared" ca="1" si="3"/>
        <v>NO PRAZO</v>
      </c>
      <c r="I244" s="57" t="str">
        <f>_xlfn.XLOOKUP(C244,'Data Base'!D:D,'Data Base'!O:O)</f>
        <v>Blossom - Documento a emitir</v>
      </c>
    </row>
    <row r="245" spans="2:9" hidden="1" x14ac:dyDescent="0.25">
      <c r="B245" s="53" t="str">
        <f>_xlfn.XLOOKUP(C245,'Data Base'!D:D,'Data Base'!B:B)</f>
        <v>ME - Mecanica</v>
      </c>
      <c r="C245" s="53" t="s">
        <v>250</v>
      </c>
      <c r="D245" s="53" t="str">
        <f>_xlfn.XLOOKUP(C245,'LD-ELFA'!F:F,'LD-ELFA'!H:H)</f>
        <v>MC-A1-1803-M-PB-0001</v>
      </c>
      <c r="E245" s="53" t="str">
        <f>_xlfn.XLOOKUP(C245,'LD-ELFA'!F:F,'LD-ELFA'!Q:Q)</f>
        <v>MEMÓRIA DE CÁLCULO</v>
      </c>
      <c r="F245" s="56" t="str">
        <f>_xlfn.XLOOKUP(C245,'Data Base'!D:D,'Data Base'!L:L)</f>
        <v>Documento a emitir</v>
      </c>
      <c r="G245" s="56" t="str">
        <f>IF(I245="Blossom - Atendimento de Comentário",_xlfn.XLOOKUP(C245,'Data Base'!D:D,'Data Base'!Q:Q),"")</f>
        <v/>
      </c>
      <c r="H245" s="56" t="str">
        <f t="shared" ca="1" si="3"/>
        <v>NO PRAZO</v>
      </c>
      <c r="I245" s="57" t="str">
        <f>_xlfn.XLOOKUP(C245,'Data Base'!D:D,'Data Base'!O:O)</f>
        <v>Blossom - Documento a emitir</v>
      </c>
    </row>
    <row r="246" spans="2:9" x14ac:dyDescent="0.25">
      <c r="B246" s="53" t="str">
        <f>_xlfn.XLOOKUP(C246,'Data Base'!D:D,'Data Base'!B:B)</f>
        <v>ME - Mecanica</v>
      </c>
      <c r="C246" s="53" t="s">
        <v>251</v>
      </c>
      <c r="D246" s="53" t="str">
        <f>_xlfn.XLOOKUP(C246,'LD-ELFA'!F:F,'LD-ELFA'!H:H)</f>
        <v>MC-A1-1000-M-PB-0003</v>
      </c>
      <c r="E246" s="53" t="str">
        <f>_xlfn.XLOOKUP(C246,'LD-ELFA'!F:F,'LD-ELFA'!Q:Q)</f>
        <v xml:space="preserve">MEMÓRIA DE CÁLCULO </v>
      </c>
      <c r="F246" s="56">
        <f>_xlfn.XLOOKUP(C246,'Data Base'!D:D,'Data Base'!L:L)</f>
        <v>46212.681711574071</v>
      </c>
      <c r="G246" s="56" t="str">
        <f>IF(I246="Blossom - Atendimento de Comentário",_xlfn.XLOOKUP(C246,'Data Base'!D:D,'Data Base'!Q:Q),"")</f>
        <v>APC-R  - APC-R - Aprovado com Comentários (Retornar para uma nova Aprovação)</v>
      </c>
      <c r="H246" s="56" t="str">
        <f t="shared" ca="1" si="3"/>
        <v>NO PRAZO</v>
      </c>
      <c r="I246" s="57" t="str">
        <f>_xlfn.XLOOKUP(C246,'Data Base'!D:D,'Data Base'!O:O)</f>
        <v>Blossom - Atendimento de Comentário</v>
      </c>
    </row>
    <row r="247" spans="2:9" hidden="1" x14ac:dyDescent="0.25">
      <c r="B247" s="53" t="str">
        <f>_xlfn.XLOOKUP(C247,'Data Base'!D:D,'Data Base'!B:B)</f>
        <v>ME - Mecanica</v>
      </c>
      <c r="C247" s="53" t="s">
        <v>252</v>
      </c>
      <c r="D247" s="53" t="str">
        <f>_xlfn.XLOOKUP(C247,'LD-ELFA'!F:F,'LD-ELFA'!H:H)</f>
        <v>MC-A1-1316-M-PB-4000</v>
      </c>
      <c r="E247" s="53" t="str">
        <f>_xlfn.XLOOKUP(C247,'LD-ELFA'!F:F,'LD-ELFA'!Q:Q)</f>
        <v>MEMÓRIA DE CÁLCULO</v>
      </c>
      <c r="F247" s="56" t="str">
        <f>_xlfn.XLOOKUP(C247,'Data Base'!D:D,'Data Base'!L:L)</f>
        <v/>
      </c>
      <c r="G247" s="56" t="str">
        <f>IF(I247="Blossom - Atendimento de Comentário",_xlfn.XLOOKUP(C247,'Data Base'!D:D,'Data Base'!Q:Q),"")</f>
        <v/>
      </c>
      <c r="H247" s="56" t="str">
        <f t="shared" ca="1" si="3"/>
        <v>NO PRAZO</v>
      </c>
      <c r="I247" s="57" t="str">
        <f>_xlfn.XLOOKUP(C247,'Data Base'!D:D,'Data Base'!O:O)</f>
        <v>Cliente - Atendimento de Comentário</v>
      </c>
    </row>
    <row r="248" spans="2:9" x14ac:dyDescent="0.25">
      <c r="B248" s="53" t="str">
        <f>_xlfn.XLOOKUP(C248,'Data Base'!D:D,'Data Base'!B:B)</f>
        <v>ME - Mecanica</v>
      </c>
      <c r="C248" s="53" t="s">
        <v>253</v>
      </c>
      <c r="D248" s="53" t="str">
        <f>_xlfn.XLOOKUP(C248,'LD-ELFA'!F:F,'LD-ELFA'!H:H)</f>
        <v>MC-A1-1201-M-PB-0001</v>
      </c>
      <c r="E248" s="53" t="str">
        <f>_xlfn.XLOOKUP(C248,'LD-ELFA'!F:F,'LD-ELFA'!Q:Q)</f>
        <v xml:space="preserve">MEMÓRIA DE CÁLCULO </v>
      </c>
      <c r="F248" s="56">
        <f>_xlfn.XLOOKUP(C248,'Data Base'!D:D,'Data Base'!L:L)</f>
        <v>46212.721164733797</v>
      </c>
      <c r="G248" s="56" t="str">
        <f>IF(I248="Blossom - Atendimento de Comentário",_xlfn.XLOOKUP(C248,'Data Base'!D:D,'Data Base'!Q:Q),"")</f>
        <v>APC-R  - APC-R - Aprovado com Comentários (Retornar para uma nova Aprovação)</v>
      </c>
      <c r="H248" s="56" t="str">
        <f t="shared" ca="1" si="3"/>
        <v>NO PRAZO</v>
      </c>
      <c r="I248" s="57" t="str">
        <f>_xlfn.XLOOKUP(C248,'Data Base'!D:D,'Data Base'!O:O)</f>
        <v>Blossom - Atendimento de Comentário</v>
      </c>
    </row>
    <row r="249" spans="2:9" hidden="1" x14ac:dyDescent="0.25">
      <c r="B249" s="53" t="str">
        <f>_xlfn.XLOOKUP(C249,'Data Base'!D:D,'Data Base'!B:B)</f>
        <v>ME - Mecanica</v>
      </c>
      <c r="C249" s="53" t="s">
        <v>254</v>
      </c>
      <c r="D249" s="53" t="str">
        <f>_xlfn.XLOOKUP(C249,'LD-ELFA'!F:F,'LD-ELFA'!H:H)</f>
        <v>PQ-A1-1000-M-PB-0001</v>
      </c>
      <c r="E249" s="53" t="str">
        <f>_xlfn.XLOOKUP(C249,'LD-ELFA'!F:F,'LD-ELFA'!Q:Q)</f>
        <v>PLANILHA DE QUANTIDADES</v>
      </c>
      <c r="F249" s="56" t="str">
        <f>_xlfn.XLOOKUP(C249,'Data Base'!D:D,'Data Base'!L:L)</f>
        <v>Documento a emitir</v>
      </c>
      <c r="G249" s="56" t="str">
        <f>IF(I249="Blossom - Atendimento de Comentário",_xlfn.XLOOKUP(C249,'Data Base'!D:D,'Data Base'!Q:Q),"")</f>
        <v/>
      </c>
      <c r="H249" s="56" t="str">
        <f t="shared" ca="1" si="3"/>
        <v>NO PRAZO</v>
      </c>
      <c r="I249" s="57" t="str">
        <f>_xlfn.XLOOKUP(C249,'Data Base'!D:D,'Data Base'!O:O)</f>
        <v>Blossom - Documento a emitir</v>
      </c>
    </row>
    <row r="250" spans="2:9" hidden="1" x14ac:dyDescent="0.25">
      <c r="B250" s="53" t="str">
        <f>_xlfn.XLOOKUP(C250,'Data Base'!D:D,'Data Base'!B:B)</f>
        <v>ME - Mecanica</v>
      </c>
      <c r="C250" s="53" t="s">
        <v>255</v>
      </c>
      <c r="D250" s="53" t="str">
        <f>_xlfn.XLOOKUP(C250,'LD-ELFA'!F:F,'LD-ELFA'!H:H)</f>
        <v>PQ-A1-1000-M-PB-0002</v>
      </c>
      <c r="E250" s="53" t="str">
        <f>_xlfn.XLOOKUP(C250,'LD-ELFA'!F:F,'LD-ELFA'!Q:Q)</f>
        <v>PLANILHA DE QUANTIDADES</v>
      </c>
      <c r="F250" s="56" t="str">
        <f>_xlfn.XLOOKUP(C250,'Data Base'!D:D,'Data Base'!L:L)</f>
        <v>Documento a emitir</v>
      </c>
      <c r="G250" s="56" t="str">
        <f>IF(I250="Blossom - Atendimento de Comentário",_xlfn.XLOOKUP(C250,'Data Base'!D:D,'Data Base'!Q:Q),"")</f>
        <v/>
      </c>
      <c r="H250" s="56" t="str">
        <f t="shared" ca="1" si="3"/>
        <v>NO PRAZO</v>
      </c>
      <c r="I250" s="57" t="str">
        <f>_xlfn.XLOOKUP(C250,'Data Base'!D:D,'Data Base'!O:O)</f>
        <v>Blossom - Documento a emitir</v>
      </c>
    </row>
    <row r="251" spans="2:9" hidden="1" x14ac:dyDescent="0.25">
      <c r="B251" s="53" t="str">
        <f>_xlfn.XLOOKUP(C251,'Data Base'!D:D,'Data Base'!B:B)</f>
        <v>ME - Mecanica</v>
      </c>
      <c r="C251" s="53" t="s">
        <v>256</v>
      </c>
      <c r="D251" s="53" t="str">
        <f>_xlfn.XLOOKUP(C251,'LD-ELFA'!F:F,'LD-ELFA'!H:H)</f>
        <v>PQ-A1-1000-G-PB-0005</v>
      </c>
      <c r="E251" s="53" t="str">
        <f>_xlfn.XLOOKUP(C251,'LD-ELFA'!F:F,'LD-ELFA'!Q:Q)</f>
        <v>PLANILHA QUANTIDADES</v>
      </c>
      <c r="F251" s="56" t="str">
        <f>_xlfn.XLOOKUP(C251,'Data Base'!D:D,'Data Base'!L:L)</f>
        <v>Documento a emitir</v>
      </c>
      <c r="G251" s="56" t="str">
        <f>IF(I251="Blossom - Atendimento de Comentário",_xlfn.XLOOKUP(C251,'Data Base'!D:D,'Data Base'!Q:Q),"")</f>
        <v/>
      </c>
      <c r="H251" s="56" t="str">
        <f t="shared" ca="1" si="3"/>
        <v>NO PRAZO</v>
      </c>
      <c r="I251" s="57" t="str">
        <f>_xlfn.XLOOKUP(C251,'Data Base'!D:D,'Data Base'!O:O)</f>
        <v>Blossom - Documento a emitir</v>
      </c>
    </row>
    <row r="252" spans="2:9" hidden="1" x14ac:dyDescent="0.25">
      <c r="B252" s="53" t="str">
        <f>_xlfn.XLOOKUP(C252,'Data Base'!D:D,'Data Base'!B:B)</f>
        <v>PC - Planejamento E Controle</v>
      </c>
      <c r="C252" s="53" t="s">
        <v>257</v>
      </c>
      <c r="D252" s="53" t="str">
        <f>_xlfn.XLOOKUP(C252,'LD-ELFA'!F:F,'LD-ELFA'!H:H)</f>
        <v>CR-A1-1000-F-PB-4000</v>
      </c>
      <c r="E252" s="53" t="str">
        <f>_xlfn.XLOOKUP(C252,'LD-ELFA'!F:F,'LD-ELFA'!Q:Q)</f>
        <v>CRONOGRAMA DETALHADO</v>
      </c>
      <c r="F252" s="56">
        <f>_xlfn.XLOOKUP(C252,'Data Base'!D:D,'Data Base'!L:L)</f>
        <v>46216.483582442132</v>
      </c>
      <c r="G252" s="56" t="str">
        <f>IF(I252="Blossom - Atendimento de Comentário",_xlfn.XLOOKUP(C252,'Data Base'!D:D,'Data Base'!Q:Q),"")</f>
        <v/>
      </c>
      <c r="H252" s="56" t="str">
        <f t="shared" ca="1" si="3"/>
        <v>NO PRAZO</v>
      </c>
      <c r="I252" s="57" t="str">
        <f>_xlfn.XLOOKUP(C252,'Data Base'!D:D,'Data Base'!O:O)</f>
        <v>Documento Concluído</v>
      </c>
    </row>
    <row r="253" spans="2:9" hidden="1" x14ac:dyDescent="0.25">
      <c r="B253" s="53" t="str">
        <f>_xlfn.XLOOKUP(C253,'Data Base'!D:D,'Data Base'!B:B)</f>
        <v>TU - Tubulacao</v>
      </c>
      <c r="C253" s="53" t="s">
        <v>258</v>
      </c>
      <c r="D253" s="53" t="str">
        <f>_xlfn.XLOOKUP(C253,'LD-ELFA'!F:F,'LD-ELFA'!H:H)</f>
        <v>EG-A1-1000-T-PB-0001</v>
      </c>
      <c r="E253" s="53" t="str">
        <f>_xlfn.XLOOKUP(C253,'LD-ELFA'!F:F,'LD-ELFA'!Q:Q)</f>
        <v>ESPECIFICAÇÃO GERAL</v>
      </c>
      <c r="F253" s="56" t="str">
        <f>_xlfn.XLOOKUP(C253,'Data Base'!D:D,'Data Base'!L:L)</f>
        <v>Documento a emitir</v>
      </c>
      <c r="G253" s="56" t="str">
        <f>IF(I253="Blossom - Atendimento de Comentário",_xlfn.XLOOKUP(C253,'Data Base'!D:D,'Data Base'!Q:Q),"")</f>
        <v/>
      </c>
      <c r="H253" s="56" t="str">
        <f t="shared" ca="1" si="3"/>
        <v>NO PRAZO</v>
      </c>
      <c r="I253" s="57" t="str">
        <f>_xlfn.XLOOKUP(C253,'Data Base'!D:D,'Data Base'!O:O)</f>
        <v>Blossom - Documento a emitir</v>
      </c>
    </row>
    <row r="254" spans="2:9" hidden="1" x14ac:dyDescent="0.25">
      <c r="B254" s="53" t="e">
        <f>_xlfn.XLOOKUP(C254,'Data Base'!D:D,'Data Base'!B:B)</f>
        <v>#N/A</v>
      </c>
      <c r="C254" s="53" t="s">
        <v>259</v>
      </c>
      <c r="D254" s="53" t="e">
        <f>_xlfn.XLOOKUP(C254,'LD-ELFA'!F:F,'LD-ELFA'!H:H)</f>
        <v>#N/A</v>
      </c>
      <c r="E254" s="53" t="e">
        <f>_xlfn.XLOOKUP(C254,'LD-ELFA'!F:F,'LD-ELFA'!Q:Q)</f>
        <v>#N/A</v>
      </c>
      <c r="F254" s="56" t="e">
        <f>_xlfn.XLOOKUP(C254,'Data Base'!D:D,'Data Base'!L:L)</f>
        <v>#N/A</v>
      </c>
      <c r="G254" s="56" t="str">
        <f>IF(I254="Blossom - Atendimento de Comentário",_xlfn.XLOOKUP(C254,'Data Base'!D:D,'Data Base'!Q:Q),"")</f>
        <v/>
      </c>
      <c r="H254" s="56" t="e">
        <f t="shared" ca="1" si="3"/>
        <v>#N/A</v>
      </c>
      <c r="I254" s="57" t="str">
        <f>_xlfn.XLOOKUP(C254,'Data Base'!D:D,'Data Base'!O:O)</f>
        <v>Documento Removido</v>
      </c>
    </row>
    <row r="255" spans="2:9" hidden="1" x14ac:dyDescent="0.25">
      <c r="B255" s="53" t="str">
        <f>_xlfn.XLOOKUP(C255,'Data Base'!D:D,'Data Base'!B:B)</f>
        <v>TU - Tubulacao</v>
      </c>
      <c r="C255" s="53" t="s">
        <v>260</v>
      </c>
      <c r="D255" s="53" t="str">
        <f>_xlfn.XLOOKUP(C255,'LD-ELFA'!F:F,'LD-ELFA'!H:H)</f>
        <v>MC-A1-1000-T-PB-0001</v>
      </c>
      <c r="E255" s="53" t="str">
        <f>_xlfn.XLOOKUP(C255,'LD-ELFA'!F:F,'LD-ELFA'!Q:Q)</f>
        <v>MEMÓRIA DE CÁLCULO</v>
      </c>
      <c r="F255" s="56" t="str">
        <f>_xlfn.XLOOKUP(C255,'Data Base'!D:D,'Data Base'!L:L)</f>
        <v>Documento a emitir</v>
      </c>
      <c r="G255" s="56" t="str">
        <f>IF(I255="Blossom - Atendimento de Comentário",_xlfn.XLOOKUP(C255,'Data Base'!D:D,'Data Base'!Q:Q),"")</f>
        <v/>
      </c>
      <c r="H255" s="56" t="str">
        <f t="shared" ca="1" si="3"/>
        <v>NO PRAZO</v>
      </c>
      <c r="I255" s="57" t="str">
        <f>_xlfn.XLOOKUP(C255,'Data Base'!D:D,'Data Base'!O:O)</f>
        <v>Blossom - Documento a emitir</v>
      </c>
    </row>
    <row r="256" spans="2:9" hidden="1" x14ac:dyDescent="0.25">
      <c r="B256" s="53" t="str">
        <f>_xlfn.XLOOKUP(C256,'Data Base'!D:D,'Data Base'!B:B)</f>
        <v>TU - Tubulacao</v>
      </c>
      <c r="C256" s="53" t="s">
        <v>261</v>
      </c>
      <c r="D256" s="53" t="str">
        <f>_xlfn.XLOOKUP(C256,'LD-ELFA'!F:F,'LD-ELFA'!H:H)</f>
        <v>PQ-A1-1000-T-PB-0001</v>
      </c>
      <c r="E256" s="53" t="str">
        <f>_xlfn.XLOOKUP(C256,'LD-ELFA'!F:F,'LD-ELFA'!Q:Q)</f>
        <v>PLANILHA DE QUANTIDADES</v>
      </c>
      <c r="F256" s="56" t="str">
        <f>_xlfn.XLOOKUP(C256,'Data Base'!D:D,'Data Base'!L:L)</f>
        <v>Documento a emitir</v>
      </c>
      <c r="G256" s="56" t="str">
        <f>IF(I256="Blossom - Atendimento de Comentário",_xlfn.XLOOKUP(C256,'Data Base'!D:D,'Data Base'!Q:Q),"")</f>
        <v/>
      </c>
      <c r="H256" s="56" t="str">
        <f t="shared" ca="1" si="3"/>
        <v>NO PRAZO</v>
      </c>
      <c r="I256" s="57" t="str">
        <f>_xlfn.XLOOKUP(C256,'Data Base'!D:D,'Data Base'!O:O)</f>
        <v>Blossom - Documento a emitir</v>
      </c>
    </row>
    <row r="257" spans="2:9" hidden="1" x14ac:dyDescent="0.25">
      <c r="B257" s="53" t="str">
        <f>_xlfn.XLOOKUP(C257,'Data Base'!D:D,'Data Base'!B:B)</f>
        <v>UT - Sistema De Utilidades</v>
      </c>
      <c r="C257" s="53" t="s">
        <v>262</v>
      </c>
      <c r="D257" s="53" t="str">
        <f>_xlfn.XLOOKUP(C257,'LD-ELFA'!F:F,'LD-ELFA'!H:H)</f>
        <v>ET-A1-1803-M-PB-0001</v>
      </c>
      <c r="E257" s="53" t="str">
        <f>_xlfn.XLOOKUP(C257,'LD-ELFA'!F:F,'LD-ELFA'!Q:Q)</f>
        <v>ESPECIFICAÇÃO TÉCNICA</v>
      </c>
      <c r="F257" s="56" t="str">
        <f>_xlfn.XLOOKUP(C257,'Data Base'!D:D,'Data Base'!L:L)</f>
        <v>Documento a emitir</v>
      </c>
      <c r="G257" s="56" t="str">
        <f>IF(I257="Blossom - Atendimento de Comentário",_xlfn.XLOOKUP(C257,'Data Base'!D:D,'Data Base'!Q:Q),"")</f>
        <v/>
      </c>
      <c r="H257" s="56" t="str">
        <f t="shared" ca="1" si="3"/>
        <v>NO PRAZO</v>
      </c>
      <c r="I257" s="57" t="str">
        <f>_xlfn.XLOOKUP(C257,'Data Base'!D:D,'Data Base'!O:O)</f>
        <v>Blossom - Documento a emitir</v>
      </c>
    </row>
    <row r="258" spans="2:9" hidden="1" x14ac:dyDescent="0.25">
      <c r="B258" s="53" t="str">
        <f>_xlfn.XLOOKUP(C258,'Data Base'!D:D,'Data Base'!B:B)</f>
        <v>UT - Sistema De Utilidades</v>
      </c>
      <c r="C258" s="53" t="s">
        <v>263</v>
      </c>
      <c r="D258" s="53" t="str">
        <f>_xlfn.XLOOKUP(C258,'LD-ELFA'!F:F,'LD-ELFA'!H:H)</f>
        <v>ET-A1-1805-M-PB-0001</v>
      </c>
      <c r="E258" s="53" t="str">
        <f>_xlfn.XLOOKUP(C258,'LD-ELFA'!F:F,'LD-ELFA'!Q:Q)</f>
        <v>ESPECIFICAÇÃO TÉCNICA</v>
      </c>
      <c r="F258" s="56" t="str">
        <f>_xlfn.XLOOKUP(C258,'Data Base'!D:D,'Data Base'!L:L)</f>
        <v>Documento a emitir</v>
      </c>
      <c r="G258" s="56" t="str">
        <f>IF(I258="Blossom - Atendimento de Comentário",_xlfn.XLOOKUP(C258,'Data Base'!D:D,'Data Base'!Q:Q),"")</f>
        <v/>
      </c>
      <c r="H258" s="56" t="str">
        <f t="shared" ca="1" si="3"/>
        <v>NO PRAZO</v>
      </c>
      <c r="I258" s="57" t="str">
        <f>_xlfn.XLOOKUP(C258,'Data Base'!D:D,'Data Base'!O:O)</f>
        <v>Blossom - Documento a emitir</v>
      </c>
    </row>
    <row r="259" spans="2:9" hidden="1" x14ac:dyDescent="0.25">
      <c r="B259" s="53" t="str">
        <f>_xlfn.XLOOKUP(C259,'Data Base'!D:D,'Data Base'!B:B)</f>
        <v>UT - Sistema De Utilidades</v>
      </c>
      <c r="C259" s="53" t="s">
        <v>264</v>
      </c>
      <c r="D259" s="53" t="str">
        <f>_xlfn.XLOOKUP(C259,'LD-ELFA'!F:F,'LD-ELFA'!H:H)</f>
        <v>FD-A1-1803-M-PB-0001</v>
      </c>
      <c r="E259" s="53" t="str">
        <f>_xlfn.XLOOKUP(C259,'LD-ELFA'!F:F,'LD-ELFA'!Q:Q)</f>
        <v>FOLHA DE DADOS</v>
      </c>
      <c r="F259" s="56" t="str">
        <f>_xlfn.XLOOKUP(C259,'Data Base'!D:D,'Data Base'!L:L)</f>
        <v>Documento a emitir</v>
      </c>
      <c r="G259" s="56" t="str">
        <f>IF(I259="Blossom - Atendimento de Comentário",_xlfn.XLOOKUP(C259,'Data Base'!D:D,'Data Base'!Q:Q),"")</f>
        <v/>
      </c>
      <c r="H259" s="56" t="str">
        <f t="shared" ref="H259:H281" ca="1" si="4">IF(F259&lt;=WORKDAY(TODAY(),-3),"ATRASADO","NO PRAZO")</f>
        <v>NO PRAZO</v>
      </c>
      <c r="I259" s="57" t="str">
        <f>_xlfn.XLOOKUP(C259,'Data Base'!D:D,'Data Base'!O:O)</f>
        <v>Blossom - Documento a emitir</v>
      </c>
    </row>
    <row r="260" spans="2:9" hidden="1" x14ac:dyDescent="0.25">
      <c r="B260" s="53" t="str">
        <f>_xlfn.XLOOKUP(C260,'Data Base'!D:D,'Data Base'!B:B)</f>
        <v>UT - Sistema De Utilidades</v>
      </c>
      <c r="C260" s="53" t="s">
        <v>265</v>
      </c>
      <c r="D260" s="53" t="str">
        <f>_xlfn.XLOOKUP(C260,'LD-ELFA'!F:F,'LD-ELFA'!H:H)</f>
        <v>DE-A1-1000-U-PB-0013</v>
      </c>
      <c r="E260" s="53" t="str">
        <f>_xlfn.XLOOKUP(C260,'LD-ELFA'!F:F,'LD-ELFA'!Q:Q)</f>
        <v>FLUXOGRAMA DE ENGENHARIA - P&amp;ID</v>
      </c>
      <c r="F260" s="56" t="str">
        <f>_xlfn.XLOOKUP(C260,'Data Base'!D:D,'Data Base'!L:L)</f>
        <v>Documento a emitir</v>
      </c>
      <c r="G260" s="56" t="str">
        <f>IF(I260="Blossom - Atendimento de Comentário",_xlfn.XLOOKUP(C260,'Data Base'!D:D,'Data Base'!Q:Q),"")</f>
        <v/>
      </c>
      <c r="H260" s="56" t="str">
        <f t="shared" ca="1" si="4"/>
        <v>NO PRAZO</v>
      </c>
      <c r="I260" s="57" t="str">
        <f>_xlfn.XLOOKUP(C260,'Data Base'!D:D,'Data Base'!O:O)</f>
        <v>Blossom - Documento a emitir</v>
      </c>
    </row>
    <row r="261" spans="2:9" hidden="1" x14ac:dyDescent="0.25">
      <c r="B261" s="53" t="str">
        <f>_xlfn.XLOOKUP(C261,'Data Base'!D:D,'Data Base'!B:B)</f>
        <v>UT - Sistema De Utilidades</v>
      </c>
      <c r="C261" s="53" t="s">
        <v>266</v>
      </c>
      <c r="D261" s="53" t="str">
        <f>_xlfn.XLOOKUP(C261,'LD-ELFA'!F:F,'LD-ELFA'!H:H)</f>
        <v>DE-A1-1802-U-PB-0001</v>
      </c>
      <c r="E261" s="53" t="str">
        <f>_xlfn.XLOOKUP(C261,'LD-ELFA'!F:F,'LD-ELFA'!Q:Q)</f>
        <v>FLUXOGRAMA DE ENGENHARIA - P&amp;ID</v>
      </c>
      <c r="F261" s="56" t="str">
        <f>_xlfn.XLOOKUP(C261,'Data Base'!D:D,'Data Base'!L:L)</f>
        <v>Documento a emitir</v>
      </c>
      <c r="G261" s="56" t="str">
        <f>IF(I261="Blossom - Atendimento de Comentário",_xlfn.XLOOKUP(C261,'Data Base'!D:D,'Data Base'!Q:Q),"")</f>
        <v/>
      </c>
      <c r="H261" s="56" t="str">
        <f t="shared" ca="1" si="4"/>
        <v>NO PRAZO</v>
      </c>
      <c r="I261" s="57" t="str">
        <f>_xlfn.XLOOKUP(C261,'Data Base'!D:D,'Data Base'!O:O)</f>
        <v>Blossom - Documento a emitir</v>
      </c>
    </row>
    <row r="262" spans="2:9" hidden="1" x14ac:dyDescent="0.25">
      <c r="B262" s="53" t="str">
        <f>_xlfn.XLOOKUP(C262,'Data Base'!D:D,'Data Base'!B:B)</f>
        <v>UT - Sistema De Utilidades</v>
      </c>
      <c r="C262" s="53" t="s">
        <v>267</v>
      </c>
      <c r="D262" s="53" t="str">
        <f>_xlfn.XLOOKUP(C262,'LD-ELFA'!F:F,'LD-ELFA'!H:H)</f>
        <v>DE-A1-1803-U-PB-0001</v>
      </c>
      <c r="E262" s="53" t="str">
        <f>_xlfn.XLOOKUP(C262,'LD-ELFA'!F:F,'LD-ELFA'!Q:Q)</f>
        <v>FLUXOGRAMA DE ENGENHARIA - P&amp;ID</v>
      </c>
      <c r="F262" s="56" t="str">
        <f>_xlfn.XLOOKUP(C262,'Data Base'!D:D,'Data Base'!L:L)</f>
        <v>Documento a emitir</v>
      </c>
      <c r="G262" s="56" t="str">
        <f>IF(I262="Blossom - Atendimento de Comentário",_xlfn.XLOOKUP(C262,'Data Base'!D:D,'Data Base'!Q:Q),"")</f>
        <v/>
      </c>
      <c r="H262" s="56" t="str">
        <f t="shared" ca="1" si="4"/>
        <v>NO PRAZO</v>
      </c>
      <c r="I262" s="57" t="str">
        <f>_xlfn.XLOOKUP(C262,'Data Base'!D:D,'Data Base'!O:O)</f>
        <v>Blossom - Documento a emitir</v>
      </c>
    </row>
    <row r="263" spans="2:9" hidden="1" x14ac:dyDescent="0.25">
      <c r="B263" s="53" t="str">
        <f>_xlfn.XLOOKUP(C263,'Data Base'!D:D,'Data Base'!B:B)</f>
        <v>UT - Sistema De Utilidades</v>
      </c>
      <c r="C263" s="53" t="s">
        <v>268</v>
      </c>
      <c r="D263" s="53" t="str">
        <f>_xlfn.XLOOKUP(C263,'LD-ELFA'!F:F,'LD-ELFA'!H:H)</f>
        <v>DE-A1-1803-U-PB-0002</v>
      </c>
      <c r="E263" s="53" t="str">
        <f>_xlfn.XLOOKUP(C263,'LD-ELFA'!F:F,'LD-ELFA'!Q:Q)</f>
        <v>FLUXOGRAMA DE ENGENHARIA - P&amp;ID</v>
      </c>
      <c r="F263" s="56" t="str">
        <f>_xlfn.XLOOKUP(C263,'Data Base'!D:D,'Data Base'!L:L)</f>
        <v>Documento a emitir</v>
      </c>
      <c r="G263" s="56" t="str">
        <f>IF(I263="Blossom - Atendimento de Comentário",_xlfn.XLOOKUP(C263,'Data Base'!D:D,'Data Base'!Q:Q),"")</f>
        <v/>
      </c>
      <c r="H263" s="56" t="str">
        <f t="shared" ca="1" si="4"/>
        <v>NO PRAZO</v>
      </c>
      <c r="I263" s="57" t="str">
        <f>_xlfn.XLOOKUP(C263,'Data Base'!D:D,'Data Base'!O:O)</f>
        <v>Blossom - Documento a emitir</v>
      </c>
    </row>
    <row r="264" spans="2:9" hidden="1" x14ac:dyDescent="0.25">
      <c r="B264" s="53" t="str">
        <f>_xlfn.XLOOKUP(C264,'Data Base'!D:D,'Data Base'!B:B)</f>
        <v>UT - Sistema De Utilidades</v>
      </c>
      <c r="C264" s="53" t="s">
        <v>269</v>
      </c>
      <c r="D264" s="53" t="str">
        <f>_xlfn.XLOOKUP(C264,'LD-ELFA'!F:F,'LD-ELFA'!H:H)</f>
        <v>DE-A1-1803-U-PB-0003</v>
      </c>
      <c r="E264" s="53" t="str">
        <f>_xlfn.XLOOKUP(C264,'LD-ELFA'!F:F,'LD-ELFA'!Q:Q)</f>
        <v>FLUXOGRAMA DE ENGENHARIA - P&amp;ID</v>
      </c>
      <c r="F264" s="56" t="str">
        <f>_xlfn.XLOOKUP(C264,'Data Base'!D:D,'Data Base'!L:L)</f>
        <v>Documento a emitir</v>
      </c>
      <c r="G264" s="56" t="str">
        <f>IF(I264="Blossom - Atendimento de Comentário",_xlfn.XLOOKUP(C264,'Data Base'!D:D,'Data Base'!Q:Q),"")</f>
        <v/>
      </c>
      <c r="H264" s="56" t="str">
        <f t="shared" ca="1" si="4"/>
        <v>NO PRAZO</v>
      </c>
      <c r="I264" s="57" t="str">
        <f>_xlfn.XLOOKUP(C264,'Data Base'!D:D,'Data Base'!O:O)</f>
        <v>Blossom - Documento a emitir</v>
      </c>
    </row>
    <row r="265" spans="2:9" hidden="1" x14ac:dyDescent="0.25">
      <c r="B265" s="53" t="str">
        <f>_xlfn.XLOOKUP(C265,'Data Base'!D:D,'Data Base'!B:B)</f>
        <v>UT - Sistema De Utilidades</v>
      </c>
      <c r="C265" s="53" t="s">
        <v>270</v>
      </c>
      <c r="D265" s="53" t="str">
        <f>_xlfn.XLOOKUP(C265,'LD-ELFA'!F:F,'LD-ELFA'!H:H)</f>
        <v>DE-A1-1802-U-PB-0002</v>
      </c>
      <c r="E265" s="53" t="str">
        <f>_xlfn.XLOOKUP(C265,'LD-ELFA'!F:F,'LD-ELFA'!Q:Q)</f>
        <v>FLUXOGRAMA DE ENGENHARIA - P&amp;ID</v>
      </c>
      <c r="F265" s="56" t="str">
        <f>_xlfn.XLOOKUP(C265,'Data Base'!D:D,'Data Base'!L:L)</f>
        <v>Documento a emitir</v>
      </c>
      <c r="G265" s="56" t="str">
        <f>IF(I265="Blossom - Atendimento de Comentário",_xlfn.XLOOKUP(C265,'Data Base'!D:D,'Data Base'!Q:Q),"")</f>
        <v/>
      </c>
      <c r="H265" s="56" t="str">
        <f t="shared" ca="1" si="4"/>
        <v>NO PRAZO</v>
      </c>
      <c r="I265" s="57" t="str">
        <f>_xlfn.XLOOKUP(C265,'Data Base'!D:D,'Data Base'!O:O)</f>
        <v>Blossom - Documento a emitir</v>
      </c>
    </row>
    <row r="266" spans="2:9" hidden="1" x14ac:dyDescent="0.25">
      <c r="B266" s="53" t="str">
        <f>_xlfn.XLOOKUP(C266,'Data Base'!D:D,'Data Base'!B:B)</f>
        <v>UT - Sistema De Utilidades</v>
      </c>
      <c r="C266" s="53" t="s">
        <v>271</v>
      </c>
      <c r="D266" s="53" t="str">
        <f>_xlfn.XLOOKUP(C266,'LD-ELFA'!F:F,'LD-ELFA'!H:H)</f>
        <v>DE-A1-1805-U-PB-0001</v>
      </c>
      <c r="E266" s="53" t="str">
        <f>_xlfn.XLOOKUP(C266,'LD-ELFA'!F:F,'LD-ELFA'!Q:Q)</f>
        <v>FLUXOGRAMA DE ENGENHARIA - P&amp;ID</v>
      </c>
      <c r="F266" s="56" t="str">
        <f>_xlfn.XLOOKUP(C266,'Data Base'!D:D,'Data Base'!L:L)</f>
        <v>Documento a emitir</v>
      </c>
      <c r="G266" s="56" t="str">
        <f>IF(I266="Blossom - Atendimento de Comentário",_xlfn.XLOOKUP(C266,'Data Base'!D:D,'Data Base'!Q:Q),"")</f>
        <v/>
      </c>
      <c r="H266" s="56" t="str">
        <f t="shared" ca="1" si="4"/>
        <v>NO PRAZO</v>
      </c>
      <c r="I266" s="57" t="str">
        <f>_xlfn.XLOOKUP(C266,'Data Base'!D:D,'Data Base'!O:O)</f>
        <v>Blossom - Documento a emitir</v>
      </c>
    </row>
    <row r="267" spans="2:9" hidden="1" x14ac:dyDescent="0.25">
      <c r="B267" s="53" t="str">
        <f>_xlfn.XLOOKUP(C267,'Data Base'!D:D,'Data Base'!B:B)</f>
        <v>UT - Sistema De Utilidades</v>
      </c>
      <c r="C267" s="53" t="s">
        <v>272</v>
      </c>
      <c r="D267" s="53" t="str">
        <f>_xlfn.XLOOKUP(C267,'LD-ELFA'!F:F,'LD-ELFA'!H:H)</f>
        <v>DE-A1-1805-U-PB-0003</v>
      </c>
      <c r="E267" s="53" t="str">
        <f>_xlfn.XLOOKUP(C267,'LD-ELFA'!F:F,'LD-ELFA'!Q:Q)</f>
        <v>FLUXOGRAMA DE ENGENHARIA - P&amp;ID</v>
      </c>
      <c r="F267" s="56" t="str">
        <f>_xlfn.XLOOKUP(C267,'Data Base'!D:D,'Data Base'!L:L)</f>
        <v>Documento a emitir</v>
      </c>
      <c r="G267" s="56" t="str">
        <f>IF(I267="Blossom - Atendimento de Comentário",_xlfn.XLOOKUP(C267,'Data Base'!D:D,'Data Base'!Q:Q),"")</f>
        <v/>
      </c>
      <c r="H267" s="56" t="str">
        <f t="shared" ca="1" si="4"/>
        <v>NO PRAZO</v>
      </c>
      <c r="I267" s="57" t="str">
        <f>_xlfn.XLOOKUP(C267,'Data Base'!D:D,'Data Base'!O:O)</f>
        <v>Blossom - Documento a emitir</v>
      </c>
    </row>
    <row r="268" spans="2:9" hidden="1" x14ac:dyDescent="0.25">
      <c r="B268" s="53" t="str">
        <f>_xlfn.XLOOKUP(C268,'Data Base'!D:D,'Data Base'!B:B)</f>
        <v>UT - Sistema De Utilidades</v>
      </c>
      <c r="C268" s="53" t="s">
        <v>273</v>
      </c>
      <c r="D268" s="53" t="str">
        <f>_xlfn.XLOOKUP(C268,'LD-ELFA'!F:F,'LD-ELFA'!H:H)</f>
        <v>DE-A1-1805-U-PB-0002</v>
      </c>
      <c r="E268" s="53" t="str">
        <f>_xlfn.XLOOKUP(C268,'LD-ELFA'!F:F,'LD-ELFA'!Q:Q)</f>
        <v>UFD</v>
      </c>
      <c r="F268" s="56" t="str">
        <f>_xlfn.XLOOKUP(C268,'Data Base'!D:D,'Data Base'!L:L)</f>
        <v>Documento a emitir</v>
      </c>
      <c r="G268" s="56" t="str">
        <f>IF(I268="Blossom - Atendimento de Comentário",_xlfn.XLOOKUP(C268,'Data Base'!D:D,'Data Base'!Q:Q),"")</f>
        <v/>
      </c>
      <c r="H268" s="56" t="str">
        <f t="shared" ca="1" si="4"/>
        <v>NO PRAZO</v>
      </c>
      <c r="I268" s="57" t="str">
        <f>_xlfn.XLOOKUP(C268,'Data Base'!D:D,'Data Base'!O:O)</f>
        <v>Blossom - Documento a emitir</v>
      </c>
    </row>
    <row r="269" spans="2:9" hidden="1" x14ac:dyDescent="0.25">
      <c r="B269" s="53" t="str">
        <f>_xlfn.XLOOKUP(C269,'Data Base'!D:D,'Data Base'!B:B)</f>
        <v>UT - Sistema De Utilidades</v>
      </c>
      <c r="C269" s="53" t="s">
        <v>274</v>
      </c>
      <c r="D269" s="53" t="str">
        <f>_xlfn.XLOOKUP(C269,'LD-ELFA'!F:F,'LD-ELFA'!H:H)</f>
        <v>DE-A1-1801-U-PB-0003</v>
      </c>
      <c r="E269" s="53" t="str">
        <f>_xlfn.XLOOKUP(C269,'LD-ELFA'!F:F,'LD-ELFA'!Q:Q)</f>
        <v>UFD</v>
      </c>
      <c r="F269" s="56" t="str">
        <f>_xlfn.XLOOKUP(C269,'Data Base'!D:D,'Data Base'!L:L)</f>
        <v>Documento a emitir</v>
      </c>
      <c r="G269" s="56" t="str">
        <f>IF(I269="Blossom - Atendimento de Comentário",_xlfn.XLOOKUP(C269,'Data Base'!D:D,'Data Base'!Q:Q),"")</f>
        <v/>
      </c>
      <c r="H269" s="56" t="str">
        <f t="shared" ca="1" si="4"/>
        <v>NO PRAZO</v>
      </c>
      <c r="I269" s="57" t="str">
        <f>_xlfn.XLOOKUP(C269,'Data Base'!D:D,'Data Base'!O:O)</f>
        <v>Blossom - Documento a emitir</v>
      </c>
    </row>
    <row r="270" spans="2:9" hidden="1" x14ac:dyDescent="0.25">
      <c r="B270" s="53" t="str">
        <f>_xlfn.XLOOKUP(C270,'Data Base'!D:D,'Data Base'!B:B)</f>
        <v>UT - Sistema De Utilidades</v>
      </c>
      <c r="C270" s="53" t="s">
        <v>275</v>
      </c>
      <c r="D270" s="53" t="str">
        <f>_xlfn.XLOOKUP(C270,'LD-ELFA'!F:F,'LD-ELFA'!H:H)</f>
        <v>DE-A1-1800-U-PB-0001</v>
      </c>
      <c r="E270" s="53" t="str">
        <f>_xlfn.XLOOKUP(C270,'LD-ELFA'!F:F,'LD-ELFA'!Q:Q)</f>
        <v>UFD</v>
      </c>
      <c r="F270" s="56" t="str">
        <f>_xlfn.XLOOKUP(C270,'Data Base'!D:D,'Data Base'!L:L)</f>
        <v>Documento a emitir</v>
      </c>
      <c r="G270" s="56" t="str">
        <f>IF(I270="Blossom - Atendimento de Comentário",_xlfn.XLOOKUP(C270,'Data Base'!D:D,'Data Base'!Q:Q),"")</f>
        <v/>
      </c>
      <c r="H270" s="56" t="str">
        <f t="shared" ca="1" si="4"/>
        <v>NO PRAZO</v>
      </c>
      <c r="I270" s="57" t="str">
        <f>_xlfn.XLOOKUP(C270,'Data Base'!D:D,'Data Base'!O:O)</f>
        <v>Blossom - Documento a emitir</v>
      </c>
    </row>
    <row r="271" spans="2:9" hidden="1" x14ac:dyDescent="0.25">
      <c r="B271" s="53" t="str">
        <f>_xlfn.XLOOKUP(C271,'Data Base'!D:D,'Data Base'!B:B)</f>
        <v>UT - Sistema De Utilidades</v>
      </c>
      <c r="C271" s="53" t="s">
        <v>276</v>
      </c>
      <c r="D271" s="53" t="str">
        <f>_xlfn.XLOOKUP(C271,'LD-ELFA'!F:F,'LD-ELFA'!H:H)</f>
        <v>DE-A1-1801-U-PB-0002</v>
      </c>
      <c r="E271" s="53" t="str">
        <f>_xlfn.XLOOKUP(C271,'LD-ELFA'!F:F,'LD-ELFA'!Q:Q)</f>
        <v>FLUXOGRAMA DE ENGENHARIA - P&amp;ID</v>
      </c>
      <c r="F271" s="56" t="str">
        <f>_xlfn.XLOOKUP(C271,'Data Base'!D:D,'Data Base'!L:L)</f>
        <v>Documento a emitir</v>
      </c>
      <c r="G271" s="56" t="str">
        <f>IF(I271="Blossom - Atendimento de Comentário",_xlfn.XLOOKUP(C271,'Data Base'!D:D,'Data Base'!Q:Q),"")</f>
        <v/>
      </c>
      <c r="H271" s="56" t="str">
        <f t="shared" ca="1" si="4"/>
        <v>NO PRAZO</v>
      </c>
      <c r="I271" s="57" t="str">
        <f>_xlfn.XLOOKUP(C271,'Data Base'!D:D,'Data Base'!O:O)</f>
        <v>Blossom - Documento a emitir</v>
      </c>
    </row>
    <row r="272" spans="2:9" hidden="1" x14ac:dyDescent="0.25">
      <c r="B272" s="53" t="str">
        <f>_xlfn.XLOOKUP(C272,'Data Base'!D:D,'Data Base'!B:B)</f>
        <v>UT - Sistema De Utilidades</v>
      </c>
      <c r="C272" s="53" t="s">
        <v>277</v>
      </c>
      <c r="D272" s="53" t="str">
        <f>_xlfn.XLOOKUP(C272,'LD-ELFA'!F:F,'LD-ELFA'!H:H)</f>
        <v>DE-A1-1801-U-PB-0004</v>
      </c>
      <c r="E272" s="53" t="str">
        <f>_xlfn.XLOOKUP(C272,'LD-ELFA'!F:F,'LD-ELFA'!Q:Q)</f>
        <v>FLUXOGRAMA DE ENGENHARIA - P&amp;ID</v>
      </c>
      <c r="F272" s="56" t="str">
        <f>_xlfn.XLOOKUP(C272,'Data Base'!D:D,'Data Base'!L:L)</f>
        <v>Documento a emitir</v>
      </c>
      <c r="G272" s="56" t="str">
        <f>IF(I272="Blossom - Atendimento de Comentário",_xlfn.XLOOKUP(C272,'Data Base'!D:D,'Data Base'!Q:Q),"")</f>
        <v/>
      </c>
      <c r="H272" s="56" t="str">
        <f t="shared" ca="1" si="4"/>
        <v>NO PRAZO</v>
      </c>
      <c r="I272" s="57" t="str">
        <f>_xlfn.XLOOKUP(C272,'Data Base'!D:D,'Data Base'!O:O)</f>
        <v>Blossom - Documento a emitir</v>
      </c>
    </row>
    <row r="273" spans="2:9" hidden="1" x14ac:dyDescent="0.25">
      <c r="B273" s="53" t="e">
        <f>_xlfn.XLOOKUP(C273,'Data Base'!D:D,'Data Base'!B:B)</f>
        <v>#N/A</v>
      </c>
      <c r="C273" s="53" t="s">
        <v>278</v>
      </c>
      <c r="D273" s="53" t="e">
        <f>_xlfn.XLOOKUP(C273,'LD-ELFA'!F:F,'LD-ELFA'!H:H)</f>
        <v>#N/A</v>
      </c>
      <c r="E273" s="53" t="e">
        <f>_xlfn.XLOOKUP(C273,'LD-ELFA'!F:F,'LD-ELFA'!Q:Q)</f>
        <v>#N/A</v>
      </c>
      <c r="F273" s="56" t="e">
        <f>_xlfn.XLOOKUP(C273,'Data Base'!D:D,'Data Base'!L:L)</f>
        <v>#N/A</v>
      </c>
      <c r="G273" s="56" t="str">
        <f>IF(I273="Blossom - Atendimento de Comentário",_xlfn.XLOOKUP(C273,'Data Base'!D:D,'Data Base'!Q:Q),"")</f>
        <v/>
      </c>
      <c r="H273" s="56" t="e">
        <f t="shared" ca="1" si="4"/>
        <v>#N/A</v>
      </c>
      <c r="I273" s="57" t="str">
        <f>_xlfn.XLOOKUP(C273,'Data Base'!D:D,'Data Base'!O:O)</f>
        <v>Documento Removido</v>
      </c>
    </row>
    <row r="274" spans="2:9" hidden="1" x14ac:dyDescent="0.25">
      <c r="B274" s="53" t="str">
        <f>_xlfn.XLOOKUP(C274,'Data Base'!D:D,'Data Base'!B:B)</f>
        <v>UT - Sistema De Utilidades</v>
      </c>
      <c r="C274" s="53" t="s">
        <v>279</v>
      </c>
      <c r="D274" s="53" t="str">
        <f>_xlfn.XLOOKUP(C274,'LD-ELFA'!F:F,'LD-ELFA'!H:H)</f>
        <v>LL-A1-1000-U-PB-0001</v>
      </c>
      <c r="E274" s="53" t="str">
        <f>_xlfn.XLOOKUP(C274,'LD-ELFA'!F:F,'LD-ELFA'!Q:Q)</f>
        <v>LISTA DE LINHAS</v>
      </c>
      <c r="F274" s="56" t="str">
        <f>_xlfn.XLOOKUP(C274,'Data Base'!D:D,'Data Base'!L:L)</f>
        <v>Documento a emitir</v>
      </c>
      <c r="G274" s="56" t="str">
        <f>IF(I274="Blossom - Atendimento de Comentário",_xlfn.XLOOKUP(C274,'Data Base'!D:D,'Data Base'!Q:Q),"")</f>
        <v/>
      </c>
      <c r="H274" s="56" t="str">
        <f t="shared" ca="1" si="4"/>
        <v>NO PRAZO</v>
      </c>
      <c r="I274" s="57" t="str">
        <f>_xlfn.XLOOKUP(C274,'Data Base'!D:D,'Data Base'!O:O)</f>
        <v>Blossom - Documento a emitir</v>
      </c>
    </row>
    <row r="275" spans="2:9" hidden="1" x14ac:dyDescent="0.25">
      <c r="B275" s="53" t="str">
        <f>_xlfn.XLOOKUP(C275,'Data Base'!D:D,'Data Base'!B:B)</f>
        <v>UT - Sistema De Utilidades</v>
      </c>
      <c r="C275" s="53" t="s">
        <v>280</v>
      </c>
      <c r="D275" s="53" t="str">
        <f>_xlfn.XLOOKUP(C275,'LD-ELFA'!F:F,'LD-ELFA'!H:H)</f>
        <v>MC-A1-1803-U-PB-0001</v>
      </c>
      <c r="E275" s="53" t="str">
        <f>_xlfn.XLOOKUP(C275,'LD-ELFA'!F:F,'LD-ELFA'!Q:Q)</f>
        <v>MEMÓRIA DE CÁLCULO</v>
      </c>
      <c r="F275" s="56" t="str">
        <f>_xlfn.XLOOKUP(C275,'Data Base'!D:D,'Data Base'!L:L)</f>
        <v>Documento a emitir</v>
      </c>
      <c r="G275" s="56" t="str">
        <f>IF(I275="Blossom - Atendimento de Comentário",_xlfn.XLOOKUP(C275,'Data Base'!D:D,'Data Base'!Q:Q),"")</f>
        <v/>
      </c>
      <c r="H275" s="56" t="str">
        <f t="shared" ca="1" si="4"/>
        <v>NO PRAZO</v>
      </c>
      <c r="I275" s="57" t="str">
        <f>_xlfn.XLOOKUP(C275,'Data Base'!D:D,'Data Base'!O:O)</f>
        <v>Blossom - Documento a emitir</v>
      </c>
    </row>
    <row r="276" spans="2:9" x14ac:dyDescent="0.25">
      <c r="B276" s="53" t="str">
        <f>_xlfn.XLOOKUP(C276,'Data Base'!D:D,'Data Base'!B:B)</f>
        <v>UT - Sistema De Utilidades</v>
      </c>
      <c r="C276" s="53" t="s">
        <v>281</v>
      </c>
      <c r="D276" s="53" t="str">
        <f>_xlfn.XLOOKUP(C276,'LD-ELFA'!F:F,'LD-ELFA'!H:H)</f>
        <v>MC-A1-1805-U-PB-0001</v>
      </c>
      <c r="E276" s="53" t="str">
        <f>_xlfn.XLOOKUP(C276,'LD-ELFA'!F:F,'LD-ELFA'!Q:Q)</f>
        <v>MEMÓRIA DE CÁLCULO</v>
      </c>
      <c r="F276" s="56">
        <f>_xlfn.XLOOKUP(C276,'Data Base'!D:D,'Data Base'!L:L)</f>
        <v>46213.493148923611</v>
      </c>
      <c r="G276" s="56" t="str">
        <f>IF(I276="Blossom - Atendimento de Comentário",_xlfn.XLOOKUP(C276,'Data Base'!D:D,'Data Base'!Q:Q),"")</f>
        <v>APR - APROVADO</v>
      </c>
      <c r="H276" s="56" t="str">
        <f t="shared" ca="1" si="4"/>
        <v>NO PRAZO</v>
      </c>
      <c r="I276" s="57" t="str">
        <f>_xlfn.XLOOKUP(C276,'Data Base'!D:D,'Data Base'!O:O)</f>
        <v>Blossom - Atendimento de Comentário</v>
      </c>
    </row>
    <row r="277" spans="2:9" hidden="1" x14ac:dyDescent="0.25">
      <c r="B277" s="53" t="e">
        <f>_xlfn.XLOOKUP(C277,'Data Base'!D:D,'Data Base'!B:B)</f>
        <v>#N/A</v>
      </c>
      <c r="C277" s="53" t="s">
        <v>282</v>
      </c>
      <c r="D277" s="53" t="e">
        <f>_xlfn.XLOOKUP(C277,'LD-ELFA'!F:F,'LD-ELFA'!H:H)</f>
        <v>#N/A</v>
      </c>
      <c r="E277" s="53" t="e">
        <f>_xlfn.XLOOKUP(C277,'LD-ELFA'!F:F,'LD-ELFA'!Q:Q)</f>
        <v>#N/A</v>
      </c>
      <c r="F277" s="56" t="e">
        <f>_xlfn.XLOOKUP(C277,'Data Base'!D:D,'Data Base'!L:L)</f>
        <v>#N/A</v>
      </c>
      <c r="G277" s="56" t="str">
        <f>IF(I277="Blossom - Atendimento de Comentário",_xlfn.XLOOKUP(C277,'Data Base'!D:D,'Data Base'!Q:Q),"")</f>
        <v/>
      </c>
      <c r="H277" s="56" t="e">
        <f t="shared" ca="1" si="4"/>
        <v>#N/A</v>
      </c>
      <c r="I277" s="57" t="str">
        <f>_xlfn.XLOOKUP(C277,'Data Base'!D:D,'Data Base'!O:O)</f>
        <v>Documento Removido</v>
      </c>
    </row>
    <row r="278" spans="2:9" hidden="1" x14ac:dyDescent="0.25">
      <c r="B278" s="53" t="str">
        <f>_xlfn.XLOOKUP(C278,'Data Base'!D:D,'Data Base'!B:B)</f>
        <v>UT - Sistema De Utilidades</v>
      </c>
      <c r="C278" s="53" t="s">
        <v>283</v>
      </c>
      <c r="D278" s="53" t="str">
        <f>_xlfn.XLOOKUP(C278,'LD-ELFA'!F:F,'LD-ELFA'!H:H)</f>
        <v>MC-A1-1800-U-PB-0001</v>
      </c>
      <c r="E278" s="53" t="str">
        <f>_xlfn.XLOOKUP(C278,'LD-ELFA'!F:F,'LD-ELFA'!Q:Q)</f>
        <v>MEMÓRIA DE CÁLCULO</v>
      </c>
      <c r="F278" s="56" t="str">
        <f>_xlfn.XLOOKUP(C278,'Data Base'!D:D,'Data Base'!L:L)</f>
        <v>Documento a emitir</v>
      </c>
      <c r="G278" s="56" t="str">
        <f>IF(I278="Blossom - Atendimento de Comentário",_xlfn.XLOOKUP(C278,'Data Base'!D:D,'Data Base'!Q:Q),"")</f>
        <v/>
      </c>
      <c r="H278" s="56" t="str">
        <f t="shared" ca="1" si="4"/>
        <v>NO PRAZO</v>
      </c>
      <c r="I278" s="57" t="str">
        <f>_xlfn.XLOOKUP(C278,'Data Base'!D:D,'Data Base'!O:O)</f>
        <v>Blossom - Documento a emitir</v>
      </c>
    </row>
    <row r="279" spans="2:9" hidden="1" x14ac:dyDescent="0.25">
      <c r="B279" s="53" t="str">
        <f>_xlfn.XLOOKUP(C279,'Data Base'!D:D,'Data Base'!B:B)</f>
        <v>UT - Sistema De Utilidades</v>
      </c>
      <c r="C279" s="53" t="s">
        <v>284</v>
      </c>
      <c r="D279" s="53" t="str">
        <f>_xlfn.XLOOKUP(C279,'LD-ELFA'!F:F,'LD-ELFA'!H:H)</f>
        <v>MC-A1-1801-U-PB-0001</v>
      </c>
      <c r="E279" s="53" t="str">
        <f>_xlfn.XLOOKUP(C279,'LD-ELFA'!F:F,'LD-ELFA'!Q:Q)</f>
        <v>MEMÓRIA DE CÁLCULO</v>
      </c>
      <c r="F279" s="56" t="str">
        <f>_xlfn.XLOOKUP(C279,'Data Base'!D:D,'Data Base'!L:L)</f>
        <v>Documento a emitir</v>
      </c>
      <c r="G279" s="56" t="str">
        <f>IF(I279="Blossom - Atendimento de Comentário",_xlfn.XLOOKUP(C279,'Data Base'!D:D,'Data Base'!Q:Q),"")</f>
        <v/>
      </c>
      <c r="H279" s="56" t="str">
        <f t="shared" ca="1" si="4"/>
        <v>NO PRAZO</v>
      </c>
      <c r="I279" s="57" t="str">
        <f>_xlfn.XLOOKUP(C279,'Data Base'!D:D,'Data Base'!O:O)</f>
        <v>Blossom - Documento a emitir</v>
      </c>
    </row>
    <row r="280" spans="2:9" hidden="1" x14ac:dyDescent="0.25">
      <c r="B280" s="53" t="str">
        <f>_xlfn.XLOOKUP(C280,'Data Base'!D:D,'Data Base'!B:B)</f>
        <v>UT - Sistema De Utilidades</v>
      </c>
      <c r="C280" s="53" t="s">
        <v>285</v>
      </c>
      <c r="D280" s="53" t="str">
        <f>_xlfn.XLOOKUP(C280,'LD-ELFA'!F:F,'LD-ELFA'!H:H)</f>
        <v>MC-A1-1900-U-PB-0001</v>
      </c>
      <c r="E280" s="53" t="str">
        <f>_xlfn.XLOOKUP(C280,'LD-ELFA'!F:F,'LD-ELFA'!Q:Q)</f>
        <v>MEMÓRIA DE CÁLCULO</v>
      </c>
      <c r="F280" s="56" t="str">
        <f>_xlfn.XLOOKUP(C280,'Data Base'!D:D,'Data Base'!L:L)</f>
        <v>Documento a emitir</v>
      </c>
      <c r="G280" s="56" t="str">
        <f>IF(I280="Blossom - Atendimento de Comentário",_xlfn.XLOOKUP(C280,'Data Base'!D:D,'Data Base'!Q:Q),"")</f>
        <v/>
      </c>
      <c r="H280" s="56" t="str">
        <f t="shared" ca="1" si="4"/>
        <v>NO PRAZO</v>
      </c>
      <c r="I280" s="57" t="str">
        <f>_xlfn.XLOOKUP(C280,'Data Base'!D:D,'Data Base'!O:O)</f>
        <v>Blossom - Documento a emitir</v>
      </c>
    </row>
    <row r="281" spans="2:9" x14ac:dyDescent="0.25">
      <c r="B281" s="53" t="str">
        <f>_xlfn.XLOOKUP(C281,'Data Base'!D:D,'Data Base'!B:B)</f>
        <v>UT - Sistema De Utilidades</v>
      </c>
      <c r="C281" s="53" t="s">
        <v>286</v>
      </c>
      <c r="D281" s="53" t="str">
        <f>_xlfn.XLOOKUP(C281,'LD-ELFA'!F:F,'LD-ELFA'!H:H)</f>
        <v>RL-A1-2100-U-PB-4000</v>
      </c>
      <c r="E281" s="53" t="str">
        <f>_xlfn.XLOOKUP(C281,'LD-ELFA'!F:F,'LD-ELFA'!Q:Q)</f>
        <v>RELATÓRIO TÉCNICO</v>
      </c>
      <c r="F281" s="56">
        <f>_xlfn.XLOOKUP(C281,'Data Base'!D:D,'Data Base'!L:L)</f>
        <v>46212.488815972218</v>
      </c>
      <c r="G281" s="56" t="str">
        <f>IF(I281="Blossom - Atendimento de Comentário",_xlfn.XLOOKUP(C281,'Data Base'!D:D,'Data Base'!Q:Q),"")</f>
        <v>APC-R  - APC-R - Aprovado com Comentários (Retornar para uma nova Aprovação)</v>
      </c>
      <c r="H281" s="56" t="str">
        <f t="shared" ca="1" si="4"/>
        <v>NO PRAZO</v>
      </c>
      <c r="I281" s="57" t="str">
        <f>_xlfn.XLOOKUP(C281,'Data Base'!D:D,'Data Base'!O:O)</f>
        <v>Blossom - Atendimento de Comentário</v>
      </c>
    </row>
  </sheetData>
  <autoFilter ref="B2:I281" xr:uid="{00000000-0009-0000-0000-00000A000000}">
    <filterColumn colId="7">
      <filters>
        <filter val="Blossom - Atendimento de Comentário"/>
      </filters>
    </filterColumn>
  </autoFilter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B3:H282"/>
  <sheetViews>
    <sheetView zoomScale="70" zoomScaleNormal="70" workbookViewId="0">
      <selection activeCell="G33" sqref="G33:G253"/>
    </sheetView>
  </sheetViews>
  <sheetFormatPr defaultRowHeight="15" x14ac:dyDescent="0.25"/>
  <cols>
    <col min="2" max="2" width="33.5703125" bestFit="1" customWidth="1"/>
    <col min="3" max="3" width="34.28515625" bestFit="1" customWidth="1"/>
    <col min="4" max="4" width="26.42578125" bestFit="1" customWidth="1"/>
    <col min="5" max="5" width="51.7109375" customWidth="1"/>
    <col min="6" max="6" width="38.28515625" bestFit="1" customWidth="1"/>
    <col min="7" max="7" width="36.28515625" bestFit="1" customWidth="1"/>
    <col min="8" max="8" width="30.85546875" customWidth="1"/>
  </cols>
  <sheetData>
    <row r="3" spans="2:8" x14ac:dyDescent="0.25">
      <c r="B3" s="65" t="s">
        <v>0</v>
      </c>
      <c r="C3" s="65" t="s">
        <v>1</v>
      </c>
      <c r="D3" s="65" t="s">
        <v>2</v>
      </c>
      <c r="E3" s="65" t="s">
        <v>3</v>
      </c>
      <c r="F3" s="65" t="s">
        <v>1433</v>
      </c>
      <c r="G3" s="65" t="s">
        <v>2229</v>
      </c>
      <c r="H3" s="65" t="s">
        <v>334</v>
      </c>
    </row>
    <row r="4" spans="2:8" hidden="1" x14ac:dyDescent="0.25">
      <c r="B4" s="53" t="e">
        <f>_xlfn.XLOOKUP(C4,'Data Base'!D:D,'Data Base'!B:B)</f>
        <v>#N/A</v>
      </c>
      <c r="C4" s="53" t="s">
        <v>8</v>
      </c>
      <c r="D4" s="53" t="e">
        <f>_xlfn.XLOOKUP(C4,'LD-ELFA'!F:F,'LD-ELFA'!H:H)</f>
        <v>#N/A</v>
      </c>
      <c r="E4" s="53" t="e">
        <f>_xlfn.XLOOKUP(C4,'LD-ELFA'!F:F,'LD-ELFA'!Q:Q)</f>
        <v>#N/A</v>
      </c>
      <c r="F4" s="56" t="str">
        <f>_xlfn.XLOOKUP(C4,'Data Base'!D:D,'Data Base'!O:O)</f>
        <v>Documento Removido</v>
      </c>
      <c r="G4" s="57" t="e">
        <f ca="1">IF(OR('Documentos Atendimentos '!H3="ATRASADO",
        AND('Documentos Emissão'!I3="ATRASADO",
            _xlfn.XLOOKUP(C4,'Documentos Emissão'!C:C,'Documentos Emissão'!G:G)&gt; 'Data Base'!$D$1,
            _xlfn.XLOOKUP(C4,'Documentos Emissão'!C:C,'Documentos Emissão'!G:G)&lt;='Data Base'!$D$1+6)),
    "JUSTIFICATIVA",
    "")</f>
        <v>#N/A</v>
      </c>
      <c r="H4" s="56"/>
    </row>
    <row r="5" spans="2:8" hidden="1" x14ac:dyDescent="0.25">
      <c r="B5" s="53" t="e">
        <f>_xlfn.XLOOKUP(C5,'Data Base'!D:D,'Data Base'!B:B)</f>
        <v>#N/A</v>
      </c>
      <c r="C5" s="53" t="s">
        <v>9</v>
      </c>
      <c r="D5" s="53" t="e">
        <f>_xlfn.XLOOKUP(C5,'LD-ELFA'!F:F,'LD-ELFA'!H:H)</f>
        <v>#N/A</v>
      </c>
      <c r="E5" s="53" t="e">
        <f>_xlfn.XLOOKUP(C5,'LD-ELFA'!F:F,'LD-ELFA'!Q:Q)</f>
        <v>#N/A</v>
      </c>
      <c r="F5" s="56" t="str">
        <f>_xlfn.XLOOKUP(C5,'Data Base'!D:D,'Data Base'!O:O)</f>
        <v>Documento Removido</v>
      </c>
      <c r="G5" s="57" t="e">
        <f ca="1">IF(OR('Documentos Atendimentos '!H4="ATRASADO",
        AND('Documentos Emissão'!I4="ATRASADO",
            _xlfn.XLOOKUP(C5,'Documentos Emissão'!C:C,'Documentos Emissão'!G:G)&gt; 'Data Base'!$D$1,
            _xlfn.XLOOKUP(C5,'Documentos Emissão'!C:C,'Documentos Emissão'!G:G)&lt;='Data Base'!$D$1+6)),
    "JUSTIFICATIVA",
    "")</f>
        <v>#N/A</v>
      </c>
      <c r="H5" s="56"/>
    </row>
    <row r="6" spans="2:8" hidden="1" x14ac:dyDescent="0.25">
      <c r="B6" s="53" t="e">
        <f>_xlfn.XLOOKUP(C6,'Data Base'!D:D,'Data Base'!B:B)</f>
        <v>#N/A</v>
      </c>
      <c r="C6" s="53" t="s">
        <v>10</v>
      </c>
      <c r="D6" s="53" t="e">
        <f>_xlfn.XLOOKUP(C6,'LD-ELFA'!F:F,'LD-ELFA'!H:H)</f>
        <v>#N/A</v>
      </c>
      <c r="E6" s="53" t="e">
        <f>_xlfn.XLOOKUP(C6,'LD-ELFA'!F:F,'LD-ELFA'!Q:Q)</f>
        <v>#N/A</v>
      </c>
      <c r="F6" s="56" t="str">
        <f>_xlfn.XLOOKUP(C6,'Data Base'!D:D,'Data Base'!O:O)</f>
        <v>Documento Removido</v>
      </c>
      <c r="G6" s="57" t="e">
        <f ca="1">IF(OR('Documentos Atendimentos '!H5="ATRASADO",
        AND('Documentos Emissão'!I5="ATRASADO",
            _xlfn.XLOOKUP(C6,'Documentos Emissão'!C:C,'Documentos Emissão'!G:G)&gt; 'Data Base'!$D$1,
            _xlfn.XLOOKUP(C6,'Documentos Emissão'!C:C,'Documentos Emissão'!G:G)&lt;='Data Base'!$D$1+6)),
    "JUSTIFICATIVA",
    "")</f>
        <v>#N/A</v>
      </c>
      <c r="H6" s="56"/>
    </row>
    <row r="7" spans="2:8" hidden="1" x14ac:dyDescent="0.25">
      <c r="B7" s="53" t="e">
        <f>_xlfn.XLOOKUP(C7,'Data Base'!D:D,'Data Base'!B:B)</f>
        <v>#N/A</v>
      </c>
      <c r="C7" s="53" t="s">
        <v>11</v>
      </c>
      <c r="D7" s="53" t="e">
        <f>_xlfn.XLOOKUP(C7,'LD-ELFA'!F:F,'LD-ELFA'!H:H)</f>
        <v>#N/A</v>
      </c>
      <c r="E7" s="53" t="e">
        <f>_xlfn.XLOOKUP(C7,'LD-ELFA'!F:F,'LD-ELFA'!Q:Q)</f>
        <v>#N/A</v>
      </c>
      <c r="F7" s="56" t="str">
        <f>_xlfn.XLOOKUP(C7,'Data Base'!D:D,'Data Base'!O:O)</f>
        <v>Documento Removido</v>
      </c>
      <c r="G7" s="57" t="e">
        <f ca="1">IF(OR('Documentos Atendimentos '!H6="ATRASADO",
        AND('Documentos Emissão'!I6="ATRASADO",
            _xlfn.XLOOKUP(C7,'Documentos Emissão'!C:C,'Documentos Emissão'!G:G)&gt; 'Data Base'!$D$1,
            _xlfn.XLOOKUP(C7,'Documentos Emissão'!C:C,'Documentos Emissão'!G:G)&lt;='Data Base'!$D$1+6)),
    "JUSTIFICATIVA",
    "")</f>
        <v>#N/A</v>
      </c>
      <c r="H7" s="56"/>
    </row>
    <row r="8" spans="2:8" hidden="1" x14ac:dyDescent="0.25">
      <c r="B8" s="53" t="e">
        <f>_xlfn.XLOOKUP(C8,'Data Base'!D:D,'Data Base'!B:B)</f>
        <v>#N/A</v>
      </c>
      <c r="C8" s="53" t="s">
        <v>12</v>
      </c>
      <c r="D8" s="53" t="e">
        <f>_xlfn.XLOOKUP(C8,'LD-ELFA'!F:F,'LD-ELFA'!H:H)</f>
        <v>#N/A</v>
      </c>
      <c r="E8" s="53" t="e">
        <f>_xlfn.XLOOKUP(C8,'LD-ELFA'!F:F,'LD-ELFA'!Q:Q)</f>
        <v>#N/A</v>
      </c>
      <c r="F8" s="56" t="str">
        <f>_xlfn.XLOOKUP(C8,'Data Base'!D:D,'Data Base'!O:O)</f>
        <v>Documento Removido</v>
      </c>
      <c r="G8" s="57" t="e">
        <f ca="1">IF(OR('Documentos Atendimentos '!H7="ATRASADO",
        AND('Documentos Emissão'!I7="ATRASADO",
            _xlfn.XLOOKUP(C8,'Documentos Emissão'!C:C,'Documentos Emissão'!G:G)&gt; 'Data Base'!$D$1,
            _xlfn.XLOOKUP(C8,'Documentos Emissão'!C:C,'Documentos Emissão'!G:G)&lt;='Data Base'!$D$1+6)),
    "JUSTIFICATIVA",
    "")</f>
        <v>#N/A</v>
      </c>
      <c r="H8" s="56"/>
    </row>
    <row r="9" spans="2:8" hidden="1" x14ac:dyDescent="0.25">
      <c r="B9" s="53" t="e">
        <f>_xlfn.XLOOKUP(C9,'Data Base'!D:D,'Data Base'!B:B)</f>
        <v>#N/A</v>
      </c>
      <c r="C9" s="53" t="s">
        <v>13</v>
      </c>
      <c r="D9" s="53" t="e">
        <f>_xlfn.XLOOKUP(C9,'LD-ELFA'!F:F,'LD-ELFA'!H:H)</f>
        <v>#N/A</v>
      </c>
      <c r="E9" s="53" t="e">
        <f>_xlfn.XLOOKUP(C9,'LD-ELFA'!F:F,'LD-ELFA'!Q:Q)</f>
        <v>#N/A</v>
      </c>
      <c r="F9" s="56" t="str">
        <f>_xlfn.XLOOKUP(C9,'Data Base'!D:D,'Data Base'!O:O)</f>
        <v>Documento Removido</v>
      </c>
      <c r="G9" s="57" t="e">
        <f ca="1">IF(OR('Documentos Atendimentos '!H8="ATRASADO",
        AND('Documentos Emissão'!I8="ATRASADO",
            _xlfn.XLOOKUP(C9,'Documentos Emissão'!C:C,'Documentos Emissão'!G:G)&gt; 'Data Base'!$D$1,
            _xlfn.XLOOKUP(C9,'Documentos Emissão'!C:C,'Documentos Emissão'!G:G)&lt;='Data Base'!$D$1+6)),
    "JUSTIFICATIVA",
    "")</f>
        <v>#N/A</v>
      </c>
      <c r="H9" s="56"/>
    </row>
    <row r="10" spans="2:8" hidden="1" x14ac:dyDescent="0.25">
      <c r="B10" s="53" t="e">
        <f>_xlfn.XLOOKUP(C10,'Data Base'!D:D,'Data Base'!B:B)</f>
        <v>#N/A</v>
      </c>
      <c r="C10" s="53" t="s">
        <v>14</v>
      </c>
      <c r="D10" s="53" t="e">
        <f>_xlfn.XLOOKUP(C10,'LD-ELFA'!F:F,'LD-ELFA'!H:H)</f>
        <v>#N/A</v>
      </c>
      <c r="E10" s="53" t="e">
        <f>_xlfn.XLOOKUP(C10,'LD-ELFA'!F:F,'LD-ELFA'!Q:Q)</f>
        <v>#N/A</v>
      </c>
      <c r="F10" s="56" t="str">
        <f>_xlfn.XLOOKUP(C10,'Data Base'!D:D,'Data Base'!O:O)</f>
        <v>Documento Removido</v>
      </c>
      <c r="G10" s="57" t="e">
        <f ca="1">IF(OR('Documentos Atendimentos '!H9="ATRASADO",
        AND('Documentos Emissão'!I9="ATRASADO",
            _xlfn.XLOOKUP(C10,'Documentos Emissão'!C:C,'Documentos Emissão'!G:G)&gt; 'Data Base'!$D$1,
            _xlfn.XLOOKUP(C10,'Documentos Emissão'!C:C,'Documentos Emissão'!G:G)&lt;='Data Base'!$D$1+6)),
    "JUSTIFICATIVA",
    "")</f>
        <v>#N/A</v>
      </c>
      <c r="H10" s="56"/>
    </row>
    <row r="11" spans="2:8" hidden="1" x14ac:dyDescent="0.25">
      <c r="B11" s="53" t="str">
        <f>_xlfn.XLOOKUP(C11,'Data Base'!D:D,'Data Base'!B:B)</f>
        <v>AI - Automacao E Instrumentacao</v>
      </c>
      <c r="C11" s="53" t="s">
        <v>15</v>
      </c>
      <c r="D11" s="53" t="str">
        <f>_xlfn.XLOOKUP(C11,'LD-ELFA'!F:F,'LD-ELFA'!H:H)</f>
        <v>DE-A1-2000-J-PB-0002</v>
      </c>
      <c r="E11" s="53" t="str">
        <f>_xlfn.XLOOKUP(C11,'LD-ELFA'!F:F,'LD-ELFA'!Q:Q)</f>
        <v>carol</v>
      </c>
      <c r="F11" s="56" t="str">
        <f>_xlfn.XLOOKUP(C11,'Data Base'!D:D,'Data Base'!O:O)</f>
        <v>ERRO</v>
      </c>
      <c r="G11" s="57" t="str">
        <f ca="1">IF(OR('Documentos Atendimentos '!H10="ATRASADO",
        AND('Documentos Emissão'!I10="ATRASADO",
            _xlfn.XLOOKUP(C11,'Documentos Emissão'!C:C,'Documentos Emissão'!G:G)&gt; 'Data Base'!$D$1,
            _xlfn.XLOOKUP(C11,'Documentos Emissão'!C:C,'Documentos Emissão'!G:G)&lt;='Data Base'!$D$1+6)),
    "JUSTIFICATIVA",
    "")</f>
        <v/>
      </c>
      <c r="H11" s="56"/>
    </row>
    <row r="12" spans="2:8" hidden="1" x14ac:dyDescent="0.25">
      <c r="B12" s="53" t="str">
        <f>_xlfn.XLOOKUP(C12,'Data Base'!D:D,'Data Base'!B:B)</f>
        <v>AI - Automacao E Instrumentacao</v>
      </c>
      <c r="C12" s="53" t="s">
        <v>16</v>
      </c>
      <c r="D12" s="53" t="str">
        <f>_xlfn.XLOOKUP(C12,'LD-ELFA'!F:F,'LD-ELFA'!H:H)</f>
        <v>DE-A1-2000-J-PB-0003</v>
      </c>
      <c r="E12" s="53" t="str">
        <f>_xlfn.XLOOKUP(C12,'LD-ELFA'!F:F,'LD-ELFA'!Q:Q)</f>
        <v>DIAGRAMA DE CONFIGURAÇÃO SAS/SGE</v>
      </c>
      <c r="F12" s="56" t="str">
        <f>_xlfn.XLOOKUP(C12,'Data Base'!D:D,'Data Base'!O:O)</f>
        <v>Blossom - Documento a emitir</v>
      </c>
      <c r="G12" s="57" t="str">
        <f ca="1">IF(OR('Documentos Atendimentos '!H11="ATRASADO",
        AND('Documentos Emissão'!I11="ATRASADO",
            _xlfn.XLOOKUP(C12,'Documentos Emissão'!C:C,'Documentos Emissão'!G:G)&gt; 'Data Base'!$D$1,
            _xlfn.XLOOKUP(C12,'Documentos Emissão'!C:C,'Documentos Emissão'!G:G)&lt;='Data Base'!$D$1+6)),
    "JUSTIFICATIVA",
    "")</f>
        <v/>
      </c>
      <c r="H12" s="56"/>
    </row>
    <row r="13" spans="2:8" hidden="1" x14ac:dyDescent="0.25">
      <c r="B13" s="53" t="str">
        <f>_xlfn.XLOOKUP(C13,'Data Base'!D:D,'Data Base'!B:B)</f>
        <v>AI - Automacao E Instrumentacao</v>
      </c>
      <c r="C13" s="53" t="s">
        <v>17</v>
      </c>
      <c r="D13" s="53" t="str">
        <f>_xlfn.XLOOKUP(C13,'LD-ELFA'!F:F,'LD-ELFA'!H:H)</f>
        <v>DE-A1-2000-J-PB-0004</v>
      </c>
      <c r="E13" s="53" t="str">
        <f>_xlfn.XLOOKUP(C13,'LD-ELFA'!F:F,'LD-ELFA'!Q:Q)</f>
        <v xml:space="preserve">DIAGRAMA DE CONFIGURAÇÃO DE TELECOM </v>
      </c>
      <c r="F13" s="56" t="str">
        <f>_xlfn.XLOOKUP(C13,'Data Base'!D:D,'Data Base'!O:O)</f>
        <v>Blossom - Documento a emitir</v>
      </c>
      <c r="G13" s="57" t="str">
        <f ca="1">IF(OR('Documentos Atendimentos '!H12="ATRASADO",
        AND('Documentos Emissão'!I12="ATRASADO",
            _xlfn.XLOOKUP(C13,'Documentos Emissão'!C:C,'Documentos Emissão'!G:G)&gt; 'Data Base'!$D$1,
            _xlfn.XLOOKUP(C13,'Documentos Emissão'!C:C,'Documentos Emissão'!G:G)&lt;='Data Base'!$D$1+6)),
    "JUSTIFICATIVA",
    "")</f>
        <v/>
      </c>
      <c r="H13" s="56"/>
    </row>
    <row r="14" spans="2:8" hidden="1" x14ac:dyDescent="0.25">
      <c r="B14" s="53" t="str">
        <f>_xlfn.XLOOKUP(C14,'Data Base'!D:D,'Data Base'!B:B)</f>
        <v>AI - Automacao E Instrumentacao</v>
      </c>
      <c r="C14" s="53" t="s">
        <v>18</v>
      </c>
      <c r="D14" s="53" t="str">
        <f>_xlfn.XLOOKUP(C14,'LD-ELFA'!F:F,'LD-ELFA'!H:H)</f>
        <v>DE-A1-2000-J-PB-0005</v>
      </c>
      <c r="E14" s="53" t="str">
        <f>_xlfn.XLOOKUP(C14,'LD-ELFA'!F:F,'LD-ELFA'!Q:Q)</f>
        <v xml:space="preserve">DIAGRAMA DE CONFIGURAÇÃO DE TELECOM </v>
      </c>
      <c r="F14" s="56" t="str">
        <f>_xlfn.XLOOKUP(C14,'Data Base'!D:D,'Data Base'!O:O)</f>
        <v>Blossom - Documento a emitir</v>
      </c>
      <c r="G14" s="57" t="str">
        <f ca="1">IF(OR('Documentos Atendimentos '!H13="ATRASADO",
        AND('Documentos Emissão'!I13="ATRASADO",
            _xlfn.XLOOKUP(C14,'Documentos Emissão'!C:C,'Documentos Emissão'!G:G)&gt; 'Data Base'!$D$1,
            _xlfn.XLOOKUP(C14,'Documentos Emissão'!C:C,'Documentos Emissão'!G:G)&lt;='Data Base'!$D$1+6)),
    "JUSTIFICATIVA",
    "")</f>
        <v/>
      </c>
      <c r="H14" s="56"/>
    </row>
    <row r="15" spans="2:8" hidden="1" x14ac:dyDescent="0.25">
      <c r="B15" s="53" t="str">
        <f>_xlfn.XLOOKUP(C15,'Data Base'!D:D,'Data Base'!B:B)</f>
        <v>AI - Automacao E Instrumentacao</v>
      </c>
      <c r="C15" s="53" t="s">
        <v>19</v>
      </c>
      <c r="D15" s="53" t="str">
        <f>_xlfn.XLOOKUP(C15,'LD-ELFA'!F:F,'LD-ELFA'!H:H)</f>
        <v>DE-A1-2000-J-PB-0006</v>
      </c>
      <c r="E15" s="53" t="str">
        <f>_xlfn.XLOOKUP(C15,'LD-ELFA'!F:F,'LD-ELFA'!Q:Q)</f>
        <v>DIAGRAMA DE CONFIGURAÇÃO DE TELECOM</v>
      </c>
      <c r="F15" s="56" t="str">
        <f>_xlfn.XLOOKUP(C15,'Data Base'!D:D,'Data Base'!O:O)</f>
        <v>Blossom - Documento a emitir</v>
      </c>
      <c r="G15" s="57" t="str">
        <f ca="1">IF(OR('Documentos Atendimentos '!H14="ATRASADO",
        AND('Documentos Emissão'!I14="ATRASADO",
            _xlfn.XLOOKUP(C15,'Documentos Emissão'!C:C,'Documentos Emissão'!G:G)&gt; 'Data Base'!$D$1,
            _xlfn.XLOOKUP(C15,'Documentos Emissão'!C:C,'Documentos Emissão'!G:G)&lt;='Data Base'!$D$1+6)),
    "JUSTIFICATIVA",
    "")</f>
        <v/>
      </c>
      <c r="H15" s="56"/>
    </row>
    <row r="16" spans="2:8" hidden="1" x14ac:dyDescent="0.25">
      <c r="B16" s="53" t="str">
        <f>_xlfn.XLOOKUP(C16,'Data Base'!D:D,'Data Base'!B:B)</f>
        <v>AI - Automacao E Instrumentacao</v>
      </c>
      <c r="C16" s="53" t="s">
        <v>20</v>
      </c>
      <c r="D16" s="53" t="str">
        <f>_xlfn.XLOOKUP(C16,'LD-ELFA'!F:F,'LD-ELFA'!H:H)</f>
        <v>DE-A1-2000-J-PB-0007</v>
      </c>
      <c r="E16" s="53" t="str">
        <f>_xlfn.XLOOKUP(C16,'LD-ELFA'!F:F,'LD-ELFA'!Q:Q)</f>
        <v>DIAGRAMA DE CONFIGURAÇÃO DE TELECOM</v>
      </c>
      <c r="F16" s="56" t="str">
        <f>_xlfn.XLOOKUP(C16,'Data Base'!D:D,'Data Base'!O:O)</f>
        <v>Blossom - Documento a emitir</v>
      </c>
      <c r="G16" s="57" t="str">
        <f ca="1">IF(OR('Documentos Atendimentos '!H15="ATRASADO",
        AND('Documentos Emissão'!I15="ATRASADO",
            _xlfn.XLOOKUP(C16,'Documentos Emissão'!C:C,'Documentos Emissão'!G:G)&gt; 'Data Base'!$D$1,
            _xlfn.XLOOKUP(C16,'Documentos Emissão'!C:C,'Documentos Emissão'!G:G)&lt;='Data Base'!$D$1+6)),
    "JUSTIFICATIVA",
    "")</f>
        <v/>
      </c>
      <c r="H16" s="56"/>
    </row>
    <row r="17" spans="2:8" hidden="1" x14ac:dyDescent="0.25">
      <c r="B17" s="53" t="str">
        <f>_xlfn.XLOOKUP(C17,'Data Base'!D:D,'Data Base'!B:B)</f>
        <v>AI - Automacao E Instrumentacao</v>
      </c>
      <c r="C17" s="53" t="s">
        <v>21</v>
      </c>
      <c r="D17" s="53" t="str">
        <f>_xlfn.XLOOKUP(C17,'LD-ELFA'!F:F,'LD-ELFA'!H:H)</f>
        <v>DE-A1-2006-J-PB-0001</v>
      </c>
      <c r="E17" s="53" t="str">
        <f>_xlfn.XLOOKUP(C17,'LD-ELFA'!F:F,'LD-ELFA'!Q:Q)</f>
        <v>DIAGRAMA DE CONFIGURAÇÃO DE TELECOM</v>
      </c>
      <c r="F17" s="56" t="str">
        <f>_xlfn.XLOOKUP(C17,'Data Base'!D:D,'Data Base'!O:O)</f>
        <v>Blossom - Documento a emitir</v>
      </c>
      <c r="G17" s="57" t="str">
        <f ca="1">IF(OR('Documentos Atendimentos '!H16="ATRASADO",
        AND('Documentos Emissão'!I16="ATRASADO",
            _xlfn.XLOOKUP(C17,'Documentos Emissão'!C:C,'Documentos Emissão'!G:G)&gt; 'Data Base'!$D$1,
            _xlfn.XLOOKUP(C17,'Documentos Emissão'!C:C,'Documentos Emissão'!G:G)&lt;='Data Base'!$D$1+6)),
    "JUSTIFICATIVA",
    "")</f>
        <v/>
      </c>
      <c r="H17" s="56"/>
    </row>
    <row r="18" spans="2:8" hidden="1" x14ac:dyDescent="0.25">
      <c r="B18" s="53" t="str">
        <f>_xlfn.XLOOKUP(C18,'Data Base'!D:D,'Data Base'!B:B)</f>
        <v>AI - Automacao E Instrumentacao</v>
      </c>
      <c r="C18" s="53" t="s">
        <v>22</v>
      </c>
      <c r="D18" s="53" t="str">
        <f>_xlfn.XLOOKUP(C18,'LD-ELFA'!F:F,'LD-ELFA'!H:H)</f>
        <v>ET-A1-2000-J-PB-0002</v>
      </c>
      <c r="E18" s="53" t="str">
        <f>_xlfn.XLOOKUP(C18,'LD-ELFA'!F:F,'LD-ELFA'!Q:Q)</f>
        <v>ESPECIFICAÇÃO TÉCNICA</v>
      </c>
      <c r="F18" s="56" t="str">
        <f>_xlfn.XLOOKUP(C18,'Data Base'!D:D,'Data Base'!O:O)</f>
        <v>Blossom - Documento a emitir</v>
      </c>
      <c r="G18" s="57" t="str">
        <f ca="1">IF(OR('Documentos Atendimentos '!H17="ATRASADO",
        AND('Documentos Emissão'!I17="ATRASADO",
            _xlfn.XLOOKUP(C18,'Documentos Emissão'!C:C,'Documentos Emissão'!G:G)&gt; 'Data Base'!$D$1,
            _xlfn.XLOOKUP(C18,'Documentos Emissão'!C:C,'Documentos Emissão'!G:G)&lt;='Data Base'!$D$1+6)),
    "JUSTIFICATIVA",
    "")</f>
        <v/>
      </c>
      <c r="H18" s="56"/>
    </row>
    <row r="19" spans="2:8" hidden="1" x14ac:dyDescent="0.25">
      <c r="B19" s="53" t="str">
        <f>_xlfn.XLOOKUP(C19,'Data Base'!D:D,'Data Base'!B:B)</f>
        <v>AI - Automacao E Instrumentacao</v>
      </c>
      <c r="C19" s="53" t="s">
        <v>23</v>
      </c>
      <c r="D19" s="53" t="str">
        <f>_xlfn.XLOOKUP(C19,'LD-ELFA'!F:F,'LD-ELFA'!H:H)</f>
        <v>ET-A1-2006-J-PB-0002</v>
      </c>
      <c r="E19" s="53" t="str">
        <f>_xlfn.XLOOKUP(C19,'LD-ELFA'!F:F,'LD-ELFA'!Q:Q)</f>
        <v>ESPECIFICAÇÃO TÉCNICA</v>
      </c>
      <c r="F19" s="56" t="str">
        <f>_xlfn.XLOOKUP(C19,'Data Base'!D:D,'Data Base'!O:O)</f>
        <v>Blossom - Documento a emitir</v>
      </c>
      <c r="G19" s="57" t="str">
        <f ca="1">IF(OR('Documentos Atendimentos '!H18="ATRASADO",
        AND('Documentos Emissão'!I18="ATRASADO",
            _xlfn.XLOOKUP(C19,'Documentos Emissão'!C:C,'Documentos Emissão'!G:G)&gt; 'Data Base'!$D$1,
            _xlfn.XLOOKUP(C19,'Documentos Emissão'!C:C,'Documentos Emissão'!G:G)&lt;='Data Base'!$D$1+6)),
    "JUSTIFICATIVA",
    "")</f>
        <v/>
      </c>
      <c r="H19" s="56"/>
    </row>
    <row r="20" spans="2:8" hidden="1" x14ac:dyDescent="0.25">
      <c r="B20" s="53" t="str">
        <f>_xlfn.XLOOKUP(C20,'Data Base'!D:D,'Data Base'!B:B)</f>
        <v>AI - Automacao E Instrumentacao</v>
      </c>
      <c r="C20" s="53" t="s">
        <v>24</v>
      </c>
      <c r="D20" s="53" t="str">
        <f>_xlfn.XLOOKUP(C20,'LD-ELFA'!F:F,'LD-ELFA'!H:H)</f>
        <v>ET-A1-2006-J-PB-0004</v>
      </c>
      <c r="E20" s="53" t="str">
        <f>_xlfn.XLOOKUP(C20,'LD-ELFA'!F:F,'LD-ELFA'!Q:Q)</f>
        <v>ESPECIFICAÇÃO TÉCNICA</v>
      </c>
      <c r="F20" s="56" t="str">
        <f>_xlfn.XLOOKUP(C20,'Data Base'!D:D,'Data Base'!O:O)</f>
        <v>Blossom - Documento a emitir</v>
      </c>
      <c r="G20" s="57" t="str">
        <f ca="1">IF(OR('Documentos Atendimentos '!H19="ATRASADO",
        AND('Documentos Emissão'!I19="ATRASADO",
            _xlfn.XLOOKUP(C20,'Documentos Emissão'!C:C,'Documentos Emissão'!G:G)&gt; 'Data Base'!$D$1,
            _xlfn.XLOOKUP(C20,'Documentos Emissão'!C:C,'Documentos Emissão'!G:G)&lt;='Data Base'!$D$1+6)),
    "JUSTIFICATIVA",
    "")</f>
        <v/>
      </c>
      <c r="H20" s="56"/>
    </row>
    <row r="21" spans="2:8" hidden="1" x14ac:dyDescent="0.25">
      <c r="B21" s="53" t="str">
        <f>_xlfn.XLOOKUP(C21,'Data Base'!D:D,'Data Base'!B:B)</f>
        <v>AI - Automacao E Instrumentacao</v>
      </c>
      <c r="C21" s="53" t="s">
        <v>25</v>
      </c>
      <c r="D21" s="53" t="str">
        <f>_xlfn.XLOOKUP(C21,'LD-ELFA'!F:F,'LD-ELFA'!H:H)</f>
        <v>ET-A1-2007-J-PB-0001</v>
      </c>
      <c r="E21" s="53" t="str">
        <f>_xlfn.XLOOKUP(C21,'LD-ELFA'!F:F,'LD-ELFA'!Q:Q)</f>
        <v>ESPECIFICAÇÃO TÉCNICA</v>
      </c>
      <c r="F21" s="56" t="str">
        <f>_xlfn.XLOOKUP(C21,'Data Base'!D:D,'Data Base'!O:O)</f>
        <v>Blossom - Documento a emitir</v>
      </c>
      <c r="G21" s="57" t="str">
        <f ca="1">IF(OR('Documentos Atendimentos '!H20="ATRASADO",
        AND('Documentos Emissão'!I20="ATRASADO",
            _xlfn.XLOOKUP(C21,'Documentos Emissão'!C:C,'Documentos Emissão'!G:G)&gt; 'Data Base'!$D$1,
            _xlfn.XLOOKUP(C21,'Documentos Emissão'!C:C,'Documentos Emissão'!G:G)&lt;='Data Base'!$D$1+6)),
    "JUSTIFICATIVA",
    "")</f>
        <v/>
      </c>
      <c r="H21" s="56"/>
    </row>
    <row r="22" spans="2:8" hidden="1" x14ac:dyDescent="0.25">
      <c r="B22" s="53" t="str">
        <f>_xlfn.XLOOKUP(C22,'Data Base'!D:D,'Data Base'!B:B)</f>
        <v>AI - Automacao E Instrumentacao</v>
      </c>
      <c r="C22" s="53" t="s">
        <v>26</v>
      </c>
      <c r="D22" s="53" t="str">
        <f>_xlfn.XLOOKUP(C22,'LD-ELFA'!F:F,'LD-ELFA'!H:H)</f>
        <v>FD-A1-2000-J-PB-0001</v>
      </c>
      <c r="E22" s="53" t="str">
        <f>_xlfn.XLOOKUP(C22,'LD-ELFA'!F:F,'LD-ELFA'!Q:Q)</f>
        <v>FOLHA DE DADOS</v>
      </c>
      <c r="F22" s="56" t="str">
        <f>_xlfn.XLOOKUP(C22,'Data Base'!D:D,'Data Base'!O:O)</f>
        <v>Blossom - Documento a emitir</v>
      </c>
      <c r="G22" s="57" t="str">
        <f ca="1">IF(OR('Documentos Atendimentos '!H21="ATRASADO",
        AND('Documentos Emissão'!I21="ATRASADO",
            _xlfn.XLOOKUP(C22,'Documentos Emissão'!C:C,'Documentos Emissão'!G:G)&gt; 'Data Base'!$D$1,
            _xlfn.XLOOKUP(C22,'Documentos Emissão'!C:C,'Documentos Emissão'!G:G)&lt;='Data Base'!$D$1+6)),
    "JUSTIFICATIVA",
    "")</f>
        <v/>
      </c>
      <c r="H22" s="56"/>
    </row>
    <row r="23" spans="2:8" hidden="1" x14ac:dyDescent="0.25">
      <c r="B23" s="53" t="str">
        <f>_xlfn.XLOOKUP(C23,'Data Base'!D:D,'Data Base'!B:B)</f>
        <v>AI - Automacao E Instrumentacao</v>
      </c>
      <c r="C23" s="53" t="s">
        <v>27</v>
      </c>
      <c r="D23" s="53" t="str">
        <f>_xlfn.XLOOKUP(C23,'LD-ELFA'!F:F,'LD-ELFA'!H:H)</f>
        <v>FD-A1-2000-J-PB-0002</v>
      </c>
      <c r="E23" s="53" t="str">
        <f>_xlfn.XLOOKUP(C23,'LD-ELFA'!F:F,'LD-ELFA'!Q:Q)</f>
        <v>FOLHA DE DADOS</v>
      </c>
      <c r="F23" s="56" t="str">
        <f>_xlfn.XLOOKUP(C23,'Data Base'!D:D,'Data Base'!O:O)</f>
        <v>Blossom - Documento a emitir</v>
      </c>
      <c r="G23" s="57" t="str">
        <f ca="1">IF(OR('Documentos Atendimentos '!H22="ATRASADO",
        AND('Documentos Emissão'!I22="ATRASADO",
            _xlfn.XLOOKUP(C23,'Documentos Emissão'!C:C,'Documentos Emissão'!G:G)&gt; 'Data Base'!$D$1,
            _xlfn.XLOOKUP(C23,'Documentos Emissão'!C:C,'Documentos Emissão'!G:G)&lt;='Data Base'!$D$1+6)),
    "JUSTIFICATIVA",
    "")</f>
        <v/>
      </c>
      <c r="H23" s="56"/>
    </row>
    <row r="24" spans="2:8" hidden="1" x14ac:dyDescent="0.25">
      <c r="B24" s="53" t="str">
        <f>_xlfn.XLOOKUP(C24,'Data Base'!D:D,'Data Base'!B:B)</f>
        <v>AI - Automacao E Instrumentacao</v>
      </c>
      <c r="C24" s="53" t="s">
        <v>28</v>
      </c>
      <c r="D24" s="53" t="str">
        <f>_xlfn.XLOOKUP(C24,'LD-ELFA'!F:F,'LD-ELFA'!H:H)</f>
        <v>FD-A1-2000-J-PB-0003</v>
      </c>
      <c r="E24" s="53" t="str">
        <f>_xlfn.XLOOKUP(C24,'LD-ELFA'!F:F,'LD-ELFA'!Q:Q)</f>
        <v>FOLHA DE DADOS</v>
      </c>
      <c r="F24" s="56" t="str">
        <f>_xlfn.XLOOKUP(C24,'Data Base'!D:D,'Data Base'!O:O)</f>
        <v>Documento Concluído</v>
      </c>
      <c r="G24" s="57" t="str">
        <f ca="1">IF(OR('Documentos Atendimentos '!H23="ATRASADO",
        AND('Documentos Emissão'!I23="ATRASADO",
            _xlfn.XLOOKUP(C24,'Documentos Emissão'!C:C,'Documentos Emissão'!G:G)&gt; 'Data Base'!$D$1,
            _xlfn.XLOOKUP(C24,'Documentos Emissão'!C:C,'Documentos Emissão'!G:G)&lt;='Data Base'!$D$1+6)),
    "JUSTIFICATIVA",
    "")</f>
        <v/>
      </c>
      <c r="H24" s="56"/>
    </row>
    <row r="25" spans="2:8" hidden="1" x14ac:dyDescent="0.25">
      <c r="B25" s="53" t="str">
        <f>_xlfn.XLOOKUP(C25,'Data Base'!D:D,'Data Base'!B:B)</f>
        <v>AI - Automacao E Instrumentacao</v>
      </c>
      <c r="C25" s="53" t="s">
        <v>29</v>
      </c>
      <c r="D25" s="53" t="str">
        <f>_xlfn.XLOOKUP(C25,'LD-ELFA'!F:F,'LD-ELFA'!H:H)</f>
        <v>FD-A1-2000-J-PB-0004</v>
      </c>
      <c r="E25" s="53" t="str">
        <f>_xlfn.XLOOKUP(C25,'LD-ELFA'!F:F,'LD-ELFA'!Q:Q)</f>
        <v>FOLHA DE DADOS</v>
      </c>
      <c r="F25" s="56" t="str">
        <f>_xlfn.XLOOKUP(C25,'Data Base'!D:D,'Data Base'!O:O)</f>
        <v>Blossom - Documento a emitir</v>
      </c>
      <c r="G25" s="57" t="str">
        <f ca="1">IF(OR('Documentos Atendimentos '!H24="ATRASADO",
        AND('Documentos Emissão'!I24="ATRASADO",
            _xlfn.XLOOKUP(C25,'Documentos Emissão'!C:C,'Documentos Emissão'!G:G)&gt; 'Data Base'!$D$1,
            _xlfn.XLOOKUP(C25,'Documentos Emissão'!C:C,'Documentos Emissão'!G:G)&lt;='Data Base'!$D$1+6)),
    "JUSTIFICATIVA",
    "")</f>
        <v/>
      </c>
      <c r="H25" s="56"/>
    </row>
    <row r="26" spans="2:8" hidden="1" x14ac:dyDescent="0.25">
      <c r="B26" s="53" t="str">
        <f>_xlfn.XLOOKUP(C26,'Data Base'!D:D,'Data Base'!B:B)</f>
        <v>AI - Automacao E Instrumentacao</v>
      </c>
      <c r="C26" s="53" t="s">
        <v>30</v>
      </c>
      <c r="D26" s="53" t="str">
        <f>_xlfn.XLOOKUP(C26,'LD-ELFA'!F:F,'LD-ELFA'!H:H)</f>
        <v>FD-A1-2000-J-PB-0005</v>
      </c>
      <c r="E26" s="53" t="str">
        <f>_xlfn.XLOOKUP(C26,'LD-ELFA'!F:F,'LD-ELFA'!Q:Q)</f>
        <v>FOLHA DE DADOS</v>
      </c>
      <c r="F26" s="56" t="str">
        <f>_xlfn.XLOOKUP(C26,'Data Base'!D:D,'Data Base'!O:O)</f>
        <v>Blossom - Documento a emitir</v>
      </c>
      <c r="G26" s="57" t="str">
        <f ca="1">IF(OR('Documentos Atendimentos '!H25="ATRASADO",
        AND('Documentos Emissão'!I25="ATRASADO",
            _xlfn.XLOOKUP(C26,'Documentos Emissão'!C:C,'Documentos Emissão'!G:G)&gt; 'Data Base'!$D$1,
            _xlfn.XLOOKUP(C26,'Documentos Emissão'!C:C,'Documentos Emissão'!G:G)&lt;='Data Base'!$D$1+6)),
    "JUSTIFICATIVA",
    "")</f>
        <v/>
      </c>
      <c r="H26" s="56"/>
    </row>
    <row r="27" spans="2:8" hidden="1" x14ac:dyDescent="0.25">
      <c r="B27" s="53" t="str">
        <f>_xlfn.XLOOKUP(C27,'Data Base'!D:D,'Data Base'!B:B)</f>
        <v>AI - Automacao E Instrumentacao</v>
      </c>
      <c r="C27" s="53" t="s">
        <v>31</v>
      </c>
      <c r="D27" s="53" t="str">
        <f>_xlfn.XLOOKUP(C27,'LD-ELFA'!F:F,'LD-ELFA'!H:H)</f>
        <v>FD-A1-2000-J-PB-0006</v>
      </c>
      <c r="E27" s="53" t="str">
        <f>_xlfn.XLOOKUP(C27,'LD-ELFA'!F:F,'LD-ELFA'!Q:Q)</f>
        <v>FOLHA DE DADOS</v>
      </c>
      <c r="F27" s="56" t="str">
        <f>_xlfn.XLOOKUP(C27,'Data Base'!D:D,'Data Base'!O:O)</f>
        <v>Blossom - Documento a emitir</v>
      </c>
      <c r="G27" s="57" t="str">
        <f ca="1">IF(OR('Documentos Atendimentos '!H26="ATRASADO",
        AND('Documentos Emissão'!I26="ATRASADO",
            _xlfn.XLOOKUP(C27,'Documentos Emissão'!C:C,'Documentos Emissão'!G:G)&gt; 'Data Base'!$D$1,
            _xlfn.XLOOKUP(C27,'Documentos Emissão'!C:C,'Documentos Emissão'!G:G)&lt;='Data Base'!$D$1+6)),
    "JUSTIFICATIVA",
    "")</f>
        <v/>
      </c>
      <c r="H27" s="56"/>
    </row>
    <row r="28" spans="2:8" hidden="1" x14ac:dyDescent="0.25">
      <c r="B28" s="53" t="str">
        <f>_xlfn.XLOOKUP(C28,'Data Base'!D:D,'Data Base'!B:B)</f>
        <v>AI - Automacao E Instrumentacao</v>
      </c>
      <c r="C28" s="53" t="s">
        <v>32</v>
      </c>
      <c r="D28" s="53" t="str">
        <f>_xlfn.XLOOKUP(C28,'LD-ELFA'!F:F,'LD-ELFA'!H:H)</f>
        <v>FD-A1-2000-J-PB-0007</v>
      </c>
      <c r="E28" s="53" t="str">
        <f>_xlfn.XLOOKUP(C28,'LD-ELFA'!F:F,'LD-ELFA'!Q:Q)</f>
        <v>FOLHA DE DADOS</v>
      </c>
      <c r="F28" s="56" t="str">
        <f>_xlfn.XLOOKUP(C28,'Data Base'!D:D,'Data Base'!O:O)</f>
        <v>Blossom - Documento a emitir</v>
      </c>
      <c r="G28" s="57" t="str">
        <f ca="1">IF(OR('Documentos Atendimentos '!H27="ATRASADO",
        AND('Documentos Emissão'!I27="ATRASADO",
            _xlfn.XLOOKUP(C28,'Documentos Emissão'!C:C,'Documentos Emissão'!G:G)&gt; 'Data Base'!$D$1,
            _xlfn.XLOOKUP(C28,'Documentos Emissão'!C:C,'Documentos Emissão'!G:G)&lt;='Data Base'!$D$1+6)),
    "JUSTIFICATIVA",
    "")</f>
        <v/>
      </c>
      <c r="H28" s="56"/>
    </row>
    <row r="29" spans="2:8" hidden="1" x14ac:dyDescent="0.25">
      <c r="B29" s="53" t="str">
        <f>_xlfn.XLOOKUP(C29,'Data Base'!D:D,'Data Base'!B:B)</f>
        <v>AI - Automacao E Instrumentacao</v>
      </c>
      <c r="C29" s="53" t="s">
        <v>33</v>
      </c>
      <c r="D29" s="53" t="str">
        <f>_xlfn.XLOOKUP(C29,'LD-ELFA'!F:F,'LD-ELFA'!H:H)</f>
        <v>FD-A1-2000-J-PB-0008</v>
      </c>
      <c r="E29" s="53" t="str">
        <f>_xlfn.XLOOKUP(C29,'LD-ELFA'!F:F,'LD-ELFA'!Q:Q)</f>
        <v>FOLHA DE DADOS</v>
      </c>
      <c r="F29" s="56" t="str">
        <f>_xlfn.XLOOKUP(C29,'Data Base'!D:D,'Data Base'!O:O)</f>
        <v>Blossom - Documento a emitir</v>
      </c>
      <c r="G29" s="57" t="str">
        <f ca="1">IF(OR('Documentos Atendimentos '!H28="ATRASADO",
        AND('Documentos Emissão'!I28="ATRASADO",
            _xlfn.XLOOKUP(C29,'Documentos Emissão'!C:C,'Documentos Emissão'!G:G)&gt; 'Data Base'!$D$1,
            _xlfn.XLOOKUP(C29,'Documentos Emissão'!C:C,'Documentos Emissão'!G:G)&lt;='Data Base'!$D$1+6)),
    "JUSTIFICATIVA",
    "")</f>
        <v/>
      </c>
      <c r="H29" s="56"/>
    </row>
    <row r="30" spans="2:8" hidden="1" x14ac:dyDescent="0.25">
      <c r="B30" s="53" t="str">
        <f>_xlfn.XLOOKUP(C30,'Data Base'!D:D,'Data Base'!B:B)</f>
        <v>AI - Automacao E Instrumentacao</v>
      </c>
      <c r="C30" s="53" t="s">
        <v>34</v>
      </c>
      <c r="D30" s="53" t="str">
        <f>_xlfn.XLOOKUP(C30,'LD-ELFA'!F:F,'LD-ELFA'!H:H)</f>
        <v>FD-A1-2000-J-PB-0009</v>
      </c>
      <c r="E30" s="53" t="str">
        <f>_xlfn.XLOOKUP(C30,'LD-ELFA'!F:F,'LD-ELFA'!Q:Q)</f>
        <v>FOLHA DE DADOS</v>
      </c>
      <c r="F30" s="56" t="str">
        <f>_xlfn.XLOOKUP(C30,'Data Base'!D:D,'Data Base'!O:O)</f>
        <v>Blossom - Documento a emitir</v>
      </c>
      <c r="G30" s="57" t="str">
        <f ca="1">IF(OR('Documentos Atendimentos '!H29="ATRASADO",
        AND('Documentos Emissão'!I29="ATRASADO",
            _xlfn.XLOOKUP(C30,'Documentos Emissão'!C:C,'Documentos Emissão'!G:G)&gt; 'Data Base'!$D$1,
            _xlfn.XLOOKUP(C30,'Documentos Emissão'!C:C,'Documentos Emissão'!G:G)&lt;='Data Base'!$D$1+6)),
    "JUSTIFICATIVA",
    "")</f>
        <v/>
      </c>
      <c r="H30" s="56"/>
    </row>
    <row r="31" spans="2:8" hidden="1" x14ac:dyDescent="0.25">
      <c r="B31" s="53" t="str">
        <f>_xlfn.XLOOKUP(C31,'Data Base'!D:D,'Data Base'!B:B)</f>
        <v>AI - Automacao E Instrumentacao</v>
      </c>
      <c r="C31" s="53" t="s">
        <v>35</v>
      </c>
      <c r="D31" s="53" t="str">
        <f>_xlfn.XLOOKUP(C31,'LD-ELFA'!F:F,'LD-ELFA'!H:H)</f>
        <v>FD-A1-2000-J-PB-0010</v>
      </c>
      <c r="E31" s="53" t="str">
        <f>_xlfn.XLOOKUP(C31,'LD-ELFA'!F:F,'LD-ELFA'!Q:Q)</f>
        <v>FOLHA DE DADOS</v>
      </c>
      <c r="F31" s="56" t="str">
        <f>_xlfn.XLOOKUP(C31,'Data Base'!D:D,'Data Base'!O:O)</f>
        <v>Blossom - Documento a emitir</v>
      </c>
      <c r="G31" s="57" t="str">
        <f ca="1">IF(OR('Documentos Atendimentos '!H30="ATRASADO",
        AND('Documentos Emissão'!I30="ATRASADO",
            _xlfn.XLOOKUP(C31,'Documentos Emissão'!C:C,'Documentos Emissão'!G:G)&gt; 'Data Base'!$D$1,
            _xlfn.XLOOKUP(C31,'Documentos Emissão'!C:C,'Documentos Emissão'!G:G)&lt;='Data Base'!$D$1+6)),
    "JUSTIFICATIVA",
    "")</f>
        <v/>
      </c>
      <c r="H31" s="56"/>
    </row>
    <row r="32" spans="2:8" hidden="1" x14ac:dyDescent="0.25">
      <c r="B32" s="53" t="str">
        <f>_xlfn.XLOOKUP(C32,'Data Base'!D:D,'Data Base'!B:B)</f>
        <v>AI - Automacao E Instrumentacao</v>
      </c>
      <c r="C32" s="53" t="s">
        <v>36</v>
      </c>
      <c r="D32" s="53" t="str">
        <f>_xlfn.XLOOKUP(C32,'LD-ELFA'!F:F,'LD-ELFA'!H:H)</f>
        <v>FD-A1-2000-J-PB-0011</v>
      </c>
      <c r="E32" s="53" t="str">
        <f>_xlfn.XLOOKUP(C32,'LD-ELFA'!F:F,'LD-ELFA'!Q:Q)</f>
        <v>FOLHA DE DADOS</v>
      </c>
      <c r="F32" s="56" t="str">
        <f>_xlfn.XLOOKUP(C32,'Data Base'!D:D,'Data Base'!O:O)</f>
        <v>Blossom - Documento a emitir</v>
      </c>
      <c r="G32" s="57" t="str">
        <f ca="1">IF(OR('Documentos Atendimentos '!H31="ATRASADO",
        AND('Documentos Emissão'!I31="ATRASADO",
            _xlfn.XLOOKUP(C32,'Documentos Emissão'!C:C,'Documentos Emissão'!G:G)&gt; 'Data Base'!$D$1,
            _xlfn.XLOOKUP(C32,'Documentos Emissão'!C:C,'Documentos Emissão'!G:G)&lt;='Data Base'!$D$1+6)),
    "JUSTIFICATIVA",
    "")</f>
        <v/>
      </c>
      <c r="H32" s="56"/>
    </row>
    <row r="33" spans="2:8" x14ac:dyDescent="0.25">
      <c r="B33" s="53" t="str">
        <f>_xlfn.XLOOKUP(C33,'Data Base'!D:D,'Data Base'!B:B)</f>
        <v>AI - Automacao E Instrumentacao</v>
      </c>
      <c r="C33" s="53" t="s">
        <v>37</v>
      </c>
      <c r="D33" s="53" t="str">
        <f>_xlfn.XLOOKUP(C33,'LD-ELFA'!F:F,'LD-ELFA'!H:H)</f>
        <v>FD-A1-2000-J-PB-0012</v>
      </c>
      <c r="E33" s="53" t="str">
        <f>_xlfn.XLOOKUP(C33,'LD-ELFA'!F:F,'LD-ELFA'!Q:Q)</f>
        <v>FOLHA DE DADOS</v>
      </c>
      <c r="F33" s="56" t="str">
        <f>_xlfn.XLOOKUP(C33,'Data Base'!D:D,'Data Base'!O:O)</f>
        <v>Documento Concluído</v>
      </c>
      <c r="G33" s="57" t="str">
        <f ca="1">IF(OR('Documentos Atendimentos '!H32="ATRASADO",
        AND('Documentos Emissão'!I32="ATRASADO",
            _xlfn.XLOOKUP(C33,'Documentos Emissão'!C:C,'Documentos Emissão'!G:G)&gt; 'Data Base'!$D$1,
            _xlfn.XLOOKUP(C33,'Documentos Emissão'!C:C,'Documentos Emissão'!G:G)&lt;='Data Base'!$D$1+6)),
    "JUSTIFICATIVA",
    "")</f>
        <v>JUSTIFICATIVA</v>
      </c>
      <c r="H33" s="56"/>
    </row>
    <row r="34" spans="2:8" hidden="1" x14ac:dyDescent="0.25">
      <c r="B34" s="53" t="str">
        <f>_xlfn.XLOOKUP(C34,'Data Base'!D:D,'Data Base'!B:B)</f>
        <v>AI - Automacao E Instrumentacao</v>
      </c>
      <c r="C34" s="53" t="s">
        <v>38</v>
      </c>
      <c r="D34" s="53" t="str">
        <f>_xlfn.XLOOKUP(C34,'LD-ELFA'!F:F,'LD-ELFA'!H:H)</f>
        <v>FD-A1-2000-J-PB-0013</v>
      </c>
      <c r="E34" s="53" t="str">
        <f>_xlfn.XLOOKUP(C34,'LD-ELFA'!F:F,'LD-ELFA'!Q:Q)</f>
        <v>FOLHA DE DADOS</v>
      </c>
      <c r="F34" s="56" t="str">
        <f>_xlfn.XLOOKUP(C34,'Data Base'!D:D,'Data Base'!O:O)</f>
        <v>Blossom - Documento a emitir</v>
      </c>
      <c r="G34" s="57" t="str">
        <f ca="1">IF(OR('Documentos Atendimentos '!H33="ATRASADO",
        AND('Documentos Emissão'!I33="ATRASADO",
            _xlfn.XLOOKUP(C34,'Documentos Emissão'!C:C,'Documentos Emissão'!G:G)&gt; 'Data Base'!$D$1,
            _xlfn.XLOOKUP(C34,'Documentos Emissão'!C:C,'Documentos Emissão'!G:G)&lt;='Data Base'!$D$1+6)),
    "JUSTIFICATIVA",
    "")</f>
        <v/>
      </c>
      <c r="H34" s="56"/>
    </row>
    <row r="35" spans="2:8" hidden="1" x14ac:dyDescent="0.25">
      <c r="B35" s="53" t="str">
        <f>_xlfn.XLOOKUP(C35,'Data Base'!D:D,'Data Base'!B:B)</f>
        <v>AI - Automacao E Instrumentacao</v>
      </c>
      <c r="C35" s="53" t="s">
        <v>39</v>
      </c>
      <c r="D35" s="53" t="str">
        <f>_xlfn.XLOOKUP(C35,'LD-ELFA'!F:F,'LD-ELFA'!H:H)</f>
        <v>FD-A1-2000-J-PB-0014</v>
      </c>
      <c r="E35" s="53" t="str">
        <f>_xlfn.XLOOKUP(C35,'LD-ELFA'!F:F,'LD-ELFA'!Q:Q)</f>
        <v>FOLHA DE DADOS</v>
      </c>
      <c r="F35" s="56" t="str">
        <f>_xlfn.XLOOKUP(C35,'Data Base'!D:D,'Data Base'!O:O)</f>
        <v>Blossom - Atendimento de Comentário</v>
      </c>
      <c r="G35" s="57" t="str">
        <f ca="1">IF(OR('Documentos Atendimentos '!H34="ATRASADO",
        AND('Documentos Emissão'!I34="ATRASADO",
            _xlfn.XLOOKUP(C35,'Documentos Emissão'!C:C,'Documentos Emissão'!G:G)&gt; 'Data Base'!$D$1,
            _xlfn.XLOOKUP(C35,'Documentos Emissão'!C:C,'Documentos Emissão'!G:G)&lt;='Data Base'!$D$1+6)),
    "JUSTIFICATIVA",
    "")</f>
        <v/>
      </c>
      <c r="H35" s="56"/>
    </row>
    <row r="36" spans="2:8" hidden="1" x14ac:dyDescent="0.25">
      <c r="B36" s="53" t="str">
        <f>_xlfn.XLOOKUP(C36,'Data Base'!D:D,'Data Base'!B:B)</f>
        <v>AI - Automacao E Instrumentacao</v>
      </c>
      <c r="C36" s="53" t="s">
        <v>40</v>
      </c>
      <c r="D36" s="53" t="str">
        <f>_xlfn.XLOOKUP(C36,'LD-ELFA'!F:F,'LD-ELFA'!H:H)</f>
        <v>FD-A1-2000-J-PB-0015</v>
      </c>
      <c r="E36" s="53" t="str">
        <f>_xlfn.XLOOKUP(C36,'LD-ELFA'!F:F,'LD-ELFA'!Q:Q)</f>
        <v>FOLHA DE DADOS</v>
      </c>
      <c r="F36" s="56" t="str">
        <f>_xlfn.XLOOKUP(C36,'Data Base'!D:D,'Data Base'!O:O)</f>
        <v>Documento Concluído</v>
      </c>
      <c r="G36" s="57" t="str">
        <f ca="1">IF(OR('Documentos Atendimentos '!H35="ATRASADO",
        AND('Documentos Emissão'!I35="ATRASADO",
            _xlfn.XLOOKUP(C36,'Documentos Emissão'!C:C,'Documentos Emissão'!G:G)&gt; 'Data Base'!$D$1,
            _xlfn.XLOOKUP(C36,'Documentos Emissão'!C:C,'Documentos Emissão'!G:G)&lt;='Data Base'!$D$1+6)),
    "JUSTIFICATIVA",
    "")</f>
        <v/>
      </c>
      <c r="H36" s="56"/>
    </row>
    <row r="37" spans="2:8" hidden="1" x14ac:dyDescent="0.25">
      <c r="B37" s="53" t="str">
        <f>_xlfn.XLOOKUP(C37,'Data Base'!D:D,'Data Base'!B:B)</f>
        <v>AI - Automacao E Instrumentacao</v>
      </c>
      <c r="C37" s="53" t="s">
        <v>41</v>
      </c>
      <c r="D37" s="53" t="str">
        <f>_xlfn.XLOOKUP(C37,'LD-ELFA'!F:F,'LD-ELFA'!H:H)</f>
        <v>FD-A1-2000-J-PB-0016</v>
      </c>
      <c r="E37" s="53" t="str">
        <f>_xlfn.XLOOKUP(C37,'LD-ELFA'!F:F,'LD-ELFA'!Q:Q)</f>
        <v>FOLHA DE DADOS</v>
      </c>
      <c r="F37" s="56" t="str">
        <f>_xlfn.XLOOKUP(C37,'Data Base'!D:D,'Data Base'!O:O)</f>
        <v>Documento Concluído</v>
      </c>
      <c r="G37" s="57" t="str">
        <f ca="1">IF(OR('Documentos Atendimentos '!H36="ATRASADO",
        AND('Documentos Emissão'!I36="ATRASADO",
            _xlfn.XLOOKUP(C37,'Documentos Emissão'!C:C,'Documentos Emissão'!G:G)&gt; 'Data Base'!$D$1,
            _xlfn.XLOOKUP(C37,'Documentos Emissão'!C:C,'Documentos Emissão'!G:G)&lt;='Data Base'!$D$1+6)),
    "JUSTIFICATIVA",
    "")</f>
        <v/>
      </c>
      <c r="H37" s="56"/>
    </row>
    <row r="38" spans="2:8" hidden="1" x14ac:dyDescent="0.25">
      <c r="B38" s="53" t="str">
        <f>_xlfn.XLOOKUP(C38,'Data Base'!D:D,'Data Base'!B:B)</f>
        <v>AI - Automacao E Instrumentacao</v>
      </c>
      <c r="C38" s="53" t="s">
        <v>42</v>
      </c>
      <c r="D38" s="53" t="str">
        <f>_xlfn.XLOOKUP(C38,'LD-ELFA'!F:F,'LD-ELFA'!H:H)</f>
        <v>FD-A1-2000-J-PB-0017</v>
      </c>
      <c r="E38" s="53" t="str">
        <f>_xlfn.XLOOKUP(C38,'LD-ELFA'!F:F,'LD-ELFA'!Q:Q)</f>
        <v>FOLHA DE DADOS</v>
      </c>
      <c r="F38" s="56" t="str">
        <f>_xlfn.XLOOKUP(C38,'Data Base'!D:D,'Data Base'!O:O)</f>
        <v>Blossom - Documento a emitir</v>
      </c>
      <c r="G38" s="57" t="str">
        <f ca="1">IF(OR('Documentos Atendimentos '!H37="ATRASADO",
        AND('Documentos Emissão'!I37="ATRASADO",
            _xlfn.XLOOKUP(C38,'Documentos Emissão'!C:C,'Documentos Emissão'!G:G)&gt; 'Data Base'!$D$1,
            _xlfn.XLOOKUP(C38,'Documentos Emissão'!C:C,'Documentos Emissão'!G:G)&lt;='Data Base'!$D$1+6)),
    "JUSTIFICATIVA",
    "")</f>
        <v/>
      </c>
      <c r="H38" s="56"/>
    </row>
    <row r="39" spans="2:8" hidden="1" x14ac:dyDescent="0.25">
      <c r="B39" s="53" t="str">
        <f>_xlfn.XLOOKUP(C39,'Data Base'!D:D,'Data Base'!B:B)</f>
        <v>AI - Automacao E Instrumentacao</v>
      </c>
      <c r="C39" s="53" t="s">
        <v>43</v>
      </c>
      <c r="D39" s="53" t="str">
        <f>_xlfn.XLOOKUP(C39,'LD-ELFA'!F:F,'LD-ELFA'!H:H)</f>
        <v>FD-A1-2000-J-PB-0018</v>
      </c>
      <c r="E39" s="53" t="str">
        <f>_xlfn.XLOOKUP(C39,'LD-ELFA'!F:F,'LD-ELFA'!Q:Q)</f>
        <v>FOLHA DE DADOS</v>
      </c>
      <c r="F39" s="56" t="str">
        <f>_xlfn.XLOOKUP(C39,'Data Base'!D:D,'Data Base'!O:O)</f>
        <v>Blossom - Documento a emitir</v>
      </c>
      <c r="G39" s="57" t="str">
        <f ca="1">IF(OR('Documentos Atendimentos '!H38="ATRASADO",
        AND('Documentos Emissão'!I38="ATRASADO",
            _xlfn.XLOOKUP(C39,'Documentos Emissão'!C:C,'Documentos Emissão'!G:G)&gt; 'Data Base'!$D$1,
            _xlfn.XLOOKUP(C39,'Documentos Emissão'!C:C,'Documentos Emissão'!G:G)&lt;='Data Base'!$D$1+6)),
    "JUSTIFICATIVA",
    "")</f>
        <v/>
      </c>
      <c r="H39" s="56"/>
    </row>
    <row r="40" spans="2:8" hidden="1" x14ac:dyDescent="0.25">
      <c r="B40" s="53" t="str">
        <f>_xlfn.XLOOKUP(C40,'Data Base'!D:D,'Data Base'!B:B)</f>
        <v>AI - Automacao E Instrumentacao</v>
      </c>
      <c r="C40" s="53" t="s">
        <v>44</v>
      </c>
      <c r="D40" s="53" t="str">
        <f>_xlfn.XLOOKUP(C40,'LD-ELFA'!F:F,'LD-ELFA'!H:H)</f>
        <v>FD-A1-2000-J-PB-0019</v>
      </c>
      <c r="E40" s="53" t="str">
        <f>_xlfn.XLOOKUP(C40,'LD-ELFA'!F:F,'LD-ELFA'!Q:Q)</f>
        <v>FOLHA DE DADOS</v>
      </c>
      <c r="F40" s="56" t="str">
        <f>_xlfn.XLOOKUP(C40,'Data Base'!D:D,'Data Base'!O:O)</f>
        <v>Blossom - Documento a emitir</v>
      </c>
      <c r="G40" s="57" t="str">
        <f ca="1">IF(OR('Documentos Atendimentos '!H39="ATRASADO",
        AND('Documentos Emissão'!I39="ATRASADO",
            _xlfn.XLOOKUP(C40,'Documentos Emissão'!C:C,'Documentos Emissão'!G:G)&gt; 'Data Base'!$D$1,
            _xlfn.XLOOKUP(C40,'Documentos Emissão'!C:C,'Documentos Emissão'!G:G)&lt;='Data Base'!$D$1+6)),
    "JUSTIFICATIVA",
    "")</f>
        <v/>
      </c>
      <c r="H40" s="56"/>
    </row>
    <row r="41" spans="2:8" hidden="1" x14ac:dyDescent="0.25">
      <c r="B41" s="53" t="str">
        <f>_xlfn.XLOOKUP(C41,'Data Base'!D:D,'Data Base'!B:B)</f>
        <v>AI - Automacao E Instrumentacao</v>
      </c>
      <c r="C41" s="53" t="s">
        <v>45</v>
      </c>
      <c r="D41" s="53" t="str">
        <f>_xlfn.XLOOKUP(C41,'LD-ELFA'!F:F,'LD-ELFA'!H:H)</f>
        <v>FD-A1-2000-J-PB-0020</v>
      </c>
      <c r="E41" s="53" t="str">
        <f>_xlfn.XLOOKUP(C41,'LD-ELFA'!F:F,'LD-ELFA'!Q:Q)</f>
        <v>FOLHA DE DADOS</v>
      </c>
      <c r="F41" s="56" t="str">
        <f>_xlfn.XLOOKUP(C41,'Data Base'!D:D,'Data Base'!O:O)</f>
        <v>Blossom - Documento a emitir</v>
      </c>
      <c r="G41" s="57" t="str">
        <f ca="1">IF(OR('Documentos Atendimentos '!H40="ATRASADO",
        AND('Documentos Emissão'!I40="ATRASADO",
            _xlfn.XLOOKUP(C41,'Documentos Emissão'!C:C,'Documentos Emissão'!G:G)&gt; 'Data Base'!$D$1,
            _xlfn.XLOOKUP(C41,'Documentos Emissão'!C:C,'Documentos Emissão'!G:G)&lt;='Data Base'!$D$1+6)),
    "JUSTIFICATIVA",
    "")</f>
        <v/>
      </c>
      <c r="H41" s="56"/>
    </row>
    <row r="42" spans="2:8" hidden="1" x14ac:dyDescent="0.25">
      <c r="B42" s="53" t="str">
        <f>_xlfn.XLOOKUP(C42,'Data Base'!D:D,'Data Base'!B:B)</f>
        <v>AI - Automacao E Instrumentacao</v>
      </c>
      <c r="C42" s="53" t="s">
        <v>46</v>
      </c>
      <c r="D42" s="53" t="str">
        <f>_xlfn.XLOOKUP(C42,'LD-ELFA'!F:F,'LD-ELFA'!H:H)</f>
        <v>FD-A1-2000-J-PB-0021</v>
      </c>
      <c r="E42" s="53" t="str">
        <f>_xlfn.XLOOKUP(C42,'LD-ELFA'!F:F,'LD-ELFA'!Q:Q)</f>
        <v>FOLHA DE DADOS</v>
      </c>
      <c r="F42" s="56" t="str">
        <f>_xlfn.XLOOKUP(C42,'Data Base'!D:D,'Data Base'!O:O)</f>
        <v>Blossom - Documento a emitir</v>
      </c>
      <c r="G42" s="57" t="str">
        <f ca="1">IF(OR('Documentos Atendimentos '!H41="ATRASADO",
        AND('Documentos Emissão'!I41="ATRASADO",
            _xlfn.XLOOKUP(C42,'Documentos Emissão'!C:C,'Documentos Emissão'!G:G)&gt; 'Data Base'!$D$1,
            _xlfn.XLOOKUP(C42,'Documentos Emissão'!C:C,'Documentos Emissão'!G:G)&lt;='Data Base'!$D$1+6)),
    "JUSTIFICATIVA",
    "")</f>
        <v/>
      </c>
      <c r="H42" s="56"/>
    </row>
    <row r="43" spans="2:8" hidden="1" x14ac:dyDescent="0.25">
      <c r="B43" s="53" t="str">
        <f>_xlfn.XLOOKUP(C43,'Data Base'!D:D,'Data Base'!B:B)</f>
        <v>AI - Automacao E Instrumentacao</v>
      </c>
      <c r="C43" s="53" t="s">
        <v>47</v>
      </c>
      <c r="D43" s="53" t="str">
        <f>_xlfn.XLOOKUP(C43,'LD-ELFA'!F:F,'LD-ELFA'!H:H)</f>
        <v>FD-A1-2000-J-PB-0022</v>
      </c>
      <c r="E43" s="53" t="str">
        <f>_xlfn.XLOOKUP(C43,'LD-ELFA'!F:F,'LD-ELFA'!Q:Q)</f>
        <v>FOLHA DE DADOS</v>
      </c>
      <c r="F43" s="56" t="str">
        <f>_xlfn.XLOOKUP(C43,'Data Base'!D:D,'Data Base'!O:O)</f>
        <v>Documento Concluído</v>
      </c>
      <c r="G43" s="57" t="str">
        <f ca="1">IF(OR('Documentos Atendimentos '!H42="ATRASADO",
        AND('Documentos Emissão'!I42="ATRASADO",
            _xlfn.XLOOKUP(C43,'Documentos Emissão'!C:C,'Documentos Emissão'!G:G)&gt; 'Data Base'!$D$1,
            _xlfn.XLOOKUP(C43,'Documentos Emissão'!C:C,'Documentos Emissão'!G:G)&lt;='Data Base'!$D$1+6)),
    "JUSTIFICATIVA",
    "")</f>
        <v/>
      </c>
      <c r="H43" s="56"/>
    </row>
    <row r="44" spans="2:8" hidden="1" x14ac:dyDescent="0.25">
      <c r="B44" s="53" t="str">
        <f>_xlfn.XLOOKUP(C44,'Data Base'!D:D,'Data Base'!B:B)</f>
        <v>AI - Automacao E Instrumentacao</v>
      </c>
      <c r="C44" s="53" t="s">
        <v>48</v>
      </c>
      <c r="D44" s="53" t="str">
        <f>_xlfn.XLOOKUP(C44,'LD-ELFA'!F:F,'LD-ELFA'!H:H)</f>
        <v>FD-A1-2000-J-PB-0023</v>
      </c>
      <c r="E44" s="53" t="str">
        <f>_xlfn.XLOOKUP(C44,'LD-ELFA'!F:F,'LD-ELFA'!Q:Q)</f>
        <v>FOLHA DE DADOS</v>
      </c>
      <c r="F44" s="56" t="str">
        <f>_xlfn.XLOOKUP(C44,'Data Base'!D:D,'Data Base'!O:O)</f>
        <v>Blossom - Documento a emitir</v>
      </c>
      <c r="G44" s="57" t="str">
        <f ca="1">IF(OR('Documentos Atendimentos '!H43="ATRASADO",
        AND('Documentos Emissão'!I43="ATRASADO",
            _xlfn.XLOOKUP(C44,'Documentos Emissão'!C:C,'Documentos Emissão'!G:G)&gt; 'Data Base'!$D$1,
            _xlfn.XLOOKUP(C44,'Documentos Emissão'!C:C,'Documentos Emissão'!G:G)&lt;='Data Base'!$D$1+6)),
    "JUSTIFICATIVA",
    "")</f>
        <v/>
      </c>
      <c r="H44" s="56"/>
    </row>
    <row r="45" spans="2:8" hidden="1" x14ac:dyDescent="0.25">
      <c r="B45" s="53" t="str">
        <f>_xlfn.XLOOKUP(C45,'Data Base'!D:D,'Data Base'!B:B)</f>
        <v>AI - Automacao E Instrumentacao</v>
      </c>
      <c r="C45" s="53" t="s">
        <v>49</v>
      </c>
      <c r="D45" s="53" t="str">
        <f>_xlfn.XLOOKUP(C45,'LD-ELFA'!F:F,'LD-ELFA'!H:H)</f>
        <v>FD-A1-2004-J-PB-0001</v>
      </c>
      <c r="E45" s="53" t="str">
        <f>_xlfn.XLOOKUP(C45,'LD-ELFA'!F:F,'LD-ELFA'!Q:Q)</f>
        <v>FOLHA DE DADOS</v>
      </c>
      <c r="F45" s="56" t="str">
        <f>_xlfn.XLOOKUP(C45,'Data Base'!D:D,'Data Base'!O:O)</f>
        <v>Blossom - Documento a emitir</v>
      </c>
      <c r="G45" s="57" t="str">
        <f ca="1">IF(OR('Documentos Atendimentos '!H44="ATRASADO",
        AND('Documentos Emissão'!I44="ATRASADO",
            _xlfn.XLOOKUP(C45,'Documentos Emissão'!C:C,'Documentos Emissão'!G:G)&gt; 'Data Base'!$D$1,
            _xlfn.XLOOKUP(C45,'Documentos Emissão'!C:C,'Documentos Emissão'!G:G)&lt;='Data Base'!$D$1+6)),
    "JUSTIFICATIVA",
    "")</f>
        <v/>
      </c>
      <c r="H45" s="56"/>
    </row>
    <row r="46" spans="2:8" hidden="1" x14ac:dyDescent="0.25">
      <c r="B46" s="53" t="str">
        <f>_xlfn.XLOOKUP(C46,'Data Base'!D:D,'Data Base'!B:B)</f>
        <v>AI - Automacao E Instrumentacao</v>
      </c>
      <c r="C46" s="53" t="s">
        <v>50</v>
      </c>
      <c r="D46" s="53" t="str">
        <f>_xlfn.XLOOKUP(C46,'LD-ELFA'!F:F,'LD-ELFA'!H:H)</f>
        <v>FD-A1-2006-J-PB-0002</v>
      </c>
      <c r="E46" s="53" t="str">
        <f>_xlfn.XLOOKUP(C46,'LD-ELFA'!F:F,'LD-ELFA'!Q:Q)</f>
        <v>FOLHA DE DADOS</v>
      </c>
      <c r="F46" s="56" t="str">
        <f>_xlfn.XLOOKUP(C46,'Data Base'!D:D,'Data Base'!O:O)</f>
        <v>Blossom - Documento a emitir</v>
      </c>
      <c r="G46" s="57" t="str">
        <f ca="1">IF(OR('Documentos Atendimentos '!H45="ATRASADO",
        AND('Documentos Emissão'!I45="ATRASADO",
            _xlfn.XLOOKUP(C46,'Documentos Emissão'!C:C,'Documentos Emissão'!G:G)&gt; 'Data Base'!$D$1,
            _xlfn.XLOOKUP(C46,'Documentos Emissão'!C:C,'Documentos Emissão'!G:G)&lt;='Data Base'!$D$1+6)),
    "JUSTIFICATIVA",
    "")</f>
        <v/>
      </c>
      <c r="H46" s="56"/>
    </row>
    <row r="47" spans="2:8" hidden="1" x14ac:dyDescent="0.25">
      <c r="B47" s="53" t="str">
        <f>_xlfn.XLOOKUP(C47,'Data Base'!D:D,'Data Base'!B:B)</f>
        <v>AI - Automacao E Instrumentacao</v>
      </c>
      <c r="C47" s="53" t="s">
        <v>51</v>
      </c>
      <c r="D47" s="53" t="str">
        <f>_xlfn.XLOOKUP(C47,'LD-ELFA'!F:F,'LD-ELFA'!H:H)</f>
        <v>FD-A1-2006-J-PB-0004</v>
      </c>
      <c r="E47" s="53" t="str">
        <f>_xlfn.XLOOKUP(C47,'LD-ELFA'!F:F,'LD-ELFA'!Q:Q)</f>
        <v>FOLHA DE DADOS</v>
      </c>
      <c r="F47" s="56" t="str">
        <f>_xlfn.XLOOKUP(C47,'Data Base'!D:D,'Data Base'!O:O)</f>
        <v>Blossom - Documento a emitir</v>
      </c>
      <c r="G47" s="57" t="str">
        <f ca="1">IF(OR('Documentos Atendimentos '!H46="ATRASADO",
        AND('Documentos Emissão'!I46="ATRASADO",
            _xlfn.XLOOKUP(C47,'Documentos Emissão'!C:C,'Documentos Emissão'!G:G)&gt; 'Data Base'!$D$1,
            _xlfn.XLOOKUP(C47,'Documentos Emissão'!C:C,'Documentos Emissão'!G:G)&lt;='Data Base'!$D$1+6)),
    "JUSTIFICATIVA",
    "")</f>
        <v/>
      </c>
      <c r="H47" s="56"/>
    </row>
    <row r="48" spans="2:8" hidden="1" x14ac:dyDescent="0.25">
      <c r="B48" s="53" t="str">
        <f>_xlfn.XLOOKUP(C48,'Data Base'!D:D,'Data Base'!B:B)</f>
        <v>AI - Automacao E Instrumentacao</v>
      </c>
      <c r="C48" s="53" t="s">
        <v>52</v>
      </c>
      <c r="D48" s="53" t="str">
        <f>_xlfn.XLOOKUP(C48,'LD-ELFA'!F:F,'LD-ELFA'!H:H)</f>
        <v>FD-A1-2006-J-PB-0005</v>
      </c>
      <c r="E48" s="53" t="str">
        <f>_xlfn.XLOOKUP(C48,'LD-ELFA'!F:F,'LD-ELFA'!Q:Q)</f>
        <v>FOLHA DE DADOS</v>
      </c>
      <c r="F48" s="56" t="str">
        <f>_xlfn.XLOOKUP(C48,'Data Base'!D:D,'Data Base'!O:O)</f>
        <v>Blossom - Documento a emitir</v>
      </c>
      <c r="G48" s="57" t="str">
        <f ca="1">IF(OR('Documentos Atendimentos '!H47="ATRASADO",
        AND('Documentos Emissão'!I47="ATRASADO",
            _xlfn.XLOOKUP(C48,'Documentos Emissão'!C:C,'Documentos Emissão'!G:G)&gt; 'Data Base'!$D$1,
            _xlfn.XLOOKUP(C48,'Documentos Emissão'!C:C,'Documentos Emissão'!G:G)&lt;='Data Base'!$D$1+6)),
    "JUSTIFICATIVA",
    "")</f>
        <v/>
      </c>
      <c r="H48" s="56"/>
    </row>
    <row r="49" spans="2:8" hidden="1" x14ac:dyDescent="0.25">
      <c r="B49" s="53" t="str">
        <f>_xlfn.XLOOKUP(C49,'Data Base'!D:D,'Data Base'!B:B)</f>
        <v>AI - Automacao E Instrumentacao</v>
      </c>
      <c r="C49" s="53" t="s">
        <v>53</v>
      </c>
      <c r="D49" s="53" t="str">
        <f>_xlfn.XLOOKUP(C49,'LD-ELFA'!F:F,'LD-ELFA'!H:H)</f>
        <v>FD-A1-2006-J-PB-0006</v>
      </c>
      <c r="E49" s="53" t="str">
        <f>_xlfn.XLOOKUP(C49,'LD-ELFA'!F:F,'LD-ELFA'!Q:Q)</f>
        <v>FOLHA DE DADOS</v>
      </c>
      <c r="F49" s="56" t="str">
        <f>_xlfn.XLOOKUP(C49,'Data Base'!D:D,'Data Base'!O:O)</f>
        <v>Blossom - Documento a emitir</v>
      </c>
      <c r="G49" s="57" t="str">
        <f ca="1">IF(OR('Documentos Atendimentos '!H48="ATRASADO",
        AND('Documentos Emissão'!I48="ATRASADO",
            _xlfn.XLOOKUP(C49,'Documentos Emissão'!C:C,'Documentos Emissão'!G:G)&gt; 'Data Base'!$D$1,
            _xlfn.XLOOKUP(C49,'Documentos Emissão'!C:C,'Documentos Emissão'!G:G)&lt;='Data Base'!$D$1+6)),
    "JUSTIFICATIVA",
    "")</f>
        <v/>
      </c>
      <c r="H49" s="56"/>
    </row>
    <row r="50" spans="2:8" hidden="1" x14ac:dyDescent="0.25">
      <c r="B50" s="53" t="str">
        <f>_xlfn.XLOOKUP(C50,'Data Base'!D:D,'Data Base'!B:B)</f>
        <v>AI - Automacao E Instrumentacao</v>
      </c>
      <c r="C50" s="53" t="s">
        <v>54</v>
      </c>
      <c r="D50" s="53" t="str">
        <f>_xlfn.XLOOKUP(C50,'LD-ELFA'!F:F,'LD-ELFA'!H:H)</f>
        <v>FD-A1-2007-J-PB-0001</v>
      </c>
      <c r="E50" s="53" t="str">
        <f>_xlfn.XLOOKUP(C50,'LD-ELFA'!F:F,'LD-ELFA'!Q:Q)</f>
        <v>FOLHA DE DADOS</v>
      </c>
      <c r="F50" s="56" t="str">
        <f>_xlfn.XLOOKUP(C50,'Data Base'!D:D,'Data Base'!O:O)</f>
        <v>Blossom - Documento a emitir</v>
      </c>
      <c r="G50" s="57" t="str">
        <f ca="1">IF(OR('Documentos Atendimentos '!H49="ATRASADO",
        AND('Documentos Emissão'!I49="ATRASADO",
            _xlfn.XLOOKUP(C50,'Documentos Emissão'!C:C,'Documentos Emissão'!G:G)&gt; 'Data Base'!$D$1,
            _xlfn.XLOOKUP(C50,'Documentos Emissão'!C:C,'Documentos Emissão'!G:G)&lt;='Data Base'!$D$1+6)),
    "JUSTIFICATIVA",
    "")</f>
        <v/>
      </c>
      <c r="H50" s="56"/>
    </row>
    <row r="51" spans="2:8" hidden="1" x14ac:dyDescent="0.25">
      <c r="B51" s="53" t="str">
        <f>_xlfn.XLOOKUP(C51,'Data Base'!D:D,'Data Base'!B:B)</f>
        <v>AI - Automacao E Instrumentacao</v>
      </c>
      <c r="C51" s="53" t="s">
        <v>55</v>
      </c>
      <c r="D51" s="53" t="str">
        <f>_xlfn.XLOOKUP(C51,'LD-ELFA'!F:F,'LD-ELFA'!H:H)</f>
        <v>FD-A1-2008-J-PB-0001</v>
      </c>
      <c r="E51" s="53" t="str">
        <f>_xlfn.XLOOKUP(C51,'LD-ELFA'!F:F,'LD-ELFA'!Q:Q)</f>
        <v>FOLHA DE DADOS</v>
      </c>
      <c r="F51" s="56" t="str">
        <f>_xlfn.XLOOKUP(C51,'Data Base'!D:D,'Data Base'!O:O)</f>
        <v>Blossom - Documento a emitir</v>
      </c>
      <c r="G51" s="57" t="str">
        <f ca="1">IF(OR('Documentos Atendimentos '!H50="ATRASADO",
        AND('Documentos Emissão'!I50="ATRASADO",
            _xlfn.XLOOKUP(C51,'Documentos Emissão'!C:C,'Documentos Emissão'!G:G)&gt; 'Data Base'!$D$1,
            _xlfn.XLOOKUP(C51,'Documentos Emissão'!C:C,'Documentos Emissão'!G:G)&lt;='Data Base'!$D$1+6)),
    "JUSTIFICATIVA",
    "")</f>
        <v/>
      </c>
      <c r="H51" s="56"/>
    </row>
    <row r="52" spans="2:8" hidden="1" x14ac:dyDescent="0.25">
      <c r="B52" s="53" t="e">
        <f>_xlfn.XLOOKUP(C52,'Data Base'!D:D,'Data Base'!B:B)</f>
        <v>#N/A</v>
      </c>
      <c r="C52" s="53" t="s">
        <v>56</v>
      </c>
      <c r="D52" s="53" t="e">
        <f>_xlfn.XLOOKUP(C52,'LD-ELFA'!F:F,'LD-ELFA'!H:H)</f>
        <v>#N/A</v>
      </c>
      <c r="E52" s="53" t="e">
        <f>_xlfn.XLOOKUP(C52,'LD-ELFA'!F:F,'LD-ELFA'!Q:Q)</f>
        <v>#N/A</v>
      </c>
      <c r="F52" s="56" t="str">
        <f>_xlfn.XLOOKUP(C52,'Data Base'!D:D,'Data Base'!O:O)</f>
        <v>Documento Removido</v>
      </c>
      <c r="G52" s="57" t="e">
        <f ca="1">IF(OR('Documentos Atendimentos '!H51="ATRASADO",
        AND('Documentos Emissão'!I51="ATRASADO",
            _xlfn.XLOOKUP(C52,'Documentos Emissão'!C:C,'Documentos Emissão'!G:G)&gt; 'Data Base'!$D$1,
            _xlfn.XLOOKUP(C52,'Documentos Emissão'!C:C,'Documentos Emissão'!G:G)&lt;='Data Base'!$D$1+6)),
    "JUSTIFICATIVA",
    "")</f>
        <v>#N/A</v>
      </c>
      <c r="H52" s="56"/>
    </row>
    <row r="53" spans="2:8" hidden="1" x14ac:dyDescent="0.25">
      <c r="B53" s="53" t="e">
        <f>_xlfn.XLOOKUP(C53,'Data Base'!D:D,'Data Base'!B:B)</f>
        <v>#N/A</v>
      </c>
      <c r="C53" s="53" t="s">
        <v>57</v>
      </c>
      <c r="D53" s="53" t="e">
        <f>_xlfn.XLOOKUP(C53,'LD-ELFA'!F:F,'LD-ELFA'!H:H)</f>
        <v>#N/A</v>
      </c>
      <c r="E53" s="53" t="e">
        <f>_xlfn.XLOOKUP(C53,'LD-ELFA'!F:F,'LD-ELFA'!Q:Q)</f>
        <v>#N/A</v>
      </c>
      <c r="F53" s="56" t="str">
        <f>_xlfn.XLOOKUP(C53,'Data Base'!D:D,'Data Base'!O:O)</f>
        <v>Documento Removido</v>
      </c>
      <c r="G53" s="57" t="e">
        <f ca="1">IF(OR('Documentos Atendimentos '!H52="ATRASADO",
        AND('Documentos Emissão'!I52="ATRASADO",
            _xlfn.XLOOKUP(C53,'Documentos Emissão'!C:C,'Documentos Emissão'!G:G)&gt; 'Data Base'!$D$1,
            _xlfn.XLOOKUP(C53,'Documentos Emissão'!C:C,'Documentos Emissão'!G:G)&lt;='Data Base'!$D$1+6)),
    "JUSTIFICATIVA",
    "")</f>
        <v>#N/A</v>
      </c>
      <c r="H53" s="56"/>
    </row>
    <row r="54" spans="2:8" hidden="1" x14ac:dyDescent="0.25">
      <c r="B54" s="53" t="e">
        <f>_xlfn.XLOOKUP(C54,'Data Base'!D:D,'Data Base'!B:B)</f>
        <v>#N/A</v>
      </c>
      <c r="C54" s="53" t="s">
        <v>58</v>
      </c>
      <c r="D54" s="53" t="e">
        <f>_xlfn.XLOOKUP(C54,'LD-ELFA'!F:F,'LD-ELFA'!H:H)</f>
        <v>#N/A</v>
      </c>
      <c r="E54" s="53" t="e">
        <f>_xlfn.XLOOKUP(C54,'LD-ELFA'!F:F,'LD-ELFA'!Q:Q)</f>
        <v>#N/A</v>
      </c>
      <c r="F54" s="56" t="str">
        <f>_xlfn.XLOOKUP(C54,'Data Base'!D:D,'Data Base'!O:O)</f>
        <v>Documento Removido</v>
      </c>
      <c r="G54" s="57" t="e">
        <f ca="1">IF(OR('Documentos Atendimentos '!H53="ATRASADO",
        AND('Documentos Emissão'!I53="ATRASADO",
            _xlfn.XLOOKUP(C54,'Documentos Emissão'!C:C,'Documentos Emissão'!G:G)&gt; 'Data Base'!$D$1,
            _xlfn.XLOOKUP(C54,'Documentos Emissão'!C:C,'Documentos Emissão'!G:G)&lt;='Data Base'!$D$1+6)),
    "JUSTIFICATIVA",
    "")</f>
        <v>#N/A</v>
      </c>
      <c r="H54" s="56"/>
    </row>
    <row r="55" spans="2:8" hidden="1" x14ac:dyDescent="0.25">
      <c r="B55" s="53" t="e">
        <f>_xlfn.XLOOKUP(C55,'Data Base'!D:D,'Data Base'!B:B)</f>
        <v>#N/A</v>
      </c>
      <c r="C55" s="53" t="s">
        <v>59</v>
      </c>
      <c r="D55" s="53" t="e">
        <f>_xlfn.XLOOKUP(C55,'LD-ELFA'!F:F,'LD-ELFA'!H:H)</f>
        <v>#N/A</v>
      </c>
      <c r="E55" s="53" t="e">
        <f>_xlfn.XLOOKUP(C55,'LD-ELFA'!F:F,'LD-ELFA'!Q:Q)</f>
        <v>#N/A</v>
      </c>
      <c r="F55" s="56" t="str">
        <f>_xlfn.XLOOKUP(C55,'Data Base'!D:D,'Data Base'!O:O)</f>
        <v>Documento Removido</v>
      </c>
      <c r="G55" s="57" t="e">
        <f ca="1">IF(OR('Documentos Atendimentos '!H54="ATRASADO",
        AND('Documentos Emissão'!I54="ATRASADO",
            _xlfn.XLOOKUP(C55,'Documentos Emissão'!C:C,'Documentos Emissão'!G:G)&gt; 'Data Base'!$D$1,
            _xlfn.XLOOKUP(C55,'Documentos Emissão'!C:C,'Documentos Emissão'!G:G)&lt;='Data Base'!$D$1+6)),
    "JUSTIFICATIVA",
    "")</f>
        <v>#N/A</v>
      </c>
      <c r="H55" s="56"/>
    </row>
    <row r="56" spans="2:8" hidden="1" x14ac:dyDescent="0.25">
      <c r="B56" s="53" t="e">
        <f>_xlfn.XLOOKUP(C56,'Data Base'!D:D,'Data Base'!B:B)</f>
        <v>#N/A</v>
      </c>
      <c r="C56" s="53" t="s">
        <v>60</v>
      </c>
      <c r="D56" s="53" t="e">
        <f>_xlfn.XLOOKUP(C56,'LD-ELFA'!F:F,'LD-ELFA'!H:H)</f>
        <v>#N/A</v>
      </c>
      <c r="E56" s="53" t="e">
        <f>_xlfn.XLOOKUP(C56,'LD-ELFA'!F:F,'LD-ELFA'!Q:Q)</f>
        <v>#N/A</v>
      </c>
      <c r="F56" s="56" t="str">
        <f>_xlfn.XLOOKUP(C56,'Data Base'!D:D,'Data Base'!O:O)</f>
        <v>Documento Removido</v>
      </c>
      <c r="G56" s="57" t="e">
        <f ca="1">IF(OR('Documentos Atendimentos '!H55="ATRASADO",
        AND('Documentos Emissão'!I55="ATRASADO",
            _xlfn.XLOOKUP(C56,'Documentos Emissão'!C:C,'Documentos Emissão'!G:G)&gt; 'Data Base'!$D$1,
            _xlfn.XLOOKUP(C56,'Documentos Emissão'!C:C,'Documentos Emissão'!G:G)&lt;='Data Base'!$D$1+6)),
    "JUSTIFICATIVA",
    "")</f>
        <v>#N/A</v>
      </c>
      <c r="H56" s="56"/>
    </row>
    <row r="57" spans="2:8" hidden="1" x14ac:dyDescent="0.25">
      <c r="B57" s="53" t="e">
        <f>_xlfn.XLOOKUP(C57,'Data Base'!D:D,'Data Base'!B:B)</f>
        <v>#N/A</v>
      </c>
      <c r="C57" s="53" t="s">
        <v>61</v>
      </c>
      <c r="D57" s="53" t="e">
        <f>_xlfn.XLOOKUP(C57,'LD-ELFA'!F:F,'LD-ELFA'!H:H)</f>
        <v>#N/A</v>
      </c>
      <c r="E57" s="53" t="e">
        <f>_xlfn.XLOOKUP(C57,'LD-ELFA'!F:F,'LD-ELFA'!Q:Q)</f>
        <v>#N/A</v>
      </c>
      <c r="F57" s="56" t="str">
        <f>_xlfn.XLOOKUP(C57,'Data Base'!D:D,'Data Base'!O:O)</f>
        <v>Documento Removido</v>
      </c>
      <c r="G57" s="57" t="e">
        <f ca="1">IF(OR('Documentos Atendimentos '!H56="ATRASADO",
        AND('Documentos Emissão'!I56="ATRASADO",
            _xlfn.XLOOKUP(C57,'Documentos Emissão'!C:C,'Documentos Emissão'!G:G)&gt; 'Data Base'!$D$1,
            _xlfn.XLOOKUP(C57,'Documentos Emissão'!C:C,'Documentos Emissão'!G:G)&lt;='Data Base'!$D$1+6)),
    "JUSTIFICATIVA",
    "")</f>
        <v>#N/A</v>
      </c>
      <c r="H57" s="56"/>
    </row>
    <row r="58" spans="2:8" hidden="1" x14ac:dyDescent="0.25">
      <c r="B58" s="53" t="e">
        <f>_xlfn.XLOOKUP(C58,'Data Base'!D:D,'Data Base'!B:B)</f>
        <v>#N/A</v>
      </c>
      <c r="C58" s="53" t="s">
        <v>62</v>
      </c>
      <c r="D58" s="53" t="e">
        <f>_xlfn.XLOOKUP(C58,'LD-ELFA'!F:F,'LD-ELFA'!H:H)</f>
        <v>#N/A</v>
      </c>
      <c r="E58" s="53" t="e">
        <f>_xlfn.XLOOKUP(C58,'LD-ELFA'!F:F,'LD-ELFA'!Q:Q)</f>
        <v>#N/A</v>
      </c>
      <c r="F58" s="56" t="str">
        <f>_xlfn.XLOOKUP(C58,'Data Base'!D:D,'Data Base'!O:O)</f>
        <v>Documento Removido</v>
      </c>
      <c r="G58" s="57" t="e">
        <f ca="1">IF(OR('Documentos Atendimentos '!H57="ATRASADO",
        AND('Documentos Emissão'!I57="ATRASADO",
            _xlfn.XLOOKUP(C58,'Documentos Emissão'!C:C,'Documentos Emissão'!G:G)&gt; 'Data Base'!$D$1,
            _xlfn.XLOOKUP(C58,'Documentos Emissão'!C:C,'Documentos Emissão'!G:G)&lt;='Data Base'!$D$1+6)),
    "JUSTIFICATIVA",
    "")</f>
        <v>#N/A</v>
      </c>
      <c r="H58" s="56"/>
    </row>
    <row r="59" spans="2:8" x14ac:dyDescent="0.25">
      <c r="B59" s="53" t="str">
        <f>_xlfn.XLOOKUP(C59,'Data Base'!D:D,'Data Base'!B:B)</f>
        <v>AI - Automacao E Instrumentacao</v>
      </c>
      <c r="C59" s="53" t="s">
        <v>63</v>
      </c>
      <c r="D59" s="53" t="str">
        <f>_xlfn.XLOOKUP(C59,'LD-ELFA'!F:F,'LD-ELFA'!H:H)</f>
        <v>FD-A1-2000-J-PB-4000</v>
      </c>
      <c r="E59" s="53" t="str">
        <f>_xlfn.XLOOKUP(C59,'LD-ELFA'!F:F,'LD-ELFA'!Q:Q)</f>
        <v>FOLHA DE DADOS</v>
      </c>
      <c r="F59" s="56" t="str">
        <f>_xlfn.XLOOKUP(C59,'Data Base'!D:D,'Data Base'!O:O)</f>
        <v>Cliente - Atendimento de Comentário</v>
      </c>
      <c r="G59" s="57" t="str">
        <f ca="1">IF(OR('Documentos Atendimentos '!H58="ATRASADO",
        AND('Documentos Emissão'!I58="ATRASADO",
            _xlfn.XLOOKUP(C59,'Documentos Emissão'!C:C,'Documentos Emissão'!G:G)&gt; 'Data Base'!$D$1,
            _xlfn.XLOOKUP(C59,'Documentos Emissão'!C:C,'Documentos Emissão'!G:G)&lt;='Data Base'!$D$1+6)),
    "JUSTIFICATIVA",
    "")</f>
        <v/>
      </c>
      <c r="H59" s="56"/>
    </row>
    <row r="60" spans="2:8" hidden="1" x14ac:dyDescent="0.25">
      <c r="B60" s="53" t="str">
        <f>_xlfn.XLOOKUP(C60,'Data Base'!D:D,'Data Base'!B:B)</f>
        <v>AI - Automacao E Instrumentacao</v>
      </c>
      <c r="C60" s="53" t="s">
        <v>64</v>
      </c>
      <c r="D60" s="53" t="str">
        <f>_xlfn.XLOOKUP(C60,'LD-ELFA'!F:F,'LD-ELFA'!H:H)</f>
        <v>LE-A1-2000-J-PB-0001</v>
      </c>
      <c r="E60" s="53" t="str">
        <f>_xlfn.XLOOKUP(C60,'LD-ELFA'!F:F,'LD-ELFA'!Q:Q)</f>
        <v>LISTA DE EQUIPAMENTOS DE AUTOMAÇÃO</v>
      </c>
      <c r="F60" s="56" t="str">
        <f>_xlfn.XLOOKUP(C60,'Data Base'!D:D,'Data Base'!O:O)</f>
        <v>Blossom - Documento a emitir</v>
      </c>
      <c r="G60" s="57" t="str">
        <f ca="1">IF(OR('Documentos Atendimentos '!H59="ATRASADO",
        AND('Documentos Emissão'!I59="ATRASADO",
            _xlfn.XLOOKUP(C60,'Documentos Emissão'!C:C,'Documentos Emissão'!G:G)&gt; 'Data Base'!$D$1,
            _xlfn.XLOOKUP(C60,'Documentos Emissão'!C:C,'Documentos Emissão'!G:G)&lt;='Data Base'!$D$1+6)),
    "JUSTIFICATIVA",
    "")</f>
        <v/>
      </c>
      <c r="H60" s="56"/>
    </row>
    <row r="61" spans="2:8" hidden="1" x14ac:dyDescent="0.25">
      <c r="B61" s="53" t="str">
        <f>_xlfn.XLOOKUP(C61,'Data Base'!D:D,'Data Base'!B:B)</f>
        <v>AI - Automacao E Instrumentacao</v>
      </c>
      <c r="C61" s="53" t="s">
        <v>65</v>
      </c>
      <c r="D61" s="53" t="str">
        <f>_xlfn.XLOOKUP(C61,'LD-ELFA'!F:F,'LD-ELFA'!H:H)</f>
        <v>LE-A1-2006-J-PB-0001</v>
      </c>
      <c r="E61" s="53" t="str">
        <f>_xlfn.XLOOKUP(C61,'LD-ELFA'!F:F,'LD-ELFA'!Q:Q)</f>
        <v>LISTA DE EQUIPAMENTOS DE TELECOM</v>
      </c>
      <c r="F61" s="56" t="str">
        <f>_xlfn.XLOOKUP(C61,'Data Base'!D:D,'Data Base'!O:O)</f>
        <v>Blossom - Documento a emitir</v>
      </c>
      <c r="G61" s="57" t="str">
        <f ca="1">IF(OR('Documentos Atendimentos '!H60="ATRASADO",
        AND('Documentos Emissão'!I60="ATRASADO",
            _xlfn.XLOOKUP(C61,'Documentos Emissão'!C:C,'Documentos Emissão'!G:G)&gt; 'Data Base'!$D$1,
            _xlfn.XLOOKUP(C61,'Documentos Emissão'!C:C,'Documentos Emissão'!G:G)&lt;='Data Base'!$D$1+6)),
    "JUSTIFICATIVA",
    "")</f>
        <v/>
      </c>
      <c r="H61" s="56"/>
    </row>
    <row r="62" spans="2:8" x14ac:dyDescent="0.25">
      <c r="B62" s="53" t="str">
        <f>_xlfn.XLOOKUP(C62,'Data Base'!D:D,'Data Base'!B:B)</f>
        <v>AI - Automacao E Instrumentacao</v>
      </c>
      <c r="C62" s="53" t="s">
        <v>66</v>
      </c>
      <c r="D62" s="53" t="str">
        <f>_xlfn.XLOOKUP(C62,'LD-ELFA'!F:F,'LD-ELFA'!H:H)</f>
        <v>LI-A1-2000-J-PB-0001</v>
      </c>
      <c r="E62" s="53" t="str">
        <f>_xlfn.XLOOKUP(C62,'LD-ELFA'!F:F,'LD-ELFA'!Q:Q)</f>
        <v>LISTA DE INSTRUMENTOS</v>
      </c>
      <c r="F62" s="56" t="str">
        <f>_xlfn.XLOOKUP(C62,'Data Base'!D:D,'Data Base'!O:O)</f>
        <v>Blossom - Atendimento de Comentário</v>
      </c>
      <c r="G62" s="57" t="str">
        <f ca="1">IF(OR('Documentos Atendimentos '!H61="ATRASADO",
        AND('Documentos Emissão'!I61="ATRASADO",
            _xlfn.XLOOKUP(C62,'Documentos Emissão'!C:C,'Documentos Emissão'!G:G)&gt; 'Data Base'!$D$1,
            _xlfn.XLOOKUP(C62,'Documentos Emissão'!C:C,'Documentos Emissão'!G:G)&lt;='Data Base'!$D$1+6)),
    "JUSTIFICATIVA",
    "")</f>
        <v>JUSTIFICATIVA</v>
      </c>
      <c r="H62" s="56"/>
    </row>
    <row r="63" spans="2:8" hidden="1" x14ac:dyDescent="0.25">
      <c r="B63" s="53" t="e">
        <f>_xlfn.XLOOKUP(C63,'Data Base'!D:D,'Data Base'!B:B)</f>
        <v>#N/A</v>
      </c>
      <c r="C63" s="53" t="s">
        <v>67</v>
      </c>
      <c r="D63" s="53" t="e">
        <f>_xlfn.XLOOKUP(C63,'LD-ELFA'!F:F,'LD-ELFA'!H:H)</f>
        <v>#N/A</v>
      </c>
      <c r="E63" s="53" t="e">
        <f>_xlfn.XLOOKUP(C63,'LD-ELFA'!F:F,'LD-ELFA'!Q:Q)</f>
        <v>#N/A</v>
      </c>
      <c r="F63" s="56" t="str">
        <f>_xlfn.XLOOKUP(C63,'Data Base'!D:D,'Data Base'!O:O)</f>
        <v>Documento Removido</v>
      </c>
      <c r="G63" s="57" t="e">
        <f ca="1">IF(OR('Documentos Atendimentos '!H62="ATRASADO",
        AND('Documentos Emissão'!I62="ATRASADO",
            _xlfn.XLOOKUP(C63,'Documentos Emissão'!C:C,'Documentos Emissão'!G:G)&gt; 'Data Base'!$D$1,
            _xlfn.XLOOKUP(C63,'Documentos Emissão'!C:C,'Documentos Emissão'!G:G)&lt;='Data Base'!$D$1+6)),
    "JUSTIFICATIVA",
    "")</f>
        <v>#N/A</v>
      </c>
      <c r="H63" s="56"/>
    </row>
    <row r="64" spans="2:8" hidden="1" x14ac:dyDescent="0.25">
      <c r="B64" s="53" t="e">
        <f>_xlfn.XLOOKUP(C64,'Data Base'!D:D,'Data Base'!B:B)</f>
        <v>#N/A</v>
      </c>
      <c r="C64" s="53" t="s">
        <v>68</v>
      </c>
      <c r="D64" s="53" t="e">
        <f>_xlfn.XLOOKUP(C64,'LD-ELFA'!F:F,'LD-ELFA'!H:H)</f>
        <v>#N/A</v>
      </c>
      <c r="E64" s="53" t="e">
        <f>_xlfn.XLOOKUP(C64,'LD-ELFA'!F:F,'LD-ELFA'!Q:Q)</f>
        <v>#N/A</v>
      </c>
      <c r="F64" s="56" t="str">
        <f>_xlfn.XLOOKUP(C64,'Data Base'!D:D,'Data Base'!O:O)</f>
        <v>Documento Removido</v>
      </c>
      <c r="G64" s="57" t="e">
        <f ca="1">IF(OR('Documentos Atendimentos '!H63="ATRASADO",
        AND('Documentos Emissão'!I63="ATRASADO",
            _xlfn.XLOOKUP(C64,'Documentos Emissão'!C:C,'Documentos Emissão'!G:G)&gt; 'Data Base'!$D$1,
            _xlfn.XLOOKUP(C64,'Documentos Emissão'!C:C,'Documentos Emissão'!G:G)&lt;='Data Base'!$D$1+6)),
    "JUSTIFICATIVA",
    "")</f>
        <v>#N/A</v>
      </c>
      <c r="H64" s="56"/>
    </row>
    <row r="65" spans="2:8" hidden="1" x14ac:dyDescent="0.25">
      <c r="B65" s="53" t="e">
        <f>_xlfn.XLOOKUP(C65,'Data Base'!D:D,'Data Base'!B:B)</f>
        <v>#N/A</v>
      </c>
      <c r="C65" s="53" t="s">
        <v>69</v>
      </c>
      <c r="D65" s="53" t="e">
        <f>_xlfn.XLOOKUP(C65,'LD-ELFA'!F:F,'LD-ELFA'!H:H)</f>
        <v>#N/A</v>
      </c>
      <c r="E65" s="53" t="e">
        <f>_xlfn.XLOOKUP(C65,'LD-ELFA'!F:F,'LD-ELFA'!Q:Q)</f>
        <v>#N/A</v>
      </c>
      <c r="F65" s="56" t="str">
        <f>_xlfn.XLOOKUP(C65,'Data Base'!D:D,'Data Base'!O:O)</f>
        <v>Documento Removido</v>
      </c>
      <c r="G65" s="57" t="e">
        <f ca="1">IF(OR('Documentos Atendimentos '!H64="ATRASADO",
        AND('Documentos Emissão'!I64="ATRASADO",
            _xlfn.XLOOKUP(C65,'Documentos Emissão'!C:C,'Documentos Emissão'!G:G)&gt; 'Data Base'!$D$1,
            _xlfn.XLOOKUP(C65,'Documentos Emissão'!C:C,'Documentos Emissão'!G:G)&lt;='Data Base'!$D$1+6)),
    "JUSTIFICATIVA",
    "")</f>
        <v>#N/A</v>
      </c>
      <c r="H65" s="56"/>
    </row>
    <row r="66" spans="2:8" hidden="1" x14ac:dyDescent="0.25">
      <c r="B66" s="53" t="str">
        <f>_xlfn.XLOOKUP(C66,'Data Base'!D:D,'Data Base'!B:B)</f>
        <v>AI - Automacao E Instrumentacao</v>
      </c>
      <c r="C66" s="53" t="s">
        <v>70</v>
      </c>
      <c r="D66" s="53" t="str">
        <f>_xlfn.XLOOKUP(C66,'LD-ELFA'!F:F,'LD-ELFA'!H:H)</f>
        <v>RE-A1-2000-J-PB-0001</v>
      </c>
      <c r="E66" s="53" t="str">
        <f>_xlfn.XLOOKUP(C66,'LD-ELFA'!F:F,'LD-ELFA'!Q:Q)</f>
        <v>LISTA PRELIMINAR DE ENTRADAS E SAÍDAS</v>
      </c>
      <c r="F66" s="56" t="str">
        <f>_xlfn.XLOOKUP(C66,'Data Base'!D:D,'Data Base'!O:O)</f>
        <v>Blossom - Documento a emitir</v>
      </c>
      <c r="G66" s="57" t="str">
        <f ca="1">IF(OR('Documentos Atendimentos '!H65="ATRASADO",
        AND('Documentos Emissão'!I65="ATRASADO",
            _xlfn.XLOOKUP(C66,'Documentos Emissão'!C:C,'Documentos Emissão'!G:G)&gt; 'Data Base'!$D$1,
            _xlfn.XLOOKUP(C66,'Documentos Emissão'!C:C,'Documentos Emissão'!G:G)&lt;='Data Base'!$D$1+6)),
    "JUSTIFICATIVA",
    "")</f>
        <v/>
      </c>
      <c r="H66" s="56"/>
    </row>
    <row r="67" spans="2:8" hidden="1" x14ac:dyDescent="0.25">
      <c r="B67" s="53" t="e">
        <f>_xlfn.XLOOKUP(C67,'Data Base'!D:D,'Data Base'!B:B)</f>
        <v>#N/A</v>
      </c>
      <c r="C67" s="53" t="s">
        <v>71</v>
      </c>
      <c r="D67" s="53" t="e">
        <f>_xlfn.XLOOKUP(C67,'LD-ELFA'!F:F,'LD-ELFA'!H:H)</f>
        <v>#N/A</v>
      </c>
      <c r="E67" s="53" t="e">
        <f>_xlfn.XLOOKUP(C67,'LD-ELFA'!F:F,'LD-ELFA'!Q:Q)</f>
        <v>#N/A</v>
      </c>
      <c r="F67" s="56" t="str">
        <f>_xlfn.XLOOKUP(C67,'Data Base'!D:D,'Data Base'!O:O)</f>
        <v>Documento Removido</v>
      </c>
      <c r="G67" s="57" t="e">
        <f ca="1">IF(OR('Documentos Atendimentos '!H66="ATRASADO",
        AND('Documentos Emissão'!I66="ATRASADO",
            _xlfn.XLOOKUP(C67,'Documentos Emissão'!C:C,'Documentos Emissão'!G:G)&gt; 'Data Base'!$D$1,
            _xlfn.XLOOKUP(C67,'Documentos Emissão'!C:C,'Documentos Emissão'!G:G)&lt;='Data Base'!$D$1+6)),
    "JUSTIFICATIVA",
    "")</f>
        <v>#N/A</v>
      </c>
      <c r="H67" s="56"/>
    </row>
    <row r="68" spans="2:8" hidden="1" x14ac:dyDescent="0.25">
      <c r="B68" s="53" t="str">
        <f>_xlfn.XLOOKUP(C68,'Data Base'!D:D,'Data Base'!B:B)</f>
        <v>AR - Arquitetura</v>
      </c>
      <c r="C68" s="53" t="s">
        <v>72</v>
      </c>
      <c r="D68" s="53" t="str">
        <f>_xlfn.XLOOKUP(C68,'LD-ELFA'!F:F,'LD-ELFA'!H:H)</f>
        <v>CP-A1-1000-A-PB-0001</v>
      </c>
      <c r="E68" s="53" t="str">
        <f>_xlfn.XLOOKUP(C68,'LD-ELFA'!F:F,'LD-ELFA'!Q:Q)</f>
        <v>CRITÉRIOS DE PROJETO</v>
      </c>
      <c r="F68" s="56" t="str">
        <f>_xlfn.XLOOKUP(C68,'Data Base'!D:D,'Data Base'!O:O)</f>
        <v>Documento Concluído</v>
      </c>
      <c r="G68" s="57" t="str">
        <f ca="1">IF(OR('Documentos Atendimentos '!H67="ATRASADO",
        AND('Documentos Emissão'!I67="ATRASADO",
            _xlfn.XLOOKUP(C68,'Documentos Emissão'!C:C,'Documentos Emissão'!G:G)&gt; 'Data Base'!$D$1,
            _xlfn.XLOOKUP(C68,'Documentos Emissão'!C:C,'Documentos Emissão'!G:G)&lt;='Data Base'!$D$1+6)),
    "JUSTIFICATIVA",
    "")</f>
        <v/>
      </c>
      <c r="H68" s="56"/>
    </row>
    <row r="69" spans="2:8" hidden="1" x14ac:dyDescent="0.25">
      <c r="B69" s="53" t="str">
        <f>_xlfn.XLOOKUP(C69,'Data Base'!D:D,'Data Base'!B:B)</f>
        <v>AR - Arquitetura</v>
      </c>
      <c r="C69" s="53" t="s">
        <v>73</v>
      </c>
      <c r="D69" s="53" t="str">
        <f>_xlfn.XLOOKUP(C69,'LD-ELFA'!F:F,'LD-ELFA'!H:H)</f>
        <v>DE-A1-1911-A-PB-4000</v>
      </c>
      <c r="E69" s="53" t="str">
        <f>_xlfn.XLOOKUP(C69,'LD-ELFA'!F:F,'LD-ELFA'!Q:Q)</f>
        <v>PLANTA E CORTES</v>
      </c>
      <c r="F69" s="56" t="str">
        <f>_xlfn.XLOOKUP(C69,'Data Base'!D:D,'Data Base'!O:O)</f>
        <v>Blossom - Documento a emitir</v>
      </c>
      <c r="G69" s="57" t="str">
        <f ca="1">IF(OR('Documentos Atendimentos '!H68="ATRASADO",
        AND('Documentos Emissão'!I68="ATRASADO",
            _xlfn.XLOOKUP(C69,'Documentos Emissão'!C:C,'Documentos Emissão'!G:G)&gt; 'Data Base'!$D$1,
            _xlfn.XLOOKUP(C69,'Documentos Emissão'!C:C,'Documentos Emissão'!G:G)&lt;='Data Base'!$D$1+6)),
    "JUSTIFICATIVA",
    "")</f>
        <v/>
      </c>
      <c r="H69" s="56"/>
    </row>
    <row r="70" spans="2:8" hidden="1" x14ac:dyDescent="0.25">
      <c r="B70" s="53" t="str">
        <f>_xlfn.XLOOKUP(C70,'Data Base'!D:D,'Data Base'!B:B)</f>
        <v>AR - Arquitetura</v>
      </c>
      <c r="C70" s="53" t="s">
        <v>74</v>
      </c>
      <c r="D70" s="53" t="str">
        <f>_xlfn.XLOOKUP(C70,'LD-ELFA'!F:F,'LD-ELFA'!H:H)</f>
        <v>DE-A1-1912-A-PB-4000</v>
      </c>
      <c r="E70" s="53" t="str">
        <f>_xlfn.XLOOKUP(C70,'LD-ELFA'!F:F,'LD-ELFA'!Q:Q)</f>
        <v>PLANTA E CORTES</v>
      </c>
      <c r="F70" s="56" t="str">
        <f>_xlfn.XLOOKUP(C70,'Data Base'!D:D,'Data Base'!O:O)</f>
        <v>Blossom - Documento a emitir</v>
      </c>
      <c r="G70" s="57" t="str">
        <f ca="1">IF(OR('Documentos Atendimentos '!H69="ATRASADO",
        AND('Documentos Emissão'!I69="ATRASADO",
            _xlfn.XLOOKUP(C70,'Documentos Emissão'!C:C,'Documentos Emissão'!G:G)&gt; 'Data Base'!$D$1,
            _xlfn.XLOOKUP(C70,'Documentos Emissão'!C:C,'Documentos Emissão'!G:G)&lt;='Data Base'!$D$1+6)),
    "JUSTIFICATIVA",
    "")</f>
        <v/>
      </c>
      <c r="H70" s="56"/>
    </row>
    <row r="71" spans="2:8" hidden="1" x14ac:dyDescent="0.25">
      <c r="B71" s="53" t="str">
        <f>_xlfn.XLOOKUP(C71,'Data Base'!D:D,'Data Base'!B:B)</f>
        <v>AR - Arquitetura</v>
      </c>
      <c r="C71" s="53" t="s">
        <v>75</v>
      </c>
      <c r="D71" s="53" t="str">
        <f>_xlfn.XLOOKUP(C71,'LD-ELFA'!F:F,'LD-ELFA'!H:H)</f>
        <v>DE-A1-1913-A-PB-4000</v>
      </c>
      <c r="E71" s="53" t="str">
        <f>_xlfn.XLOOKUP(C71,'LD-ELFA'!F:F,'LD-ELFA'!Q:Q)</f>
        <v>PLANTA E CORTES</v>
      </c>
      <c r="F71" s="56" t="str">
        <f>_xlfn.XLOOKUP(C71,'Data Base'!D:D,'Data Base'!O:O)</f>
        <v>Blossom - Documento a emitir</v>
      </c>
      <c r="G71" s="57" t="str">
        <f ca="1">IF(OR('Documentos Atendimentos '!H70="ATRASADO",
        AND('Documentos Emissão'!I70="ATRASADO",
            _xlfn.XLOOKUP(C71,'Documentos Emissão'!C:C,'Documentos Emissão'!G:G)&gt; 'Data Base'!$D$1,
            _xlfn.XLOOKUP(C71,'Documentos Emissão'!C:C,'Documentos Emissão'!G:G)&lt;='Data Base'!$D$1+6)),
    "JUSTIFICATIVA",
    "")</f>
        <v/>
      </c>
      <c r="H71" s="56"/>
    </row>
    <row r="72" spans="2:8" hidden="1" x14ac:dyDescent="0.25">
      <c r="B72" s="53" t="str">
        <f>_xlfn.XLOOKUP(C72,'Data Base'!D:D,'Data Base'!B:B)</f>
        <v>AR - Arquitetura</v>
      </c>
      <c r="C72" s="53" t="s">
        <v>76</v>
      </c>
      <c r="D72" s="53" t="str">
        <f>_xlfn.XLOOKUP(C72,'LD-ELFA'!F:F,'LD-ELFA'!H:H)</f>
        <v>DE-A1-2201-A-PB-4000</v>
      </c>
      <c r="E72" s="53" t="str">
        <f>_xlfn.XLOOKUP(C72,'LD-ELFA'!F:F,'LD-ELFA'!Q:Q)</f>
        <v>PLANTA E CORTES</v>
      </c>
      <c r="F72" s="56" t="str">
        <f>_xlfn.XLOOKUP(C72,'Data Base'!D:D,'Data Base'!O:O)</f>
        <v>Blossom - Documento a emitir</v>
      </c>
      <c r="G72" s="57" t="str">
        <f ca="1">IF(OR('Documentos Atendimentos '!H71="ATRASADO",
        AND('Documentos Emissão'!I71="ATRASADO",
            _xlfn.XLOOKUP(C72,'Documentos Emissão'!C:C,'Documentos Emissão'!G:G)&gt; 'Data Base'!$D$1,
            _xlfn.XLOOKUP(C72,'Documentos Emissão'!C:C,'Documentos Emissão'!G:G)&lt;='Data Base'!$D$1+6)),
    "JUSTIFICATIVA",
    "")</f>
        <v>JUSTIFICATIVA</v>
      </c>
      <c r="H72" s="56"/>
    </row>
    <row r="73" spans="2:8" hidden="1" x14ac:dyDescent="0.25">
      <c r="B73" s="53" t="str">
        <f>_xlfn.XLOOKUP(C73,'Data Base'!D:D,'Data Base'!B:B)</f>
        <v>AR - Arquitetura</v>
      </c>
      <c r="C73" s="53" t="s">
        <v>77</v>
      </c>
      <c r="D73" s="53" t="str">
        <f>_xlfn.XLOOKUP(C73,'LD-ELFA'!F:F,'LD-ELFA'!H:H)</f>
        <v>DE-A1-2202-A-PB-4000</v>
      </c>
      <c r="E73" s="53" t="str">
        <f>_xlfn.XLOOKUP(C73,'LD-ELFA'!F:F,'LD-ELFA'!Q:Q)</f>
        <v>PLANTA E CORTES</v>
      </c>
      <c r="F73" s="56" t="str">
        <f>_xlfn.XLOOKUP(C73,'Data Base'!D:D,'Data Base'!O:O)</f>
        <v>Blossom - Documento a emitir</v>
      </c>
      <c r="G73" s="57" t="str">
        <f ca="1">IF(OR('Documentos Atendimentos '!H72="ATRASADO",
        AND('Documentos Emissão'!I72="ATRASADO",
            _xlfn.XLOOKUP(C73,'Documentos Emissão'!C:C,'Documentos Emissão'!G:G)&gt; 'Data Base'!$D$1,
            _xlfn.XLOOKUP(C73,'Documentos Emissão'!C:C,'Documentos Emissão'!G:G)&lt;='Data Base'!$D$1+6)),
    "JUSTIFICATIVA",
    "")</f>
        <v>JUSTIFICATIVA</v>
      </c>
      <c r="H73" s="56"/>
    </row>
    <row r="74" spans="2:8" hidden="1" x14ac:dyDescent="0.25">
      <c r="B74" s="53" t="str">
        <f>_xlfn.XLOOKUP(C74,'Data Base'!D:D,'Data Base'!B:B)</f>
        <v>AR - Arquitetura</v>
      </c>
      <c r="C74" s="53" t="s">
        <v>78</v>
      </c>
      <c r="D74" s="53" t="str">
        <f>_xlfn.XLOOKUP(C74,'LD-ELFA'!F:F,'LD-ELFA'!H:H)</f>
        <v>DE-A1-2203-A-PB-4000</v>
      </c>
      <c r="E74" s="53" t="str">
        <f>_xlfn.XLOOKUP(C74,'LD-ELFA'!F:F,'LD-ELFA'!Q:Q)</f>
        <v>PLANTA E CORTES</v>
      </c>
      <c r="F74" s="56" t="str">
        <f>_xlfn.XLOOKUP(C74,'Data Base'!D:D,'Data Base'!O:O)</f>
        <v>Blossom - Documento a emitir</v>
      </c>
      <c r="G74" s="57" t="str">
        <f ca="1">IF(OR('Documentos Atendimentos '!H73="ATRASADO",
        AND('Documentos Emissão'!I73="ATRASADO",
            _xlfn.XLOOKUP(C74,'Documentos Emissão'!C:C,'Documentos Emissão'!G:G)&gt; 'Data Base'!$D$1,
            _xlfn.XLOOKUP(C74,'Documentos Emissão'!C:C,'Documentos Emissão'!G:G)&lt;='Data Base'!$D$1+6)),
    "JUSTIFICATIVA",
    "")</f>
        <v/>
      </c>
      <c r="H74" s="56"/>
    </row>
    <row r="75" spans="2:8" hidden="1" x14ac:dyDescent="0.25">
      <c r="B75" s="53" t="str">
        <f>_xlfn.XLOOKUP(C75,'Data Base'!D:D,'Data Base'!B:B)</f>
        <v>AR - Arquitetura</v>
      </c>
      <c r="C75" s="53" t="s">
        <v>79</v>
      </c>
      <c r="D75" s="53" t="str">
        <f>_xlfn.XLOOKUP(C75,'LD-ELFA'!F:F,'LD-ELFA'!H:H)</f>
        <v>DE-A1-2204-A-PB-4000</v>
      </c>
      <c r="E75" s="53" t="str">
        <f>_xlfn.XLOOKUP(C75,'LD-ELFA'!F:F,'LD-ELFA'!Q:Q)</f>
        <v>PLANTA E CORTES</v>
      </c>
      <c r="F75" s="56" t="str">
        <f>_xlfn.XLOOKUP(C75,'Data Base'!D:D,'Data Base'!O:O)</f>
        <v>Blossom - Documento a emitir</v>
      </c>
      <c r="G75" s="57" t="str">
        <f ca="1">IF(OR('Documentos Atendimentos '!H74="ATRASADO",
        AND('Documentos Emissão'!I74="ATRASADO",
            _xlfn.XLOOKUP(C75,'Documentos Emissão'!C:C,'Documentos Emissão'!G:G)&gt; 'Data Base'!$D$1,
            _xlfn.XLOOKUP(C75,'Documentos Emissão'!C:C,'Documentos Emissão'!G:G)&lt;='Data Base'!$D$1+6)),
    "JUSTIFICATIVA",
    "")</f>
        <v/>
      </c>
      <c r="H75" s="56"/>
    </row>
    <row r="76" spans="2:8" hidden="1" x14ac:dyDescent="0.25">
      <c r="B76" s="53" t="str">
        <f>_xlfn.XLOOKUP(C76,'Data Base'!D:D,'Data Base'!B:B)</f>
        <v>AR - Arquitetura</v>
      </c>
      <c r="C76" s="53" t="s">
        <v>80</v>
      </c>
      <c r="D76" s="53" t="str">
        <f>_xlfn.XLOOKUP(C76,'LD-ELFA'!F:F,'LD-ELFA'!H:H)</f>
        <v>PQ-A1-1000-C-PB-0800</v>
      </c>
      <c r="E76" s="53" t="str">
        <f>_xlfn.XLOOKUP(C76,'LD-ELFA'!F:F,'LD-ELFA'!Q:Q)</f>
        <v>PLANILHA DE QUANTIDADES -PACOTE DE OBRAS CIVIS-ESCRITÓRIO CENTRAL / SALA DE CONTROLE E LABORATÓRIO</v>
      </c>
      <c r="F76" s="56" t="str">
        <f>_xlfn.XLOOKUP(C76,'Data Base'!D:D,'Data Base'!O:O)</f>
        <v>Blossom - Documento a emitir</v>
      </c>
      <c r="G76" s="57" t="str">
        <f ca="1">IF(OR('Documentos Atendimentos '!H75="ATRASADO",
        AND('Documentos Emissão'!I75="ATRASADO",
            _xlfn.XLOOKUP(C76,'Documentos Emissão'!C:C,'Documentos Emissão'!G:G)&gt; 'Data Base'!$D$1,
            _xlfn.XLOOKUP(C76,'Documentos Emissão'!C:C,'Documentos Emissão'!G:G)&lt;='Data Base'!$D$1+6)),
    "JUSTIFICATIVA",
    "")</f>
        <v/>
      </c>
      <c r="H76" s="56"/>
    </row>
    <row r="77" spans="2:8" hidden="1" x14ac:dyDescent="0.25">
      <c r="B77" s="53" t="str">
        <f>_xlfn.XLOOKUP(C77,'Data Base'!D:D,'Data Base'!B:B)</f>
        <v>AR - Arquitetura</v>
      </c>
      <c r="C77" s="53" t="s">
        <v>81</v>
      </c>
      <c r="D77" s="53" t="str">
        <f>_xlfn.XLOOKUP(C77,'LD-ELFA'!F:F,'LD-ELFA'!H:H)</f>
        <v>PQ-A1-1000-C-PB-0801</v>
      </c>
      <c r="E77" s="53" t="str">
        <f>_xlfn.XLOOKUP(C77,'LD-ELFA'!F:F,'LD-ELFA'!Q:Q)</f>
        <v>PLANILHA DE QUANTIDADES -PACOTE DE OBRAS CIVIS-VEST. / PAR. ÔNIBUS / REFEIT. / P. MÉDICO E B. INCÊNDIO</v>
      </c>
      <c r="F77" s="56" t="str">
        <f>_xlfn.XLOOKUP(C77,'Data Base'!D:D,'Data Base'!O:O)</f>
        <v>Blossom - Documento a emitir</v>
      </c>
      <c r="G77" s="57" t="str">
        <f ca="1">IF(OR('Documentos Atendimentos '!H76="ATRASADO",
        AND('Documentos Emissão'!I76="ATRASADO",
            _xlfn.XLOOKUP(C77,'Documentos Emissão'!C:C,'Documentos Emissão'!G:G)&gt; 'Data Base'!$D$1,
            _xlfn.XLOOKUP(C77,'Documentos Emissão'!C:C,'Documentos Emissão'!G:G)&lt;='Data Base'!$D$1+6)),
    "JUSTIFICATIVA",
    "")</f>
        <v/>
      </c>
      <c r="H77" s="56"/>
    </row>
    <row r="78" spans="2:8" hidden="1" x14ac:dyDescent="0.25">
      <c r="B78" s="53" t="str">
        <f>_xlfn.XLOOKUP(C78,'Data Base'!D:D,'Data Base'!B:B)</f>
        <v>AR - Arquitetura</v>
      </c>
      <c r="C78" s="53" t="s">
        <v>82</v>
      </c>
      <c r="D78" s="53" t="str">
        <f>_xlfn.XLOOKUP(C78,'LD-ELFA'!F:F,'LD-ELFA'!H:H)</f>
        <v>RL-A1-1000-G-PB-0016</v>
      </c>
      <c r="E78" s="53" t="str">
        <f>_xlfn.XLOOKUP(C78,'LD-ELFA'!F:F,'LD-ELFA'!Q:Q)</f>
        <v xml:space="preserve">RELATÓRIO DO SISTEMA DE PROTEÇÃO E COMBATE A INCÊNDIO </v>
      </c>
      <c r="F78" s="56" t="str">
        <f>_xlfn.XLOOKUP(C78,'Data Base'!D:D,'Data Base'!O:O)</f>
        <v>Blossom - Documento a emitir</v>
      </c>
      <c r="G78" s="57" t="str">
        <f ca="1">IF(OR('Documentos Atendimentos '!H77="ATRASADO",
        AND('Documentos Emissão'!I77="ATRASADO",
            _xlfn.XLOOKUP(C78,'Documentos Emissão'!C:C,'Documentos Emissão'!G:G)&gt; 'Data Base'!$D$1,
            _xlfn.XLOOKUP(C78,'Documentos Emissão'!C:C,'Documentos Emissão'!G:G)&lt;='Data Base'!$D$1+6)),
    "JUSTIFICATIVA",
    "")</f>
        <v/>
      </c>
      <c r="H78" s="56"/>
    </row>
    <row r="79" spans="2:8" hidden="1" x14ac:dyDescent="0.25">
      <c r="B79" s="53" t="str">
        <f>_xlfn.XLOOKUP(C79,'Data Base'!D:D,'Data Base'!B:B)</f>
        <v>CC - Concreto</v>
      </c>
      <c r="C79" s="53" t="s">
        <v>83</v>
      </c>
      <c r="D79" s="53" t="str">
        <f>_xlfn.XLOOKUP(C79,'LD-ELFA'!F:F,'LD-ELFA'!H:H)</f>
        <v>DE-A1-2303-C-PB-4000</v>
      </c>
      <c r="E79" s="53" t="str">
        <f>_xlfn.XLOOKUP(C79,'LD-ELFA'!F:F,'LD-ELFA'!Q:Q)</f>
        <v>LOCAÇÃO E FORMA</v>
      </c>
      <c r="F79" s="56" t="str">
        <f>_xlfn.XLOOKUP(C79,'Data Base'!D:D,'Data Base'!O:O)</f>
        <v>Blossom - Documento a emitir</v>
      </c>
      <c r="G79" s="57" t="str">
        <f ca="1">IF(OR('Documentos Atendimentos '!H78="ATRASADO",
        AND('Documentos Emissão'!I78="ATRASADO",
            _xlfn.XLOOKUP(C79,'Documentos Emissão'!C:C,'Documentos Emissão'!G:G)&gt; 'Data Base'!$D$1,
            _xlfn.XLOOKUP(C79,'Documentos Emissão'!C:C,'Documentos Emissão'!G:G)&lt;='Data Base'!$D$1+6)),
    "JUSTIFICATIVA",
    "")</f>
        <v/>
      </c>
      <c r="H79" s="56"/>
    </row>
    <row r="80" spans="2:8" hidden="1" x14ac:dyDescent="0.25">
      <c r="B80" s="53" t="str">
        <f>_xlfn.XLOOKUP(C80,'Data Base'!D:D,'Data Base'!B:B)</f>
        <v>CC - Concreto</v>
      </c>
      <c r="C80" s="53" t="s">
        <v>84</v>
      </c>
      <c r="D80" s="53" t="str">
        <f>_xlfn.XLOOKUP(C80,'LD-ELFA'!F:F,'LD-ELFA'!H:H)</f>
        <v>DE-A1-2303-C-PB-4001</v>
      </c>
      <c r="E80" s="53" t="str">
        <f>_xlfn.XLOOKUP(C80,'LD-ELFA'!F:F,'LD-ELFA'!Q:Q)</f>
        <v>LOCAÇÃO E FORMA</v>
      </c>
      <c r="F80" s="56" t="str">
        <f>_xlfn.XLOOKUP(C80,'Data Base'!D:D,'Data Base'!O:O)</f>
        <v>Blossom - Documento a emitir</v>
      </c>
      <c r="G80" s="57" t="str">
        <f ca="1">IF(OR('Documentos Atendimentos '!H79="ATRASADO",
        AND('Documentos Emissão'!I79="ATRASADO",
            _xlfn.XLOOKUP(C80,'Documentos Emissão'!C:C,'Documentos Emissão'!G:G)&gt; 'Data Base'!$D$1,
            _xlfn.XLOOKUP(C80,'Documentos Emissão'!C:C,'Documentos Emissão'!G:G)&lt;='Data Base'!$D$1+6)),
    "JUSTIFICATIVA",
    "")</f>
        <v/>
      </c>
      <c r="H80" s="56"/>
    </row>
    <row r="81" spans="2:8" hidden="1" x14ac:dyDescent="0.25">
      <c r="B81" s="53" t="str">
        <f>_xlfn.XLOOKUP(C81,'Data Base'!D:D,'Data Base'!B:B)</f>
        <v>CC - Concreto</v>
      </c>
      <c r="C81" s="53" t="s">
        <v>85</v>
      </c>
      <c r="D81" s="53" t="str">
        <f>_xlfn.XLOOKUP(C81,'LD-ELFA'!F:F,'LD-ELFA'!H:H)</f>
        <v>DE-A1-2303-C-PB-4002</v>
      </c>
      <c r="E81" s="53" t="str">
        <f>_xlfn.XLOOKUP(C81,'LD-ELFA'!F:F,'LD-ELFA'!Q:Q)</f>
        <v>LOCAÇÃO E FORMA</v>
      </c>
      <c r="F81" s="56" t="str">
        <f>_xlfn.XLOOKUP(C81,'Data Base'!D:D,'Data Base'!O:O)</f>
        <v>Blossom - Documento a emitir</v>
      </c>
      <c r="G81" s="57" t="str">
        <f ca="1">IF(OR('Documentos Atendimentos '!H80="ATRASADO",
        AND('Documentos Emissão'!I80="ATRASADO",
            _xlfn.XLOOKUP(C81,'Documentos Emissão'!C:C,'Documentos Emissão'!G:G)&gt; 'Data Base'!$D$1,
            _xlfn.XLOOKUP(C81,'Documentos Emissão'!C:C,'Documentos Emissão'!G:G)&lt;='Data Base'!$D$1+6)),
    "JUSTIFICATIVA",
    "")</f>
        <v/>
      </c>
      <c r="H81" s="56"/>
    </row>
    <row r="82" spans="2:8" hidden="1" x14ac:dyDescent="0.25">
      <c r="B82" s="53" t="str">
        <f>_xlfn.XLOOKUP(C82,'Data Base'!D:D,'Data Base'!B:B)</f>
        <v>CC - Concreto</v>
      </c>
      <c r="C82" s="53" t="s">
        <v>86</v>
      </c>
      <c r="D82" s="53" t="str">
        <f>_xlfn.XLOOKUP(C82,'LD-ELFA'!F:F,'LD-ELFA'!H:H)</f>
        <v>DE-A1-2303-C-PB-4003</v>
      </c>
      <c r="E82" s="53" t="str">
        <f>_xlfn.XLOOKUP(C82,'LD-ELFA'!F:F,'LD-ELFA'!Q:Q)</f>
        <v>LOCAÇÃO E FORMA</v>
      </c>
      <c r="F82" s="56" t="str">
        <f>_xlfn.XLOOKUP(C82,'Data Base'!D:D,'Data Base'!O:O)</f>
        <v>Blossom - Documento a emitir</v>
      </c>
      <c r="G82" s="57" t="str">
        <f ca="1">IF(OR('Documentos Atendimentos '!H81="ATRASADO",
        AND('Documentos Emissão'!I81="ATRASADO",
            _xlfn.XLOOKUP(C82,'Documentos Emissão'!C:C,'Documentos Emissão'!G:G)&gt; 'Data Base'!$D$1,
            _xlfn.XLOOKUP(C82,'Documentos Emissão'!C:C,'Documentos Emissão'!G:G)&lt;='Data Base'!$D$1+6)),
    "JUSTIFICATIVA",
    "")</f>
        <v/>
      </c>
      <c r="H82" s="56"/>
    </row>
    <row r="83" spans="2:8" hidden="1" x14ac:dyDescent="0.25">
      <c r="B83" s="53" t="str">
        <f>_xlfn.XLOOKUP(C83,'Data Base'!D:D,'Data Base'!B:B)</f>
        <v>CC - Concreto</v>
      </c>
      <c r="C83" s="53" t="s">
        <v>87</v>
      </c>
      <c r="D83" s="53" t="str">
        <f>_xlfn.XLOOKUP(C83,'LD-ELFA'!F:F,'LD-ELFA'!H:H)</f>
        <v>DE-A1-2303-C-PB-4004</v>
      </c>
      <c r="E83" s="53" t="str">
        <f>_xlfn.XLOOKUP(C83,'LD-ELFA'!F:F,'LD-ELFA'!Q:Q)</f>
        <v>LOCAÇÃO E FORMA</v>
      </c>
      <c r="F83" s="56" t="str">
        <f>_xlfn.XLOOKUP(C83,'Data Base'!D:D,'Data Base'!O:O)</f>
        <v>Blossom - Documento a emitir</v>
      </c>
      <c r="G83" s="57" t="str">
        <f ca="1">IF(OR('Documentos Atendimentos '!H82="ATRASADO",
        AND('Documentos Emissão'!I82="ATRASADO",
            _xlfn.XLOOKUP(C83,'Documentos Emissão'!C:C,'Documentos Emissão'!G:G)&gt; 'Data Base'!$D$1,
            _xlfn.XLOOKUP(C83,'Documentos Emissão'!C:C,'Documentos Emissão'!G:G)&lt;='Data Base'!$D$1+6)),
    "JUSTIFICATIVA",
    "")</f>
        <v/>
      </c>
      <c r="H83" s="56"/>
    </row>
    <row r="84" spans="2:8" hidden="1" x14ac:dyDescent="0.25">
      <c r="B84" s="53" t="str">
        <f>_xlfn.XLOOKUP(C84,'Data Base'!D:D,'Data Base'!B:B)</f>
        <v>CC - Concreto</v>
      </c>
      <c r="C84" s="53" t="s">
        <v>88</v>
      </c>
      <c r="D84" s="53" t="str">
        <f>_xlfn.XLOOKUP(C84,'LD-ELFA'!F:F,'LD-ELFA'!H:H)</f>
        <v>DE-A1-2303-C-PB-4005</v>
      </c>
      <c r="E84" s="53" t="str">
        <f>_xlfn.XLOOKUP(C84,'LD-ELFA'!F:F,'LD-ELFA'!Q:Q)</f>
        <v>LOCAÇÃO E FORMA</v>
      </c>
      <c r="F84" s="56" t="str">
        <f>_xlfn.XLOOKUP(C84,'Data Base'!D:D,'Data Base'!O:O)</f>
        <v>Blossom - Documento a emitir</v>
      </c>
      <c r="G84" s="57" t="str">
        <f ca="1">IF(OR('Documentos Atendimentos '!H83="ATRASADO",
        AND('Documentos Emissão'!I83="ATRASADO",
            _xlfn.XLOOKUP(C84,'Documentos Emissão'!C:C,'Documentos Emissão'!G:G)&gt; 'Data Base'!$D$1,
            _xlfn.XLOOKUP(C84,'Documentos Emissão'!C:C,'Documentos Emissão'!G:G)&lt;='Data Base'!$D$1+6)),
    "JUSTIFICATIVA",
    "")</f>
        <v/>
      </c>
      <c r="H84" s="56"/>
    </row>
    <row r="85" spans="2:8" hidden="1" x14ac:dyDescent="0.25">
      <c r="B85" s="53" t="str">
        <f>_xlfn.XLOOKUP(C85,'Data Base'!D:D,'Data Base'!B:B)</f>
        <v>CC - Concreto</v>
      </c>
      <c r="C85" s="53" t="s">
        <v>89</v>
      </c>
      <c r="D85" s="53" t="str">
        <f>_xlfn.XLOOKUP(C85,'LD-ELFA'!F:F,'LD-ELFA'!H:H)</f>
        <v>DE-A1-2303-C-PB-0001</v>
      </c>
      <c r="E85" s="53" t="str">
        <f>_xlfn.XLOOKUP(C85,'LD-ELFA'!F:F,'LD-ELFA'!Q:Q)</f>
        <v>VIADUTO SOBRE ESTRADA DE FERRO CARAJÁS - ALTERNATIVA 1</v>
      </c>
      <c r="F85" s="56" t="str">
        <f>_xlfn.XLOOKUP(C85,'Data Base'!D:D,'Data Base'!O:O)</f>
        <v>Blossom - Documento a emitir</v>
      </c>
      <c r="G85" s="57" t="str">
        <f ca="1">IF(OR('Documentos Atendimentos '!H84="ATRASADO",
        AND('Documentos Emissão'!I84="ATRASADO",
            _xlfn.XLOOKUP(C85,'Documentos Emissão'!C:C,'Documentos Emissão'!G:G)&gt; 'Data Base'!$D$1,
            _xlfn.XLOOKUP(C85,'Documentos Emissão'!C:C,'Documentos Emissão'!G:G)&lt;='Data Base'!$D$1+6)),
    "JUSTIFICATIVA",
    "")</f>
        <v/>
      </c>
      <c r="H85" s="56"/>
    </row>
    <row r="86" spans="2:8" hidden="1" x14ac:dyDescent="0.25">
      <c r="B86" s="53" t="str">
        <f>_xlfn.XLOOKUP(C86,'Data Base'!D:D,'Data Base'!B:B)</f>
        <v>CC - Concreto</v>
      </c>
      <c r="C86" s="53" t="s">
        <v>90</v>
      </c>
      <c r="D86" s="53" t="str">
        <f>_xlfn.XLOOKUP(C86,'LD-ELFA'!F:F,'LD-ELFA'!H:H)</f>
        <v>DE-A1-1000-C-PB-4000</v>
      </c>
      <c r="E86" s="53" t="str">
        <f>_xlfn.XLOOKUP(C86,'LD-ELFA'!F:F,'LD-ELFA'!Q:Q)</f>
        <v>LOCAÇÃO E FORMA</v>
      </c>
      <c r="F86" s="56" t="str">
        <f>_xlfn.XLOOKUP(C86,'Data Base'!D:D,'Data Base'!O:O)</f>
        <v>Blossom - Documento a emitir</v>
      </c>
      <c r="G86" s="57" t="str">
        <f ca="1">IF(OR('Documentos Atendimentos '!H85="ATRASADO",
        AND('Documentos Emissão'!I85="ATRASADO",
            _xlfn.XLOOKUP(C86,'Documentos Emissão'!C:C,'Documentos Emissão'!G:G)&gt; 'Data Base'!$D$1,
            _xlfn.XLOOKUP(C86,'Documentos Emissão'!C:C,'Documentos Emissão'!G:G)&lt;='Data Base'!$D$1+6)),
    "JUSTIFICATIVA",
    "")</f>
        <v/>
      </c>
      <c r="H86" s="56"/>
    </row>
    <row r="87" spans="2:8" hidden="1" x14ac:dyDescent="0.25">
      <c r="B87" s="53" t="str">
        <f>_xlfn.XLOOKUP(C87,'Data Base'!D:D,'Data Base'!B:B)</f>
        <v>CC - Concreto</v>
      </c>
      <c r="C87" s="53" t="s">
        <v>91</v>
      </c>
      <c r="D87" s="53" t="str">
        <f>_xlfn.XLOOKUP(C87,'LD-ELFA'!F:F,'LD-ELFA'!H:H)</f>
        <v>MC-A1-1911-C-PB-4000</v>
      </c>
      <c r="E87" s="53" t="str">
        <f>_xlfn.XLOOKUP(C87,'LD-ELFA'!F:F,'LD-ELFA'!Q:Q)</f>
        <v>MEMÓRIA DE CÁLCULO</v>
      </c>
      <c r="F87" s="56" t="str">
        <f>_xlfn.XLOOKUP(C87,'Data Base'!D:D,'Data Base'!O:O)</f>
        <v>Blossom - Documento a emitir</v>
      </c>
      <c r="G87" s="57" t="str">
        <f ca="1">IF(OR('Documentos Atendimentos '!H86="ATRASADO",
        AND('Documentos Emissão'!I86="ATRASADO",
            _xlfn.XLOOKUP(C87,'Documentos Emissão'!C:C,'Documentos Emissão'!G:G)&gt; 'Data Base'!$D$1,
            _xlfn.XLOOKUP(C87,'Documentos Emissão'!C:C,'Documentos Emissão'!G:G)&lt;='Data Base'!$D$1+6)),
    "JUSTIFICATIVA",
    "")</f>
        <v/>
      </c>
      <c r="H87" s="56"/>
    </row>
    <row r="88" spans="2:8" hidden="1" x14ac:dyDescent="0.25">
      <c r="B88" s="53" t="str">
        <f>_xlfn.XLOOKUP(C88,'Data Base'!D:D,'Data Base'!B:B)</f>
        <v>CC - Concreto</v>
      </c>
      <c r="C88" s="53" t="s">
        <v>92</v>
      </c>
      <c r="D88" s="53" t="str">
        <f>_xlfn.XLOOKUP(C88,'LD-ELFA'!F:F,'LD-ELFA'!H:H)</f>
        <v>MC-A1-1912-C-PB-4000</v>
      </c>
      <c r="E88" s="53" t="str">
        <f>_xlfn.XLOOKUP(C88,'LD-ELFA'!F:F,'LD-ELFA'!Q:Q)</f>
        <v>MEMÓRIA DE CÁLCULO</v>
      </c>
      <c r="F88" s="56" t="str">
        <f>_xlfn.XLOOKUP(C88,'Data Base'!D:D,'Data Base'!O:O)</f>
        <v>Blossom - Documento a emitir</v>
      </c>
      <c r="G88" s="57" t="str">
        <f ca="1">IF(OR('Documentos Atendimentos '!H87="ATRASADO",
        AND('Documentos Emissão'!I87="ATRASADO",
            _xlfn.XLOOKUP(C88,'Documentos Emissão'!C:C,'Documentos Emissão'!G:G)&gt; 'Data Base'!$D$1,
            _xlfn.XLOOKUP(C88,'Documentos Emissão'!C:C,'Documentos Emissão'!G:G)&lt;='Data Base'!$D$1+6)),
    "JUSTIFICATIVA",
    "")</f>
        <v/>
      </c>
      <c r="H88" s="56"/>
    </row>
    <row r="89" spans="2:8" hidden="1" x14ac:dyDescent="0.25">
      <c r="B89" s="53" t="str">
        <f>_xlfn.XLOOKUP(C89,'Data Base'!D:D,'Data Base'!B:B)</f>
        <v>CC - Concreto</v>
      </c>
      <c r="C89" s="53" t="s">
        <v>93</v>
      </c>
      <c r="D89" s="53" t="str">
        <f>_xlfn.XLOOKUP(C89,'LD-ELFA'!F:F,'LD-ELFA'!H:H)</f>
        <v>MC-A1-1913-C-PB-4000</v>
      </c>
      <c r="E89" s="53" t="str">
        <f>_xlfn.XLOOKUP(C89,'LD-ELFA'!F:F,'LD-ELFA'!Q:Q)</f>
        <v>MEMÓRIA DE CÁLCULO</v>
      </c>
      <c r="F89" s="56" t="str">
        <f>_xlfn.XLOOKUP(C89,'Data Base'!D:D,'Data Base'!O:O)</f>
        <v>Blossom - Documento a emitir</v>
      </c>
      <c r="G89" s="57" t="str">
        <f ca="1">IF(OR('Documentos Atendimentos '!H88="ATRASADO",
        AND('Documentos Emissão'!I88="ATRASADO",
            _xlfn.XLOOKUP(C89,'Documentos Emissão'!C:C,'Documentos Emissão'!G:G)&gt; 'Data Base'!$D$1,
            _xlfn.XLOOKUP(C89,'Documentos Emissão'!C:C,'Documentos Emissão'!G:G)&lt;='Data Base'!$D$1+6)),
    "JUSTIFICATIVA",
    "")</f>
        <v/>
      </c>
      <c r="H89" s="56"/>
    </row>
    <row r="90" spans="2:8" hidden="1" x14ac:dyDescent="0.25">
      <c r="B90" s="53" t="str">
        <f>_xlfn.XLOOKUP(C90,'Data Base'!D:D,'Data Base'!B:B)</f>
        <v>CC - Concreto</v>
      </c>
      <c r="C90" s="53" t="s">
        <v>94</v>
      </c>
      <c r="D90" s="53" t="str">
        <f>_xlfn.XLOOKUP(C90,'LD-ELFA'!F:F,'LD-ELFA'!H:H)</f>
        <v>MC-A1-1315-C-PB-4000</v>
      </c>
      <c r="E90" s="53" t="str">
        <f>_xlfn.XLOOKUP(C90,'LD-ELFA'!F:F,'LD-ELFA'!Q:Q)</f>
        <v>MEMÓRIA DE CÁLCULO</v>
      </c>
      <c r="F90" s="56" t="str">
        <f>_xlfn.XLOOKUP(C90,'Data Base'!D:D,'Data Base'!O:O)</f>
        <v>Blossom - Documento a emitir</v>
      </c>
      <c r="G90" s="57" t="str">
        <f ca="1">IF(OR('Documentos Atendimentos '!H89="ATRASADO",
        AND('Documentos Emissão'!I89="ATRASADO",
            _xlfn.XLOOKUP(C90,'Documentos Emissão'!C:C,'Documentos Emissão'!G:G)&gt; 'Data Base'!$D$1,
            _xlfn.XLOOKUP(C90,'Documentos Emissão'!C:C,'Documentos Emissão'!G:G)&lt;='Data Base'!$D$1+6)),
    "JUSTIFICATIVA",
    "")</f>
        <v/>
      </c>
      <c r="H90" s="56"/>
    </row>
    <row r="91" spans="2:8" hidden="1" x14ac:dyDescent="0.25">
      <c r="B91" s="53" t="e">
        <f>_xlfn.XLOOKUP(C91,'Data Base'!D:D,'Data Base'!B:B)</f>
        <v>#N/A</v>
      </c>
      <c r="C91" s="53" t="s">
        <v>95</v>
      </c>
      <c r="D91" s="53" t="e">
        <f>_xlfn.XLOOKUP(C91,'LD-ELFA'!F:F,'LD-ELFA'!H:H)</f>
        <v>#N/A</v>
      </c>
      <c r="E91" s="53" t="e">
        <f>_xlfn.XLOOKUP(C91,'LD-ELFA'!F:F,'LD-ELFA'!Q:Q)</f>
        <v>#N/A</v>
      </c>
      <c r="F91" s="56" t="str">
        <f>_xlfn.XLOOKUP(C91,'Data Base'!D:D,'Data Base'!O:O)</f>
        <v>Documento Removido</v>
      </c>
      <c r="G91" s="57" t="e">
        <f ca="1">IF(OR('Documentos Atendimentos '!H90="ATRASADO",
        AND('Documentos Emissão'!I90="ATRASADO",
            _xlfn.XLOOKUP(C91,'Documentos Emissão'!C:C,'Documentos Emissão'!G:G)&gt; 'Data Base'!$D$1,
            _xlfn.XLOOKUP(C91,'Documentos Emissão'!C:C,'Documentos Emissão'!G:G)&lt;='Data Base'!$D$1+6)),
    "JUSTIFICATIVA",
    "")</f>
        <v>#N/A</v>
      </c>
      <c r="H91" s="56"/>
    </row>
    <row r="92" spans="2:8" hidden="1" x14ac:dyDescent="0.25">
      <c r="B92" s="53" t="e">
        <f>_xlfn.XLOOKUP(C92,'Data Base'!D:D,'Data Base'!B:B)</f>
        <v>#N/A</v>
      </c>
      <c r="C92" s="53" t="s">
        <v>96</v>
      </c>
      <c r="D92" s="53" t="e">
        <f>_xlfn.XLOOKUP(C92,'LD-ELFA'!F:F,'LD-ELFA'!H:H)</f>
        <v>#N/A</v>
      </c>
      <c r="E92" s="53" t="e">
        <f>_xlfn.XLOOKUP(C92,'LD-ELFA'!F:F,'LD-ELFA'!Q:Q)</f>
        <v>#N/A</v>
      </c>
      <c r="F92" s="56" t="str">
        <f>_xlfn.XLOOKUP(C92,'Data Base'!D:D,'Data Base'!O:O)</f>
        <v>Documento Removido</v>
      </c>
      <c r="G92" s="57" t="e">
        <f ca="1">IF(OR('Documentos Atendimentos '!H91="ATRASADO",
        AND('Documentos Emissão'!I91="ATRASADO",
            _xlfn.XLOOKUP(C92,'Documentos Emissão'!C:C,'Documentos Emissão'!G:G)&gt; 'Data Base'!$D$1,
            _xlfn.XLOOKUP(C92,'Documentos Emissão'!C:C,'Documentos Emissão'!G:G)&lt;='Data Base'!$D$1+6)),
    "JUSTIFICATIVA",
    "")</f>
        <v>#N/A</v>
      </c>
      <c r="H92" s="56"/>
    </row>
    <row r="93" spans="2:8" hidden="1" x14ac:dyDescent="0.25">
      <c r="B93" s="53" t="e">
        <f>_xlfn.XLOOKUP(C93,'Data Base'!D:D,'Data Base'!B:B)</f>
        <v>#N/A</v>
      </c>
      <c r="C93" s="53" t="s">
        <v>97</v>
      </c>
      <c r="D93" s="53" t="e">
        <f>_xlfn.XLOOKUP(C93,'LD-ELFA'!F:F,'LD-ELFA'!H:H)</f>
        <v>#N/A</v>
      </c>
      <c r="E93" s="53" t="e">
        <f>_xlfn.XLOOKUP(C93,'LD-ELFA'!F:F,'LD-ELFA'!Q:Q)</f>
        <v>#N/A</v>
      </c>
      <c r="F93" s="56" t="str">
        <f>_xlfn.XLOOKUP(C93,'Data Base'!D:D,'Data Base'!O:O)</f>
        <v>Documento Removido</v>
      </c>
      <c r="G93" s="57" t="e">
        <f ca="1">IF(OR('Documentos Atendimentos '!H92="ATRASADO",
        AND('Documentos Emissão'!I92="ATRASADO",
            _xlfn.XLOOKUP(C93,'Documentos Emissão'!C:C,'Documentos Emissão'!G:G)&gt; 'Data Base'!$D$1,
            _xlfn.XLOOKUP(C93,'Documentos Emissão'!C:C,'Documentos Emissão'!G:G)&lt;='Data Base'!$D$1+6)),
    "JUSTIFICATIVA",
    "")</f>
        <v>#N/A</v>
      </c>
      <c r="H93" s="56"/>
    </row>
    <row r="94" spans="2:8" hidden="1" x14ac:dyDescent="0.25">
      <c r="B94" s="53" t="str">
        <f>_xlfn.XLOOKUP(C94,'Data Base'!D:D,'Data Base'!B:B)</f>
        <v>CC - Concreto</v>
      </c>
      <c r="C94" s="53" t="s">
        <v>98</v>
      </c>
      <c r="D94" s="53" t="str">
        <f>_xlfn.XLOOKUP(C94,'LD-ELFA'!F:F,'LD-ELFA'!H:H)</f>
        <v>MC-A1-1500-C-PB-4000</v>
      </c>
      <c r="E94" s="53" t="str">
        <f>_xlfn.XLOOKUP(C94,'LD-ELFA'!F:F,'LD-ELFA'!Q:Q)</f>
        <v>MEMÓRIA DE CÁLCULO</v>
      </c>
      <c r="F94" s="56" t="str">
        <f>_xlfn.XLOOKUP(C94,'Data Base'!D:D,'Data Base'!O:O)</f>
        <v>Blossom - Documento a emitir</v>
      </c>
      <c r="G94" s="57" t="str">
        <f ca="1">IF(OR('Documentos Atendimentos '!H93="ATRASADO",
        AND('Documentos Emissão'!I93="ATRASADO",
            _xlfn.XLOOKUP(C94,'Documentos Emissão'!C:C,'Documentos Emissão'!G:G)&gt; 'Data Base'!$D$1,
            _xlfn.XLOOKUP(C94,'Documentos Emissão'!C:C,'Documentos Emissão'!G:G)&lt;='Data Base'!$D$1+6)),
    "JUSTIFICATIVA",
    "")</f>
        <v/>
      </c>
      <c r="H94" s="56"/>
    </row>
    <row r="95" spans="2:8" hidden="1" x14ac:dyDescent="0.25">
      <c r="B95" s="53" t="str">
        <f>_xlfn.XLOOKUP(C95,'Data Base'!D:D,'Data Base'!B:B)</f>
        <v>CC - Concreto</v>
      </c>
      <c r="C95" s="53" t="s">
        <v>99</v>
      </c>
      <c r="D95" s="53" t="str">
        <f>_xlfn.XLOOKUP(C95,'LD-ELFA'!F:F,'LD-ELFA'!H:H)</f>
        <v>MC-A1-1000-C-PB-4000</v>
      </c>
      <c r="E95" s="53" t="str">
        <f>_xlfn.XLOOKUP(C95,'LD-ELFA'!F:F,'LD-ELFA'!Q:Q)</f>
        <v>MEMÓRIA DE CÁLCULO</v>
      </c>
      <c r="F95" s="56" t="str">
        <f>_xlfn.XLOOKUP(C95,'Data Base'!D:D,'Data Base'!O:O)</f>
        <v>Blossom - Documento a emitir</v>
      </c>
      <c r="G95" s="57" t="str">
        <f ca="1">IF(OR('Documentos Atendimentos '!H94="ATRASADO",
        AND('Documentos Emissão'!I94="ATRASADO",
            _xlfn.XLOOKUP(C95,'Documentos Emissão'!C:C,'Documentos Emissão'!G:G)&gt; 'Data Base'!$D$1,
            _xlfn.XLOOKUP(C95,'Documentos Emissão'!C:C,'Documentos Emissão'!G:G)&lt;='Data Base'!$D$1+6)),
    "JUSTIFICATIVA",
    "")</f>
        <v/>
      </c>
      <c r="H95" s="56"/>
    </row>
    <row r="96" spans="2:8" hidden="1" x14ac:dyDescent="0.25">
      <c r="B96" s="53" t="str">
        <f>_xlfn.XLOOKUP(C96,'Data Base'!D:D,'Data Base'!B:B)</f>
        <v>CC - Concreto</v>
      </c>
      <c r="C96" s="53" t="s">
        <v>100</v>
      </c>
      <c r="D96" s="53" t="str">
        <f>_xlfn.XLOOKUP(C96,'LD-ELFA'!F:F,'LD-ELFA'!H:H)</f>
        <v>MC-A1-2303-C-PB-0001</v>
      </c>
      <c r="E96" s="53" t="str">
        <f>_xlfn.XLOOKUP(C96,'LD-ELFA'!F:F,'LD-ELFA'!Q:Q)</f>
        <v>MEMÓRIA DE CÁLCULO</v>
      </c>
      <c r="F96" s="56" t="str">
        <f>_xlfn.XLOOKUP(C96,'Data Base'!D:D,'Data Base'!O:O)</f>
        <v>Blossom - Documento a emitir</v>
      </c>
      <c r="G96" s="57" t="str">
        <f ca="1">IF(OR('Documentos Atendimentos '!H95="ATRASADO",
        AND('Documentos Emissão'!I95="ATRASADO",
            _xlfn.XLOOKUP(C96,'Documentos Emissão'!C:C,'Documentos Emissão'!G:G)&gt; 'Data Base'!$D$1,
            _xlfn.XLOOKUP(C96,'Documentos Emissão'!C:C,'Documentos Emissão'!G:G)&lt;='Data Base'!$D$1+6)),
    "JUSTIFICATIVA",
    "")</f>
        <v/>
      </c>
      <c r="H96" s="56"/>
    </row>
    <row r="97" spans="2:8" hidden="1" x14ac:dyDescent="0.25">
      <c r="B97" s="53" t="str">
        <f>_xlfn.XLOOKUP(C97,'Data Base'!D:D,'Data Base'!B:B)</f>
        <v>CC - Concreto</v>
      </c>
      <c r="C97" s="53" t="s">
        <v>101</v>
      </c>
      <c r="D97" s="53" t="str">
        <f>_xlfn.XLOOKUP(C97,'LD-ELFA'!F:F,'LD-ELFA'!H:H)</f>
        <v>MC-A1-1200-C-PB-0001</v>
      </c>
      <c r="E97" s="53" t="str">
        <f>_xlfn.XLOOKUP(C97,'LD-ELFA'!F:F,'LD-ELFA'!Q:Q)</f>
        <v>MEMÓRIA DE CÁLCULO</v>
      </c>
      <c r="F97" s="56" t="str">
        <f>_xlfn.XLOOKUP(C97,'Data Base'!D:D,'Data Base'!O:O)</f>
        <v>Blossom - Documento a emitir</v>
      </c>
      <c r="G97" s="57" t="str">
        <f ca="1">IF(OR('Documentos Atendimentos '!H96="ATRASADO",
        AND('Documentos Emissão'!I96="ATRASADO",
            _xlfn.XLOOKUP(C97,'Documentos Emissão'!C:C,'Documentos Emissão'!G:G)&gt; 'Data Base'!$D$1,
            _xlfn.XLOOKUP(C97,'Documentos Emissão'!C:C,'Documentos Emissão'!G:G)&lt;='Data Base'!$D$1+6)),
    "JUSTIFICATIVA",
    "")</f>
        <v/>
      </c>
      <c r="H97" s="56"/>
    </row>
    <row r="98" spans="2:8" hidden="1" x14ac:dyDescent="0.25">
      <c r="B98" s="53" t="str">
        <f>_xlfn.XLOOKUP(C98,'Data Base'!D:D,'Data Base'!B:B)</f>
        <v>CC - Concreto</v>
      </c>
      <c r="C98" s="53" t="s">
        <v>102</v>
      </c>
      <c r="D98" s="53" t="str">
        <f>_xlfn.XLOOKUP(C98,'LD-ELFA'!F:F,'LD-ELFA'!H:H)</f>
        <v>MC-A1-1201-C-PB-0001</v>
      </c>
      <c r="E98" s="53" t="str">
        <f>_xlfn.XLOOKUP(C98,'LD-ELFA'!F:F,'LD-ELFA'!Q:Q)</f>
        <v xml:space="preserve"> MEMÓRIA DE CÁLCULO</v>
      </c>
      <c r="F98" s="56" t="str">
        <f>_xlfn.XLOOKUP(C98,'Data Base'!D:D,'Data Base'!O:O)</f>
        <v>Blossom - Documento a emitir</v>
      </c>
      <c r="G98" s="57" t="str">
        <f ca="1">IF(OR('Documentos Atendimentos '!H97="ATRASADO",
        AND('Documentos Emissão'!I97="ATRASADO",
            _xlfn.XLOOKUP(C98,'Documentos Emissão'!C:C,'Documentos Emissão'!G:G)&gt; 'Data Base'!$D$1,
            _xlfn.XLOOKUP(C98,'Documentos Emissão'!C:C,'Documentos Emissão'!G:G)&lt;='Data Base'!$D$1+6)),
    "JUSTIFICATIVA",
    "")</f>
        <v/>
      </c>
      <c r="H98" s="56"/>
    </row>
    <row r="99" spans="2:8" hidden="1" x14ac:dyDescent="0.25">
      <c r="B99" s="53" t="str">
        <f>_xlfn.XLOOKUP(C99,'Data Base'!D:D,'Data Base'!B:B)</f>
        <v>CC - Concreto</v>
      </c>
      <c r="C99" s="53" t="s">
        <v>103</v>
      </c>
      <c r="D99" s="53" t="str">
        <f>_xlfn.XLOOKUP(C99,'LD-ELFA'!F:F,'LD-ELFA'!H:H)</f>
        <v>MC-A1-1800-C-PB-0001</v>
      </c>
      <c r="E99" s="53" t="str">
        <f>_xlfn.XLOOKUP(C99,'LD-ELFA'!F:F,'LD-ELFA'!Q:Q)</f>
        <v>MEMÓRIA DE CÁLCULO</v>
      </c>
      <c r="F99" s="56" t="str">
        <f>_xlfn.XLOOKUP(C99,'Data Base'!D:D,'Data Base'!O:O)</f>
        <v>Blossom - Documento a emitir</v>
      </c>
      <c r="G99" s="57" t="str">
        <f ca="1">IF(OR('Documentos Atendimentos '!H98="ATRASADO",
        AND('Documentos Emissão'!I98="ATRASADO",
            _xlfn.XLOOKUP(C99,'Documentos Emissão'!C:C,'Documentos Emissão'!G:G)&gt; 'Data Base'!$D$1,
            _xlfn.XLOOKUP(C99,'Documentos Emissão'!C:C,'Documentos Emissão'!G:G)&lt;='Data Base'!$D$1+6)),
    "JUSTIFICATIVA",
    "")</f>
        <v/>
      </c>
      <c r="H99" s="56"/>
    </row>
    <row r="100" spans="2:8" hidden="1" x14ac:dyDescent="0.25">
      <c r="B100" s="53" t="str">
        <f>_xlfn.XLOOKUP(C100,'Data Base'!D:D,'Data Base'!B:B)</f>
        <v>CC - Concreto</v>
      </c>
      <c r="C100" s="53" t="s">
        <v>104</v>
      </c>
      <c r="D100" s="53" t="str">
        <f>_xlfn.XLOOKUP(C100,'LD-ELFA'!F:F,'LD-ELFA'!H:H)</f>
        <v>MC-A1-2304-C-PB-0001</v>
      </c>
      <c r="E100" s="53" t="str">
        <f>_xlfn.XLOOKUP(C100,'LD-ELFA'!F:F,'LD-ELFA'!Q:Q)</f>
        <v>MEMÓRIA DE CÁLCULO</v>
      </c>
      <c r="F100" s="56" t="str">
        <f>_xlfn.XLOOKUP(C100,'Data Base'!D:D,'Data Base'!O:O)</f>
        <v>Blossom - Documento a emitir</v>
      </c>
      <c r="G100" s="57" t="str">
        <f ca="1">IF(OR('Documentos Atendimentos '!H99="ATRASADO",
        AND('Documentos Emissão'!I99="ATRASADO",
            _xlfn.XLOOKUP(C100,'Documentos Emissão'!C:C,'Documentos Emissão'!G:G)&gt; 'Data Base'!$D$1,
            _xlfn.XLOOKUP(C100,'Documentos Emissão'!C:C,'Documentos Emissão'!G:G)&lt;='Data Base'!$D$1+6)),
    "JUSTIFICATIVA",
    "")</f>
        <v/>
      </c>
      <c r="H100" s="56"/>
    </row>
    <row r="101" spans="2:8" hidden="1" x14ac:dyDescent="0.25">
      <c r="B101" s="53" t="str">
        <f>_xlfn.XLOOKUP(C101,'Data Base'!D:D,'Data Base'!B:B)</f>
        <v>CC - Concreto</v>
      </c>
      <c r="C101" s="53" t="s">
        <v>105</v>
      </c>
      <c r="D101" s="53" t="str">
        <f>_xlfn.XLOOKUP(C101,'LD-ELFA'!F:F,'LD-ELFA'!H:H)</f>
        <v>MC-A1-1000-C-PB-0003</v>
      </c>
      <c r="E101" s="53" t="str">
        <f>_xlfn.XLOOKUP(C101,'LD-ELFA'!F:F,'LD-ELFA'!Q:Q)</f>
        <v>MEMÓRIA DE CÁLCULO</v>
      </c>
      <c r="F101" s="56" t="str">
        <f>_xlfn.XLOOKUP(C101,'Data Base'!D:D,'Data Base'!O:O)</f>
        <v>Blossom - Documento a emitir</v>
      </c>
      <c r="G101" s="57" t="str">
        <f ca="1">IF(OR('Documentos Atendimentos '!H100="ATRASADO",
        AND('Documentos Emissão'!I100="ATRASADO",
            _xlfn.XLOOKUP(C101,'Documentos Emissão'!C:C,'Documentos Emissão'!G:G)&gt; 'Data Base'!$D$1,
            _xlfn.XLOOKUP(C101,'Documentos Emissão'!C:C,'Documentos Emissão'!G:G)&lt;='Data Base'!$D$1+6)),
    "JUSTIFICATIVA",
    "")</f>
        <v/>
      </c>
      <c r="H101" s="56"/>
    </row>
    <row r="102" spans="2:8" hidden="1" x14ac:dyDescent="0.25">
      <c r="B102" s="53" t="str">
        <f>_xlfn.XLOOKUP(C102,'Data Base'!D:D,'Data Base'!B:B)</f>
        <v>CC - Concreto</v>
      </c>
      <c r="C102" s="53" t="s">
        <v>106</v>
      </c>
      <c r="D102" s="53" t="str">
        <f>_xlfn.XLOOKUP(C102,'LD-ELFA'!F:F,'LD-ELFA'!H:H)</f>
        <v>MC-A1-1000-C-PB-0002</v>
      </c>
      <c r="E102" s="53" t="str">
        <f>_xlfn.XLOOKUP(C102,'LD-ELFA'!F:F,'LD-ELFA'!Q:Q)</f>
        <v>MEMÓRIA DE CÁLCULO</v>
      </c>
      <c r="F102" s="56" t="str">
        <f>_xlfn.XLOOKUP(C102,'Data Base'!D:D,'Data Base'!O:O)</f>
        <v>Blossom - Documento a emitir</v>
      </c>
      <c r="G102" s="57" t="str">
        <f ca="1">IF(OR('Documentos Atendimentos '!H101="ATRASADO",
        AND('Documentos Emissão'!I101="ATRASADO",
            _xlfn.XLOOKUP(C102,'Documentos Emissão'!C:C,'Documentos Emissão'!G:G)&gt; 'Data Base'!$D$1,
            _xlfn.XLOOKUP(C102,'Documentos Emissão'!C:C,'Documentos Emissão'!G:G)&lt;='Data Base'!$D$1+6)),
    "JUSTIFICATIVA",
    "")</f>
        <v/>
      </c>
      <c r="H102" s="56"/>
    </row>
    <row r="103" spans="2:8" hidden="1" x14ac:dyDescent="0.25">
      <c r="B103" s="53" t="str">
        <f>_xlfn.XLOOKUP(C103,'Data Base'!D:D,'Data Base'!B:B)</f>
        <v>CC - Concreto</v>
      </c>
      <c r="C103" s="53" t="s">
        <v>107</v>
      </c>
      <c r="D103" s="53" t="str">
        <f>_xlfn.XLOOKUP(C103,'LD-ELFA'!F:F,'LD-ELFA'!H:H)</f>
        <v>MC-A1-1601-C-PB-0001</v>
      </c>
      <c r="E103" s="53" t="str">
        <f>_xlfn.XLOOKUP(C103,'LD-ELFA'!F:F,'LD-ELFA'!Q:Q)</f>
        <v>MEMÓRIA DE CÁLCULO</v>
      </c>
      <c r="F103" s="56" t="str">
        <f>_xlfn.XLOOKUP(C103,'Data Base'!D:D,'Data Base'!O:O)</f>
        <v>Blossom - Documento a emitir</v>
      </c>
      <c r="G103" s="57" t="str">
        <f ca="1">IF(OR('Documentos Atendimentos '!H102="ATRASADO",
        AND('Documentos Emissão'!I102="ATRASADO",
            _xlfn.XLOOKUP(C103,'Documentos Emissão'!C:C,'Documentos Emissão'!G:G)&gt; 'Data Base'!$D$1,
            _xlfn.XLOOKUP(C103,'Documentos Emissão'!C:C,'Documentos Emissão'!G:G)&lt;='Data Base'!$D$1+6)),
    "JUSTIFICATIVA",
    "")</f>
        <v/>
      </c>
      <c r="H103" s="56"/>
    </row>
    <row r="104" spans="2:8" hidden="1" x14ac:dyDescent="0.25">
      <c r="B104" s="53" t="str">
        <f>_xlfn.XLOOKUP(C104,'Data Base'!D:D,'Data Base'!B:B)</f>
        <v>CC - Concreto</v>
      </c>
      <c r="C104" s="53" t="s">
        <v>108</v>
      </c>
      <c r="D104" s="53" t="str">
        <f>_xlfn.XLOOKUP(C104,'LD-ELFA'!F:F,'LD-ELFA'!H:H)</f>
        <v>MC-A1-1411-C-PB-4000</v>
      </c>
      <c r="E104" s="53" t="str">
        <f>_xlfn.XLOOKUP(C104,'LD-ELFA'!F:F,'LD-ELFA'!Q:Q)</f>
        <v>MEMÓRIA DE CÁLCULO</v>
      </c>
      <c r="F104" s="56" t="str">
        <f>_xlfn.XLOOKUP(C104,'Data Base'!D:D,'Data Base'!O:O)</f>
        <v>Blossom - Documento a emitir</v>
      </c>
      <c r="G104" s="57" t="str">
        <f ca="1">IF(OR('Documentos Atendimentos '!H103="ATRASADO",
        AND('Documentos Emissão'!I103="ATRASADO",
            _xlfn.XLOOKUP(C104,'Documentos Emissão'!C:C,'Documentos Emissão'!G:G)&gt; 'Data Base'!$D$1,
            _xlfn.XLOOKUP(C104,'Documentos Emissão'!C:C,'Documentos Emissão'!G:G)&lt;='Data Base'!$D$1+6)),
    "JUSTIFICATIVA",
    "")</f>
        <v/>
      </c>
      <c r="H104" s="56"/>
    </row>
    <row r="105" spans="2:8" hidden="1" x14ac:dyDescent="0.25">
      <c r="B105" s="53" t="str">
        <f>_xlfn.XLOOKUP(C105,'Data Base'!D:D,'Data Base'!B:B)</f>
        <v>CC - Concreto</v>
      </c>
      <c r="C105" s="53" t="s">
        <v>109</v>
      </c>
      <c r="D105" s="53" t="str">
        <f>_xlfn.XLOOKUP(C105,'LD-ELFA'!F:F,'LD-ELFA'!H:H)</f>
        <v>MC-A1-1001-C-PB-4000</v>
      </c>
      <c r="E105" s="53" t="str">
        <f>_xlfn.XLOOKUP(C105,'LD-ELFA'!F:F,'LD-ELFA'!Q:Q)</f>
        <v>BALANÇA - FUNDAÇÕES - MEMÓRIA DE CÁLCULO - 11</v>
      </c>
      <c r="F105" s="56" t="str">
        <f>_xlfn.XLOOKUP(C105,'Data Base'!D:D,'Data Base'!O:O)</f>
        <v>Blossom - Documento a emitir</v>
      </c>
      <c r="G105" s="57" t="str">
        <f ca="1">IF(OR('Documentos Atendimentos '!H104="ATRASADO",
        AND('Documentos Emissão'!I104="ATRASADO",
            _xlfn.XLOOKUP(C105,'Documentos Emissão'!C:C,'Documentos Emissão'!G:G)&gt; 'Data Base'!$D$1,
            _xlfn.XLOOKUP(C105,'Documentos Emissão'!C:C,'Documentos Emissão'!G:G)&lt;='Data Base'!$D$1+6)),
    "JUSTIFICATIVA",
    "")</f>
        <v/>
      </c>
      <c r="H105" s="56"/>
    </row>
    <row r="106" spans="2:8" hidden="1" x14ac:dyDescent="0.25">
      <c r="B106" s="53" t="str">
        <f>_xlfn.XLOOKUP(C106,'Data Base'!D:D,'Data Base'!B:B)</f>
        <v>CC - Concreto</v>
      </c>
      <c r="C106" s="53" t="s">
        <v>110</v>
      </c>
      <c r="D106" s="53" t="str">
        <f>_xlfn.XLOOKUP(C106,'LD-ELFA'!F:F,'LD-ELFA'!H:H)</f>
        <v>MC-A1-2201-C-PB-4000</v>
      </c>
      <c r="E106" s="53" t="str">
        <f>_xlfn.XLOOKUP(C106,'LD-ELFA'!F:F,'LD-ELFA'!Q:Q)</f>
        <v>MEMÓRIA DE CÁLCULO</v>
      </c>
      <c r="F106" s="56" t="str">
        <f>_xlfn.XLOOKUP(C106,'Data Base'!D:D,'Data Base'!O:O)</f>
        <v>Blossom - Atendimento de Comentário</v>
      </c>
      <c r="G106" s="57" t="str">
        <f ca="1">IF(OR('Documentos Atendimentos '!H105="ATRASADO",
        AND('Documentos Emissão'!I105="ATRASADO",
            _xlfn.XLOOKUP(C106,'Documentos Emissão'!C:C,'Documentos Emissão'!G:G)&gt; 'Data Base'!$D$1,
            _xlfn.XLOOKUP(C106,'Documentos Emissão'!C:C,'Documentos Emissão'!G:G)&lt;='Data Base'!$D$1+6)),
    "JUSTIFICATIVA",
    "")</f>
        <v/>
      </c>
      <c r="H106" s="56"/>
    </row>
    <row r="107" spans="2:8" hidden="1" x14ac:dyDescent="0.25">
      <c r="B107" s="53" t="str">
        <f>_xlfn.XLOOKUP(C107,'Data Base'!D:D,'Data Base'!B:B)</f>
        <v>CC - Concreto</v>
      </c>
      <c r="C107" s="53" t="s">
        <v>111</v>
      </c>
      <c r="D107" s="53" t="str">
        <f>_xlfn.XLOOKUP(C107,'LD-ELFA'!F:F,'LD-ELFA'!H:H)</f>
        <v>MC-A1-2202-C-PB-4000</v>
      </c>
      <c r="E107" s="53" t="str">
        <f>_xlfn.XLOOKUP(C107,'LD-ELFA'!F:F,'LD-ELFA'!Q:Q)</f>
        <v>MEMÓRIA DE CÁLCULO</v>
      </c>
      <c r="F107" s="56" t="str">
        <f>_xlfn.XLOOKUP(C107,'Data Base'!D:D,'Data Base'!O:O)</f>
        <v>Blossom - Atendimento de Comentário</v>
      </c>
      <c r="G107" s="57" t="str">
        <f ca="1">IF(OR('Documentos Atendimentos '!H106="ATRASADO",
        AND('Documentos Emissão'!I106="ATRASADO",
            _xlfn.XLOOKUP(C107,'Documentos Emissão'!C:C,'Documentos Emissão'!G:G)&gt; 'Data Base'!$D$1,
            _xlfn.XLOOKUP(C107,'Documentos Emissão'!C:C,'Documentos Emissão'!G:G)&lt;='Data Base'!$D$1+6)),
    "JUSTIFICATIVA",
    "")</f>
        <v/>
      </c>
      <c r="H107" s="56"/>
    </row>
    <row r="108" spans="2:8" hidden="1" x14ac:dyDescent="0.25">
      <c r="B108" s="53" t="str">
        <f>_xlfn.XLOOKUP(C108,'Data Base'!D:D,'Data Base'!B:B)</f>
        <v>CC - Concreto</v>
      </c>
      <c r="C108" s="53" t="s">
        <v>112</v>
      </c>
      <c r="D108" s="53" t="str">
        <f>_xlfn.XLOOKUP(C108,'LD-ELFA'!F:F,'LD-ELFA'!H:H)</f>
        <v>MC-A1-2203-C-PB-4000</v>
      </c>
      <c r="E108" s="53" t="str">
        <f>_xlfn.XLOOKUP(C108,'LD-ELFA'!F:F,'LD-ELFA'!Q:Q)</f>
        <v>MEMÓRIA DE CÁLCULO</v>
      </c>
      <c r="F108" s="56" t="str">
        <f>_xlfn.XLOOKUP(C108,'Data Base'!D:D,'Data Base'!O:O)</f>
        <v>Blossom - Atendimento de Comentário</v>
      </c>
      <c r="G108" s="57" t="str">
        <f ca="1">IF(OR('Documentos Atendimentos '!H107="ATRASADO",
        AND('Documentos Emissão'!I107="ATRASADO",
            _xlfn.XLOOKUP(C108,'Documentos Emissão'!C:C,'Documentos Emissão'!G:G)&gt; 'Data Base'!$D$1,
            _xlfn.XLOOKUP(C108,'Documentos Emissão'!C:C,'Documentos Emissão'!G:G)&lt;='Data Base'!$D$1+6)),
    "JUSTIFICATIVA",
    "")</f>
        <v/>
      </c>
      <c r="H108" s="56"/>
    </row>
    <row r="109" spans="2:8" hidden="1" x14ac:dyDescent="0.25">
      <c r="B109" s="53" t="str">
        <f>_xlfn.XLOOKUP(C109,'Data Base'!D:D,'Data Base'!B:B)</f>
        <v>CC - Concreto</v>
      </c>
      <c r="C109" s="53" t="s">
        <v>113</v>
      </c>
      <c r="D109" s="53" t="str">
        <f>_xlfn.XLOOKUP(C109,'LD-ELFA'!F:F,'LD-ELFA'!H:H)</f>
        <v>MC-A1-2204-C-PB-4000</v>
      </c>
      <c r="E109" s="53" t="str">
        <f>_xlfn.XLOOKUP(C109,'LD-ELFA'!F:F,'LD-ELFA'!Q:Q)</f>
        <v>MEMÓRIA DE CÁLCULO</v>
      </c>
      <c r="F109" s="56" t="str">
        <f>_xlfn.XLOOKUP(C109,'Data Base'!D:D,'Data Base'!O:O)</f>
        <v>Blossom - Atendimento de Comentário</v>
      </c>
      <c r="G109" s="57" t="str">
        <f ca="1">IF(OR('Documentos Atendimentos '!H108="ATRASADO",
        AND('Documentos Emissão'!I108="ATRASADO",
            _xlfn.XLOOKUP(C109,'Documentos Emissão'!C:C,'Documentos Emissão'!G:G)&gt; 'Data Base'!$D$1,
            _xlfn.XLOOKUP(C109,'Documentos Emissão'!C:C,'Documentos Emissão'!G:G)&lt;='Data Base'!$D$1+6)),
    "JUSTIFICATIVA",
    "")</f>
        <v/>
      </c>
      <c r="H109" s="56"/>
    </row>
    <row r="110" spans="2:8" hidden="1" x14ac:dyDescent="0.25">
      <c r="B110" s="53" t="str">
        <f>_xlfn.XLOOKUP(C110,'Data Base'!D:D,'Data Base'!B:B)</f>
        <v>CC - Concreto</v>
      </c>
      <c r="C110" s="53" t="s">
        <v>114</v>
      </c>
      <c r="D110" s="53" t="str">
        <f>_xlfn.XLOOKUP(C110,'LD-ELFA'!F:F,'LD-ELFA'!H:H)</f>
        <v>MC-A1-1000-C-PB-4001</v>
      </c>
      <c r="E110" s="53" t="str">
        <f>_xlfn.XLOOKUP(C110,'LD-ELFA'!F:F,'LD-ELFA'!Q:Q)</f>
        <v>MEMORIAL DESCRITIVO</v>
      </c>
      <c r="F110" s="56" t="str">
        <f>_xlfn.XLOOKUP(C110,'Data Base'!D:D,'Data Base'!O:O)</f>
        <v>Blossom - Documento a emitir</v>
      </c>
      <c r="G110" s="57" t="str">
        <f ca="1">IF(OR('Documentos Atendimentos '!H109="ATRASADO",
        AND('Documentos Emissão'!I109="ATRASADO",
            _xlfn.XLOOKUP(C110,'Documentos Emissão'!C:C,'Documentos Emissão'!G:G)&gt; 'Data Base'!$D$1,
            _xlfn.XLOOKUP(C110,'Documentos Emissão'!C:C,'Documentos Emissão'!G:G)&lt;='Data Base'!$D$1+6)),
    "JUSTIFICATIVA",
    "")</f>
        <v/>
      </c>
      <c r="H110" s="56"/>
    </row>
    <row r="111" spans="2:8" hidden="1" x14ac:dyDescent="0.25">
      <c r="B111" s="53" t="str">
        <f>_xlfn.XLOOKUP(C111,'Data Base'!D:D,'Data Base'!B:B)</f>
        <v>CC - Concreto</v>
      </c>
      <c r="C111" s="53" t="s">
        <v>115</v>
      </c>
      <c r="D111" s="53" t="str">
        <f>_xlfn.XLOOKUP(C111,'LD-ELFA'!F:F,'LD-ELFA'!H:H)</f>
        <v>PQ-A1-1000-C-PB-4000</v>
      </c>
      <c r="E111" s="53" t="str">
        <f>_xlfn.XLOOKUP(C111,'LD-ELFA'!F:F,'LD-ELFA'!Q:Q)</f>
        <v>PLANILHA DE QUANTIDADES</v>
      </c>
      <c r="F111" s="56" t="str">
        <f>_xlfn.XLOOKUP(C111,'Data Base'!D:D,'Data Base'!O:O)</f>
        <v>Blossom - Documento a emitir</v>
      </c>
      <c r="G111" s="57" t="str">
        <f ca="1">IF(OR('Documentos Atendimentos '!H110="ATRASADO",
        AND('Documentos Emissão'!I110="ATRASADO",
            _xlfn.XLOOKUP(C111,'Documentos Emissão'!C:C,'Documentos Emissão'!G:G)&gt; 'Data Base'!$D$1,
            _xlfn.XLOOKUP(C111,'Documentos Emissão'!C:C,'Documentos Emissão'!G:G)&lt;='Data Base'!$D$1+6)),
    "JUSTIFICATIVA",
    "")</f>
        <v/>
      </c>
      <c r="H111" s="56"/>
    </row>
    <row r="112" spans="2:8" hidden="1" x14ac:dyDescent="0.25">
      <c r="B112" s="53" t="str">
        <f>_xlfn.XLOOKUP(C112,'Data Base'!D:D,'Data Base'!B:B)</f>
        <v>CC - Concreto</v>
      </c>
      <c r="C112" s="53" t="s">
        <v>116</v>
      </c>
      <c r="D112" s="53" t="str">
        <f>_xlfn.XLOOKUP(C112,'LD-ELFA'!F:F,'LD-ELFA'!H:H)</f>
        <v>PQ-A1-1000-C-PB-0001</v>
      </c>
      <c r="E112" s="53" t="str">
        <f>_xlfn.XLOOKUP(C112,'LD-ELFA'!F:F,'LD-ELFA'!Q:Q)</f>
        <v>PLANILHA DE QUANTIDADES</v>
      </c>
      <c r="F112" s="56" t="str">
        <f>_xlfn.XLOOKUP(C112,'Data Base'!D:D,'Data Base'!O:O)</f>
        <v>Blossom - Documento a emitir</v>
      </c>
      <c r="G112" s="57" t="str">
        <f ca="1">IF(OR('Documentos Atendimentos '!H111="ATRASADO",
        AND('Documentos Emissão'!I111="ATRASADO",
            _xlfn.XLOOKUP(C112,'Documentos Emissão'!C:C,'Documentos Emissão'!G:G)&gt; 'Data Base'!$D$1,
            _xlfn.XLOOKUP(C112,'Documentos Emissão'!C:C,'Documentos Emissão'!G:G)&lt;='Data Base'!$D$1+6)),
    "JUSTIFICATIVA",
    "")</f>
        <v/>
      </c>
      <c r="H112" s="56"/>
    </row>
    <row r="113" spans="2:8" x14ac:dyDescent="0.25">
      <c r="B113" s="53" t="str">
        <f>_xlfn.XLOOKUP(C113,'Data Base'!D:D,'Data Base'!B:B)</f>
        <v>CI - Infraestrutura</v>
      </c>
      <c r="C113" s="53" t="s">
        <v>117</v>
      </c>
      <c r="D113" s="53" t="str">
        <f>_xlfn.XLOOKUP(C113,'LD-ELFA'!F:F,'LD-ELFA'!H:H)</f>
        <v>DE-A1-1102-B-PC-4000</v>
      </c>
      <c r="E113" s="53" t="str">
        <f>_xlfn.XLOOKUP(C113,'LD-ELFA'!F:F,'LD-ELFA'!Q:Q)</f>
        <v>PROJETO DE TERRAPLENAGEM</v>
      </c>
      <c r="F113" s="56" t="str">
        <f>_xlfn.XLOOKUP(C113,'Data Base'!D:D,'Data Base'!O:O)</f>
        <v>Blossom - Documento a emitir</v>
      </c>
      <c r="G113" s="57" t="str">
        <f ca="1">IF(OR('Documentos Atendimentos '!H112="ATRASADO",
        AND('Documentos Emissão'!I112="ATRASADO",
            _xlfn.XLOOKUP(C113,'Documentos Emissão'!C:C,'Documentos Emissão'!G:G)&gt; 'Data Base'!$D$1,
            _xlfn.XLOOKUP(C113,'Documentos Emissão'!C:C,'Documentos Emissão'!G:G)&lt;='Data Base'!$D$1+6)),
    "JUSTIFICATIVA",
    "")</f>
        <v>JUSTIFICATIVA</v>
      </c>
      <c r="H113" s="56"/>
    </row>
    <row r="114" spans="2:8" x14ac:dyDescent="0.25">
      <c r="B114" s="53" t="str">
        <f>_xlfn.XLOOKUP(C114,'Data Base'!D:D,'Data Base'!B:B)</f>
        <v>CI - Infraestrutura</v>
      </c>
      <c r="C114" s="53" t="s">
        <v>118</v>
      </c>
      <c r="D114" s="53" t="str">
        <f>_xlfn.XLOOKUP(C114,'LD-ELFA'!F:F,'LD-ELFA'!H:H)</f>
        <v>DE-A1-1102-B-PC-4001</v>
      </c>
      <c r="E114" s="53" t="str">
        <f>_xlfn.XLOOKUP(C114,'LD-ELFA'!F:F,'LD-ELFA'!Q:Q)</f>
        <v>PROJETO GEOMÉTRICO - ACESSO</v>
      </c>
      <c r="F114" s="56" t="str">
        <f>_xlfn.XLOOKUP(C114,'Data Base'!D:D,'Data Base'!O:O)</f>
        <v>Blossom - Documento a emitir</v>
      </c>
      <c r="G114" s="57" t="str">
        <f ca="1">IF(OR('Documentos Atendimentos '!H113="ATRASADO",
        AND('Documentos Emissão'!I113="ATRASADO",
            _xlfn.XLOOKUP(C114,'Documentos Emissão'!C:C,'Documentos Emissão'!G:G)&gt; 'Data Base'!$D$1,
            _xlfn.XLOOKUP(C114,'Documentos Emissão'!C:C,'Documentos Emissão'!G:G)&lt;='Data Base'!$D$1+6)),
    "JUSTIFICATIVA",
    "")</f>
        <v>JUSTIFICATIVA</v>
      </c>
      <c r="H114" s="56"/>
    </row>
    <row r="115" spans="2:8" hidden="1" x14ac:dyDescent="0.25">
      <c r="B115" s="53" t="str">
        <f>_xlfn.XLOOKUP(C115,'Data Base'!D:D,'Data Base'!B:B)</f>
        <v>CI - Infraestrutura</v>
      </c>
      <c r="C115" s="53" t="s">
        <v>119</v>
      </c>
      <c r="D115" s="53" t="str">
        <f>_xlfn.XLOOKUP(C115,'LD-ELFA'!F:F,'LD-ELFA'!H:H)</f>
        <v>MC-A1-1102-B-PB-4000</v>
      </c>
      <c r="E115" s="53" t="str">
        <f>_xlfn.XLOOKUP(C115,'LD-ELFA'!F:F,'LD-ELFA'!Q:Q)</f>
        <v>MEMÓRIA DE CÁLCULO DE TERRAPLENAGEM</v>
      </c>
      <c r="F115" s="56" t="str">
        <f>_xlfn.XLOOKUP(C115,'Data Base'!D:D,'Data Base'!O:O)</f>
        <v>Blossom - Documento a emitir</v>
      </c>
      <c r="G115" s="57" t="str">
        <f ca="1">IF(OR('Documentos Atendimentos '!H114="ATRASADO",
        AND('Documentos Emissão'!I114="ATRASADO",
            _xlfn.XLOOKUP(C115,'Documentos Emissão'!C:C,'Documentos Emissão'!G:G)&gt; 'Data Base'!$D$1,
            _xlfn.XLOOKUP(C115,'Documentos Emissão'!C:C,'Documentos Emissão'!G:G)&lt;='Data Base'!$D$1+6)),
    "JUSTIFICATIVA",
    "")</f>
        <v/>
      </c>
      <c r="H115" s="56"/>
    </row>
    <row r="116" spans="2:8" hidden="1" x14ac:dyDescent="0.25">
      <c r="B116" s="53" t="str">
        <f>_xlfn.XLOOKUP(C116,'Data Base'!D:D,'Data Base'!B:B)</f>
        <v>CI - Infraestrutura</v>
      </c>
      <c r="C116" s="53" t="s">
        <v>120</v>
      </c>
      <c r="D116" s="53" t="str">
        <f>_xlfn.XLOOKUP(C116,'LD-ELFA'!F:F,'LD-ELFA'!H:H)</f>
        <v>MC-A1-1102-B-PB-4001</v>
      </c>
      <c r="E116" s="53" t="str">
        <f>_xlfn.XLOOKUP(C116,'LD-ELFA'!F:F,'LD-ELFA'!Q:Q)</f>
        <v>MEMÓRIA DE CÁLCULO DE DRENAGEM</v>
      </c>
      <c r="F116" s="56" t="str">
        <f>_xlfn.XLOOKUP(C116,'Data Base'!D:D,'Data Base'!O:O)</f>
        <v>Blossom - Documento a emitir</v>
      </c>
      <c r="G116" s="57" t="str">
        <f ca="1">IF(OR('Documentos Atendimentos '!H115="ATRASADO",
        AND('Documentos Emissão'!I115="ATRASADO",
            _xlfn.XLOOKUP(C116,'Documentos Emissão'!C:C,'Documentos Emissão'!G:G)&gt; 'Data Base'!$D$1,
            _xlfn.XLOOKUP(C116,'Documentos Emissão'!C:C,'Documentos Emissão'!G:G)&lt;='Data Base'!$D$1+6)),
    "JUSTIFICATIVA",
    "")</f>
        <v/>
      </c>
      <c r="H116" s="56"/>
    </row>
    <row r="117" spans="2:8" hidden="1" x14ac:dyDescent="0.25">
      <c r="B117" s="53" t="str">
        <f>_xlfn.XLOOKUP(C117,'Data Base'!D:D,'Data Base'!B:B)</f>
        <v>CI - Infraestrutura</v>
      </c>
      <c r="C117" s="53" t="s">
        <v>121</v>
      </c>
      <c r="D117" s="53" t="str">
        <f>_xlfn.XLOOKUP(C117,'LD-ELFA'!F:F,'LD-ELFA'!H:H)</f>
        <v>MC-A1-1000-B-PB-0002</v>
      </c>
      <c r="E117" s="53" t="str">
        <f>_xlfn.XLOOKUP(C117,'LD-ELFA'!F:F,'LD-ELFA'!Q:Q)</f>
        <v>MEMÓRIA DE CÁLCULO DE DRENAGEM</v>
      </c>
      <c r="F117" s="56" t="str">
        <f>_xlfn.XLOOKUP(C117,'Data Base'!D:D,'Data Base'!O:O)</f>
        <v>Blossom - Documento a emitir</v>
      </c>
      <c r="G117" s="57" t="str">
        <f ca="1">IF(OR('Documentos Atendimentos '!H116="ATRASADO",
        AND('Documentos Emissão'!I116="ATRASADO",
            _xlfn.XLOOKUP(C117,'Documentos Emissão'!C:C,'Documentos Emissão'!G:G)&gt; 'Data Base'!$D$1,
            _xlfn.XLOOKUP(C117,'Documentos Emissão'!C:C,'Documentos Emissão'!G:G)&lt;='Data Base'!$D$1+6)),
    "JUSTIFICATIVA",
    "")</f>
        <v/>
      </c>
      <c r="H117" s="56"/>
    </row>
    <row r="118" spans="2:8" hidden="1" x14ac:dyDescent="0.25">
      <c r="B118" s="53" t="str">
        <f>_xlfn.XLOOKUP(C118,'Data Base'!D:D,'Data Base'!B:B)</f>
        <v>CI - Infraestrutura</v>
      </c>
      <c r="C118" s="53" t="s">
        <v>122</v>
      </c>
      <c r="D118" s="53" t="str">
        <f>_xlfn.XLOOKUP(C118,'LD-ELFA'!F:F,'LD-ELFA'!H:H)</f>
        <v>MC-A1-1000-B-PB-0001</v>
      </c>
      <c r="E118" s="53" t="str">
        <f>_xlfn.XLOOKUP(C118,'LD-ELFA'!F:F,'LD-ELFA'!Q:Q)</f>
        <v>MEMÓRIA DE CÁLCULO DE TERRAPLENAGEM</v>
      </c>
      <c r="F118" s="56" t="str">
        <f>_xlfn.XLOOKUP(C118,'Data Base'!D:D,'Data Base'!O:O)</f>
        <v>Blossom - Documento a emitir</v>
      </c>
      <c r="G118" s="57" t="str">
        <f ca="1">IF(OR('Documentos Atendimentos '!H117="ATRASADO",
        AND('Documentos Emissão'!I117="ATRASADO",
            _xlfn.XLOOKUP(C118,'Documentos Emissão'!C:C,'Documentos Emissão'!G:G)&gt; 'Data Base'!$D$1,
            _xlfn.XLOOKUP(C118,'Documentos Emissão'!C:C,'Documentos Emissão'!G:G)&lt;='Data Base'!$D$1+6)),
    "JUSTIFICATIVA",
    "")</f>
        <v/>
      </c>
      <c r="H118" s="56"/>
    </row>
    <row r="119" spans="2:8" hidden="1" x14ac:dyDescent="0.25">
      <c r="B119" s="53" t="str">
        <f>_xlfn.XLOOKUP(C119,'Data Base'!D:D,'Data Base'!B:B)</f>
        <v>CI - Infraestrutura</v>
      </c>
      <c r="C119" s="53" t="s">
        <v>123</v>
      </c>
      <c r="D119" s="53" t="str">
        <f>_xlfn.XLOOKUP(C119,'LD-ELFA'!F:F,'LD-ELFA'!H:H)</f>
        <v>MC-A1-1000-B-PB-0003</v>
      </c>
      <c r="E119" s="53" t="str">
        <f>_xlfn.XLOOKUP(C119,'LD-ELFA'!F:F,'LD-ELFA'!Q:Q)</f>
        <v>MEMÓRIA DE CÁLCULO DE PAVIMENTAÇÃO</v>
      </c>
      <c r="F119" s="56" t="str">
        <f>_xlfn.XLOOKUP(C119,'Data Base'!D:D,'Data Base'!O:O)</f>
        <v>Blossom - Documento a emitir</v>
      </c>
      <c r="G119" s="57" t="str">
        <f ca="1">IF(OR('Documentos Atendimentos '!H118="ATRASADO",
        AND('Documentos Emissão'!I118="ATRASADO",
            _xlfn.XLOOKUP(C119,'Documentos Emissão'!C:C,'Documentos Emissão'!G:G)&gt; 'Data Base'!$D$1,
            _xlfn.XLOOKUP(C119,'Documentos Emissão'!C:C,'Documentos Emissão'!G:G)&lt;='Data Base'!$D$1+6)),
    "JUSTIFICATIVA",
    "")</f>
        <v/>
      </c>
      <c r="H119" s="56"/>
    </row>
    <row r="120" spans="2:8" hidden="1" x14ac:dyDescent="0.25">
      <c r="B120" s="53" t="str">
        <f>_xlfn.XLOOKUP(C120,'Data Base'!D:D,'Data Base'!B:B)</f>
        <v>CI - Infraestrutura</v>
      </c>
      <c r="C120" s="53" t="s">
        <v>124</v>
      </c>
      <c r="D120" s="53" t="str">
        <f>_xlfn.XLOOKUP(C120,'LD-ELFA'!F:F,'LD-ELFA'!H:H)</f>
        <v>MC-A1-1600-B-PB-4000</v>
      </c>
      <c r="E120" s="53" t="str">
        <f>_xlfn.XLOOKUP(C120,'LD-ELFA'!F:F,'LD-ELFA'!Q:Q)</f>
        <v xml:space="preserve"> MEMÓRIA DE CÁLCULO - GEOTECNIA - ANÁLISE DE ESTABILIDADE</v>
      </c>
      <c r="F120" s="56" t="str">
        <f>_xlfn.XLOOKUP(C120,'Data Base'!D:D,'Data Base'!O:O)</f>
        <v>Blossom - Documento a emitir</v>
      </c>
      <c r="G120" s="57" t="str">
        <f ca="1">IF(OR('Documentos Atendimentos '!H119="ATRASADO",
        AND('Documentos Emissão'!I119="ATRASADO",
            _xlfn.XLOOKUP(C120,'Documentos Emissão'!C:C,'Documentos Emissão'!G:G)&gt; 'Data Base'!$D$1,
            _xlfn.XLOOKUP(C120,'Documentos Emissão'!C:C,'Documentos Emissão'!G:G)&lt;='Data Base'!$D$1+6)),
    "JUSTIFICATIVA",
    "")</f>
        <v/>
      </c>
      <c r="H120" s="56"/>
    </row>
    <row r="121" spans="2:8" hidden="1" x14ac:dyDescent="0.25">
      <c r="B121" s="53" t="str">
        <f>_xlfn.XLOOKUP(C121,'Data Base'!D:D,'Data Base'!B:B)</f>
        <v>CI - Infraestrutura</v>
      </c>
      <c r="C121" s="53" t="s">
        <v>125</v>
      </c>
      <c r="D121" s="53" t="str">
        <f>_xlfn.XLOOKUP(C121,'LD-ELFA'!F:F,'LD-ELFA'!H:H)</f>
        <v>PQ-A1-1000-G-PB-0002</v>
      </c>
      <c r="E121" s="53" t="str">
        <f>_xlfn.XLOOKUP(C121,'LD-ELFA'!F:F,'LD-ELFA'!Q:Q)</f>
        <v>PLANILHA DE QUANTIDADES</v>
      </c>
      <c r="F121" s="56" t="str">
        <f>_xlfn.XLOOKUP(C121,'Data Base'!D:D,'Data Base'!O:O)</f>
        <v>Blossom - Documento a emitir</v>
      </c>
      <c r="G121" s="57" t="str">
        <f ca="1">IF(OR('Documentos Atendimentos '!H120="ATRASADO",
        AND('Documentos Emissão'!I120="ATRASADO",
            _xlfn.XLOOKUP(C121,'Documentos Emissão'!C:C,'Documentos Emissão'!G:G)&gt; 'Data Base'!$D$1,
            _xlfn.XLOOKUP(C121,'Documentos Emissão'!C:C,'Documentos Emissão'!G:G)&lt;='Data Base'!$D$1+6)),
    "JUSTIFICATIVA",
    "")</f>
        <v/>
      </c>
      <c r="H121" s="56"/>
    </row>
    <row r="122" spans="2:8" hidden="1" x14ac:dyDescent="0.25">
      <c r="B122" s="53" t="str">
        <f>_xlfn.XLOOKUP(C122,'Data Base'!D:D,'Data Base'!B:B)</f>
        <v>CI - Infraestrutura</v>
      </c>
      <c r="C122" s="53" t="s">
        <v>126</v>
      </c>
      <c r="D122" s="53" t="str">
        <f>_xlfn.XLOOKUP(C122,'LD-ELFA'!F:F,'LD-ELFA'!H:H)</f>
        <v>RL-A1-1000-B-PB-0001</v>
      </c>
      <c r="E122" s="53" t="str">
        <f>_xlfn.XLOOKUP(C122,'LD-ELFA'!F:F,'LD-ELFA'!Q:Q)</f>
        <v>RELATÓRIO TÉCNICO - DISPOSITIVOS AMORTECIMENTO DE CHEIAS</v>
      </c>
      <c r="F122" s="56" t="str">
        <f>_xlfn.XLOOKUP(C122,'Data Base'!D:D,'Data Base'!O:O)</f>
        <v>Blossom - Documento a emitir</v>
      </c>
      <c r="G122" s="57" t="str">
        <f ca="1">IF(OR('Documentos Atendimentos '!H121="ATRASADO",
        AND('Documentos Emissão'!I121="ATRASADO",
            _xlfn.XLOOKUP(C122,'Documentos Emissão'!C:C,'Documentos Emissão'!G:G)&gt; 'Data Base'!$D$1,
            _xlfn.XLOOKUP(C122,'Documentos Emissão'!C:C,'Documentos Emissão'!G:G)&lt;='Data Base'!$D$1+6)),
    "JUSTIFICATIVA",
    "")</f>
        <v/>
      </c>
      <c r="H122" s="56"/>
    </row>
    <row r="123" spans="2:8" hidden="1" x14ac:dyDescent="0.25">
      <c r="B123" s="53" t="e">
        <f>_xlfn.XLOOKUP(C123,'Data Base'!D:D,'Data Base'!B:B)</f>
        <v>#N/A</v>
      </c>
      <c r="C123" s="53" t="s">
        <v>127</v>
      </c>
      <c r="D123" s="53" t="e">
        <f>_xlfn.XLOOKUP(C123,'LD-ELFA'!F:F,'LD-ELFA'!H:H)</f>
        <v>#N/A</v>
      </c>
      <c r="E123" s="53" t="e">
        <f>_xlfn.XLOOKUP(C123,'LD-ELFA'!F:F,'LD-ELFA'!Q:Q)</f>
        <v>#N/A</v>
      </c>
      <c r="F123" s="56" t="str">
        <f>_xlfn.XLOOKUP(C123,'Data Base'!D:D,'Data Base'!O:O)</f>
        <v>Documento Removido</v>
      </c>
      <c r="G123" s="57" t="e">
        <f ca="1">IF(OR('Documentos Atendimentos '!H122="ATRASADO",
        AND('Documentos Emissão'!I122="ATRASADO",
            _xlfn.XLOOKUP(C123,'Documentos Emissão'!C:C,'Documentos Emissão'!G:G)&gt; 'Data Base'!$D$1,
            _xlfn.XLOOKUP(C123,'Documentos Emissão'!C:C,'Documentos Emissão'!G:G)&lt;='Data Base'!$D$1+6)),
    "JUSTIFICATIVA",
    "")</f>
        <v>#N/A</v>
      </c>
      <c r="H123" s="56"/>
    </row>
    <row r="124" spans="2:8" hidden="1" x14ac:dyDescent="0.25">
      <c r="B124" s="53" t="e">
        <f>_xlfn.XLOOKUP(C124,'Data Base'!D:D,'Data Base'!B:B)</f>
        <v>#N/A</v>
      </c>
      <c r="C124" s="53" t="s">
        <v>128</v>
      </c>
      <c r="D124" s="53" t="e">
        <f>_xlfn.XLOOKUP(C124,'LD-ELFA'!F:F,'LD-ELFA'!H:H)</f>
        <v>#N/A</v>
      </c>
      <c r="E124" s="53" t="e">
        <f>_xlfn.XLOOKUP(C124,'LD-ELFA'!F:F,'LD-ELFA'!Q:Q)</f>
        <v>#N/A</v>
      </c>
      <c r="F124" s="56" t="str">
        <f>_xlfn.XLOOKUP(C124,'Data Base'!D:D,'Data Base'!O:O)</f>
        <v>Documento Removido</v>
      </c>
      <c r="G124" s="57" t="e">
        <f ca="1">IF(OR('Documentos Atendimentos '!H123="ATRASADO",
        AND('Documentos Emissão'!I123="ATRASADO",
            _xlfn.XLOOKUP(C124,'Documentos Emissão'!C:C,'Documentos Emissão'!G:G)&gt; 'Data Base'!$D$1,
            _xlfn.XLOOKUP(C124,'Documentos Emissão'!C:C,'Documentos Emissão'!G:G)&lt;='Data Base'!$D$1+6)),
    "JUSTIFICATIVA",
    "")</f>
        <v>#N/A</v>
      </c>
      <c r="H124" s="56"/>
    </row>
    <row r="125" spans="2:8" x14ac:dyDescent="0.25">
      <c r="B125" s="53" t="str">
        <f>_xlfn.XLOOKUP(C125,'Data Base'!D:D,'Data Base'!B:B)</f>
        <v>DC - Controle De Documentos</v>
      </c>
      <c r="C125" s="53" t="s">
        <v>129</v>
      </c>
      <c r="D125" s="53" t="str">
        <f>_xlfn.XLOOKUP(C125,'LD-ELFA'!F:F,'LD-ELFA'!H:H)</f>
        <v>LD-A1-1000-G-PB-4000</v>
      </c>
      <c r="E125" s="53" t="str">
        <f>_xlfn.XLOOKUP(C125,'LD-ELFA'!F:F,'LD-ELFA'!Q:Q)</f>
        <v>LISTA DE DOCUMENTOS</v>
      </c>
      <c r="F125" s="56" t="str">
        <f>_xlfn.XLOOKUP(C125,'Data Base'!D:D,'Data Base'!O:O)</f>
        <v>Documento Concluído</v>
      </c>
      <c r="G125" s="57" t="str">
        <f ca="1">IF(OR('Documentos Atendimentos '!H124="ATRASADO",
        AND('Documentos Emissão'!I124="ATRASADO",
            _xlfn.XLOOKUP(C125,'Documentos Emissão'!C:C,'Documentos Emissão'!G:G)&gt; 'Data Base'!$D$1,
            _xlfn.XLOOKUP(C125,'Documentos Emissão'!C:C,'Documentos Emissão'!G:G)&lt;='Data Base'!$D$1+6)),
    "JUSTIFICATIVA",
    "")</f>
        <v>JUSTIFICATIVA</v>
      </c>
      <c r="H125" s="56"/>
    </row>
    <row r="126" spans="2:8" hidden="1" x14ac:dyDescent="0.25">
      <c r="B126" s="53" t="str">
        <f>_xlfn.XLOOKUP(C126,'Data Base'!D:D,'Data Base'!B:B)</f>
        <v>ED - Engenharia Digital</v>
      </c>
      <c r="C126" s="53" t="s">
        <v>130</v>
      </c>
      <c r="D126" s="53" t="str">
        <f>_xlfn.XLOOKUP(C126,'LD-ELFA'!F:F,'LD-ELFA'!H:H)</f>
        <v>ML-A1-1000-G-PB-4000</v>
      </c>
      <c r="E126" s="53" t="str">
        <f>_xlfn.XLOOKUP(C126,'LD-ELFA'!F:F,'LD-ELFA'!Q:Q)</f>
        <v>MODELO 3D</v>
      </c>
      <c r="F126" s="56" t="str">
        <f>_xlfn.XLOOKUP(C126,'Data Base'!D:D,'Data Base'!O:O)</f>
        <v>Blossom - Documento a emitir</v>
      </c>
      <c r="G126" s="57" t="e">
        <f ca="1">IF(OR('Documentos Atendimentos '!H125="ATRASADO",
        AND('Documentos Emissão'!#REF!="ATRASADO",
            _xlfn.XLOOKUP(C126,'Documentos Emissão'!C:C,'Documentos Emissão'!G:G)&gt; 'Data Base'!$D$1,
            _xlfn.XLOOKUP(C126,'Documentos Emissão'!C:C,'Documentos Emissão'!G:G)&lt;='Data Base'!$D$1+6)),
    "JUSTIFICATIVA",
    "")</f>
        <v>#REF!</v>
      </c>
      <c r="H126" s="56"/>
    </row>
    <row r="127" spans="2:8" x14ac:dyDescent="0.25">
      <c r="B127" s="53" t="str">
        <f>_xlfn.XLOOKUP(C127,'Data Base'!D:D,'Data Base'!B:B)</f>
        <v>ED - Engenharia Digital</v>
      </c>
      <c r="C127" s="53" t="s">
        <v>131</v>
      </c>
      <c r="D127" s="53" t="str">
        <f>_xlfn.XLOOKUP(C127,'LD-ELFA'!F:F,'LD-ELFA'!H:H)</f>
        <v>RL-A1-1000-G-PB-4000</v>
      </c>
      <c r="E127" s="53" t="str">
        <f>_xlfn.XLOOKUP(C127,'LD-ELFA'!F:F,'LD-ELFA'!Q:Q)</f>
        <v>BEP</v>
      </c>
      <c r="F127" s="56" t="str">
        <f>_xlfn.XLOOKUP(C127,'Data Base'!D:D,'Data Base'!O:O)</f>
        <v>Blossom - Atendimento de Comentário</v>
      </c>
      <c r="G127" s="57" t="str">
        <f ca="1">IF(OR('Documentos Atendimentos '!H126="ATRASADO",
        AND('Documentos Emissão'!I125="ATRASADO",
            _xlfn.XLOOKUP(C127,'Documentos Emissão'!C:C,'Documentos Emissão'!G:G)&gt; 'Data Base'!$D$1,
            _xlfn.XLOOKUP(C127,'Documentos Emissão'!C:C,'Documentos Emissão'!G:G)&lt;='Data Base'!$D$1+6)),
    "JUSTIFICATIVA",
    "")</f>
        <v>JUSTIFICATIVA</v>
      </c>
      <c r="H127" s="56"/>
    </row>
    <row r="128" spans="2:8" hidden="1" x14ac:dyDescent="0.25">
      <c r="B128" s="53" t="str">
        <f>_xlfn.XLOOKUP(C128,'Data Base'!D:D,'Data Base'!B:B)</f>
        <v>ED - Engenharia Digital</v>
      </c>
      <c r="C128" s="53" t="s">
        <v>132</v>
      </c>
      <c r="D128" s="53" t="str">
        <f>_xlfn.XLOOKUP(C128,'LD-ELFA'!F:F,'LD-ELFA'!H:H)</f>
        <v>RL-A1-1000-G-PB-4001</v>
      </c>
      <c r="E128" s="53" t="str">
        <f>_xlfn.XLOOKUP(C128,'LD-ELFA'!F:F,'LD-ELFA'!Q:Q)</f>
        <v>RELATÓRIO DE INTERFERÊNCIAS</v>
      </c>
      <c r="F128" s="56" t="str">
        <f>_xlfn.XLOOKUP(C128,'Data Base'!D:D,'Data Base'!O:O)</f>
        <v>Blossom - Documento a emitir</v>
      </c>
      <c r="G128" s="57" t="str">
        <f ca="1">IF(OR('Documentos Atendimentos '!H127="ATRASADO",
        AND('Documentos Emissão'!I126="ATRASADO",
            _xlfn.XLOOKUP(C128,'Documentos Emissão'!C:C,'Documentos Emissão'!G:G)&gt; 'Data Base'!$D$1,
            _xlfn.XLOOKUP(C128,'Documentos Emissão'!C:C,'Documentos Emissão'!G:G)&lt;='Data Base'!$D$1+6)),
    "JUSTIFICATIVA",
    "")</f>
        <v/>
      </c>
      <c r="H128" s="56"/>
    </row>
    <row r="129" spans="2:8" hidden="1" x14ac:dyDescent="0.25">
      <c r="B129" s="53" t="str">
        <f>_xlfn.XLOOKUP(C129,'Data Base'!D:D,'Data Base'!B:B)</f>
        <v>ED - Engenharia Digital</v>
      </c>
      <c r="C129" s="53" t="s">
        <v>133</v>
      </c>
      <c r="D129" s="53" t="str">
        <f>_xlfn.XLOOKUP(C129,'LD-ELFA'!F:F,'LD-ELFA'!H:H)</f>
        <v>RL-A1-1000-G-PB-4004</v>
      </c>
      <c r="E129" s="53" t="str">
        <f>_xlfn.XLOOKUP(C129,'LD-ELFA'!F:F,'LD-ELFA'!Q:Q)</f>
        <v>FICHA DE SETUP - 3D</v>
      </c>
      <c r="F129" s="56" t="str">
        <f>_xlfn.XLOOKUP(C129,'Data Base'!D:D,'Data Base'!O:O)</f>
        <v>Documento Concluído</v>
      </c>
      <c r="G129" s="57" t="str">
        <f ca="1">IF(OR('Documentos Atendimentos '!H128="ATRASADO",
        AND('Documentos Emissão'!I127="ATRASADO",
            _xlfn.XLOOKUP(C129,'Documentos Emissão'!C:C,'Documentos Emissão'!G:G)&gt; 'Data Base'!$D$1,
            _xlfn.XLOOKUP(C129,'Documentos Emissão'!C:C,'Documentos Emissão'!G:G)&lt;='Data Base'!$D$1+6)),
    "JUSTIFICATIVA",
    "")</f>
        <v/>
      </c>
      <c r="H129" s="56"/>
    </row>
    <row r="130" spans="2:8" x14ac:dyDescent="0.25">
      <c r="B130" s="53" t="str">
        <f>_xlfn.XLOOKUP(C130,'Data Base'!D:D,'Data Base'!B:B)</f>
        <v>EL - Eletrica</v>
      </c>
      <c r="C130" s="53" t="s">
        <v>134</v>
      </c>
      <c r="D130" s="53" t="str">
        <f>_xlfn.XLOOKUP(C130,'LD-ELFA'!F:F,'LD-ELFA'!H:H)</f>
        <v>DE-A1-1900-E-PB-4000</v>
      </c>
      <c r="E130" s="53" t="str">
        <f>_xlfn.XLOOKUP(C130,'LD-ELFA'!F:F,'LD-ELFA'!Q:Q)</f>
        <v>DIAGRAMA UNIFILAR  GERAL SIMPLIFICADO</v>
      </c>
      <c r="F130" s="56" t="str">
        <f>_xlfn.XLOOKUP(C130,'Data Base'!D:D,'Data Base'!O:O)</f>
        <v>Blossom - Atendimento de Comentário</v>
      </c>
      <c r="G130" s="57" t="str">
        <f ca="1">IF(OR('Documentos Atendimentos '!H129="ATRASADO",
        AND('Documentos Emissão'!I128="ATRASADO",
            _xlfn.XLOOKUP(C130,'Documentos Emissão'!C:C,'Documentos Emissão'!G:G)&gt; 'Data Base'!$D$1,
            _xlfn.XLOOKUP(C130,'Documentos Emissão'!C:C,'Documentos Emissão'!G:G)&lt;='Data Base'!$D$1+6)),
    "JUSTIFICATIVA",
    "")</f>
        <v>JUSTIFICATIVA</v>
      </c>
      <c r="H130" s="56"/>
    </row>
    <row r="131" spans="2:8" hidden="1" x14ac:dyDescent="0.25">
      <c r="B131" s="53" t="str">
        <f>_xlfn.XLOOKUP(C131,'Data Base'!D:D,'Data Base'!B:B)</f>
        <v>EL - Eletrica</v>
      </c>
      <c r="C131" s="53" t="s">
        <v>135</v>
      </c>
      <c r="D131" s="53" t="str">
        <f>_xlfn.XLOOKUP(C131,'LD-ELFA'!F:F,'LD-ELFA'!H:H)</f>
        <v>DE-A1-1901-E-PB-4000</v>
      </c>
      <c r="E131" s="53" t="str">
        <f>_xlfn.XLOOKUP(C131,'LD-ELFA'!F:F,'LD-ELFA'!Q:Q)</f>
        <v>DIAGRAMA UNIFILAR SUBESTAÇÃO 1901-SE-001</v>
      </c>
      <c r="F131" s="56" t="str">
        <f>_xlfn.XLOOKUP(C131,'Data Base'!D:D,'Data Base'!O:O)</f>
        <v>Cliente - Atendimento de Comentário</v>
      </c>
      <c r="G131" s="57" t="str">
        <f ca="1">IF(OR('Documentos Atendimentos '!H130="ATRASADO",
        AND('Documentos Emissão'!I129="ATRASADO",
            _xlfn.XLOOKUP(C131,'Documentos Emissão'!C:C,'Documentos Emissão'!G:G)&gt; 'Data Base'!$D$1,
            _xlfn.XLOOKUP(C131,'Documentos Emissão'!C:C,'Documentos Emissão'!G:G)&lt;='Data Base'!$D$1+6)),
    "JUSTIFICATIVA",
    "")</f>
        <v/>
      </c>
      <c r="H131" s="56"/>
    </row>
    <row r="132" spans="2:8" hidden="1" x14ac:dyDescent="0.25">
      <c r="B132" s="53" t="str">
        <f>_xlfn.XLOOKUP(C132,'Data Base'!D:D,'Data Base'!B:B)</f>
        <v>EL - Eletrica</v>
      </c>
      <c r="C132" s="53" t="s">
        <v>136</v>
      </c>
      <c r="D132" s="53" t="str">
        <f>_xlfn.XLOOKUP(C132,'LD-ELFA'!F:F,'LD-ELFA'!H:H)</f>
        <v>DE-A1-1901-E-PB-4001</v>
      </c>
      <c r="E132" s="53" t="str">
        <f>_xlfn.XLOOKUP(C132,'LD-ELFA'!F:F,'LD-ELFA'!Q:Q)</f>
        <v>DIAGRAMA UNIFILAR SUBESTAÇÃO 1901-SE-001</v>
      </c>
      <c r="F132" s="56" t="str">
        <f>_xlfn.XLOOKUP(C132,'Data Base'!D:D,'Data Base'!O:O)</f>
        <v>Blossom - Atendimento de Comentário</v>
      </c>
      <c r="G132" s="57" t="str">
        <f ca="1">IF(OR('Documentos Atendimentos '!H131="ATRASADO",
        AND('Documentos Emissão'!I130="ATRASADO",
            _xlfn.XLOOKUP(C132,'Documentos Emissão'!C:C,'Documentos Emissão'!G:G)&gt; 'Data Base'!$D$1,
            _xlfn.XLOOKUP(C132,'Documentos Emissão'!C:C,'Documentos Emissão'!G:G)&lt;='Data Base'!$D$1+6)),
    "JUSTIFICATIVA",
    "")</f>
        <v/>
      </c>
      <c r="H132" s="56"/>
    </row>
    <row r="133" spans="2:8" hidden="1" x14ac:dyDescent="0.25">
      <c r="B133" s="53" t="str">
        <f>_xlfn.XLOOKUP(C133,'Data Base'!D:D,'Data Base'!B:B)</f>
        <v>EL - Eletrica</v>
      </c>
      <c r="C133" s="53" t="s">
        <v>137</v>
      </c>
      <c r="D133" s="53" t="str">
        <f>_xlfn.XLOOKUP(C133,'LD-ELFA'!F:F,'LD-ELFA'!H:H)</f>
        <v>DE-A1-1911-E-PB-4000</v>
      </c>
      <c r="E133" s="53" t="str">
        <f>_xlfn.XLOOKUP(C133,'LD-ELFA'!F:F,'LD-ELFA'!Q:Q)</f>
        <v>DIAGRAMA UNIFILAR SUBESTAÇÃO 1911-SE-001</v>
      </c>
      <c r="F133" s="56" t="str">
        <f>_xlfn.XLOOKUP(C133,'Data Base'!D:D,'Data Base'!O:O)</f>
        <v>Blossom - Documento a emitir</v>
      </c>
      <c r="G133" s="57" t="str">
        <f ca="1">IF(OR('Documentos Atendimentos '!H132="ATRASADO",
        AND('Documentos Emissão'!I131="ATRASADO",
            _xlfn.XLOOKUP(C133,'Documentos Emissão'!C:C,'Documentos Emissão'!G:G)&gt; 'Data Base'!$D$1,
            _xlfn.XLOOKUP(C133,'Documentos Emissão'!C:C,'Documentos Emissão'!G:G)&lt;='Data Base'!$D$1+6)),
    "JUSTIFICATIVA",
    "")</f>
        <v/>
      </c>
      <c r="H133" s="56"/>
    </row>
    <row r="134" spans="2:8" hidden="1" x14ac:dyDescent="0.25">
      <c r="B134" s="53" t="str">
        <f>_xlfn.XLOOKUP(C134,'Data Base'!D:D,'Data Base'!B:B)</f>
        <v>EL - Eletrica</v>
      </c>
      <c r="C134" s="53" t="s">
        <v>138</v>
      </c>
      <c r="D134" s="53" t="str">
        <f>_xlfn.XLOOKUP(C134,'LD-ELFA'!F:F,'LD-ELFA'!H:H)</f>
        <v>DE-A1-1911-E-PB-4001</v>
      </c>
      <c r="E134" s="53" t="str">
        <f>_xlfn.XLOOKUP(C134,'LD-ELFA'!F:F,'LD-ELFA'!Q:Q)</f>
        <v>DIAGRAMA UNIFILAR SUBESTAÇÃO 1911-SE-001</v>
      </c>
      <c r="F134" s="56" t="str">
        <f>_xlfn.XLOOKUP(C134,'Data Base'!D:D,'Data Base'!O:O)</f>
        <v>Blossom - Documento a emitir</v>
      </c>
      <c r="G134" s="57" t="str">
        <f ca="1">IF(OR('Documentos Atendimentos '!H133="ATRASADO",
        AND('Documentos Emissão'!I132="ATRASADO",
            _xlfn.XLOOKUP(C134,'Documentos Emissão'!C:C,'Documentos Emissão'!G:G)&gt; 'Data Base'!$D$1,
            _xlfn.XLOOKUP(C134,'Documentos Emissão'!C:C,'Documentos Emissão'!G:G)&lt;='Data Base'!$D$1+6)),
    "JUSTIFICATIVA",
    "")</f>
        <v/>
      </c>
      <c r="H134" s="56"/>
    </row>
    <row r="135" spans="2:8" hidden="1" x14ac:dyDescent="0.25">
      <c r="B135" s="53" t="str">
        <f>_xlfn.XLOOKUP(C135,'Data Base'!D:D,'Data Base'!B:B)</f>
        <v>EL - Eletrica</v>
      </c>
      <c r="C135" s="53" t="s">
        <v>139</v>
      </c>
      <c r="D135" s="53" t="str">
        <f>_xlfn.XLOOKUP(C135,'LD-ELFA'!F:F,'LD-ELFA'!H:H)</f>
        <v>DE-A1-1911-E-PB-4002</v>
      </c>
      <c r="E135" s="53" t="str">
        <f>_xlfn.XLOOKUP(C135,'LD-ELFA'!F:F,'LD-ELFA'!Q:Q)</f>
        <v>DIAGRAMA UNIFILAR SUBESTAÇÃO 1911-SE-001</v>
      </c>
      <c r="F135" s="56" t="str">
        <f>_xlfn.XLOOKUP(C135,'Data Base'!D:D,'Data Base'!O:O)</f>
        <v>Blossom - Documento a emitir</v>
      </c>
      <c r="G135" s="57" t="str">
        <f ca="1">IF(OR('Documentos Atendimentos '!H134="ATRASADO",
        AND('Documentos Emissão'!I133="ATRASADO",
            _xlfn.XLOOKUP(C135,'Documentos Emissão'!C:C,'Documentos Emissão'!G:G)&gt; 'Data Base'!$D$1,
            _xlfn.XLOOKUP(C135,'Documentos Emissão'!C:C,'Documentos Emissão'!G:G)&lt;='Data Base'!$D$1+6)),
    "JUSTIFICATIVA",
    "")</f>
        <v/>
      </c>
      <c r="H135" s="56"/>
    </row>
    <row r="136" spans="2:8" hidden="1" x14ac:dyDescent="0.25">
      <c r="B136" s="53" t="str">
        <f>_xlfn.XLOOKUP(C136,'Data Base'!D:D,'Data Base'!B:B)</f>
        <v>EL - Eletrica</v>
      </c>
      <c r="C136" s="53" t="s">
        <v>140</v>
      </c>
      <c r="D136" s="53" t="str">
        <f>_xlfn.XLOOKUP(C136,'LD-ELFA'!F:F,'LD-ELFA'!H:H)</f>
        <v>DE-A1-1912-E-PB-4000</v>
      </c>
      <c r="E136" s="53" t="str">
        <f>_xlfn.XLOOKUP(C136,'LD-ELFA'!F:F,'LD-ELFA'!Q:Q)</f>
        <v>DIAGRAMA UNIFILAR SUBESTAÇÃO 1912-SE-001</v>
      </c>
      <c r="F136" s="56" t="str">
        <f>_xlfn.XLOOKUP(C136,'Data Base'!D:D,'Data Base'!O:O)</f>
        <v>Blossom - Documento a emitir</v>
      </c>
      <c r="G136" s="57" t="str">
        <f ca="1">IF(OR('Documentos Atendimentos '!H135="ATRASADO",
        AND('Documentos Emissão'!I134="ATRASADO",
            _xlfn.XLOOKUP(C136,'Documentos Emissão'!C:C,'Documentos Emissão'!G:G)&gt; 'Data Base'!$D$1,
            _xlfn.XLOOKUP(C136,'Documentos Emissão'!C:C,'Documentos Emissão'!G:G)&lt;='Data Base'!$D$1+6)),
    "JUSTIFICATIVA",
    "")</f>
        <v/>
      </c>
      <c r="H136" s="56"/>
    </row>
    <row r="137" spans="2:8" hidden="1" x14ac:dyDescent="0.25">
      <c r="B137" s="53" t="str">
        <f>_xlfn.XLOOKUP(C137,'Data Base'!D:D,'Data Base'!B:B)</f>
        <v>EL - Eletrica</v>
      </c>
      <c r="C137" s="53" t="s">
        <v>141</v>
      </c>
      <c r="D137" s="53" t="str">
        <f>_xlfn.XLOOKUP(C137,'LD-ELFA'!F:F,'LD-ELFA'!H:H)</f>
        <v>DE-A1-1912-E-PB-4001</v>
      </c>
      <c r="E137" s="53" t="str">
        <f>_xlfn.XLOOKUP(C137,'LD-ELFA'!F:F,'LD-ELFA'!Q:Q)</f>
        <v>DIAGRAMA UNIFILAR SUBESTAÇÃO 1912-SE-001</v>
      </c>
      <c r="F137" s="56" t="str">
        <f>_xlfn.XLOOKUP(C137,'Data Base'!D:D,'Data Base'!O:O)</f>
        <v>Blossom - Documento a emitir</v>
      </c>
      <c r="G137" s="57" t="str">
        <f ca="1">IF(OR('Documentos Atendimentos '!H136="ATRASADO",
        AND('Documentos Emissão'!I135="ATRASADO",
            _xlfn.XLOOKUP(C137,'Documentos Emissão'!C:C,'Documentos Emissão'!G:G)&gt; 'Data Base'!$D$1,
            _xlfn.XLOOKUP(C137,'Documentos Emissão'!C:C,'Documentos Emissão'!G:G)&lt;='Data Base'!$D$1+6)),
    "JUSTIFICATIVA",
    "")</f>
        <v/>
      </c>
      <c r="H137" s="56"/>
    </row>
    <row r="138" spans="2:8" hidden="1" x14ac:dyDescent="0.25">
      <c r="B138" s="53" t="str">
        <f>_xlfn.XLOOKUP(C138,'Data Base'!D:D,'Data Base'!B:B)</f>
        <v>EL - Eletrica</v>
      </c>
      <c r="C138" s="53" t="s">
        <v>142</v>
      </c>
      <c r="D138" s="53" t="str">
        <f>_xlfn.XLOOKUP(C138,'LD-ELFA'!F:F,'LD-ELFA'!H:H)</f>
        <v>DE-A1-1912-E-PB-4002</v>
      </c>
      <c r="E138" s="53" t="str">
        <f>_xlfn.XLOOKUP(C138,'LD-ELFA'!F:F,'LD-ELFA'!Q:Q)</f>
        <v>DIAGRAMA UNIFILAR SUBESTAÇÃO 1912-SE-001</v>
      </c>
      <c r="F138" s="56" t="str">
        <f>_xlfn.XLOOKUP(C138,'Data Base'!D:D,'Data Base'!O:O)</f>
        <v>Blossom - Documento a emitir</v>
      </c>
      <c r="G138" s="57" t="str">
        <f ca="1">IF(OR('Documentos Atendimentos '!H137="ATRASADO",
        AND('Documentos Emissão'!I136="ATRASADO",
            _xlfn.XLOOKUP(C138,'Documentos Emissão'!C:C,'Documentos Emissão'!G:G)&gt; 'Data Base'!$D$1,
            _xlfn.XLOOKUP(C138,'Documentos Emissão'!C:C,'Documentos Emissão'!G:G)&lt;='Data Base'!$D$1+6)),
    "JUSTIFICATIVA",
    "")</f>
        <v/>
      </c>
      <c r="H138" s="56"/>
    </row>
    <row r="139" spans="2:8" hidden="1" x14ac:dyDescent="0.25">
      <c r="B139" s="53" t="str">
        <f>_xlfn.XLOOKUP(C139,'Data Base'!D:D,'Data Base'!B:B)</f>
        <v>EL - Eletrica</v>
      </c>
      <c r="C139" s="53" t="s">
        <v>143</v>
      </c>
      <c r="D139" s="53" t="str">
        <f>_xlfn.XLOOKUP(C139,'LD-ELFA'!F:F,'LD-ELFA'!H:H)</f>
        <v>DE-A1-1913-E-PB-4000</v>
      </c>
      <c r="E139" s="53" t="str">
        <f>_xlfn.XLOOKUP(C139,'LD-ELFA'!F:F,'LD-ELFA'!Q:Q)</f>
        <v>DIAGRAMA UNIFILAR SUBESTAÇÃO 1913-SE-001</v>
      </c>
      <c r="F139" s="56" t="str">
        <f>_xlfn.XLOOKUP(C139,'Data Base'!D:D,'Data Base'!O:O)</f>
        <v>Blossom - Documento a emitir</v>
      </c>
      <c r="G139" s="57" t="str">
        <f ca="1">IF(OR('Documentos Atendimentos '!H138="ATRASADO",
        AND('Documentos Emissão'!I137="ATRASADO",
            _xlfn.XLOOKUP(C139,'Documentos Emissão'!C:C,'Documentos Emissão'!G:G)&gt; 'Data Base'!$D$1,
            _xlfn.XLOOKUP(C139,'Documentos Emissão'!C:C,'Documentos Emissão'!G:G)&lt;='Data Base'!$D$1+6)),
    "JUSTIFICATIVA",
    "")</f>
        <v/>
      </c>
      <c r="H139" s="56"/>
    </row>
    <row r="140" spans="2:8" hidden="1" x14ac:dyDescent="0.25">
      <c r="B140" s="53" t="str">
        <f>_xlfn.XLOOKUP(C140,'Data Base'!D:D,'Data Base'!B:B)</f>
        <v>EL - Eletrica</v>
      </c>
      <c r="C140" s="53" t="s">
        <v>144</v>
      </c>
      <c r="D140" s="53" t="str">
        <f>_xlfn.XLOOKUP(C140,'LD-ELFA'!F:F,'LD-ELFA'!H:H)</f>
        <v>DE-A1-1913-E-PB-4001</v>
      </c>
      <c r="E140" s="53" t="str">
        <f>_xlfn.XLOOKUP(C140,'LD-ELFA'!F:F,'LD-ELFA'!Q:Q)</f>
        <v>DIAGRAMA UNIFILAR SUBESTAÇÃO 1913-SE-001</v>
      </c>
      <c r="F140" s="56" t="str">
        <f>_xlfn.XLOOKUP(C140,'Data Base'!D:D,'Data Base'!O:O)</f>
        <v>Blossom - Documento a emitir</v>
      </c>
      <c r="G140" s="57" t="str">
        <f ca="1">IF(OR('Documentos Atendimentos '!H139="ATRASADO",
        AND('Documentos Emissão'!I138="ATRASADO",
            _xlfn.XLOOKUP(C140,'Documentos Emissão'!C:C,'Documentos Emissão'!G:G)&gt; 'Data Base'!$D$1,
            _xlfn.XLOOKUP(C140,'Documentos Emissão'!C:C,'Documentos Emissão'!G:G)&lt;='Data Base'!$D$1+6)),
    "JUSTIFICATIVA",
    "")</f>
        <v/>
      </c>
      <c r="H140" s="56"/>
    </row>
    <row r="141" spans="2:8" hidden="1" x14ac:dyDescent="0.25">
      <c r="B141" s="53" t="str">
        <f>_xlfn.XLOOKUP(C141,'Data Base'!D:D,'Data Base'!B:B)</f>
        <v>EL - Eletrica</v>
      </c>
      <c r="C141" s="53" t="s">
        <v>145</v>
      </c>
      <c r="D141" s="53" t="str">
        <f>_xlfn.XLOOKUP(C141,'LD-ELFA'!F:F,'LD-ELFA'!H:H)</f>
        <v>DE-A1-1913-E-PB-4002</v>
      </c>
      <c r="E141" s="53" t="str">
        <f>_xlfn.XLOOKUP(C141,'LD-ELFA'!F:F,'LD-ELFA'!Q:Q)</f>
        <v>DIAGRAMA UNIFILAR SUBESTAÇÃO 1913-SE-001</v>
      </c>
      <c r="F141" s="56" t="str">
        <f>_xlfn.XLOOKUP(C141,'Data Base'!D:D,'Data Base'!O:O)</f>
        <v>Blossom - Documento a emitir</v>
      </c>
      <c r="G141" s="57" t="str">
        <f ca="1">IF(OR('Documentos Atendimentos '!H140="ATRASADO",
        AND('Documentos Emissão'!I139="ATRASADO",
            _xlfn.XLOOKUP(C141,'Documentos Emissão'!C:C,'Documentos Emissão'!G:G)&gt; 'Data Base'!$D$1,
            _xlfn.XLOOKUP(C141,'Documentos Emissão'!C:C,'Documentos Emissão'!G:G)&lt;='Data Base'!$D$1+6)),
    "JUSTIFICATIVA",
    "")</f>
        <v/>
      </c>
      <c r="H141" s="56"/>
    </row>
    <row r="142" spans="2:8" hidden="1" x14ac:dyDescent="0.25">
      <c r="B142" s="53" t="e">
        <f>_xlfn.XLOOKUP(C142,'Data Base'!D:D,'Data Base'!B:B)</f>
        <v>#N/A</v>
      </c>
      <c r="C142" s="53" t="s">
        <v>146</v>
      </c>
      <c r="D142" s="53" t="e">
        <f>_xlfn.XLOOKUP(C142,'LD-ELFA'!F:F,'LD-ELFA'!H:H)</f>
        <v>#N/A</v>
      </c>
      <c r="E142" s="53" t="e">
        <f>_xlfn.XLOOKUP(C142,'LD-ELFA'!F:F,'LD-ELFA'!Q:Q)</f>
        <v>#N/A</v>
      </c>
      <c r="F142" s="56" t="str">
        <f>_xlfn.XLOOKUP(C142,'Data Base'!D:D,'Data Base'!O:O)</f>
        <v>Documento Removido</v>
      </c>
      <c r="G142" s="57" t="e">
        <f ca="1">IF(OR('Documentos Atendimentos '!H141="ATRASADO",
        AND('Documentos Emissão'!I140="ATRASADO",
            _xlfn.XLOOKUP(C142,'Documentos Emissão'!C:C,'Documentos Emissão'!G:G)&gt; 'Data Base'!$D$1,
            _xlfn.XLOOKUP(C142,'Documentos Emissão'!C:C,'Documentos Emissão'!G:G)&lt;='Data Base'!$D$1+6)),
    "JUSTIFICATIVA",
    "")</f>
        <v>#N/A</v>
      </c>
      <c r="H142" s="56"/>
    </row>
    <row r="143" spans="2:8" x14ac:dyDescent="0.25">
      <c r="B143" s="53" t="str">
        <f>_xlfn.XLOOKUP(C143,'Data Base'!D:D,'Data Base'!B:B)</f>
        <v>EL - Eletrica</v>
      </c>
      <c r="C143" s="53" t="s">
        <v>147</v>
      </c>
      <c r="D143" s="53" t="str">
        <f>_xlfn.XLOOKUP(C143,'LD-ELFA'!F:F,'LD-ELFA'!H:H)</f>
        <v>RL-A1-1900-E-PB-4000</v>
      </c>
      <c r="E143" s="53" t="str">
        <f>_xlfn.XLOOKUP(C143,'LD-ELFA'!F:F,'LD-ELFA'!Q:Q)</f>
        <v>ESTUDO DE CARGAS E DEMANDA
RELATÓRIO TÉCNICO</v>
      </c>
      <c r="F143" s="56" t="str">
        <f>_xlfn.XLOOKUP(C143,'Data Base'!D:D,'Data Base'!O:O)</f>
        <v>Blossom - Atendimento de Comentário</v>
      </c>
      <c r="G143" s="57" t="str">
        <f ca="1">IF(OR('Documentos Atendimentos '!H142="ATRASADO",
        AND('Documentos Emissão'!I141="ATRASADO",
            _xlfn.XLOOKUP(C143,'Documentos Emissão'!C:C,'Documentos Emissão'!G:G)&gt; 'Data Base'!$D$1,
            _xlfn.XLOOKUP(C143,'Documentos Emissão'!C:C,'Documentos Emissão'!G:G)&lt;='Data Base'!$D$1+6)),
    "JUSTIFICATIVA",
    "")</f>
        <v>JUSTIFICATIVA</v>
      </c>
      <c r="H143" s="56"/>
    </row>
    <row r="144" spans="2:8" hidden="1" x14ac:dyDescent="0.25">
      <c r="B144" s="53" t="str">
        <f>_xlfn.XLOOKUP(C144,'Data Base'!D:D,'Data Base'!B:B)</f>
        <v>EL - Eletrica</v>
      </c>
      <c r="C144" s="53" t="s">
        <v>148</v>
      </c>
      <c r="D144" s="53" t="str">
        <f>_xlfn.XLOOKUP(C144,'LD-ELFA'!F:F,'LD-ELFA'!H:H)</f>
        <v>RL-A1-1100-E-PB-4000</v>
      </c>
      <c r="E144" s="53" t="str">
        <f>_xlfn.XLOOKUP(C144,'LD-ELFA'!F:F,'LD-ELFA'!Q:Q)</f>
        <v>ESTUDO DE CARGAS E DEMANDA
RELATÓRIO TÉCNICO</v>
      </c>
      <c r="F144" s="56" t="str">
        <f>_xlfn.XLOOKUP(C144,'Data Base'!D:D,'Data Base'!O:O)</f>
        <v>Blossom - Documento a emitir</v>
      </c>
      <c r="G144" s="57" t="str">
        <f ca="1">IF(OR('Documentos Atendimentos '!H143="ATRASADO",
        AND('Documentos Emissão'!I142="ATRASADO",
            _xlfn.XLOOKUP(C144,'Documentos Emissão'!C:C,'Documentos Emissão'!G:G)&gt; 'Data Base'!$D$1,
            _xlfn.XLOOKUP(C144,'Documentos Emissão'!C:C,'Documentos Emissão'!G:G)&lt;='Data Base'!$D$1+6)),
    "JUSTIFICATIVA",
    "")</f>
        <v/>
      </c>
      <c r="H144" s="56"/>
    </row>
    <row r="145" spans="2:8" hidden="1" x14ac:dyDescent="0.25">
      <c r="B145" s="53" t="str">
        <f>_xlfn.XLOOKUP(C145,'Data Base'!D:D,'Data Base'!B:B)</f>
        <v>EL - Eletrica</v>
      </c>
      <c r="C145" s="53" t="s">
        <v>149</v>
      </c>
      <c r="D145" s="53" t="str">
        <f>_xlfn.XLOOKUP(C145,'LD-ELFA'!F:F,'LD-ELFA'!H:H)</f>
        <v>ET-A1-1900-E-PB-0001</v>
      </c>
      <c r="E145" s="53" t="str">
        <f>_xlfn.XLOOKUP(C145,'LD-ELFA'!F:F,'LD-ELFA'!Q:Q)</f>
        <v>ESPECIFICAÇÃO TÉCNICA
FORNECIMENTO TURN KEY DA SUBESTAÇÃO PRINCIPAL 
1901-SE-01</v>
      </c>
      <c r="F145" s="56" t="str">
        <f>_xlfn.XLOOKUP(C145,'Data Base'!D:D,'Data Base'!O:O)</f>
        <v>Blossom - Documento a emitir</v>
      </c>
      <c r="G145" s="57" t="str">
        <f ca="1">IF(OR('Documentos Atendimentos '!H144="ATRASADO",
        AND('Documentos Emissão'!I143="ATRASADO",
            _xlfn.XLOOKUP(C145,'Documentos Emissão'!C:C,'Documentos Emissão'!G:G)&gt; 'Data Base'!$D$1,
            _xlfn.XLOOKUP(C145,'Documentos Emissão'!C:C,'Documentos Emissão'!G:G)&lt;='Data Base'!$D$1+6)),
    "JUSTIFICATIVA",
    "")</f>
        <v/>
      </c>
      <c r="H145" s="56"/>
    </row>
    <row r="146" spans="2:8" hidden="1" x14ac:dyDescent="0.25">
      <c r="B146" s="53" t="str">
        <f>_xlfn.XLOOKUP(C146,'Data Base'!D:D,'Data Base'!B:B)</f>
        <v>EL - Eletrica</v>
      </c>
      <c r="C146" s="53" t="s">
        <v>150</v>
      </c>
      <c r="D146" s="53" t="str">
        <f>_xlfn.XLOOKUP(C146,'LD-ELFA'!F:F,'LD-ELFA'!H:H)</f>
        <v>ET-A1-1903-E-PB-0001</v>
      </c>
      <c r="E146" s="53" t="str">
        <f>_xlfn.XLOOKUP(C146,'LD-ELFA'!F:F,'LD-ELFA'!Q:Q)</f>
        <v>ESPECIFICAÇÃO TÉCNICA
FORNECIMENTO TURN KEY DE LINHAS DE DISTRIBUIÇÃO PROTEGIDAS DE 13,8 kV</v>
      </c>
      <c r="F146" s="56" t="str">
        <f>_xlfn.XLOOKUP(C146,'Data Base'!D:D,'Data Base'!O:O)</f>
        <v>Blossom - Documento a emitir</v>
      </c>
      <c r="G146" s="57" t="str">
        <f ca="1">IF(OR('Documentos Atendimentos '!H145="ATRASADO",
        AND('Documentos Emissão'!I144="ATRASADO",
            _xlfn.XLOOKUP(C146,'Documentos Emissão'!C:C,'Documentos Emissão'!G:G)&gt; 'Data Base'!$D$1,
            _xlfn.XLOOKUP(C146,'Documentos Emissão'!C:C,'Documentos Emissão'!G:G)&lt;='Data Base'!$D$1+6)),
    "JUSTIFICATIVA",
    "")</f>
        <v/>
      </c>
      <c r="H146" s="56"/>
    </row>
    <row r="147" spans="2:8" hidden="1" x14ac:dyDescent="0.25">
      <c r="B147" s="53" t="str">
        <f>_xlfn.XLOOKUP(C147,'Data Base'!D:D,'Data Base'!B:B)</f>
        <v>EL - Eletrica</v>
      </c>
      <c r="C147" s="53" t="s">
        <v>151</v>
      </c>
      <c r="D147" s="53" t="str">
        <f>_xlfn.XLOOKUP(C147,'LD-ELFA'!F:F,'LD-ELFA'!H:H)</f>
        <v>FD-A1-1911-E-PB-0006</v>
      </c>
      <c r="E147" s="53" t="str">
        <f>_xlfn.XLOOKUP(C147,'LD-ELFA'!F:F,'LD-ELFA'!Q:Q)</f>
        <v>FOLHA DE DADOS</v>
      </c>
      <c r="F147" s="56" t="str">
        <f>_xlfn.XLOOKUP(C147,'Data Base'!D:D,'Data Base'!O:O)</f>
        <v>Blossom - Documento a emitir</v>
      </c>
      <c r="G147" s="57" t="str">
        <f ca="1">IF(OR('Documentos Atendimentos '!H146="ATRASADO",
        AND('Documentos Emissão'!I145="ATRASADO",
            _xlfn.XLOOKUP(C147,'Documentos Emissão'!C:C,'Documentos Emissão'!G:G)&gt; 'Data Base'!$D$1,
            _xlfn.XLOOKUP(C147,'Documentos Emissão'!C:C,'Documentos Emissão'!G:G)&lt;='Data Base'!$D$1+6)),
    "JUSTIFICATIVA",
    "")</f>
        <v/>
      </c>
      <c r="H147" s="56"/>
    </row>
    <row r="148" spans="2:8" hidden="1" x14ac:dyDescent="0.25">
      <c r="B148" s="53" t="str">
        <f>_xlfn.XLOOKUP(C148,'Data Base'!D:D,'Data Base'!B:B)</f>
        <v>EL - Eletrica</v>
      </c>
      <c r="C148" s="53" t="s">
        <v>152</v>
      </c>
      <c r="D148" s="53" t="str">
        <f>_xlfn.XLOOKUP(C148,'LD-ELFA'!F:F,'LD-ELFA'!H:H)</f>
        <v>FD-A1-1911-E-PB-0005</v>
      </c>
      <c r="E148" s="53" t="str">
        <f>_xlfn.XLOOKUP(C148,'LD-ELFA'!F:F,'LD-ELFA'!Q:Q)</f>
        <v>FOLHA DE DADOS</v>
      </c>
      <c r="F148" s="56" t="str">
        <f>_xlfn.XLOOKUP(C148,'Data Base'!D:D,'Data Base'!O:O)</f>
        <v>Documento Concluído</v>
      </c>
      <c r="G148" s="57" t="str">
        <f ca="1">IF(OR('Documentos Atendimentos '!H147="ATRASADO",
        AND('Documentos Emissão'!I146="ATRASADO",
            _xlfn.XLOOKUP(C148,'Documentos Emissão'!C:C,'Documentos Emissão'!G:G)&gt; 'Data Base'!$D$1,
            _xlfn.XLOOKUP(C148,'Documentos Emissão'!C:C,'Documentos Emissão'!G:G)&lt;='Data Base'!$D$1+6)),
    "JUSTIFICATIVA",
    "")</f>
        <v/>
      </c>
      <c r="H148" s="56"/>
    </row>
    <row r="149" spans="2:8" hidden="1" x14ac:dyDescent="0.25">
      <c r="B149" s="53" t="str">
        <f>_xlfn.XLOOKUP(C149,'Data Base'!D:D,'Data Base'!B:B)</f>
        <v>EL - Eletrica</v>
      </c>
      <c r="C149" s="53" t="s">
        <v>153</v>
      </c>
      <c r="D149" s="53" t="str">
        <f>_xlfn.XLOOKUP(C149,'LD-ELFA'!F:F,'LD-ELFA'!H:H)</f>
        <v>FD-A1-1900-E-PB-0007</v>
      </c>
      <c r="E149" s="53" t="str">
        <f>_xlfn.XLOOKUP(C149,'LD-ELFA'!F:F,'LD-ELFA'!Q:Q)</f>
        <v>FOLHA DE DADOS</v>
      </c>
      <c r="F149" s="56" t="str">
        <f>_xlfn.XLOOKUP(C149,'Data Base'!D:D,'Data Base'!O:O)</f>
        <v>Blossom - Documento a emitir</v>
      </c>
      <c r="G149" s="57" t="str">
        <f ca="1">IF(OR('Documentos Atendimentos '!H148="ATRASADO",
        AND('Documentos Emissão'!I147="ATRASADO",
            _xlfn.XLOOKUP(C149,'Documentos Emissão'!C:C,'Documentos Emissão'!G:G)&gt; 'Data Base'!$D$1,
            _xlfn.XLOOKUP(C149,'Documentos Emissão'!C:C,'Documentos Emissão'!G:G)&lt;='Data Base'!$D$1+6)),
    "JUSTIFICATIVA",
    "")</f>
        <v>JUSTIFICATIVA</v>
      </c>
      <c r="H149" s="56"/>
    </row>
    <row r="150" spans="2:8" hidden="1" x14ac:dyDescent="0.25">
      <c r="B150" s="53" t="str">
        <f>_xlfn.XLOOKUP(C150,'Data Base'!D:D,'Data Base'!B:B)</f>
        <v>EL - Eletrica</v>
      </c>
      <c r="C150" s="53" t="s">
        <v>154</v>
      </c>
      <c r="D150" s="53" t="str">
        <f>_xlfn.XLOOKUP(C150,'LD-ELFA'!F:F,'LD-ELFA'!H:H)</f>
        <v>FD-A1-1900-E-PB-0001</v>
      </c>
      <c r="E150" s="53" t="str">
        <f>_xlfn.XLOOKUP(C150,'LD-ELFA'!F:F,'LD-ELFA'!Q:Q)</f>
        <v>FOLHA DE DADOS</v>
      </c>
      <c r="F150" s="56" t="str">
        <f>_xlfn.XLOOKUP(C150,'Data Base'!D:D,'Data Base'!O:O)</f>
        <v>Blossom - Documento a emitir</v>
      </c>
      <c r="G150" s="57" t="str">
        <f ca="1">IF(OR('Documentos Atendimentos '!H149="ATRASADO",
        AND('Documentos Emissão'!I148="ATRASADO",
            _xlfn.XLOOKUP(C150,'Documentos Emissão'!C:C,'Documentos Emissão'!G:G)&gt; 'Data Base'!$D$1,
            _xlfn.XLOOKUP(C150,'Documentos Emissão'!C:C,'Documentos Emissão'!G:G)&lt;='Data Base'!$D$1+6)),
    "JUSTIFICATIVA",
    "")</f>
        <v/>
      </c>
      <c r="H150" s="56"/>
    </row>
    <row r="151" spans="2:8" hidden="1" x14ac:dyDescent="0.25">
      <c r="B151" s="53" t="str">
        <f>_xlfn.XLOOKUP(C151,'Data Base'!D:D,'Data Base'!B:B)</f>
        <v>EL - Eletrica</v>
      </c>
      <c r="C151" s="53" t="s">
        <v>155</v>
      </c>
      <c r="D151" s="53" t="str">
        <f>_xlfn.XLOOKUP(C151,'LD-ELFA'!F:F,'LD-ELFA'!H:H)</f>
        <v>FD-A1-1911-E-PB-0004</v>
      </c>
      <c r="E151" s="53" t="str">
        <f>_xlfn.XLOOKUP(C151,'LD-ELFA'!F:F,'LD-ELFA'!Q:Q)</f>
        <v>FOLHA DE DADOS</v>
      </c>
      <c r="F151" s="56" t="str">
        <f>_xlfn.XLOOKUP(C151,'Data Base'!D:D,'Data Base'!O:O)</f>
        <v>Blossom - Documento a emitir</v>
      </c>
      <c r="G151" s="57" t="str">
        <f ca="1">IF(OR('Documentos Atendimentos '!H150="ATRASADO",
        AND('Documentos Emissão'!I149="ATRASADO",
            _xlfn.XLOOKUP(C151,'Documentos Emissão'!C:C,'Documentos Emissão'!G:G)&gt; 'Data Base'!$D$1,
            _xlfn.XLOOKUP(C151,'Documentos Emissão'!C:C,'Documentos Emissão'!G:G)&lt;='Data Base'!$D$1+6)),
    "JUSTIFICATIVA",
    "")</f>
        <v/>
      </c>
      <c r="H151" s="56"/>
    </row>
    <row r="152" spans="2:8" hidden="1" x14ac:dyDescent="0.25">
      <c r="B152" s="53" t="str">
        <f>_xlfn.XLOOKUP(C152,'Data Base'!D:D,'Data Base'!B:B)</f>
        <v>EL - Eletrica</v>
      </c>
      <c r="C152" s="53" t="s">
        <v>156</v>
      </c>
      <c r="D152" s="53" t="str">
        <f>_xlfn.XLOOKUP(C152,'LD-ELFA'!F:F,'LD-ELFA'!H:H)</f>
        <v>FD-A1-1900-E-PB-0008</v>
      </c>
      <c r="E152" s="53" t="str">
        <f>_xlfn.XLOOKUP(C152,'LD-ELFA'!F:F,'LD-ELFA'!Q:Q)</f>
        <v>FOLHA DE DADOS</v>
      </c>
      <c r="F152" s="56" t="str">
        <f>_xlfn.XLOOKUP(C152,'Data Base'!D:D,'Data Base'!O:O)</f>
        <v>Blossom - Documento a emitir</v>
      </c>
      <c r="G152" s="57" t="str">
        <f ca="1">IF(OR('Documentos Atendimentos '!H151="ATRASADO",
        AND('Documentos Emissão'!I150="ATRASADO",
            _xlfn.XLOOKUP(C152,'Documentos Emissão'!C:C,'Documentos Emissão'!G:G)&gt; 'Data Base'!$D$1,
            _xlfn.XLOOKUP(C152,'Documentos Emissão'!C:C,'Documentos Emissão'!G:G)&lt;='Data Base'!$D$1+6)),
    "JUSTIFICATIVA",
    "")</f>
        <v/>
      </c>
      <c r="H152" s="56"/>
    </row>
    <row r="153" spans="2:8" hidden="1" x14ac:dyDescent="0.25">
      <c r="B153" s="53" t="str">
        <f>_xlfn.XLOOKUP(C153,'Data Base'!D:D,'Data Base'!B:B)</f>
        <v>EL - Eletrica</v>
      </c>
      <c r="C153" s="53" t="s">
        <v>157</v>
      </c>
      <c r="D153" s="53" t="str">
        <f>_xlfn.XLOOKUP(C153,'LD-ELFA'!F:F,'LD-ELFA'!H:H)</f>
        <v>FD-A1-1911-E-PB-0002</v>
      </c>
      <c r="E153" s="53" t="str">
        <f>_xlfn.XLOOKUP(C153,'LD-ELFA'!F:F,'LD-ELFA'!Q:Q)</f>
        <v>FOLHA DE DADOS</v>
      </c>
      <c r="F153" s="56" t="str">
        <f>_xlfn.XLOOKUP(C153,'Data Base'!D:D,'Data Base'!O:O)</f>
        <v>Blossom - Documento a emitir</v>
      </c>
      <c r="G153" s="57" t="str">
        <f ca="1">IF(OR('Documentos Atendimentos '!H152="ATRASADO",
        AND('Documentos Emissão'!I151="ATRASADO",
            _xlfn.XLOOKUP(C153,'Documentos Emissão'!C:C,'Documentos Emissão'!G:G)&gt; 'Data Base'!$D$1,
            _xlfn.XLOOKUP(C153,'Documentos Emissão'!C:C,'Documentos Emissão'!G:G)&lt;='Data Base'!$D$1+6)),
    "JUSTIFICATIVA",
    "")</f>
        <v/>
      </c>
      <c r="H153" s="56"/>
    </row>
    <row r="154" spans="2:8" hidden="1" x14ac:dyDescent="0.25">
      <c r="B154" s="53" t="str">
        <f>_xlfn.XLOOKUP(C154,'Data Base'!D:D,'Data Base'!B:B)</f>
        <v>EL - Eletrica</v>
      </c>
      <c r="C154" s="53" t="s">
        <v>158</v>
      </c>
      <c r="D154" s="53" t="str">
        <f>_xlfn.XLOOKUP(C154,'LD-ELFA'!F:F,'LD-ELFA'!H:H)</f>
        <v>FD-A1-1900-E-PB-0005</v>
      </c>
      <c r="E154" s="53" t="str">
        <f>_xlfn.XLOOKUP(C154,'LD-ELFA'!F:F,'LD-ELFA'!Q:Q)</f>
        <v>FOLHA DE DADOS</v>
      </c>
      <c r="F154" s="56" t="str">
        <f>_xlfn.XLOOKUP(C154,'Data Base'!D:D,'Data Base'!O:O)</f>
        <v>Blossom - Documento a emitir</v>
      </c>
      <c r="G154" s="57" t="str">
        <f ca="1">IF(OR('Documentos Atendimentos '!H153="ATRASADO",
        AND('Documentos Emissão'!I152="ATRASADO",
            _xlfn.XLOOKUP(C154,'Documentos Emissão'!C:C,'Documentos Emissão'!G:G)&gt; 'Data Base'!$D$1,
            _xlfn.XLOOKUP(C154,'Documentos Emissão'!C:C,'Documentos Emissão'!G:G)&lt;='Data Base'!$D$1+6)),
    "JUSTIFICATIVA",
    "")</f>
        <v/>
      </c>
      <c r="H154" s="56"/>
    </row>
    <row r="155" spans="2:8" hidden="1" x14ac:dyDescent="0.25">
      <c r="B155" s="53" t="str">
        <f>_xlfn.XLOOKUP(C155,'Data Base'!D:D,'Data Base'!B:B)</f>
        <v>EL - Eletrica</v>
      </c>
      <c r="C155" s="53" t="s">
        <v>159</v>
      </c>
      <c r="D155" s="53" t="str">
        <f>_xlfn.XLOOKUP(C155,'LD-ELFA'!F:F,'LD-ELFA'!H:H)</f>
        <v>FD-A1-1903-E-PB-0001</v>
      </c>
      <c r="E155" s="53" t="str">
        <f>_xlfn.XLOOKUP(C155,'LD-ELFA'!F:F,'LD-ELFA'!Q:Q)</f>
        <v>FOLHA DE DADOS</v>
      </c>
      <c r="F155" s="56" t="str">
        <f>_xlfn.XLOOKUP(C155,'Data Base'!D:D,'Data Base'!O:O)</f>
        <v>Blossom - Documento a emitir</v>
      </c>
      <c r="G155" s="57" t="str">
        <f ca="1">IF(OR('Documentos Atendimentos '!H154="ATRASADO",
        AND('Documentos Emissão'!I153="ATRASADO",
            _xlfn.XLOOKUP(C155,'Documentos Emissão'!C:C,'Documentos Emissão'!G:G)&gt; 'Data Base'!$D$1,
            _xlfn.XLOOKUP(C155,'Documentos Emissão'!C:C,'Documentos Emissão'!G:G)&lt;='Data Base'!$D$1+6)),
    "JUSTIFICATIVA",
    "")</f>
        <v/>
      </c>
      <c r="H155" s="56"/>
    </row>
    <row r="156" spans="2:8" hidden="1" x14ac:dyDescent="0.25">
      <c r="B156" s="53" t="str">
        <f>_xlfn.XLOOKUP(C156,'Data Base'!D:D,'Data Base'!B:B)</f>
        <v>EL - Eletrica</v>
      </c>
      <c r="C156" s="53" t="s">
        <v>160</v>
      </c>
      <c r="D156" s="53" t="str">
        <f>_xlfn.XLOOKUP(C156,'LD-ELFA'!F:F,'LD-ELFA'!H:H)</f>
        <v>FD-A1-1900-E-PB-0009</v>
      </c>
      <c r="E156" s="53" t="str">
        <f>_xlfn.XLOOKUP(C156,'LD-ELFA'!F:F,'LD-ELFA'!Q:Q)</f>
        <v>FOLHA DE DADOS</v>
      </c>
      <c r="F156" s="56" t="str">
        <f>_xlfn.XLOOKUP(C156,'Data Base'!D:D,'Data Base'!O:O)</f>
        <v>Blossom - Documento a emitir</v>
      </c>
      <c r="G156" s="57" t="str">
        <f ca="1">IF(OR('Documentos Atendimentos '!H155="ATRASADO",
        AND('Documentos Emissão'!I154="ATRASADO",
            _xlfn.XLOOKUP(C156,'Documentos Emissão'!C:C,'Documentos Emissão'!G:G)&gt; 'Data Base'!$D$1,
            _xlfn.XLOOKUP(C156,'Documentos Emissão'!C:C,'Documentos Emissão'!G:G)&lt;='Data Base'!$D$1+6)),
    "JUSTIFICATIVA",
    "")</f>
        <v/>
      </c>
      <c r="H156" s="56"/>
    </row>
    <row r="157" spans="2:8" hidden="1" x14ac:dyDescent="0.25">
      <c r="B157" s="53" t="str">
        <f>_xlfn.XLOOKUP(C157,'Data Base'!D:D,'Data Base'!B:B)</f>
        <v>EL - Eletrica</v>
      </c>
      <c r="C157" s="53" t="s">
        <v>161</v>
      </c>
      <c r="D157" s="53" t="str">
        <f>_xlfn.XLOOKUP(C157,'LD-ELFA'!F:F,'LD-ELFA'!H:H)</f>
        <v>FD-A1-1900-E-PB-0004</v>
      </c>
      <c r="E157" s="53" t="str">
        <f>_xlfn.XLOOKUP(C157,'LD-ELFA'!F:F,'LD-ELFA'!Q:Q)</f>
        <v>FOLHA DE DADOS</v>
      </c>
      <c r="F157" s="56" t="str">
        <f>_xlfn.XLOOKUP(C157,'Data Base'!D:D,'Data Base'!O:O)</f>
        <v>Blossom - Documento a emitir</v>
      </c>
      <c r="G157" s="57" t="str">
        <f ca="1">IF(OR('Documentos Atendimentos '!H156="ATRASADO",
        AND('Documentos Emissão'!I155="ATRASADO",
            _xlfn.XLOOKUP(C157,'Documentos Emissão'!C:C,'Documentos Emissão'!G:G)&gt; 'Data Base'!$D$1,
            _xlfn.XLOOKUP(C157,'Documentos Emissão'!C:C,'Documentos Emissão'!G:G)&lt;='Data Base'!$D$1+6)),
    "JUSTIFICATIVA",
    "")</f>
        <v/>
      </c>
      <c r="H157" s="56"/>
    </row>
    <row r="158" spans="2:8" hidden="1" x14ac:dyDescent="0.25">
      <c r="B158" s="53" t="str">
        <f>_xlfn.XLOOKUP(C158,'Data Base'!D:D,'Data Base'!B:B)</f>
        <v>EL - Eletrica</v>
      </c>
      <c r="C158" s="53" t="s">
        <v>162</v>
      </c>
      <c r="D158" s="53" t="str">
        <f>_xlfn.XLOOKUP(C158,'LD-ELFA'!F:F,'LD-ELFA'!H:H)</f>
        <v>FD-A1-1900-E-PB-0006</v>
      </c>
      <c r="E158" s="53" t="str">
        <f>_xlfn.XLOOKUP(C158,'LD-ELFA'!F:F,'LD-ELFA'!Q:Q)</f>
        <v>FOLHA DE DADOS</v>
      </c>
      <c r="F158" s="56" t="str">
        <f>_xlfn.XLOOKUP(C158,'Data Base'!D:D,'Data Base'!O:O)</f>
        <v>Blossom - Documento a emitir</v>
      </c>
      <c r="G158" s="57" t="str">
        <f ca="1">IF(OR('Documentos Atendimentos '!H157="ATRASADO",
        AND('Documentos Emissão'!I156="ATRASADO",
            _xlfn.XLOOKUP(C158,'Documentos Emissão'!C:C,'Documentos Emissão'!G:G)&gt; 'Data Base'!$D$1,
            _xlfn.XLOOKUP(C158,'Documentos Emissão'!C:C,'Documentos Emissão'!G:G)&lt;='Data Base'!$D$1+6)),
    "JUSTIFICATIVA",
    "")</f>
        <v/>
      </c>
      <c r="H158" s="56"/>
    </row>
    <row r="159" spans="2:8" hidden="1" x14ac:dyDescent="0.25">
      <c r="B159" s="53" t="str">
        <f>_xlfn.XLOOKUP(C159,'Data Base'!D:D,'Data Base'!B:B)</f>
        <v>EL - Eletrica</v>
      </c>
      <c r="C159" s="53" t="s">
        <v>163</v>
      </c>
      <c r="D159" s="53" t="str">
        <f>_xlfn.XLOOKUP(C159,'LD-ELFA'!F:F,'LD-ELFA'!H:H)</f>
        <v>FD-A1-1911-E-PB-0003</v>
      </c>
      <c r="E159" s="53" t="str">
        <f>_xlfn.XLOOKUP(C159,'LD-ELFA'!F:F,'LD-ELFA'!Q:Q)</f>
        <v>FOLHA DE DADOS</v>
      </c>
      <c r="F159" s="56" t="str">
        <f>_xlfn.XLOOKUP(C159,'Data Base'!D:D,'Data Base'!O:O)</f>
        <v>Blossom - Documento a emitir</v>
      </c>
      <c r="G159" s="57" t="str">
        <f ca="1">IF(OR('Documentos Atendimentos '!H158="ATRASADO",
        AND('Documentos Emissão'!I157="ATRASADO",
            _xlfn.XLOOKUP(C159,'Documentos Emissão'!C:C,'Documentos Emissão'!G:G)&gt; 'Data Base'!$D$1,
            _xlfn.XLOOKUP(C159,'Documentos Emissão'!C:C,'Documentos Emissão'!G:G)&lt;='Data Base'!$D$1+6)),
    "JUSTIFICATIVA",
    "")</f>
        <v/>
      </c>
      <c r="H159" s="56"/>
    </row>
    <row r="160" spans="2:8" hidden="1" x14ac:dyDescent="0.25">
      <c r="B160" s="53" t="str">
        <f>_xlfn.XLOOKUP(C160,'Data Base'!D:D,'Data Base'!B:B)</f>
        <v>EL - Eletrica</v>
      </c>
      <c r="C160" s="53" t="s">
        <v>164</v>
      </c>
      <c r="D160" s="53" t="str">
        <f>_xlfn.XLOOKUP(C160,'LD-ELFA'!F:F,'LD-ELFA'!H:H)</f>
        <v>FD-A1-1900-E-PB-0002</v>
      </c>
      <c r="E160" s="53" t="str">
        <f>_xlfn.XLOOKUP(C160,'LD-ELFA'!F:F,'LD-ELFA'!Q:Q)</f>
        <v>FOLHA DE DADOS</v>
      </c>
      <c r="F160" s="56" t="str">
        <f>_xlfn.XLOOKUP(C160,'Data Base'!D:D,'Data Base'!O:O)</f>
        <v>Blossom - Documento a emitir</v>
      </c>
      <c r="G160" s="57" t="str">
        <f ca="1">IF(OR('Documentos Atendimentos '!H159="ATRASADO",
        AND('Documentos Emissão'!I158="ATRASADO",
            _xlfn.XLOOKUP(C160,'Documentos Emissão'!C:C,'Documentos Emissão'!G:G)&gt; 'Data Base'!$D$1,
            _xlfn.XLOOKUP(C160,'Documentos Emissão'!C:C,'Documentos Emissão'!G:G)&lt;='Data Base'!$D$1+6)),
    "JUSTIFICATIVA",
    "")</f>
        <v/>
      </c>
      <c r="H160" s="56"/>
    </row>
    <row r="161" spans="2:8" hidden="1" x14ac:dyDescent="0.25">
      <c r="B161" s="53" t="str">
        <f>_xlfn.XLOOKUP(C161,'Data Base'!D:D,'Data Base'!B:B)</f>
        <v>EL - Eletrica</v>
      </c>
      <c r="C161" s="53" t="s">
        <v>165</v>
      </c>
      <c r="D161" s="53" t="str">
        <f>_xlfn.XLOOKUP(C161,'LD-ELFA'!F:F,'LD-ELFA'!H:H)</f>
        <v>FD-A1-1900-E-PB-0003</v>
      </c>
      <c r="E161" s="53" t="str">
        <f>_xlfn.XLOOKUP(C161,'LD-ELFA'!F:F,'LD-ELFA'!Q:Q)</f>
        <v>FOLHA DE DADOS</v>
      </c>
      <c r="F161" s="56" t="str">
        <f>_xlfn.XLOOKUP(C161,'Data Base'!D:D,'Data Base'!O:O)</f>
        <v>Blossom - Documento a emitir</v>
      </c>
      <c r="G161" s="57" t="str">
        <f ca="1">IF(OR('Documentos Atendimentos '!H160="ATRASADO",
        AND('Documentos Emissão'!I159="ATRASADO",
            _xlfn.XLOOKUP(C161,'Documentos Emissão'!C:C,'Documentos Emissão'!G:G)&gt; 'Data Base'!$D$1,
            _xlfn.XLOOKUP(C161,'Documentos Emissão'!C:C,'Documentos Emissão'!G:G)&lt;='Data Base'!$D$1+6)),
    "JUSTIFICATIVA",
    "")</f>
        <v/>
      </c>
      <c r="H161" s="56"/>
    </row>
    <row r="162" spans="2:8" hidden="1" x14ac:dyDescent="0.25">
      <c r="B162" s="53" t="str">
        <f>_xlfn.XLOOKUP(C162,'Data Base'!D:D,'Data Base'!B:B)</f>
        <v>EL - Eletrica</v>
      </c>
      <c r="C162" s="53" t="s">
        <v>166</v>
      </c>
      <c r="D162" s="53" t="str">
        <f>_xlfn.XLOOKUP(C162,'LD-ELFA'!F:F,'LD-ELFA'!H:H)</f>
        <v>FD-A1-1911-E-PB-0001</v>
      </c>
      <c r="E162" s="53" t="str">
        <f>_xlfn.XLOOKUP(C162,'LD-ELFA'!F:F,'LD-ELFA'!Q:Q)</f>
        <v>FOLHA DE DADOS</v>
      </c>
      <c r="F162" s="56" t="str">
        <f>_xlfn.XLOOKUP(C162,'Data Base'!D:D,'Data Base'!O:O)</f>
        <v>Blossom - Documento a emitir</v>
      </c>
      <c r="G162" s="57" t="str">
        <f ca="1">IF(OR('Documentos Atendimentos '!H161="ATRASADO",
        AND('Documentos Emissão'!I160="ATRASADO",
            _xlfn.XLOOKUP(C162,'Documentos Emissão'!C:C,'Documentos Emissão'!G:G)&gt; 'Data Base'!$D$1,
            _xlfn.XLOOKUP(C162,'Documentos Emissão'!C:C,'Documentos Emissão'!G:G)&lt;='Data Base'!$D$1+6)),
    "JUSTIFICATIVA",
    "")</f>
        <v/>
      </c>
      <c r="H162" s="56"/>
    </row>
    <row r="163" spans="2:8" hidden="1" x14ac:dyDescent="0.25">
      <c r="B163" s="53" t="str">
        <f>_xlfn.XLOOKUP(C163,'Data Base'!D:D,'Data Base'!B:B)</f>
        <v>EL - Eletrica</v>
      </c>
      <c r="C163" s="53" t="s">
        <v>167</v>
      </c>
      <c r="D163" s="53" t="str">
        <f>_xlfn.XLOOKUP(C163,'LD-ELFA'!F:F,'LD-ELFA'!H:H)</f>
        <v>LE-A1-1900-E-PB-4000</v>
      </c>
      <c r="E163" s="53" t="str">
        <f>_xlfn.XLOOKUP(C163,'LD-ELFA'!F:F,'LD-ELFA'!Q:Q)</f>
        <v>LISTA DE EQUIPAMENTOS ELÉTRICOS</v>
      </c>
      <c r="F163" s="56" t="str">
        <f>_xlfn.XLOOKUP(C163,'Data Base'!D:D,'Data Base'!O:O)</f>
        <v>Blossom - Documento a emitir</v>
      </c>
      <c r="G163" s="57" t="str">
        <f ca="1">IF(OR('Documentos Atendimentos '!H162="ATRASADO",
        AND('Documentos Emissão'!I161="ATRASADO",
            _xlfn.XLOOKUP(C163,'Documentos Emissão'!C:C,'Documentos Emissão'!G:G)&gt; 'Data Base'!$D$1,
            _xlfn.XLOOKUP(C163,'Documentos Emissão'!C:C,'Documentos Emissão'!G:G)&lt;='Data Base'!$D$1+6)),
    "JUSTIFICATIVA",
    "")</f>
        <v/>
      </c>
      <c r="H163" s="56"/>
    </row>
    <row r="164" spans="2:8" hidden="1" x14ac:dyDescent="0.25">
      <c r="B164" s="53" t="str">
        <f>_xlfn.XLOOKUP(C164,'Data Base'!D:D,'Data Base'!B:B)</f>
        <v>EL - Eletrica</v>
      </c>
      <c r="C164" s="53" t="s">
        <v>168</v>
      </c>
      <c r="D164" s="53" t="str">
        <f>_xlfn.XLOOKUP(C164,'LD-ELFA'!F:F,'LD-ELFA'!H:H)</f>
        <v>LE-A1-1100-E-PB-4000</v>
      </c>
      <c r="E164" s="53" t="str">
        <f>_xlfn.XLOOKUP(C164,'LD-ELFA'!F:F,'LD-ELFA'!Q:Q)</f>
        <v>LISTA DE EQUIPAMENTOS ELÉTRICOS</v>
      </c>
      <c r="F164" s="56" t="str">
        <f>_xlfn.XLOOKUP(C164,'Data Base'!D:D,'Data Base'!O:O)</f>
        <v>Blossom - Documento a emitir</v>
      </c>
      <c r="G164" s="57" t="str">
        <f ca="1">IF(OR('Documentos Atendimentos '!H163="ATRASADO",
        AND('Documentos Emissão'!I162="ATRASADO",
            _xlfn.XLOOKUP(C164,'Documentos Emissão'!C:C,'Documentos Emissão'!G:G)&gt; 'Data Base'!$D$1,
            _xlfn.XLOOKUP(C164,'Documentos Emissão'!C:C,'Documentos Emissão'!G:G)&lt;='Data Base'!$D$1+6)),
    "JUSTIFICATIVA",
    "")</f>
        <v/>
      </c>
      <c r="H164" s="56"/>
    </row>
    <row r="165" spans="2:8" hidden="1" x14ac:dyDescent="0.25">
      <c r="B165" s="53" t="str">
        <f>_xlfn.XLOOKUP(C165,'Data Base'!D:D,'Data Base'!B:B)</f>
        <v>EL - Eletrica</v>
      </c>
      <c r="C165" s="53" t="s">
        <v>169</v>
      </c>
      <c r="D165" s="53" t="str">
        <f>_xlfn.XLOOKUP(C165,'LD-ELFA'!F:F,'LD-ELFA'!H:H)</f>
        <v>LB-A1-1900-E-PB-4000</v>
      </c>
      <c r="E165" s="53" t="str">
        <f>_xlfn.XLOOKUP(C165,'LD-ELFA'!F:F,'LD-ELFA'!Q:Q)</f>
        <v>LISTAS DE CABOS ELÉTRICOS</v>
      </c>
      <c r="F165" s="56" t="str">
        <f>_xlfn.XLOOKUP(C165,'Data Base'!D:D,'Data Base'!O:O)</f>
        <v>Blossom - Documento a emitir</v>
      </c>
      <c r="G165" s="57" t="str">
        <f ca="1">IF(OR('Documentos Atendimentos '!H164="ATRASADO",
        AND('Documentos Emissão'!I163="ATRASADO",
            _xlfn.XLOOKUP(C165,'Documentos Emissão'!C:C,'Documentos Emissão'!G:G)&gt; 'Data Base'!$D$1,
            _xlfn.XLOOKUP(C165,'Documentos Emissão'!C:C,'Documentos Emissão'!G:G)&lt;='Data Base'!$D$1+6)),
    "JUSTIFICATIVA",
    "")</f>
        <v/>
      </c>
      <c r="H165" s="56"/>
    </row>
    <row r="166" spans="2:8" hidden="1" x14ac:dyDescent="0.25">
      <c r="B166" s="53" t="str">
        <f>_xlfn.XLOOKUP(C166,'Data Base'!D:D,'Data Base'!B:B)</f>
        <v>EL - Eletrica</v>
      </c>
      <c r="C166" s="53" t="s">
        <v>170</v>
      </c>
      <c r="D166" s="53" t="str">
        <f>_xlfn.XLOOKUP(C166,'LD-ELFA'!F:F,'LD-ELFA'!H:H)</f>
        <v>LB-A1-1100-E-PB-4000</v>
      </c>
      <c r="E166" s="53" t="str">
        <f>_xlfn.XLOOKUP(C166,'LD-ELFA'!F:F,'LD-ELFA'!Q:Q)</f>
        <v>LISTAS DE CABOS ELÉTRICOS</v>
      </c>
      <c r="F166" s="56" t="str">
        <f>_xlfn.XLOOKUP(C166,'Data Base'!D:D,'Data Base'!O:O)</f>
        <v>Blossom - Documento a emitir</v>
      </c>
      <c r="G166" s="57" t="str">
        <f ca="1">IF(OR('Documentos Atendimentos '!H165="ATRASADO",
        AND('Documentos Emissão'!I164="ATRASADO",
            _xlfn.XLOOKUP(C166,'Documentos Emissão'!C:C,'Documentos Emissão'!G:G)&gt; 'Data Base'!$D$1,
            _xlfn.XLOOKUP(C166,'Documentos Emissão'!C:C,'Documentos Emissão'!G:G)&lt;='Data Base'!$D$1+6)),
    "JUSTIFICATIVA",
    "")</f>
        <v/>
      </c>
      <c r="H166" s="56"/>
    </row>
    <row r="167" spans="2:8" hidden="1" x14ac:dyDescent="0.25">
      <c r="B167" s="53" t="str">
        <f>_xlfn.XLOOKUP(C167,'Data Base'!D:D,'Data Base'!B:B)</f>
        <v>EL - Eletrica</v>
      </c>
      <c r="C167" s="53" t="s">
        <v>171</v>
      </c>
      <c r="D167" s="53" t="str">
        <f>_xlfn.XLOOKUP(C167,'LD-ELFA'!F:F,'LD-ELFA'!H:H)</f>
        <v>MC-A1-1900-E-PB-4000</v>
      </c>
      <c r="E167" s="53" t="str">
        <f>_xlfn.XLOOKUP(C167,'LD-ELFA'!F:F,'LD-ELFA'!Q:Q)</f>
        <v>MEMÓRIA DE CÁLCULO DE CABOS</v>
      </c>
      <c r="F167" s="56" t="str">
        <f>_xlfn.XLOOKUP(C167,'Data Base'!D:D,'Data Base'!O:O)</f>
        <v>Blossom - Documento a emitir</v>
      </c>
      <c r="G167" s="57" t="str">
        <f ca="1">IF(OR('Documentos Atendimentos '!H166="ATRASADO",
        AND('Documentos Emissão'!I165="ATRASADO",
            _xlfn.XLOOKUP(C167,'Documentos Emissão'!C:C,'Documentos Emissão'!G:G)&gt; 'Data Base'!$D$1,
            _xlfn.XLOOKUP(C167,'Documentos Emissão'!C:C,'Documentos Emissão'!G:G)&lt;='Data Base'!$D$1+6)),
    "JUSTIFICATIVA",
    "")</f>
        <v/>
      </c>
      <c r="H167" s="56"/>
    </row>
    <row r="168" spans="2:8" hidden="1" x14ac:dyDescent="0.25">
      <c r="B168" s="53" t="str">
        <f>_xlfn.XLOOKUP(C168,'Data Base'!D:D,'Data Base'!B:B)</f>
        <v>EL - Eletrica</v>
      </c>
      <c r="C168" s="53" t="s">
        <v>172</v>
      </c>
      <c r="D168" s="53" t="str">
        <f>_xlfn.XLOOKUP(C168,'LD-ELFA'!F:F,'LD-ELFA'!H:H)</f>
        <v>MC-A1-1900-E-PB-4001</v>
      </c>
      <c r="E168" s="53" t="str">
        <f>_xlfn.XLOOKUP(C168,'LD-ELFA'!F:F,'LD-ELFA'!Q:Q)</f>
        <v>MEMÓRIA DE CÁLCULO DE EQUIPAMENTOS ELÉTRICOS</v>
      </c>
      <c r="F168" s="56" t="str">
        <f>_xlfn.XLOOKUP(C168,'Data Base'!D:D,'Data Base'!O:O)</f>
        <v>Blossom - Documento a emitir</v>
      </c>
      <c r="G168" s="57" t="str">
        <f ca="1">IF(OR('Documentos Atendimentos '!H167="ATRASADO",
        AND('Documentos Emissão'!I166="ATRASADO",
            _xlfn.XLOOKUP(C168,'Documentos Emissão'!C:C,'Documentos Emissão'!G:G)&gt; 'Data Base'!$D$1,
            _xlfn.XLOOKUP(C168,'Documentos Emissão'!C:C,'Documentos Emissão'!G:G)&lt;='Data Base'!$D$1+6)),
    "JUSTIFICATIVA",
    "")</f>
        <v/>
      </c>
      <c r="H168" s="56"/>
    </row>
    <row r="169" spans="2:8" hidden="1" x14ac:dyDescent="0.25">
      <c r="B169" s="53" t="str">
        <f>_xlfn.XLOOKUP(C169,'Data Base'!D:D,'Data Base'!B:B)</f>
        <v>EL - Eletrica</v>
      </c>
      <c r="C169" s="53" t="s">
        <v>173</v>
      </c>
      <c r="D169" s="53" t="str">
        <f>_xlfn.XLOOKUP(C169,'LD-ELFA'!F:F,'LD-ELFA'!H:H)</f>
        <v>MC-A1-1100-E-PB-4000</v>
      </c>
      <c r="E169" s="53" t="str">
        <f>_xlfn.XLOOKUP(C169,'LD-ELFA'!F:F,'LD-ELFA'!Q:Q)</f>
        <v>MEMÓRA DE CÁLCULO DE CABOS</v>
      </c>
      <c r="F169" s="56" t="str">
        <f>_xlfn.XLOOKUP(C169,'Data Base'!D:D,'Data Base'!O:O)</f>
        <v>Blossom - Documento a emitir</v>
      </c>
      <c r="G169" s="57" t="str">
        <f ca="1">IF(OR('Documentos Atendimentos '!H168="ATRASADO",
        AND('Documentos Emissão'!I167="ATRASADO",
            _xlfn.XLOOKUP(C169,'Documentos Emissão'!C:C,'Documentos Emissão'!G:G)&gt; 'Data Base'!$D$1,
            _xlfn.XLOOKUP(C169,'Documentos Emissão'!C:C,'Documentos Emissão'!G:G)&lt;='Data Base'!$D$1+6)),
    "JUSTIFICATIVA",
    "")</f>
        <v/>
      </c>
      <c r="H169" s="56"/>
    </row>
    <row r="170" spans="2:8" hidden="1" x14ac:dyDescent="0.25">
      <c r="B170" s="53" t="str">
        <f>_xlfn.XLOOKUP(C170,'Data Base'!D:D,'Data Base'!B:B)</f>
        <v>EL - Eletrica</v>
      </c>
      <c r="C170" s="53" t="s">
        <v>174</v>
      </c>
      <c r="D170" s="53" t="str">
        <f>_xlfn.XLOOKUP(C170,'LD-ELFA'!F:F,'LD-ELFA'!H:H)</f>
        <v>MC-A1-2000-J-PB-0001</v>
      </c>
      <c r="E170" s="53" t="str">
        <f>_xlfn.XLOOKUP(C170,'LD-ELFA'!F:F,'LD-ELFA'!Q:Q)</f>
        <v>MEMÓRIA DE CÁLCULO DE CABOS DE CONTROLE</v>
      </c>
      <c r="F170" s="56" t="str">
        <f>_xlfn.XLOOKUP(C170,'Data Base'!D:D,'Data Base'!O:O)</f>
        <v>Blossom - Documento a emitir</v>
      </c>
      <c r="G170" s="57" t="str">
        <f ca="1">IF(OR('Documentos Atendimentos '!H169="ATRASADO",
        AND('Documentos Emissão'!I168="ATRASADO",
            _xlfn.XLOOKUP(C170,'Documentos Emissão'!C:C,'Documentos Emissão'!G:G)&gt; 'Data Base'!$D$1,
            _xlfn.XLOOKUP(C170,'Documentos Emissão'!C:C,'Documentos Emissão'!G:G)&lt;='Data Base'!$D$1+6)),
    "JUSTIFICATIVA",
    "")</f>
        <v/>
      </c>
      <c r="H170" s="56"/>
    </row>
    <row r="171" spans="2:8" hidden="1" x14ac:dyDescent="0.25">
      <c r="B171" s="53" t="str">
        <f>_xlfn.XLOOKUP(C171,'Data Base'!D:D,'Data Base'!B:B)</f>
        <v>EL - Eletrica</v>
      </c>
      <c r="C171" s="53" t="s">
        <v>175</v>
      </c>
      <c r="D171" s="53" t="str">
        <f>_xlfn.XLOOKUP(C171,'LD-ELFA'!F:F,'LD-ELFA'!H:H)</f>
        <v>MD-A1-1900-E-PB-4000</v>
      </c>
      <c r="E171" s="53" t="str">
        <f>_xlfn.XLOOKUP(C171,'LD-ELFA'!F:F,'LD-ELFA'!Q:Q)</f>
        <v>MEMORIAL DESCRITIVO DO PROJETO BÁSICO DO SISTEMA ELÉTRICO</v>
      </c>
      <c r="F171" s="56" t="str">
        <f>_xlfn.XLOOKUP(C171,'Data Base'!D:D,'Data Base'!O:O)</f>
        <v>Blossom - Documento a emitir</v>
      </c>
      <c r="G171" s="57" t="str">
        <f ca="1">IF(OR('Documentos Atendimentos '!H170="ATRASADO",
        AND('Documentos Emissão'!I169="ATRASADO",
            _xlfn.XLOOKUP(C171,'Documentos Emissão'!C:C,'Documentos Emissão'!G:G)&gt; 'Data Base'!$D$1,
            _xlfn.XLOOKUP(C171,'Documentos Emissão'!C:C,'Documentos Emissão'!G:G)&lt;='Data Base'!$D$1+6)),
    "JUSTIFICATIVA",
    "")</f>
        <v/>
      </c>
      <c r="H171" s="56"/>
    </row>
    <row r="172" spans="2:8" hidden="1" x14ac:dyDescent="0.25">
      <c r="B172" s="53" t="str">
        <f>_xlfn.XLOOKUP(C172,'Data Base'!D:D,'Data Base'!B:B)</f>
        <v>EL - Eletrica</v>
      </c>
      <c r="C172" s="53" t="s">
        <v>176</v>
      </c>
      <c r="D172" s="53" t="str">
        <f>_xlfn.XLOOKUP(C172,'LD-ELFA'!F:F,'LD-ELFA'!H:H)</f>
        <v>MD-A1-1100-E-PB-4000</v>
      </c>
      <c r="E172" s="53" t="str">
        <f>_xlfn.XLOOKUP(C172,'LD-ELFA'!F:F,'LD-ELFA'!Q:Q)</f>
        <v>MEMORIAL DESCRITIVO DO PROJETO BÁSICO DO SISTEMA ELÉTRICO</v>
      </c>
      <c r="F172" s="56" t="str">
        <f>_xlfn.XLOOKUP(C172,'Data Base'!D:D,'Data Base'!O:O)</f>
        <v>Blossom - Documento a emitir</v>
      </c>
      <c r="G172" s="57" t="str">
        <f ca="1">IF(OR('Documentos Atendimentos '!H171="ATRASADO",
        AND('Documentos Emissão'!I170="ATRASADO",
            _xlfn.XLOOKUP(C172,'Documentos Emissão'!C:C,'Documentos Emissão'!G:G)&gt; 'Data Base'!$D$1,
            _xlfn.XLOOKUP(C172,'Documentos Emissão'!C:C,'Documentos Emissão'!G:G)&lt;='Data Base'!$D$1+6)),
    "JUSTIFICATIVA",
    "")</f>
        <v/>
      </c>
      <c r="H172" s="56"/>
    </row>
    <row r="173" spans="2:8" hidden="1" x14ac:dyDescent="0.25">
      <c r="B173" s="53" t="str">
        <f>_xlfn.XLOOKUP(C173,'Data Base'!D:D,'Data Base'!B:B)</f>
        <v>EL - Eletrica</v>
      </c>
      <c r="C173" s="53" t="s">
        <v>177</v>
      </c>
      <c r="D173" s="53" t="str">
        <f>_xlfn.XLOOKUP(C173,'LD-ELFA'!F:F,'LD-ELFA'!H:H)</f>
        <v>PQ-A1-1900-E-PB-4000</v>
      </c>
      <c r="E173" s="53" t="str">
        <f>_xlfn.XLOOKUP(C173,'LD-ELFA'!F:F,'LD-ELFA'!Q:Q)</f>
        <v xml:space="preserve">PLANILHA DE QUANTIDADES </v>
      </c>
      <c r="F173" s="56" t="str">
        <f>_xlfn.XLOOKUP(C173,'Data Base'!D:D,'Data Base'!O:O)</f>
        <v>Blossom - Documento a emitir</v>
      </c>
      <c r="G173" s="57" t="str">
        <f ca="1">IF(OR('Documentos Atendimentos '!H172="ATRASADO",
        AND('Documentos Emissão'!I171="ATRASADO",
            _xlfn.XLOOKUP(C173,'Documentos Emissão'!C:C,'Documentos Emissão'!G:G)&gt; 'Data Base'!$D$1,
            _xlfn.XLOOKUP(C173,'Documentos Emissão'!C:C,'Documentos Emissão'!G:G)&lt;='Data Base'!$D$1+6)),
    "JUSTIFICATIVA",
    "")</f>
        <v/>
      </c>
      <c r="H173" s="56"/>
    </row>
    <row r="174" spans="2:8" hidden="1" x14ac:dyDescent="0.25">
      <c r="B174" s="53" t="str">
        <f>_xlfn.XLOOKUP(C174,'Data Base'!D:D,'Data Base'!B:B)</f>
        <v>EL - Eletrica</v>
      </c>
      <c r="C174" s="53" t="s">
        <v>178</v>
      </c>
      <c r="D174" s="53" t="str">
        <f>_xlfn.XLOOKUP(C174,'LD-ELFA'!F:F,'LD-ELFA'!H:H)</f>
        <v>PQ-A1-1100-E-PB-4000</v>
      </c>
      <c r="E174" s="53" t="str">
        <f>_xlfn.XLOOKUP(C174,'LD-ELFA'!F:F,'LD-ELFA'!Q:Q)</f>
        <v xml:space="preserve">PLANILHA DE QUANTIDADES </v>
      </c>
      <c r="F174" s="56" t="str">
        <f>_xlfn.XLOOKUP(C174,'Data Base'!D:D,'Data Base'!O:O)</f>
        <v>Blossom - Documento a emitir</v>
      </c>
      <c r="G174" s="57" t="str">
        <f ca="1">IF(OR('Documentos Atendimentos '!H173="ATRASADO",
        AND('Documentos Emissão'!I172="ATRASADO",
            _xlfn.XLOOKUP(C174,'Documentos Emissão'!C:C,'Documentos Emissão'!G:G)&gt; 'Data Base'!$D$1,
            _xlfn.XLOOKUP(C174,'Documentos Emissão'!C:C,'Documentos Emissão'!G:G)&lt;='Data Base'!$D$1+6)),
    "JUSTIFICATIVA",
    "")</f>
        <v/>
      </c>
      <c r="H174" s="56"/>
    </row>
    <row r="175" spans="2:8" hidden="1" x14ac:dyDescent="0.25">
      <c r="B175" s="53" t="e">
        <f>_xlfn.XLOOKUP(C175,'Data Base'!D:D,'Data Base'!B:B)</f>
        <v>#N/A</v>
      </c>
      <c r="C175" s="53" t="s">
        <v>179</v>
      </c>
      <c r="D175" s="53" t="e">
        <f>_xlfn.XLOOKUP(C175,'LD-ELFA'!F:F,'LD-ELFA'!H:H)</f>
        <v>#N/A</v>
      </c>
      <c r="E175" s="53" t="e">
        <f>_xlfn.XLOOKUP(C175,'LD-ELFA'!F:F,'LD-ELFA'!Q:Q)</f>
        <v>#N/A</v>
      </c>
      <c r="F175" s="56" t="str">
        <f>_xlfn.XLOOKUP(C175,'Data Base'!D:D,'Data Base'!O:O)</f>
        <v>Documento Removido</v>
      </c>
      <c r="G175" s="57" t="e">
        <f ca="1">IF(OR('Documentos Atendimentos '!H174="ATRASADO",
        AND('Documentos Emissão'!I173="ATRASADO",
            _xlfn.XLOOKUP(C175,'Documentos Emissão'!C:C,'Documentos Emissão'!G:G)&gt; 'Data Base'!$D$1,
            _xlfn.XLOOKUP(C175,'Documentos Emissão'!C:C,'Documentos Emissão'!G:G)&lt;='Data Base'!$D$1+6)),
    "JUSTIFICATIVA",
    "")</f>
        <v>#N/A</v>
      </c>
      <c r="H175" s="56"/>
    </row>
    <row r="176" spans="2:8" hidden="1" x14ac:dyDescent="0.25">
      <c r="B176" s="53" t="str">
        <f>_xlfn.XLOOKUP(C176,'Data Base'!D:D,'Data Base'!B:B)</f>
        <v>EM - Estrutura Metalica</v>
      </c>
      <c r="C176" s="53" t="s">
        <v>180</v>
      </c>
      <c r="D176" s="53" t="str">
        <f>_xlfn.XLOOKUP(C176,'LD-ELFA'!F:F,'LD-ELFA'!H:H)</f>
        <v>MC-A1-1911-S-PB-4000</v>
      </c>
      <c r="E176" s="53" t="str">
        <f>_xlfn.XLOOKUP(C176,'LD-ELFA'!F:F,'LD-ELFA'!Q:Q)</f>
        <v>MEMÓRIA DE CÁLCULO</v>
      </c>
      <c r="F176" s="56" t="str">
        <f>_xlfn.XLOOKUP(C176,'Data Base'!D:D,'Data Base'!O:O)</f>
        <v>Blossom - Documento a emitir</v>
      </c>
      <c r="G176" s="57" t="str">
        <f ca="1">IF(OR('Documentos Atendimentos '!H175="ATRASADO",
        AND('Documentos Emissão'!I174="ATRASADO",
            _xlfn.XLOOKUP(C176,'Documentos Emissão'!C:C,'Documentos Emissão'!G:G)&gt; 'Data Base'!$D$1,
            _xlfn.XLOOKUP(C176,'Documentos Emissão'!C:C,'Documentos Emissão'!G:G)&lt;='Data Base'!$D$1+6)),
    "JUSTIFICATIVA",
    "")</f>
        <v/>
      </c>
      <c r="H176" s="56"/>
    </row>
    <row r="177" spans="2:8" hidden="1" x14ac:dyDescent="0.25">
      <c r="B177" s="53" t="str">
        <f>_xlfn.XLOOKUP(C177,'Data Base'!D:D,'Data Base'!B:B)</f>
        <v>EM - Estrutura Metalica</v>
      </c>
      <c r="C177" s="53" t="s">
        <v>181</v>
      </c>
      <c r="D177" s="53" t="str">
        <f>_xlfn.XLOOKUP(C177,'LD-ELFA'!F:F,'LD-ELFA'!H:H)</f>
        <v>MC-A1-1912-S-PB-4000</v>
      </c>
      <c r="E177" s="53" t="str">
        <f>_xlfn.XLOOKUP(C177,'LD-ELFA'!F:F,'LD-ELFA'!Q:Q)</f>
        <v>MEMÓRIA DE CÁLCULO</v>
      </c>
      <c r="F177" s="56" t="str">
        <f>_xlfn.XLOOKUP(C177,'Data Base'!D:D,'Data Base'!O:O)</f>
        <v>Blossom - Documento a emitir</v>
      </c>
      <c r="G177" s="57" t="str">
        <f ca="1">IF(OR('Documentos Atendimentos '!H176="ATRASADO",
        AND('Documentos Emissão'!I175="ATRASADO",
            _xlfn.XLOOKUP(C177,'Documentos Emissão'!C:C,'Documentos Emissão'!G:G)&gt; 'Data Base'!$D$1,
            _xlfn.XLOOKUP(C177,'Documentos Emissão'!C:C,'Documentos Emissão'!G:G)&lt;='Data Base'!$D$1+6)),
    "JUSTIFICATIVA",
    "")</f>
        <v/>
      </c>
      <c r="H177" s="56"/>
    </row>
    <row r="178" spans="2:8" hidden="1" x14ac:dyDescent="0.25">
      <c r="B178" s="53" t="str">
        <f>_xlfn.XLOOKUP(C178,'Data Base'!D:D,'Data Base'!B:B)</f>
        <v>EM - Estrutura Metalica</v>
      </c>
      <c r="C178" s="53" t="s">
        <v>182</v>
      </c>
      <c r="D178" s="53" t="str">
        <f>_xlfn.XLOOKUP(C178,'LD-ELFA'!F:F,'LD-ELFA'!H:H)</f>
        <v>MC-A1-1913-S-PB-4000</v>
      </c>
      <c r="E178" s="53" t="str">
        <f>_xlfn.XLOOKUP(C178,'LD-ELFA'!F:F,'LD-ELFA'!Q:Q)</f>
        <v>MEMÓRIA DE CÁLCULO</v>
      </c>
      <c r="F178" s="56" t="str">
        <f>_xlfn.XLOOKUP(C178,'Data Base'!D:D,'Data Base'!O:O)</f>
        <v>Blossom - Documento a emitir</v>
      </c>
      <c r="G178" s="57" t="str">
        <f ca="1">IF(OR('Documentos Atendimentos '!H177="ATRASADO",
        AND('Documentos Emissão'!I176="ATRASADO",
            _xlfn.XLOOKUP(C178,'Documentos Emissão'!C:C,'Documentos Emissão'!G:G)&gt; 'Data Base'!$D$1,
            _xlfn.XLOOKUP(C178,'Documentos Emissão'!C:C,'Documentos Emissão'!G:G)&lt;='Data Base'!$D$1+6)),
    "JUSTIFICATIVA",
    "")</f>
        <v/>
      </c>
      <c r="H178" s="56"/>
    </row>
    <row r="179" spans="2:8" hidden="1" x14ac:dyDescent="0.25">
      <c r="B179" s="53" t="e">
        <f>_xlfn.XLOOKUP(C179,'Data Base'!D:D,'Data Base'!B:B)</f>
        <v>#N/A</v>
      </c>
      <c r="C179" s="53" t="s">
        <v>183</v>
      </c>
      <c r="D179" s="53" t="e">
        <f>_xlfn.XLOOKUP(C179,'LD-ELFA'!F:F,'LD-ELFA'!H:H)</f>
        <v>#N/A</v>
      </c>
      <c r="E179" s="53" t="e">
        <f>_xlfn.XLOOKUP(C179,'LD-ELFA'!F:F,'LD-ELFA'!Q:Q)</f>
        <v>#N/A</v>
      </c>
      <c r="F179" s="56" t="str">
        <f>_xlfn.XLOOKUP(C179,'Data Base'!D:D,'Data Base'!O:O)</f>
        <v>Documento Removido</v>
      </c>
      <c r="G179" s="57" t="e">
        <f ca="1">IF(OR('Documentos Atendimentos '!H178="ATRASADO",
        AND('Documentos Emissão'!I177="ATRASADO",
            _xlfn.XLOOKUP(C179,'Documentos Emissão'!C:C,'Documentos Emissão'!G:G)&gt; 'Data Base'!$D$1,
            _xlfn.XLOOKUP(C179,'Documentos Emissão'!C:C,'Documentos Emissão'!G:G)&lt;='Data Base'!$D$1+6)),
    "JUSTIFICATIVA",
    "")</f>
        <v>#N/A</v>
      </c>
      <c r="H179" s="56"/>
    </row>
    <row r="180" spans="2:8" x14ac:dyDescent="0.25">
      <c r="B180" s="53" t="str">
        <f>_xlfn.XLOOKUP(C180,'Data Base'!D:D,'Data Base'!B:B)</f>
        <v>EM - Estrutura Metalica</v>
      </c>
      <c r="C180" s="53" t="s">
        <v>184</v>
      </c>
      <c r="D180" s="53" t="str">
        <f>_xlfn.XLOOKUP(C180,'LD-ELFA'!F:F,'LD-ELFA'!H:H)</f>
        <v>MC-A1-1201-S-PB-0001</v>
      </c>
      <c r="E180" s="53" t="str">
        <f>_xlfn.XLOOKUP(C180,'LD-ELFA'!F:F,'LD-ELFA'!Q:Q)</f>
        <v>BRITAGEM PRIMÁRIA - 1201-ED-001</v>
      </c>
      <c r="F180" s="56" t="str">
        <f>_xlfn.XLOOKUP(C180,'Data Base'!D:D,'Data Base'!O:O)</f>
        <v>Blossom - Documento a emitir</v>
      </c>
      <c r="G180" s="57" t="str">
        <f ca="1">IF(OR('Documentos Atendimentos '!H179="ATRASADO",
        AND('Documentos Emissão'!I178="ATRASADO",
            _xlfn.XLOOKUP(C180,'Documentos Emissão'!C:C,'Documentos Emissão'!G:G)&gt; 'Data Base'!$D$1,
            _xlfn.XLOOKUP(C180,'Documentos Emissão'!C:C,'Documentos Emissão'!G:G)&lt;='Data Base'!$D$1+6)),
    "JUSTIFICATIVA",
    "")</f>
        <v>JUSTIFICATIVA</v>
      </c>
      <c r="H180" s="56"/>
    </row>
    <row r="181" spans="2:8" hidden="1" x14ac:dyDescent="0.25">
      <c r="B181" s="53" t="str">
        <f>_xlfn.XLOOKUP(C181,'Data Base'!D:D,'Data Base'!B:B)</f>
        <v>EM - Estrutura Metalica</v>
      </c>
      <c r="C181" s="53" t="s">
        <v>185</v>
      </c>
      <c r="D181" s="53" t="str">
        <f>_xlfn.XLOOKUP(C181,'LD-ELFA'!F:F,'LD-ELFA'!H:H)</f>
        <v>MC-A1-1200-S-PB-0001</v>
      </c>
      <c r="E181" s="53" t="str">
        <f>_xlfn.XLOOKUP(C181,'LD-ELFA'!F:F,'LD-ELFA'!Q:Q)</f>
        <v>CASAS DE TRANSFERÊNCIA -1201-CT-001</v>
      </c>
      <c r="F181" s="56" t="str">
        <f>_xlfn.XLOOKUP(C181,'Data Base'!D:D,'Data Base'!O:O)</f>
        <v>Blossom - Documento a emitir</v>
      </c>
      <c r="G181" s="57" t="str">
        <f ca="1">IF(OR('Documentos Atendimentos '!H180="ATRASADO",
        AND('Documentos Emissão'!I179="ATRASADO",
            _xlfn.XLOOKUP(C181,'Documentos Emissão'!C:C,'Documentos Emissão'!G:G)&gt; 'Data Base'!$D$1,
            _xlfn.XLOOKUP(C181,'Documentos Emissão'!C:C,'Documentos Emissão'!G:G)&lt;='Data Base'!$D$1+6)),
    "JUSTIFICATIVA",
    "")</f>
        <v/>
      </c>
      <c r="H181" s="56"/>
    </row>
    <row r="182" spans="2:8" hidden="1" x14ac:dyDescent="0.25">
      <c r="B182" s="53" t="str">
        <f>_xlfn.XLOOKUP(C182,'Data Base'!D:D,'Data Base'!B:B)</f>
        <v>EM - Estrutura Metalica</v>
      </c>
      <c r="C182" s="53" t="s">
        <v>186</v>
      </c>
      <c r="D182" s="53" t="str">
        <f>_xlfn.XLOOKUP(C182,'LD-ELFA'!F:F,'LD-ELFA'!H:H)</f>
        <v>MC-A1-1502-S-PB-0001</v>
      </c>
      <c r="E182" s="53" t="str">
        <f>_xlfn.XLOOKUP(C182,'LD-ELFA'!F:F,'LD-ELFA'!Q:Q)</f>
        <v>(ESCADA DE ACESSO (1502-ED-001), TORRE DE ESCADA (1502-ED-002),PLATAFORMA 01 (1502-ED-003), PLATAFORMA 02 (1502-ED-004)</v>
      </c>
      <c r="F182" s="56" t="str">
        <f>_xlfn.XLOOKUP(C182,'Data Base'!D:D,'Data Base'!O:O)</f>
        <v>Blossom - Documento a emitir</v>
      </c>
      <c r="G182" s="57" t="str">
        <f ca="1">IF(OR('Documentos Atendimentos '!H181="ATRASADO",
        AND('Documentos Emissão'!I180="ATRASADO",
            _xlfn.XLOOKUP(C182,'Documentos Emissão'!C:C,'Documentos Emissão'!G:G)&gt; 'Data Base'!$D$1,
            _xlfn.XLOOKUP(C182,'Documentos Emissão'!C:C,'Documentos Emissão'!G:G)&lt;='Data Base'!$D$1+6)),
    "JUSTIFICATIVA",
    "")</f>
        <v/>
      </c>
      <c r="H182" s="56"/>
    </row>
    <row r="183" spans="2:8" hidden="1" x14ac:dyDescent="0.25">
      <c r="B183" s="53" t="e">
        <f>_xlfn.XLOOKUP(C183,'Data Base'!D:D,'Data Base'!B:B)</f>
        <v>#N/A</v>
      </c>
      <c r="C183" s="53" t="s">
        <v>187</v>
      </c>
      <c r="D183" s="53" t="e">
        <f>_xlfn.XLOOKUP(C183,'LD-ELFA'!F:F,'LD-ELFA'!H:H)</f>
        <v>#N/A</v>
      </c>
      <c r="E183" s="53" t="e">
        <f>_xlfn.XLOOKUP(C183,'LD-ELFA'!F:F,'LD-ELFA'!Q:Q)</f>
        <v>#N/A</v>
      </c>
      <c r="F183" s="56" t="str">
        <f>_xlfn.XLOOKUP(C183,'Data Base'!D:D,'Data Base'!O:O)</f>
        <v>Documento Removido</v>
      </c>
      <c r="G183" s="57" t="e">
        <f ca="1">IF(OR('Documentos Atendimentos '!H182="ATRASADO",
        AND('Documentos Emissão'!I181="ATRASADO",
            _xlfn.XLOOKUP(C183,'Documentos Emissão'!C:C,'Documentos Emissão'!G:G)&gt; 'Data Base'!$D$1,
            _xlfn.XLOOKUP(C183,'Documentos Emissão'!C:C,'Documentos Emissão'!G:G)&lt;='Data Base'!$D$1+6)),
    "JUSTIFICATIVA",
    "")</f>
        <v>#N/A</v>
      </c>
      <c r="H183" s="56"/>
    </row>
    <row r="184" spans="2:8" hidden="1" x14ac:dyDescent="0.25">
      <c r="B184" s="53" t="e">
        <f>_xlfn.XLOOKUP(C184,'Data Base'!D:D,'Data Base'!B:B)</f>
        <v>#N/A</v>
      </c>
      <c r="C184" s="53" t="s">
        <v>188</v>
      </c>
      <c r="D184" s="53" t="e">
        <f>_xlfn.XLOOKUP(C184,'LD-ELFA'!F:F,'LD-ELFA'!H:H)</f>
        <v>#N/A</v>
      </c>
      <c r="E184" s="53" t="e">
        <f>_xlfn.XLOOKUP(C184,'LD-ELFA'!F:F,'LD-ELFA'!Q:Q)</f>
        <v>#N/A</v>
      </c>
      <c r="F184" s="56" t="str">
        <f>_xlfn.XLOOKUP(C184,'Data Base'!D:D,'Data Base'!O:O)</f>
        <v>Documento Removido</v>
      </c>
      <c r="G184" s="57" t="e">
        <f ca="1">IF(OR('Documentos Atendimentos '!H183="ATRASADO",
        AND('Documentos Emissão'!I182="ATRASADO",
            _xlfn.XLOOKUP(C184,'Documentos Emissão'!C:C,'Documentos Emissão'!G:G)&gt; 'Data Base'!$D$1,
            _xlfn.XLOOKUP(C184,'Documentos Emissão'!C:C,'Documentos Emissão'!G:G)&lt;='Data Base'!$D$1+6)),
    "JUSTIFICATIVA",
    "")</f>
        <v>#N/A</v>
      </c>
      <c r="H184" s="56"/>
    </row>
    <row r="185" spans="2:8" hidden="1" x14ac:dyDescent="0.25">
      <c r="B185" s="53" t="str">
        <f>_xlfn.XLOOKUP(C185,'Data Base'!D:D,'Data Base'!B:B)</f>
        <v>EM - Estrutura Metalica</v>
      </c>
      <c r="C185" s="53" t="s">
        <v>189</v>
      </c>
      <c r="D185" s="53" t="str">
        <f>_xlfn.XLOOKUP(C185,'LD-ELFA'!F:F,'LD-ELFA'!H:H)</f>
        <v>MC-A1-2304-S-PB-0001</v>
      </c>
      <c r="E185" s="53" t="str">
        <f>_xlfn.XLOOKUP(C185,'LD-ELFA'!F:F,'LD-ELFA'!Q:Q)</f>
        <v>PIPECABLE RACK</v>
      </c>
      <c r="F185" s="56" t="str">
        <f>_xlfn.XLOOKUP(C185,'Data Base'!D:D,'Data Base'!O:O)</f>
        <v>Blossom - Documento a emitir</v>
      </c>
      <c r="G185" s="57" t="str">
        <f ca="1">IF(OR('Documentos Atendimentos '!H184="ATRASADO",
        AND('Documentos Emissão'!I183="ATRASADO",
            _xlfn.XLOOKUP(C185,'Documentos Emissão'!C:C,'Documentos Emissão'!G:G)&gt; 'Data Base'!$D$1,
            _xlfn.XLOOKUP(C185,'Documentos Emissão'!C:C,'Documentos Emissão'!G:G)&lt;='Data Base'!$D$1+6)),
    "JUSTIFICATIVA",
    "")</f>
        <v/>
      </c>
      <c r="H185" s="56"/>
    </row>
    <row r="186" spans="2:8" x14ac:dyDescent="0.25">
      <c r="B186" s="53" t="str">
        <f>_xlfn.XLOOKUP(C186,'Data Base'!D:D,'Data Base'!B:B)</f>
        <v>EM - Estrutura Metalica</v>
      </c>
      <c r="C186" s="53" t="s">
        <v>190</v>
      </c>
      <c r="D186" s="53" t="str">
        <f>_xlfn.XLOOKUP(C186,'LD-ELFA'!F:F,'LD-ELFA'!H:H)</f>
        <v>MC-A1-1411-S-PB-4000</v>
      </c>
      <c r="E186" s="53" t="str">
        <f>_xlfn.XLOOKUP(C186,'LD-ELFA'!F:F,'LD-ELFA'!Q:Q)</f>
        <v>MEMÓRIA DE CÁLCULO</v>
      </c>
      <c r="F186" s="56" t="str">
        <f>_xlfn.XLOOKUP(C186,'Data Base'!D:D,'Data Base'!O:O)</f>
        <v>Blossom - Documento a emitir</v>
      </c>
      <c r="G186" s="57" t="str">
        <f ca="1">IF(OR('Documentos Atendimentos '!H185="ATRASADO",
        AND('Documentos Emissão'!I184="ATRASADO",
            _xlfn.XLOOKUP(C186,'Documentos Emissão'!C:C,'Documentos Emissão'!G:G)&gt; 'Data Base'!$D$1,
            _xlfn.XLOOKUP(C186,'Documentos Emissão'!C:C,'Documentos Emissão'!G:G)&lt;='Data Base'!$D$1+6)),
    "JUSTIFICATIVA",
    "")</f>
        <v/>
      </c>
      <c r="H186" s="56"/>
    </row>
    <row r="187" spans="2:8" x14ac:dyDescent="0.25">
      <c r="B187" s="53" t="str">
        <f>_xlfn.XLOOKUP(C187,'Data Base'!D:D,'Data Base'!B:B)</f>
        <v>EM - Estrutura Metalica</v>
      </c>
      <c r="C187" s="53" t="s">
        <v>191</v>
      </c>
      <c r="D187" s="53" t="str">
        <f>_xlfn.XLOOKUP(C187,'LD-ELFA'!F:F,'LD-ELFA'!H:H)</f>
        <v>MC-A1-2201-S-PB-4000</v>
      </c>
      <c r="E187" s="53" t="str">
        <f>_xlfn.XLOOKUP(C187,'LD-ELFA'!F:F,'LD-ELFA'!Q:Q)</f>
        <v xml:space="preserve">MEMÓRIA DE CÁLCULO </v>
      </c>
      <c r="F187" s="56" t="str">
        <f>_xlfn.XLOOKUP(C187,'Data Base'!D:D,'Data Base'!O:O)</f>
        <v>Blossom - Atendimento de Comentário</v>
      </c>
      <c r="G187" s="57" t="str">
        <f ca="1">IF(OR('Documentos Atendimentos '!H186="ATRASADO",
        AND('Documentos Emissão'!I185="ATRASADO",
            _xlfn.XLOOKUP(C187,'Documentos Emissão'!C:C,'Documentos Emissão'!G:G)&gt; 'Data Base'!$D$1,
            _xlfn.XLOOKUP(C187,'Documentos Emissão'!C:C,'Documentos Emissão'!G:G)&lt;='Data Base'!$D$1+6)),
    "JUSTIFICATIVA",
    "")</f>
        <v>JUSTIFICATIVA</v>
      </c>
      <c r="H187" s="56"/>
    </row>
    <row r="188" spans="2:8" x14ac:dyDescent="0.25">
      <c r="B188" s="53" t="str">
        <f>_xlfn.XLOOKUP(C188,'Data Base'!D:D,'Data Base'!B:B)</f>
        <v>EM - Estrutura Metalica</v>
      </c>
      <c r="C188" s="53" t="s">
        <v>192</v>
      </c>
      <c r="D188" s="53" t="str">
        <f>_xlfn.XLOOKUP(C188,'LD-ELFA'!F:F,'LD-ELFA'!H:H)</f>
        <v>MC-A1-2202-S-PB-4000</v>
      </c>
      <c r="E188" s="53" t="str">
        <f>_xlfn.XLOOKUP(C188,'LD-ELFA'!F:F,'LD-ELFA'!Q:Q)</f>
        <v xml:space="preserve">MEMÓRIA DE CÁLCULO </v>
      </c>
      <c r="F188" s="56" t="str">
        <f>_xlfn.XLOOKUP(C188,'Data Base'!D:D,'Data Base'!O:O)</f>
        <v>Blossom - Atendimento de Comentário</v>
      </c>
      <c r="G188" s="57" t="str">
        <f ca="1">IF(OR('Documentos Atendimentos '!H187="ATRASADO",
        AND('Documentos Emissão'!I186="ATRASADO",
            _xlfn.XLOOKUP(C188,'Documentos Emissão'!C:C,'Documentos Emissão'!G:G)&gt; 'Data Base'!$D$1,
            _xlfn.XLOOKUP(C188,'Documentos Emissão'!C:C,'Documentos Emissão'!G:G)&lt;='Data Base'!$D$1+6)),
    "JUSTIFICATIVA",
    "")</f>
        <v>JUSTIFICATIVA</v>
      </c>
      <c r="H188" s="56"/>
    </row>
    <row r="189" spans="2:8" x14ac:dyDescent="0.25">
      <c r="B189" s="53" t="str">
        <f>_xlfn.XLOOKUP(C189,'Data Base'!D:D,'Data Base'!B:B)</f>
        <v>EM - Estrutura Metalica</v>
      </c>
      <c r="C189" s="53" t="s">
        <v>193</v>
      </c>
      <c r="D189" s="53" t="str">
        <f>_xlfn.XLOOKUP(C189,'LD-ELFA'!F:F,'LD-ELFA'!H:H)</f>
        <v>MC-A1-2203-S-PB-4000</v>
      </c>
      <c r="E189" s="53" t="str">
        <f>_xlfn.XLOOKUP(C189,'LD-ELFA'!F:F,'LD-ELFA'!Q:Q)</f>
        <v xml:space="preserve">MEMÓRIA DE CÁLCULO </v>
      </c>
      <c r="F189" s="56" t="str">
        <f>_xlfn.XLOOKUP(C189,'Data Base'!D:D,'Data Base'!O:O)</f>
        <v>Blossom - Atendimento de Comentário</v>
      </c>
      <c r="G189" s="57" t="str">
        <f ca="1">IF(OR('Documentos Atendimentos '!H188="ATRASADO",
        AND('Documentos Emissão'!I187="ATRASADO",
            _xlfn.XLOOKUP(C189,'Documentos Emissão'!C:C,'Documentos Emissão'!G:G)&gt; 'Data Base'!$D$1,
            _xlfn.XLOOKUP(C189,'Documentos Emissão'!C:C,'Documentos Emissão'!G:G)&lt;='Data Base'!$D$1+6)),
    "JUSTIFICATIVA",
    "")</f>
        <v>JUSTIFICATIVA</v>
      </c>
      <c r="H189" s="56"/>
    </row>
    <row r="190" spans="2:8" x14ac:dyDescent="0.25">
      <c r="B190" s="53" t="str">
        <f>_xlfn.XLOOKUP(C190,'Data Base'!D:D,'Data Base'!B:B)</f>
        <v>EM - Estrutura Metalica</v>
      </c>
      <c r="C190" s="53" t="s">
        <v>194</v>
      </c>
      <c r="D190" s="53" t="str">
        <f>_xlfn.XLOOKUP(C190,'LD-ELFA'!F:F,'LD-ELFA'!H:H)</f>
        <v>MC-A1-2204-S-PB-4000</v>
      </c>
      <c r="E190" s="53" t="str">
        <f>_xlfn.XLOOKUP(C190,'LD-ELFA'!F:F,'LD-ELFA'!Q:Q)</f>
        <v xml:space="preserve">MEMÓRIA DE CÁLCULO </v>
      </c>
      <c r="F190" s="56" t="str">
        <f>_xlfn.XLOOKUP(C190,'Data Base'!D:D,'Data Base'!O:O)</f>
        <v>Blossom - Atendimento de Comentário</v>
      </c>
      <c r="G190" s="57" t="str">
        <f ca="1">IF(OR('Documentos Atendimentos '!H189="ATRASADO",
        AND('Documentos Emissão'!I188="ATRASADO",
            _xlfn.XLOOKUP(C190,'Documentos Emissão'!C:C,'Documentos Emissão'!G:G)&gt; 'Data Base'!$D$1,
            _xlfn.XLOOKUP(C190,'Documentos Emissão'!C:C,'Documentos Emissão'!G:G)&lt;='Data Base'!$D$1+6)),
    "JUSTIFICATIVA",
    "")</f>
        <v>JUSTIFICATIVA</v>
      </c>
      <c r="H190" s="56"/>
    </row>
    <row r="191" spans="2:8" x14ac:dyDescent="0.25">
      <c r="B191" s="53" t="str">
        <f>_xlfn.XLOOKUP(C191,'Data Base'!D:D,'Data Base'!B:B)</f>
        <v>EM - Estrutura Metalica</v>
      </c>
      <c r="C191" s="53" t="s">
        <v>195</v>
      </c>
      <c r="D191" s="53" t="str">
        <f>_xlfn.XLOOKUP(C191,'LD-ELFA'!F:F,'LD-ELFA'!H:H)</f>
        <v>MC-A1-2205-S-PB-4000</v>
      </c>
      <c r="E191" s="53" t="str">
        <f>_xlfn.XLOOKUP(C191,'LD-ELFA'!F:F,'LD-ELFA'!Q:Q)</f>
        <v xml:space="preserve">MEMÓRIA DE CÁLCULO </v>
      </c>
      <c r="F191" s="56" t="str">
        <f>_xlfn.XLOOKUP(C191,'Data Base'!D:D,'Data Base'!O:O)</f>
        <v>Blossom - Atendimento de Comentário</v>
      </c>
      <c r="G191" s="57" t="str">
        <f ca="1">IF(OR('Documentos Atendimentos '!H190="ATRASADO",
        AND('Documentos Emissão'!I189="ATRASADO",
            _xlfn.XLOOKUP(C191,'Documentos Emissão'!C:C,'Documentos Emissão'!G:G)&gt; 'Data Base'!$D$1,
            _xlfn.XLOOKUP(C191,'Documentos Emissão'!C:C,'Documentos Emissão'!G:G)&lt;='Data Base'!$D$1+6)),
    "JUSTIFICATIVA",
    "")</f>
        <v>JUSTIFICATIVA</v>
      </c>
      <c r="H191" s="56"/>
    </row>
    <row r="192" spans="2:8" hidden="1" x14ac:dyDescent="0.25">
      <c r="B192" s="53" t="e">
        <f>_xlfn.XLOOKUP(C192,'Data Base'!D:D,'Data Base'!B:B)</f>
        <v>#N/A</v>
      </c>
      <c r="C192" s="53" t="s">
        <v>196</v>
      </c>
      <c r="D192" s="53" t="e">
        <f>_xlfn.XLOOKUP(C192,'LD-ELFA'!F:F,'LD-ELFA'!H:H)</f>
        <v>#N/A</v>
      </c>
      <c r="E192" s="53" t="e">
        <f>_xlfn.XLOOKUP(C192,'LD-ELFA'!F:F,'LD-ELFA'!Q:Q)</f>
        <v>#N/A</v>
      </c>
      <c r="F192" s="56" t="str">
        <f>_xlfn.XLOOKUP(C192,'Data Base'!D:D,'Data Base'!O:O)</f>
        <v>Documento Removido</v>
      </c>
      <c r="G192" s="57" t="e">
        <f ca="1">IF(OR('Documentos Atendimentos '!H191="ATRASADO",
        AND('Documentos Emissão'!I190="ATRASADO",
            _xlfn.XLOOKUP(C192,'Documentos Emissão'!C:C,'Documentos Emissão'!G:G)&gt; 'Data Base'!$D$1,
            _xlfn.XLOOKUP(C192,'Documentos Emissão'!C:C,'Documentos Emissão'!G:G)&lt;='Data Base'!$D$1+6)),
    "JUSTIFICATIVA",
    "")</f>
        <v>#N/A</v>
      </c>
      <c r="H192" s="56"/>
    </row>
    <row r="193" spans="2:8" hidden="1" x14ac:dyDescent="0.25">
      <c r="B193" s="53" t="str">
        <f>_xlfn.XLOOKUP(C193,'Data Base'!D:D,'Data Base'!B:B)</f>
        <v>EM - Estrutura Metalica</v>
      </c>
      <c r="C193" s="53" t="s">
        <v>197</v>
      </c>
      <c r="D193" s="53" t="str">
        <f>_xlfn.XLOOKUP(C193,'LD-ELFA'!F:F,'LD-ELFA'!H:H)</f>
        <v>PQ-A1-1411-S-PB-4000</v>
      </c>
      <c r="E193" s="53" t="str">
        <f>_xlfn.XLOOKUP(C193,'LD-ELFA'!F:F,'LD-ELFA'!Q:Q)</f>
        <v>PLANILHA DE QUANTIDADES</v>
      </c>
      <c r="F193" s="56" t="str">
        <f>_xlfn.XLOOKUP(C193,'Data Base'!D:D,'Data Base'!O:O)</f>
        <v>Blossom - Documento a emitir</v>
      </c>
      <c r="G193" s="57" t="str">
        <f ca="1">IF(OR('Documentos Atendimentos '!H192="ATRASADO",
        AND('Documentos Emissão'!I191="ATRASADO",
            _xlfn.XLOOKUP(C193,'Documentos Emissão'!C:C,'Documentos Emissão'!G:G)&gt; 'Data Base'!$D$1,
            _xlfn.XLOOKUP(C193,'Documentos Emissão'!C:C,'Documentos Emissão'!G:G)&lt;='Data Base'!$D$1+6)),
    "JUSTIFICATIVA",
    "")</f>
        <v/>
      </c>
      <c r="H193" s="56"/>
    </row>
    <row r="194" spans="2:8" hidden="1" x14ac:dyDescent="0.25">
      <c r="B194" s="53" t="str">
        <f>_xlfn.XLOOKUP(C194,'Data Base'!D:D,'Data Base'!B:B)</f>
        <v>EM - Estrutura Metalica</v>
      </c>
      <c r="C194" s="53" t="s">
        <v>198</v>
      </c>
      <c r="D194" s="53" t="str">
        <f>_xlfn.XLOOKUP(C194,'LD-ELFA'!F:F,'LD-ELFA'!H:H)</f>
        <v>PQ-A1-1000-S-PB-0001</v>
      </c>
      <c r="E194" s="53" t="str">
        <f>_xlfn.XLOOKUP(C194,'LD-ELFA'!F:F,'LD-ELFA'!Q:Q)</f>
        <v>PLANILHA DE QUANTIDADES</v>
      </c>
      <c r="F194" s="56" t="str">
        <f>_xlfn.XLOOKUP(C194,'Data Base'!D:D,'Data Base'!O:O)</f>
        <v>Blossom - Documento a emitir</v>
      </c>
      <c r="G194" s="57" t="str">
        <f ca="1">IF(OR('Documentos Atendimentos '!H193="ATRASADO",
        AND('Documentos Emissão'!I192="ATRASADO",
            _xlfn.XLOOKUP(C194,'Documentos Emissão'!C:C,'Documentos Emissão'!G:G)&gt; 'Data Base'!$D$1,
            _xlfn.XLOOKUP(C194,'Documentos Emissão'!C:C,'Documentos Emissão'!G:G)&lt;='Data Base'!$D$1+6)),
    "JUSTIFICATIVA",
    "")</f>
        <v/>
      </c>
      <c r="H194" s="56"/>
    </row>
    <row r="195" spans="2:8" hidden="1" x14ac:dyDescent="0.25">
      <c r="B195" s="53" t="e">
        <f>_xlfn.XLOOKUP(C195,'Data Base'!D:D,'Data Base'!B:B)</f>
        <v>#N/A</v>
      </c>
      <c r="C195" s="53" t="s">
        <v>199</v>
      </c>
      <c r="D195" s="53" t="e">
        <f>_xlfn.XLOOKUP(C195,'LD-ELFA'!F:F,'LD-ELFA'!H:H)</f>
        <v>#N/A</v>
      </c>
      <c r="E195" s="53" t="e">
        <f>_xlfn.XLOOKUP(C195,'LD-ELFA'!F:F,'LD-ELFA'!Q:Q)</f>
        <v>#N/A</v>
      </c>
      <c r="F195" s="56" t="str">
        <f>_xlfn.XLOOKUP(C195,'Data Base'!D:D,'Data Base'!O:O)</f>
        <v>Documento Removido</v>
      </c>
      <c r="G195" s="57" t="e">
        <f ca="1">IF(OR('Documentos Atendimentos '!H194="ATRASADO",
        AND('Documentos Emissão'!I193="ATRASADO",
            _xlfn.XLOOKUP(C195,'Documentos Emissão'!C:C,'Documentos Emissão'!G:G)&gt; 'Data Base'!$D$1,
            _xlfn.XLOOKUP(C195,'Documentos Emissão'!C:C,'Documentos Emissão'!G:G)&lt;='Data Base'!$D$1+6)),
    "JUSTIFICATIVA",
    "")</f>
        <v>#N/A</v>
      </c>
      <c r="H195" s="56"/>
    </row>
    <row r="196" spans="2:8" hidden="1" x14ac:dyDescent="0.25">
      <c r="B196" s="53" t="str">
        <f>_xlfn.XLOOKUP(C196,'Data Base'!D:D,'Data Base'!B:B)</f>
        <v>GE - Gestao De Engenharia</v>
      </c>
      <c r="C196" s="53" t="s">
        <v>200</v>
      </c>
      <c r="D196" s="53" t="str">
        <f>_xlfn.XLOOKUP(C196,'LD-ELFA'!F:F,'LD-ELFA'!H:H)</f>
        <v>AR-A1-1000-G-PB-4000</v>
      </c>
      <c r="E196" s="53" t="str">
        <f>_xlfn.XLOOKUP(C196,'LD-ELFA'!F:F,'LD-ELFA'!Q:Q)</f>
        <v>ATA - APRESENTAÇÃO PROJETO</v>
      </c>
      <c r="F196" s="56" t="str">
        <f>_xlfn.XLOOKUP(C196,'Data Base'!D:D,'Data Base'!O:O)</f>
        <v>Documento Concluído</v>
      </c>
      <c r="G196" s="57" t="str">
        <f ca="1">IF(OR('Documentos Atendimentos '!H195="ATRASADO",
        AND('Documentos Emissão'!I194="ATRASADO",
            _xlfn.XLOOKUP(C196,'Documentos Emissão'!C:C,'Documentos Emissão'!G:G)&gt; 'Data Base'!$D$1,
            _xlfn.XLOOKUP(C196,'Documentos Emissão'!C:C,'Documentos Emissão'!G:G)&lt;='Data Base'!$D$1+6)),
    "JUSTIFICATIVA",
    "")</f>
        <v/>
      </c>
      <c r="H196" s="56"/>
    </row>
    <row r="197" spans="2:8" hidden="1" x14ac:dyDescent="0.25">
      <c r="B197" s="53" t="str">
        <f>_xlfn.XLOOKUP(C197,'Data Base'!D:D,'Data Base'!B:B)</f>
        <v>GE - Gestao De Engenharia</v>
      </c>
      <c r="C197" s="53" t="s">
        <v>201</v>
      </c>
      <c r="D197" s="53" t="str">
        <f>_xlfn.XLOOKUP(C197,'LD-ELFA'!F:F,'LD-ELFA'!H:H)</f>
        <v>AR-A1-1000-G-PB-4001</v>
      </c>
      <c r="E197" s="53" t="str">
        <f>_xlfn.XLOOKUP(C197,'LD-ELFA'!F:F,'LD-ELFA'!Q:Q)</f>
        <v>ATA - APRESENTAÇÃO PROJETO</v>
      </c>
      <c r="F197" s="56" t="str">
        <f>_xlfn.XLOOKUP(C197,'Data Base'!D:D,'Data Base'!O:O)</f>
        <v>Blossom - Atendimento de Comentário</v>
      </c>
      <c r="G197" s="57" t="str">
        <f ca="1">IF(OR('Documentos Atendimentos '!H196="ATRASADO",
        AND('Documentos Emissão'!I195="ATRASADO",
            _xlfn.XLOOKUP(C197,'Documentos Emissão'!C:C,'Documentos Emissão'!G:G)&gt; 'Data Base'!$D$1,
            _xlfn.XLOOKUP(C197,'Documentos Emissão'!C:C,'Documentos Emissão'!G:G)&lt;='Data Base'!$D$1+6)),
    "JUSTIFICATIVA",
    "")</f>
        <v/>
      </c>
      <c r="H197" s="56"/>
    </row>
    <row r="198" spans="2:8" hidden="1" x14ac:dyDescent="0.25">
      <c r="B198" s="53" t="str">
        <f>_xlfn.XLOOKUP(C198,'Data Base'!D:D,'Data Base'!B:B)</f>
        <v>GE - Gestao De Engenharia</v>
      </c>
      <c r="C198" s="53" t="s">
        <v>202</v>
      </c>
      <c r="D198" s="53" t="str">
        <f>_xlfn.XLOOKUP(C198,'LD-ELFA'!F:F,'LD-ELFA'!H:H)</f>
        <v>AR-A1-1000-G-PB-4002</v>
      </c>
      <c r="E198" s="53" t="str">
        <f>_xlfn.XLOOKUP(C198,'LD-ELFA'!F:F,'LD-ELFA'!Q:Q)</f>
        <v>ATA - APRESENTAÇÃO PROJETO</v>
      </c>
      <c r="F198" s="56" t="str">
        <f>_xlfn.XLOOKUP(C198,'Data Base'!D:D,'Data Base'!O:O)</f>
        <v>Blossom - Atendimento de Comentário</v>
      </c>
      <c r="G198" s="57" t="str">
        <f ca="1">IF(OR('Documentos Atendimentos '!H197="ATRASADO",
        AND('Documentos Emissão'!I196="ATRASADO",
            _xlfn.XLOOKUP(C198,'Documentos Emissão'!C:C,'Documentos Emissão'!G:G)&gt; 'Data Base'!$D$1,
            _xlfn.XLOOKUP(C198,'Documentos Emissão'!C:C,'Documentos Emissão'!G:G)&lt;='Data Base'!$D$1+6)),
    "JUSTIFICATIVA",
    "")</f>
        <v/>
      </c>
      <c r="H198" s="56"/>
    </row>
    <row r="199" spans="2:8" hidden="1" x14ac:dyDescent="0.25">
      <c r="B199" s="53" t="str">
        <f>_xlfn.XLOOKUP(C199,'Data Base'!D:D,'Data Base'!B:B)</f>
        <v>GE - Gestao De Engenharia</v>
      </c>
      <c r="C199" s="53" t="s">
        <v>203</v>
      </c>
      <c r="D199" s="53" t="str">
        <f>_xlfn.XLOOKUP(C199,'LD-ELFA'!F:F,'LD-ELFA'!H:H)</f>
        <v>AR-A1-1000-G-PB-4003</v>
      </c>
      <c r="E199" s="53" t="str">
        <f>_xlfn.XLOOKUP(C199,'LD-ELFA'!F:F,'LD-ELFA'!Q:Q)</f>
        <v>ATA - APRESENTAÇÃO PROJETO</v>
      </c>
      <c r="F199" s="56" t="str">
        <f>_xlfn.XLOOKUP(C199,'Data Base'!D:D,'Data Base'!O:O)</f>
        <v>Blossom - Atendimento de Comentário</v>
      </c>
      <c r="G199" s="57" t="str">
        <f ca="1">IF(OR('Documentos Atendimentos '!H198="ATRASADO",
        AND('Documentos Emissão'!I197="ATRASADO",
            _xlfn.XLOOKUP(C199,'Documentos Emissão'!C:C,'Documentos Emissão'!G:G)&gt; 'Data Base'!$D$1,
            _xlfn.XLOOKUP(C199,'Documentos Emissão'!C:C,'Documentos Emissão'!G:G)&lt;='Data Base'!$D$1+6)),
    "JUSTIFICATIVA",
    "")</f>
        <v/>
      </c>
      <c r="H199" s="56"/>
    </row>
    <row r="200" spans="2:8" hidden="1" x14ac:dyDescent="0.25">
      <c r="B200" s="53" t="str">
        <f>_xlfn.XLOOKUP(C200,'Data Base'!D:D,'Data Base'!B:B)</f>
        <v>GE - Gestao De Engenharia</v>
      </c>
      <c r="C200" s="53" t="s">
        <v>204</v>
      </c>
      <c r="D200" s="53" t="str">
        <f>_xlfn.XLOOKUP(C200,'LD-ELFA'!F:F,'LD-ELFA'!H:H)</f>
        <v>AR-A1-1000-G-PB-4004</v>
      </c>
      <c r="E200" s="53" t="str">
        <f>_xlfn.XLOOKUP(C200,'LD-ELFA'!F:F,'LD-ELFA'!Q:Q)</f>
        <v>ATA - APRESENTAÇÃO PROJETO</v>
      </c>
      <c r="F200" s="56" t="str">
        <f>_xlfn.XLOOKUP(C200,'Data Base'!D:D,'Data Base'!O:O)</f>
        <v>Documento Removido</v>
      </c>
      <c r="G200" s="57" t="str">
        <f ca="1">IF(OR('Documentos Atendimentos '!H199="ATRASADO",
        AND('Documentos Emissão'!I198="ATRASADO",
            _xlfn.XLOOKUP(C200,'Documentos Emissão'!C:C,'Documentos Emissão'!G:G)&gt; 'Data Base'!$D$1,
            _xlfn.XLOOKUP(C200,'Documentos Emissão'!C:C,'Documentos Emissão'!G:G)&lt;='Data Base'!$D$1+6)),
    "JUSTIFICATIVA",
    "")</f>
        <v/>
      </c>
      <c r="H200" s="56"/>
    </row>
    <row r="201" spans="2:8" hidden="1" x14ac:dyDescent="0.25">
      <c r="B201" s="53" t="str">
        <f>_xlfn.XLOOKUP(C201,'Data Base'!D:D,'Data Base'!B:B)</f>
        <v>GE - Gestao De Engenharia</v>
      </c>
      <c r="C201" s="53" t="s">
        <v>205</v>
      </c>
      <c r="D201" s="53" t="str">
        <f>_xlfn.XLOOKUP(C201,'LD-ELFA'!F:F,'LD-ELFA'!H:H)</f>
        <v>AR-A1-1000-G-PB-4005</v>
      </c>
      <c r="E201" s="53" t="str">
        <f>_xlfn.XLOOKUP(C201,'LD-ELFA'!F:F,'LD-ELFA'!Q:Q)</f>
        <v>ATA - APRESENTAÇÃO PROJETO</v>
      </c>
      <c r="F201" s="56" t="str">
        <f>_xlfn.XLOOKUP(C201,'Data Base'!D:D,'Data Base'!O:O)</f>
        <v>Documento Removido</v>
      </c>
      <c r="G201" s="57" t="str">
        <f ca="1">IF(OR('Documentos Atendimentos '!H200="ATRASADO",
        AND('Documentos Emissão'!I199="ATRASADO",
            _xlfn.XLOOKUP(C201,'Documentos Emissão'!C:C,'Documentos Emissão'!G:G)&gt; 'Data Base'!$D$1,
            _xlfn.XLOOKUP(C201,'Documentos Emissão'!C:C,'Documentos Emissão'!G:G)&lt;='Data Base'!$D$1+6)),
    "JUSTIFICATIVA",
    "")</f>
        <v/>
      </c>
      <c r="H201" s="56"/>
    </row>
    <row r="202" spans="2:8" hidden="1" x14ac:dyDescent="0.25">
      <c r="B202" s="53" t="str">
        <f>_xlfn.XLOOKUP(C202,'Data Base'!D:D,'Data Base'!B:B)</f>
        <v>GE - Gestao De Engenharia</v>
      </c>
      <c r="C202" s="53" t="s">
        <v>206</v>
      </c>
      <c r="D202" s="53" t="str">
        <f>_xlfn.XLOOKUP(C202,'LD-ELFA'!F:F,'LD-ELFA'!H:H)</f>
        <v>AR-A1-1000-G-PB-4006</v>
      </c>
      <c r="E202" s="53" t="str">
        <f>_xlfn.XLOOKUP(C202,'LD-ELFA'!F:F,'LD-ELFA'!Q:Q)</f>
        <v>ATA - APRESENTAÇÃO PROJETO</v>
      </c>
      <c r="F202" s="56" t="str">
        <f>_xlfn.XLOOKUP(C202,'Data Base'!D:D,'Data Base'!O:O)</f>
        <v>Documento Removido</v>
      </c>
      <c r="G202" s="57" t="str">
        <f ca="1">IF(OR('Documentos Atendimentos '!H201="ATRASADO",
        AND('Documentos Emissão'!I200="ATRASADO",
            _xlfn.XLOOKUP(C202,'Documentos Emissão'!C:C,'Documentos Emissão'!G:G)&gt; 'Data Base'!$D$1,
            _xlfn.XLOOKUP(C202,'Documentos Emissão'!C:C,'Documentos Emissão'!G:G)&lt;='Data Base'!$D$1+6)),
    "JUSTIFICATIVA",
    "")</f>
        <v/>
      </c>
      <c r="H202" s="56"/>
    </row>
    <row r="203" spans="2:8" hidden="1" x14ac:dyDescent="0.25">
      <c r="B203" s="53" t="str">
        <f>_xlfn.XLOOKUP(C203,'Data Base'!D:D,'Data Base'!B:B)</f>
        <v>GE - Gestao De Engenharia</v>
      </c>
      <c r="C203" s="53" t="s">
        <v>207</v>
      </c>
      <c r="D203" s="53" t="str">
        <f>_xlfn.XLOOKUP(C203,'LD-ELFA'!F:F,'LD-ELFA'!H:H)</f>
        <v>AR-A1-1000-G-PB-4007</v>
      </c>
      <c r="E203" s="53" t="str">
        <f>_xlfn.XLOOKUP(C203,'LD-ELFA'!F:F,'LD-ELFA'!Q:Q)</f>
        <v>ATA - APRESENTAÇÃO PROJETO</v>
      </c>
      <c r="F203" s="56" t="str">
        <f>_xlfn.XLOOKUP(C203,'Data Base'!D:D,'Data Base'!O:O)</f>
        <v>Documento Removido</v>
      </c>
      <c r="G203" s="57" t="str">
        <f ca="1">IF(OR('Documentos Atendimentos '!H202="ATRASADO",
        AND('Documentos Emissão'!I201="ATRASADO",
            _xlfn.XLOOKUP(C203,'Documentos Emissão'!C:C,'Documentos Emissão'!G:G)&gt; 'Data Base'!$D$1,
            _xlfn.XLOOKUP(C203,'Documentos Emissão'!C:C,'Documentos Emissão'!G:G)&lt;='Data Base'!$D$1+6)),
    "JUSTIFICATIVA",
    "")</f>
        <v/>
      </c>
      <c r="H203" s="56"/>
    </row>
    <row r="204" spans="2:8" hidden="1" x14ac:dyDescent="0.25">
      <c r="B204" s="53" t="str">
        <f>_xlfn.XLOOKUP(C204,'Data Base'!D:D,'Data Base'!B:B)</f>
        <v>GE - Gestao De Engenharia</v>
      </c>
      <c r="C204" s="53" t="s">
        <v>208</v>
      </c>
      <c r="D204" s="53" t="str">
        <f>_xlfn.XLOOKUP(C204,'LD-ELFA'!F:F,'LD-ELFA'!H:H)</f>
        <v>AR-A1-1000-G-PB-4008</v>
      </c>
      <c r="E204" s="53" t="str">
        <f>_xlfn.XLOOKUP(C204,'LD-ELFA'!F:F,'LD-ELFA'!Q:Q)</f>
        <v>ATA - APRESENTAÇÃO PROJETO</v>
      </c>
      <c r="F204" s="56" t="str">
        <f>_xlfn.XLOOKUP(C204,'Data Base'!D:D,'Data Base'!O:O)</f>
        <v>Documento Removido</v>
      </c>
      <c r="G204" s="57" t="str">
        <f ca="1">IF(OR('Documentos Atendimentos '!H203="ATRASADO",
        AND('Documentos Emissão'!I202="ATRASADO",
            _xlfn.XLOOKUP(C204,'Documentos Emissão'!C:C,'Documentos Emissão'!G:G)&gt; 'Data Base'!$D$1,
            _xlfn.XLOOKUP(C204,'Documentos Emissão'!C:C,'Documentos Emissão'!G:G)&lt;='Data Base'!$D$1+6)),
    "JUSTIFICATIVA",
    "")</f>
        <v/>
      </c>
      <c r="H204" s="56"/>
    </row>
    <row r="205" spans="2:8" hidden="1" x14ac:dyDescent="0.25">
      <c r="B205" s="53" t="str">
        <f>_xlfn.XLOOKUP(C205,'Data Base'!D:D,'Data Base'!B:B)</f>
        <v>GE - Gestao De Engenharia</v>
      </c>
      <c r="C205" s="53" t="s">
        <v>209</v>
      </c>
      <c r="D205" s="53" t="str">
        <f>_xlfn.XLOOKUP(C205,'LD-ELFA'!F:F,'LD-ELFA'!H:H)</f>
        <v>AR-A1-1000-G-PB-4009</v>
      </c>
      <c r="E205" s="53" t="str">
        <f>_xlfn.XLOOKUP(C205,'LD-ELFA'!F:F,'LD-ELFA'!Q:Q)</f>
        <v>ATA - APRESENTAÇÃO PROJETO</v>
      </c>
      <c r="F205" s="56" t="str">
        <f>_xlfn.XLOOKUP(C205,'Data Base'!D:D,'Data Base'!O:O)</f>
        <v>Documento Removido</v>
      </c>
      <c r="G205" s="57" t="str">
        <f ca="1">IF(OR('Documentos Atendimentos '!H204="ATRASADO",
        AND('Documentos Emissão'!I203="ATRASADO",
            _xlfn.XLOOKUP(C205,'Documentos Emissão'!C:C,'Documentos Emissão'!G:G)&gt; 'Data Base'!$D$1,
            _xlfn.XLOOKUP(C205,'Documentos Emissão'!C:C,'Documentos Emissão'!G:G)&lt;='Data Base'!$D$1+6)),
    "JUSTIFICATIVA",
    "")</f>
        <v/>
      </c>
      <c r="H205" s="56"/>
    </row>
    <row r="206" spans="2:8" hidden="1" x14ac:dyDescent="0.25">
      <c r="B206" s="53" t="str">
        <f>_xlfn.XLOOKUP(C206,'Data Base'!D:D,'Data Base'!B:B)</f>
        <v>GE - Gestao De Engenharia</v>
      </c>
      <c r="C206" s="53" t="s">
        <v>210</v>
      </c>
      <c r="D206" s="53" t="str">
        <f>_xlfn.XLOOKUP(C206,'LD-ELFA'!F:F,'LD-ELFA'!H:H)</f>
        <v>AR-A1-1000-G-PB-4010</v>
      </c>
      <c r="E206" s="53" t="str">
        <f>_xlfn.XLOOKUP(C206,'LD-ELFA'!F:F,'LD-ELFA'!Q:Q)</f>
        <v>ATA - APRESENTAÇÃO PROJETO</v>
      </c>
      <c r="F206" s="56" t="str">
        <f>_xlfn.XLOOKUP(C206,'Data Base'!D:D,'Data Base'!O:O)</f>
        <v>Documento Removido</v>
      </c>
      <c r="G206" s="57" t="str">
        <f ca="1">IF(OR('Documentos Atendimentos '!H205="ATRASADO",
        AND('Documentos Emissão'!I204="ATRASADO",
            _xlfn.XLOOKUP(C206,'Documentos Emissão'!C:C,'Documentos Emissão'!G:G)&gt; 'Data Base'!$D$1,
            _xlfn.XLOOKUP(C206,'Documentos Emissão'!C:C,'Documentos Emissão'!G:G)&lt;='Data Base'!$D$1+6)),
    "JUSTIFICATIVA",
    "")</f>
        <v/>
      </c>
      <c r="H206" s="56"/>
    </row>
    <row r="207" spans="2:8" hidden="1" x14ac:dyDescent="0.25">
      <c r="B207" s="53" t="str">
        <f>_xlfn.XLOOKUP(C207,'Data Base'!D:D,'Data Base'!B:B)</f>
        <v>GE - Gestao De Engenharia</v>
      </c>
      <c r="C207" s="53" t="s">
        <v>211</v>
      </c>
      <c r="D207" s="53" t="str">
        <f>_xlfn.XLOOKUP(C207,'LD-ELFA'!F:F,'LD-ELFA'!H:H)</f>
        <v>AR-A1-1000-G-PB-4011</v>
      </c>
      <c r="E207" s="53" t="str">
        <f>_xlfn.XLOOKUP(C207,'LD-ELFA'!F:F,'LD-ELFA'!Q:Q)</f>
        <v>ATA - APRESENTAÇÃO PROJETO</v>
      </c>
      <c r="F207" s="56" t="str">
        <f>_xlfn.XLOOKUP(C207,'Data Base'!D:D,'Data Base'!O:O)</f>
        <v>Documento Removido</v>
      </c>
      <c r="G207" s="57" t="str">
        <f ca="1">IF(OR('Documentos Atendimentos '!H206="ATRASADO",
        AND('Documentos Emissão'!I205="ATRASADO",
            _xlfn.XLOOKUP(C207,'Documentos Emissão'!C:C,'Documentos Emissão'!G:G)&gt; 'Data Base'!$D$1,
            _xlfn.XLOOKUP(C207,'Documentos Emissão'!C:C,'Documentos Emissão'!G:G)&lt;='Data Base'!$D$1+6)),
    "JUSTIFICATIVA",
    "")</f>
        <v/>
      </c>
      <c r="H207" s="56"/>
    </row>
    <row r="208" spans="2:8" hidden="1" x14ac:dyDescent="0.25">
      <c r="B208" s="53" t="str">
        <f>_xlfn.XLOOKUP(C208,'Data Base'!D:D,'Data Base'!B:B)</f>
        <v>GE - Gestao De Engenharia</v>
      </c>
      <c r="C208" s="53" t="s">
        <v>212</v>
      </c>
      <c r="D208" s="53" t="str">
        <f>_xlfn.XLOOKUP(C208,'LD-ELFA'!F:F,'LD-ELFA'!H:H)</f>
        <v>AR-A1-1000-G-PB-4012</v>
      </c>
      <c r="E208" s="53" t="str">
        <f>_xlfn.XLOOKUP(C208,'LD-ELFA'!F:F,'LD-ELFA'!Q:Q)</f>
        <v>ATA - APRESENTAÇÃO PROJETO</v>
      </c>
      <c r="F208" s="56" t="str">
        <f>_xlfn.XLOOKUP(C208,'Data Base'!D:D,'Data Base'!O:O)</f>
        <v>Documento Removido</v>
      </c>
      <c r="G208" s="57" t="str">
        <f ca="1">IF(OR('Documentos Atendimentos '!H207="ATRASADO",
        AND('Documentos Emissão'!I206="ATRASADO",
            _xlfn.XLOOKUP(C208,'Documentos Emissão'!C:C,'Documentos Emissão'!G:G)&gt; 'Data Base'!$D$1,
            _xlfn.XLOOKUP(C208,'Documentos Emissão'!C:C,'Documentos Emissão'!G:G)&lt;='Data Base'!$D$1+6)),
    "JUSTIFICATIVA",
    "")</f>
        <v/>
      </c>
      <c r="H208" s="56"/>
    </row>
    <row r="209" spans="2:8" hidden="1" x14ac:dyDescent="0.25">
      <c r="B209" s="53" t="str">
        <f>_xlfn.XLOOKUP(C209,'Data Base'!D:D,'Data Base'!B:B)</f>
        <v>GE - Gestao De Engenharia</v>
      </c>
      <c r="C209" s="53" t="s">
        <v>213</v>
      </c>
      <c r="D209" s="53" t="str">
        <f>_xlfn.XLOOKUP(C209,'LD-ELFA'!F:F,'LD-ELFA'!H:H)</f>
        <v>AR-A1-1000-G-PB-4013</v>
      </c>
      <c r="E209" s="53" t="str">
        <f>_xlfn.XLOOKUP(C209,'LD-ELFA'!F:F,'LD-ELFA'!Q:Q)</f>
        <v>ATA - APRESENTAÇÃO PROJETO</v>
      </c>
      <c r="F209" s="56" t="str">
        <f>_xlfn.XLOOKUP(C209,'Data Base'!D:D,'Data Base'!O:O)</f>
        <v>Documento Removido</v>
      </c>
      <c r="G209" s="57" t="str">
        <f ca="1">IF(OR('Documentos Atendimentos '!H208="ATRASADO",
        AND('Documentos Emissão'!I207="ATRASADO",
            _xlfn.XLOOKUP(C209,'Documentos Emissão'!C:C,'Documentos Emissão'!G:G)&gt; 'Data Base'!$D$1,
            _xlfn.XLOOKUP(C209,'Documentos Emissão'!C:C,'Documentos Emissão'!G:G)&lt;='Data Base'!$D$1+6)),
    "JUSTIFICATIVA",
    "")</f>
        <v/>
      </c>
      <c r="H209" s="56"/>
    </row>
    <row r="210" spans="2:8" hidden="1" x14ac:dyDescent="0.25">
      <c r="B210" s="53" t="str">
        <f>_xlfn.XLOOKUP(C210,'Data Base'!D:D,'Data Base'!B:B)</f>
        <v>GE - Gestao De Engenharia</v>
      </c>
      <c r="C210" s="53" t="s">
        <v>214</v>
      </c>
      <c r="D210" s="53" t="str">
        <f>_xlfn.XLOOKUP(C210,'LD-ELFA'!F:F,'LD-ELFA'!H:H)</f>
        <v>AR-A1-1000-G-PB-4014</v>
      </c>
      <c r="E210" s="53" t="str">
        <f>_xlfn.XLOOKUP(C210,'LD-ELFA'!F:F,'LD-ELFA'!Q:Q)</f>
        <v>ATA - APRESENTAÇÃO PROJETO</v>
      </c>
      <c r="F210" s="56" t="str">
        <f>_xlfn.XLOOKUP(C210,'Data Base'!D:D,'Data Base'!O:O)</f>
        <v>Documento Removido</v>
      </c>
      <c r="G210" s="57" t="str">
        <f ca="1">IF(OR('Documentos Atendimentos '!H209="ATRASADO",
        AND('Documentos Emissão'!I208="ATRASADO",
            _xlfn.XLOOKUP(C210,'Documentos Emissão'!C:C,'Documentos Emissão'!G:G)&gt; 'Data Base'!$D$1,
            _xlfn.XLOOKUP(C210,'Documentos Emissão'!C:C,'Documentos Emissão'!G:G)&lt;='Data Base'!$D$1+6)),
    "JUSTIFICATIVA",
    "")</f>
        <v/>
      </c>
      <c r="H210" s="56"/>
    </row>
    <row r="211" spans="2:8" hidden="1" x14ac:dyDescent="0.25">
      <c r="B211" s="53" t="str">
        <f>_xlfn.XLOOKUP(C211,'Data Base'!D:D,'Data Base'!B:B)</f>
        <v>GE - Gestao De Engenharia</v>
      </c>
      <c r="C211" s="53" t="s">
        <v>215</v>
      </c>
      <c r="D211" s="53" t="str">
        <f>_xlfn.XLOOKUP(C211,'LD-ELFA'!F:F,'LD-ELFA'!H:H)</f>
        <v>AR-A1-1000-G-PB-4015</v>
      </c>
      <c r="E211" s="53" t="str">
        <f>_xlfn.XLOOKUP(C211,'LD-ELFA'!F:F,'LD-ELFA'!Q:Q)</f>
        <v>ATA - APRESENTAÇÃO PROJETO</v>
      </c>
      <c r="F211" s="56" t="str">
        <f>_xlfn.XLOOKUP(C211,'Data Base'!D:D,'Data Base'!O:O)</f>
        <v>Documento Removido</v>
      </c>
      <c r="G211" s="57" t="str">
        <f ca="1">IF(OR('Documentos Atendimentos '!H210="ATRASADO",
        AND('Documentos Emissão'!I209="ATRASADO",
            _xlfn.XLOOKUP(C211,'Documentos Emissão'!C:C,'Documentos Emissão'!G:G)&gt; 'Data Base'!$D$1,
            _xlfn.XLOOKUP(C211,'Documentos Emissão'!C:C,'Documentos Emissão'!G:G)&lt;='Data Base'!$D$1+6)),
    "JUSTIFICATIVA",
    "")</f>
        <v/>
      </c>
      <c r="H211" s="56"/>
    </row>
    <row r="212" spans="2:8" hidden="1" x14ac:dyDescent="0.25">
      <c r="B212" s="53" t="str">
        <f>_xlfn.XLOOKUP(C212,'Data Base'!D:D,'Data Base'!B:B)</f>
        <v>GE - Gestao De Engenharia</v>
      </c>
      <c r="C212" s="53" t="s">
        <v>216</v>
      </c>
      <c r="D212" s="53" t="str">
        <f>_xlfn.XLOOKUP(C212,'LD-ELFA'!F:F,'LD-ELFA'!H:H)</f>
        <v>AR-A1-1000-G-PB-4016</v>
      </c>
      <c r="E212" s="53" t="str">
        <f>_xlfn.XLOOKUP(C212,'LD-ELFA'!F:F,'LD-ELFA'!Q:Q)</f>
        <v>ATA - APRESENTAÇÃO PROJETO</v>
      </c>
      <c r="F212" s="56" t="str">
        <f>_xlfn.XLOOKUP(C212,'Data Base'!D:D,'Data Base'!O:O)</f>
        <v>Documento Removido</v>
      </c>
      <c r="G212" s="57" t="str">
        <f ca="1">IF(OR('Documentos Atendimentos '!H211="ATRASADO",
        AND('Documentos Emissão'!I210="ATRASADO",
            _xlfn.XLOOKUP(C212,'Documentos Emissão'!C:C,'Documentos Emissão'!G:G)&gt; 'Data Base'!$D$1,
            _xlfn.XLOOKUP(C212,'Documentos Emissão'!C:C,'Documentos Emissão'!G:G)&lt;='Data Base'!$D$1+6)),
    "JUSTIFICATIVA",
    "")</f>
        <v/>
      </c>
      <c r="H212" s="56"/>
    </row>
    <row r="213" spans="2:8" hidden="1" x14ac:dyDescent="0.25">
      <c r="B213" s="53" t="str">
        <f>_xlfn.XLOOKUP(C213,'Data Base'!D:D,'Data Base'!B:B)</f>
        <v>GE - Gestao De Engenharia</v>
      </c>
      <c r="C213" s="53" t="s">
        <v>217</v>
      </c>
      <c r="D213" s="53" t="str">
        <f>_xlfn.XLOOKUP(C213,'LD-ELFA'!F:F,'LD-ELFA'!H:H)</f>
        <v>AR-A1-1000-G-PB-4017</v>
      </c>
      <c r="E213" s="53" t="str">
        <f>_xlfn.XLOOKUP(C213,'LD-ELFA'!F:F,'LD-ELFA'!Q:Q)</f>
        <v>ATA - APRESENTAÇÃO PROJETO</v>
      </c>
      <c r="F213" s="56" t="str">
        <f>_xlfn.XLOOKUP(C213,'Data Base'!D:D,'Data Base'!O:O)</f>
        <v>Documento Removido</v>
      </c>
      <c r="G213" s="57" t="str">
        <f ca="1">IF(OR('Documentos Atendimentos '!H212="ATRASADO",
        AND('Documentos Emissão'!I211="ATRASADO",
            _xlfn.XLOOKUP(C213,'Documentos Emissão'!C:C,'Documentos Emissão'!G:G)&gt; 'Data Base'!$D$1,
            _xlfn.XLOOKUP(C213,'Documentos Emissão'!C:C,'Documentos Emissão'!G:G)&lt;='Data Base'!$D$1+6)),
    "JUSTIFICATIVA",
    "")</f>
        <v/>
      </c>
      <c r="H213" s="56"/>
    </row>
    <row r="214" spans="2:8" hidden="1" x14ac:dyDescent="0.25">
      <c r="B214" s="53" t="str">
        <f>_xlfn.XLOOKUP(C214,'Data Base'!D:D,'Data Base'!B:B)</f>
        <v>GE - Gestao De Engenharia</v>
      </c>
      <c r="C214" s="53" t="s">
        <v>218</v>
      </c>
      <c r="D214" s="53" t="str">
        <f>_xlfn.XLOOKUP(C214,'LD-ELFA'!F:F,'LD-ELFA'!H:H)</f>
        <v>AR-A1-1000-G-PB-4018</v>
      </c>
      <c r="E214" s="53" t="str">
        <f>_xlfn.XLOOKUP(C214,'LD-ELFA'!F:F,'LD-ELFA'!Q:Q)</f>
        <v>ATA - APRESENTAÇÃO PROJETO</v>
      </c>
      <c r="F214" s="56" t="str">
        <f>_xlfn.XLOOKUP(C214,'Data Base'!D:D,'Data Base'!O:O)</f>
        <v>Documento Removido</v>
      </c>
      <c r="G214" s="57" t="str">
        <f ca="1">IF(OR('Documentos Atendimentos '!H213="ATRASADO",
        AND('Documentos Emissão'!I212="ATRASADO",
            _xlfn.XLOOKUP(C214,'Documentos Emissão'!C:C,'Documentos Emissão'!G:G)&gt; 'Data Base'!$D$1,
            _xlfn.XLOOKUP(C214,'Documentos Emissão'!C:C,'Documentos Emissão'!G:G)&lt;='Data Base'!$D$1+6)),
    "JUSTIFICATIVA",
    "")</f>
        <v/>
      </c>
      <c r="H214" s="56"/>
    </row>
    <row r="215" spans="2:8" hidden="1" x14ac:dyDescent="0.25">
      <c r="B215" s="53" t="str">
        <f>_xlfn.XLOOKUP(C215,'Data Base'!D:D,'Data Base'!B:B)</f>
        <v>GE - Gestao De Engenharia</v>
      </c>
      <c r="C215" s="53" t="s">
        <v>219</v>
      </c>
      <c r="D215" s="53" t="str">
        <f>_xlfn.XLOOKUP(C215,'LD-ELFA'!F:F,'LD-ELFA'!H:H)</f>
        <v>AR-A1-1000-G-PB-4019</v>
      </c>
      <c r="E215" s="53" t="str">
        <f>_xlfn.XLOOKUP(C215,'LD-ELFA'!F:F,'LD-ELFA'!Q:Q)</f>
        <v>ATA - APRESENTAÇÃO PROJETO</v>
      </c>
      <c r="F215" s="56" t="str">
        <f>_xlfn.XLOOKUP(C215,'Data Base'!D:D,'Data Base'!O:O)</f>
        <v>Documento Removido</v>
      </c>
      <c r="G215" s="57" t="str">
        <f ca="1">IF(OR('Documentos Atendimentos '!H214="ATRASADO",
        AND('Documentos Emissão'!I213="ATRASADO",
            _xlfn.XLOOKUP(C215,'Documentos Emissão'!C:C,'Documentos Emissão'!G:G)&gt; 'Data Base'!$D$1,
            _xlfn.XLOOKUP(C215,'Documentos Emissão'!C:C,'Documentos Emissão'!G:G)&lt;='Data Base'!$D$1+6)),
    "JUSTIFICATIVA",
    "")</f>
        <v/>
      </c>
      <c r="H215" s="56"/>
    </row>
    <row r="216" spans="2:8" hidden="1" x14ac:dyDescent="0.25">
      <c r="B216" s="53" t="e">
        <f>_xlfn.XLOOKUP(C216,'Data Base'!D:D,'Data Base'!B:B)</f>
        <v>#N/A</v>
      </c>
      <c r="C216" s="53" t="s">
        <v>220</v>
      </c>
      <c r="D216" s="53" t="e">
        <f>_xlfn.XLOOKUP(C216,'LD-ELFA'!F:F,'LD-ELFA'!H:H)</f>
        <v>#N/A</v>
      </c>
      <c r="E216" s="53" t="e">
        <f>_xlfn.XLOOKUP(C216,'LD-ELFA'!F:F,'LD-ELFA'!Q:Q)</f>
        <v>#N/A</v>
      </c>
      <c r="F216" s="56" t="str">
        <f>_xlfn.XLOOKUP(C216,'Data Base'!D:D,'Data Base'!O:O)</f>
        <v>Documento Removido</v>
      </c>
      <c r="G216" s="57" t="e">
        <f ca="1">IF(OR('Documentos Atendimentos '!H215="ATRASADO",
        AND('Documentos Emissão'!I214="ATRASADO",
            _xlfn.XLOOKUP(C216,'Documentos Emissão'!C:C,'Documentos Emissão'!G:G)&gt; 'Data Base'!$D$1,
            _xlfn.XLOOKUP(C216,'Documentos Emissão'!C:C,'Documentos Emissão'!G:G)&lt;='Data Base'!$D$1+6)),
    "JUSTIFICATIVA",
    "")</f>
        <v>#N/A</v>
      </c>
      <c r="H216" s="56"/>
    </row>
    <row r="217" spans="2:8" hidden="1" x14ac:dyDescent="0.25">
      <c r="B217" s="53" t="e">
        <f>_xlfn.XLOOKUP(C217,'Data Base'!D:D,'Data Base'!B:B)</f>
        <v>#N/A</v>
      </c>
      <c r="C217" s="53" t="s">
        <v>221</v>
      </c>
      <c r="D217" s="53" t="e">
        <f>_xlfn.XLOOKUP(C217,'LD-ELFA'!F:F,'LD-ELFA'!H:H)</f>
        <v>#N/A</v>
      </c>
      <c r="E217" s="53" t="e">
        <f>_xlfn.XLOOKUP(C217,'LD-ELFA'!F:F,'LD-ELFA'!Q:Q)</f>
        <v>#N/A</v>
      </c>
      <c r="F217" s="56" t="str">
        <f>_xlfn.XLOOKUP(C217,'Data Base'!D:D,'Data Base'!O:O)</f>
        <v>Documento Removido</v>
      </c>
      <c r="G217" s="57" t="e">
        <f ca="1">IF(OR('Documentos Atendimentos '!H216="ATRASADO",
        AND('Documentos Emissão'!I215="ATRASADO",
            _xlfn.XLOOKUP(C217,'Documentos Emissão'!C:C,'Documentos Emissão'!G:G)&gt; 'Data Base'!$D$1,
            _xlfn.XLOOKUP(C217,'Documentos Emissão'!C:C,'Documentos Emissão'!G:G)&lt;='Data Base'!$D$1+6)),
    "JUSTIFICATIVA",
    "")</f>
        <v>#N/A</v>
      </c>
      <c r="H217" s="56"/>
    </row>
    <row r="218" spans="2:8" hidden="1" x14ac:dyDescent="0.25">
      <c r="B218" s="53" t="e">
        <f>_xlfn.XLOOKUP(C218,'Data Base'!D:D,'Data Base'!B:B)</f>
        <v>#N/A</v>
      </c>
      <c r="C218" s="53" t="s">
        <v>222</v>
      </c>
      <c r="D218" s="53" t="e">
        <f>_xlfn.XLOOKUP(C218,'LD-ELFA'!F:F,'LD-ELFA'!H:H)</f>
        <v>#N/A</v>
      </c>
      <c r="E218" s="53" t="e">
        <f>_xlfn.XLOOKUP(C218,'LD-ELFA'!F:F,'LD-ELFA'!Q:Q)</f>
        <v>#N/A</v>
      </c>
      <c r="F218" s="56" t="str">
        <f>_xlfn.XLOOKUP(C218,'Data Base'!D:D,'Data Base'!O:O)</f>
        <v>Documento Removido</v>
      </c>
      <c r="G218" s="57" t="e">
        <f ca="1">IF(OR('Documentos Atendimentos '!H217="ATRASADO",
        AND('Documentos Emissão'!I216="ATRASADO",
            _xlfn.XLOOKUP(C218,'Documentos Emissão'!C:C,'Documentos Emissão'!G:G)&gt; 'Data Base'!$D$1,
            _xlfn.XLOOKUP(C218,'Documentos Emissão'!C:C,'Documentos Emissão'!G:G)&lt;='Data Base'!$D$1+6)),
    "JUSTIFICATIVA",
    "")</f>
        <v>#N/A</v>
      </c>
      <c r="H218" s="56"/>
    </row>
    <row r="219" spans="2:8" x14ac:dyDescent="0.25">
      <c r="B219" s="53" t="str">
        <f>_xlfn.XLOOKUP(C219,'Data Base'!D:D,'Data Base'!B:B)</f>
        <v>GP - Gestao De Projetos</v>
      </c>
      <c r="C219" s="53" t="s">
        <v>223</v>
      </c>
      <c r="D219" s="53" t="str">
        <f>_xlfn.XLOOKUP(C219,'LD-ELFA'!F:F,'LD-ELFA'!H:H)</f>
        <v>RL-A1-1000-G-PB-4002</v>
      </c>
      <c r="E219" s="53" t="str">
        <f>_xlfn.XLOOKUP(C219,'LD-ELFA'!F:F,'LD-ELFA'!Q:Q)</f>
        <v>NORMA DE COORDENAÇÃO</v>
      </c>
      <c r="F219" s="56" t="str">
        <f>_xlfn.XLOOKUP(C219,'Data Base'!D:D,'Data Base'!O:O)</f>
        <v>Documento Concluído</v>
      </c>
      <c r="G219" s="57" t="str">
        <f ca="1">IF(OR('Documentos Atendimentos '!H218="ATRASADO",
        AND('Documentos Emissão'!I217="ATRASADO",
            _xlfn.XLOOKUP(C219,'Documentos Emissão'!C:C,'Documentos Emissão'!G:G)&gt; 'Data Base'!$D$1,
            _xlfn.XLOOKUP(C219,'Documentos Emissão'!C:C,'Documentos Emissão'!G:G)&lt;='Data Base'!$D$1+6)),
    "JUSTIFICATIVA",
    "")</f>
        <v/>
      </c>
      <c r="H219" s="56"/>
    </row>
    <row r="220" spans="2:8" hidden="1" x14ac:dyDescent="0.25">
      <c r="B220" s="53" t="str">
        <f>_xlfn.XLOOKUP(C220,'Data Base'!D:D,'Data Base'!B:B)</f>
        <v>GP - Gestao De Projetos</v>
      </c>
      <c r="C220" s="53" t="s">
        <v>224</v>
      </c>
      <c r="D220" s="53" t="str">
        <f>_xlfn.XLOOKUP(C220,'LD-ELFA'!F:F,'LD-ELFA'!H:H)</f>
        <v>RL-A1-1000-G-PB-4003</v>
      </c>
      <c r="E220" s="53" t="str">
        <f>_xlfn.XLOOKUP(C220,'LD-ELFA'!F:F,'LD-ELFA'!Q:Q)</f>
        <v>RELATÓRIO DE ACOMPANHAMENTO PARA PRÓXIMAS FASES</v>
      </c>
      <c r="F220" s="56" t="str">
        <f>_xlfn.XLOOKUP(C220,'Data Base'!D:D,'Data Base'!O:O)</f>
        <v>Blossom - Documento a emitir</v>
      </c>
      <c r="G220" s="57" t="str">
        <f ca="1">IF(OR('Documentos Atendimentos '!H219="ATRASADO",
        AND('Documentos Emissão'!I218="ATRASADO",
            _xlfn.XLOOKUP(C220,'Documentos Emissão'!C:C,'Documentos Emissão'!G:G)&gt; 'Data Base'!$D$1,
            _xlfn.XLOOKUP(C220,'Documentos Emissão'!C:C,'Documentos Emissão'!G:G)&lt;='Data Base'!$D$1+6)),
    "JUSTIFICATIVA",
    "")</f>
        <v/>
      </c>
      <c r="H220" s="56"/>
    </row>
    <row r="221" spans="2:8" hidden="1" x14ac:dyDescent="0.25">
      <c r="B221" s="53" t="str">
        <f>_xlfn.XLOOKUP(C221,'Data Base'!D:D,'Data Base'!B:B)</f>
        <v>ME - Mecanica</v>
      </c>
      <c r="C221" s="53" t="s">
        <v>225</v>
      </c>
      <c r="D221" s="53" t="str">
        <f>_xlfn.XLOOKUP(C221,'LD-ELFA'!F:F,'LD-ELFA'!H:H)</f>
        <v>DE-A1-1802-M-PB-0001</v>
      </c>
      <c r="E221" s="53" t="str">
        <f>_xlfn.XLOOKUP(C221,'LD-ELFA'!F:F,'LD-ELFA'!Q:Q)</f>
        <v>PLANTA DE LOCAÇÃO</v>
      </c>
      <c r="F221" s="56" t="str">
        <f>_xlfn.XLOOKUP(C221,'Data Base'!D:D,'Data Base'!O:O)</f>
        <v>Blossom - Atendimento de Comentário</v>
      </c>
      <c r="G221" s="57" t="str">
        <f ca="1">IF(OR('Documentos Atendimentos '!H220="ATRASADO",
        AND('Documentos Emissão'!I219="ATRASADO",
            _xlfn.XLOOKUP(C221,'Documentos Emissão'!C:C,'Documentos Emissão'!G:G)&gt; 'Data Base'!$D$1,
            _xlfn.XLOOKUP(C221,'Documentos Emissão'!C:C,'Documentos Emissão'!G:G)&lt;='Data Base'!$D$1+6)),
    "JUSTIFICATIVA",
    "")</f>
        <v/>
      </c>
      <c r="H221" s="56"/>
    </row>
    <row r="222" spans="2:8" hidden="1" x14ac:dyDescent="0.25">
      <c r="B222" s="53" t="str">
        <f>_xlfn.XLOOKUP(C222,'Data Base'!D:D,'Data Base'!B:B)</f>
        <v>ME - Mecanica</v>
      </c>
      <c r="C222" s="53" t="s">
        <v>226</v>
      </c>
      <c r="D222" s="53" t="str">
        <f>_xlfn.XLOOKUP(C222,'LD-ELFA'!F:F,'LD-ELFA'!H:H)</f>
        <v>DE-A1-1000-M-PB-0001</v>
      </c>
      <c r="E222" s="53" t="str">
        <f>_xlfn.XLOOKUP(C222,'LD-ELFA'!F:F,'LD-ELFA'!Q:Q)</f>
        <v>PLANO DIRETOR</v>
      </c>
      <c r="F222" s="56" t="str">
        <f>_xlfn.XLOOKUP(C222,'Data Base'!D:D,'Data Base'!O:O)</f>
        <v>Blossom - Documento a emitir</v>
      </c>
      <c r="G222" s="57" t="str">
        <f ca="1">IF(OR('Documentos Atendimentos '!H221="ATRASADO",
        AND('Documentos Emissão'!I220="ATRASADO",
            _xlfn.XLOOKUP(C222,'Documentos Emissão'!C:C,'Documentos Emissão'!G:G)&gt; 'Data Base'!$D$1,
            _xlfn.XLOOKUP(C222,'Documentos Emissão'!C:C,'Documentos Emissão'!G:G)&lt;='Data Base'!$D$1+6)),
    "JUSTIFICATIVA",
    "")</f>
        <v/>
      </c>
      <c r="H222" s="56"/>
    </row>
    <row r="223" spans="2:8" hidden="1" x14ac:dyDescent="0.25">
      <c r="B223" s="53" t="str">
        <f>_xlfn.XLOOKUP(C223,'Data Base'!D:D,'Data Base'!B:B)</f>
        <v>ME - Mecanica</v>
      </c>
      <c r="C223" s="53" t="s">
        <v>227</v>
      </c>
      <c r="D223" s="53" t="str">
        <f>_xlfn.XLOOKUP(C223,'LD-ELFA'!F:F,'LD-ELFA'!H:H)</f>
        <v>ET-A1-1201-M-PB-4000</v>
      </c>
      <c r="E223" s="53" t="str">
        <f>_xlfn.XLOOKUP(C223,'LD-ELFA'!F:F,'LD-ELFA'!Q:Q)</f>
        <v>ESPECIFICAÇÃO TÉCNICA</v>
      </c>
      <c r="F223" s="56" t="str">
        <f>_xlfn.XLOOKUP(C223,'Data Base'!D:D,'Data Base'!O:O)</f>
        <v>Blossom - Documento a emitir</v>
      </c>
      <c r="G223" s="57" t="str">
        <f ca="1">IF(OR('Documentos Atendimentos '!H222="ATRASADO",
        AND('Documentos Emissão'!I221="ATRASADO",
            _xlfn.XLOOKUP(C223,'Documentos Emissão'!C:C,'Documentos Emissão'!G:G)&gt; 'Data Base'!$D$1,
            _xlfn.XLOOKUP(C223,'Documentos Emissão'!C:C,'Documentos Emissão'!G:G)&lt;='Data Base'!$D$1+6)),
    "JUSTIFICATIVA",
    "")</f>
        <v>JUSTIFICATIVA</v>
      </c>
      <c r="H223" s="56"/>
    </row>
    <row r="224" spans="2:8" hidden="1" x14ac:dyDescent="0.25">
      <c r="B224" s="53" t="str">
        <f>_xlfn.XLOOKUP(C224,'Data Base'!D:D,'Data Base'!B:B)</f>
        <v>ME - Mecanica</v>
      </c>
      <c r="C224" s="53" t="s">
        <v>228</v>
      </c>
      <c r="D224" s="53" t="str">
        <f>_xlfn.XLOOKUP(C224,'LD-ELFA'!F:F,'LD-ELFA'!H:H)</f>
        <v>ET-A1-1602-M-PB-4000</v>
      </c>
      <c r="E224" s="53" t="str">
        <f>_xlfn.XLOOKUP(C224,'LD-ELFA'!F:F,'LD-ELFA'!Q:Q)</f>
        <v>ESPECIFICAÇÃO TÉCNICA</v>
      </c>
      <c r="F224" s="56" t="str">
        <f>_xlfn.XLOOKUP(C224,'Data Base'!D:D,'Data Base'!O:O)</f>
        <v>Blossom - Documento a emitir</v>
      </c>
      <c r="G224" s="57" t="str">
        <f ca="1">IF(OR('Documentos Atendimentos '!H223="ATRASADO",
        AND('Documentos Emissão'!I222="ATRASADO",
            _xlfn.XLOOKUP(C224,'Documentos Emissão'!C:C,'Documentos Emissão'!G:G)&gt; 'Data Base'!$D$1,
            _xlfn.XLOOKUP(C224,'Documentos Emissão'!C:C,'Documentos Emissão'!G:G)&lt;='Data Base'!$D$1+6)),
    "JUSTIFICATIVA",
    "")</f>
        <v/>
      </c>
      <c r="H224" s="56"/>
    </row>
    <row r="225" spans="2:8" hidden="1" x14ac:dyDescent="0.25">
      <c r="B225" s="53" t="str">
        <f>_xlfn.XLOOKUP(C225,'Data Base'!D:D,'Data Base'!B:B)</f>
        <v>ME - Mecanica</v>
      </c>
      <c r="C225" s="53" t="s">
        <v>229</v>
      </c>
      <c r="D225" s="53" t="str">
        <f>_xlfn.XLOOKUP(C225,'LD-ELFA'!F:F,'LD-ELFA'!H:H)</f>
        <v>ET-A1-1000-G-PB-0004</v>
      </c>
      <c r="E225" s="53" t="str">
        <f>_xlfn.XLOOKUP(C225,'LD-ELFA'!F:F,'LD-ELFA'!Q:Q)</f>
        <v>ESPECIFICAÇÃO DE SERVIÇO</v>
      </c>
      <c r="F225" s="56" t="str">
        <f>_xlfn.XLOOKUP(C225,'Data Base'!D:D,'Data Base'!O:O)</f>
        <v>Cliente - Atendimento de Comentário</v>
      </c>
      <c r="G225" s="57" t="str">
        <f ca="1">IF(OR('Documentos Atendimentos '!H224="ATRASADO",
        AND('Documentos Emissão'!I223="ATRASADO",
            _xlfn.XLOOKUP(C225,'Documentos Emissão'!C:C,'Documentos Emissão'!G:G)&gt; 'Data Base'!$D$1,
            _xlfn.XLOOKUP(C225,'Documentos Emissão'!C:C,'Documentos Emissão'!G:G)&lt;='Data Base'!$D$1+6)),
    "JUSTIFICATIVA",
    "")</f>
        <v/>
      </c>
      <c r="H225" s="56"/>
    </row>
    <row r="226" spans="2:8" x14ac:dyDescent="0.25">
      <c r="B226" s="53" t="str">
        <f>_xlfn.XLOOKUP(C226,'Data Base'!D:D,'Data Base'!B:B)</f>
        <v>ME - Mecanica</v>
      </c>
      <c r="C226" s="53" t="s">
        <v>230</v>
      </c>
      <c r="D226" s="53" t="str">
        <f>_xlfn.XLOOKUP(C226,'LD-ELFA'!F:F,'LD-ELFA'!H:H)</f>
        <v>ET-A1-1411-M-PB-4000</v>
      </c>
      <c r="E226" s="53" t="str">
        <f>_xlfn.XLOOKUP(C226,'LD-ELFA'!F:F,'LD-ELFA'!Q:Q)</f>
        <v>ESPECIFICAÇÃO TÉCNICA</v>
      </c>
      <c r="F226" s="56" t="str">
        <f>_xlfn.XLOOKUP(C226,'Data Base'!D:D,'Data Base'!O:O)</f>
        <v>Blossom - Documento a emitir</v>
      </c>
      <c r="G226" s="57" t="str">
        <f ca="1">IF(OR('Documentos Atendimentos '!H225="ATRASADO",
        AND('Documentos Emissão'!I224="ATRASADO",
            _xlfn.XLOOKUP(C226,'Documentos Emissão'!C:C,'Documentos Emissão'!G:G)&gt; 'Data Base'!$D$1,
            _xlfn.XLOOKUP(C226,'Documentos Emissão'!C:C,'Documentos Emissão'!G:G)&lt;='Data Base'!$D$1+6)),
    "JUSTIFICATIVA",
    "")</f>
        <v/>
      </c>
      <c r="H226" s="56"/>
    </row>
    <row r="227" spans="2:8" hidden="1" x14ac:dyDescent="0.25">
      <c r="B227" s="53" t="e">
        <f>_xlfn.XLOOKUP(C227,'Data Base'!D:D,'Data Base'!B:B)</f>
        <v>#N/A</v>
      </c>
      <c r="C227" s="53" t="s">
        <v>231</v>
      </c>
      <c r="D227" s="53" t="e">
        <f>_xlfn.XLOOKUP(C227,'LD-ELFA'!F:F,'LD-ELFA'!H:H)</f>
        <v>#N/A</v>
      </c>
      <c r="E227" s="53" t="e">
        <f>_xlfn.XLOOKUP(C227,'LD-ELFA'!F:F,'LD-ELFA'!Q:Q)</f>
        <v>#N/A</v>
      </c>
      <c r="F227" s="56" t="str">
        <f>_xlfn.XLOOKUP(C227,'Data Base'!D:D,'Data Base'!O:O)</f>
        <v>Documento Removido</v>
      </c>
      <c r="G227" s="57" t="e">
        <f ca="1">IF(OR('Documentos Atendimentos '!H226="ATRASADO",
        AND('Documentos Emissão'!I225="ATRASADO",
            _xlfn.XLOOKUP(C227,'Documentos Emissão'!C:C,'Documentos Emissão'!G:G)&gt; 'Data Base'!$D$1,
            _xlfn.XLOOKUP(C227,'Documentos Emissão'!C:C,'Documentos Emissão'!G:G)&lt;='Data Base'!$D$1+6)),
    "JUSTIFICATIVA",
    "")</f>
        <v>#N/A</v>
      </c>
      <c r="H227" s="56"/>
    </row>
    <row r="228" spans="2:8" hidden="1" x14ac:dyDescent="0.25">
      <c r="B228" s="53" t="str">
        <f>_xlfn.XLOOKUP(C228,'Data Base'!D:D,'Data Base'!B:B)</f>
        <v>ME - Mecanica</v>
      </c>
      <c r="C228" s="53" t="s">
        <v>232</v>
      </c>
      <c r="D228" s="53" t="str">
        <f>_xlfn.XLOOKUP(C228,'LD-ELFA'!F:F,'LD-ELFA'!H:H)</f>
        <v>FD-A1-1000-M-PB-0004</v>
      </c>
      <c r="E228" s="53" t="str">
        <f>_xlfn.XLOOKUP(C228,'LD-ELFA'!F:F,'LD-ELFA'!Q:Q)</f>
        <v>FOLHA DE DADOS</v>
      </c>
      <c r="F228" s="56" t="str">
        <f>_xlfn.XLOOKUP(C228,'Data Base'!D:D,'Data Base'!O:O)</f>
        <v>Cliente - Atendimento de Comentário</v>
      </c>
      <c r="G228" s="57" t="str">
        <f ca="1">IF(OR('Documentos Atendimentos '!H227="ATRASADO",
        AND('Documentos Emissão'!I226="ATRASADO",
            _xlfn.XLOOKUP(C228,'Documentos Emissão'!C:C,'Documentos Emissão'!G:G)&gt; 'Data Base'!$D$1,
            _xlfn.XLOOKUP(C228,'Documentos Emissão'!C:C,'Documentos Emissão'!G:G)&lt;='Data Base'!$D$1+6)),
    "JUSTIFICATIVA",
    "")</f>
        <v/>
      </c>
      <c r="H228" s="56"/>
    </row>
    <row r="229" spans="2:8" hidden="1" x14ac:dyDescent="0.25">
      <c r="B229" s="53" t="str">
        <f>_xlfn.XLOOKUP(C229,'Data Base'!D:D,'Data Base'!B:B)</f>
        <v>ME - Mecanica</v>
      </c>
      <c r="C229" s="53" t="s">
        <v>233</v>
      </c>
      <c r="D229" s="53" t="str">
        <f>_xlfn.XLOOKUP(C229,'LD-ELFA'!F:F,'LD-ELFA'!H:H)</f>
        <v>FD-A1-1411-M-PB-4000</v>
      </c>
      <c r="E229" s="53" t="str">
        <f>_xlfn.XLOOKUP(C229,'LD-ELFA'!F:F,'LD-ELFA'!Q:Q)</f>
        <v>FOLHA DE DADOS</v>
      </c>
      <c r="F229" s="56" t="str">
        <f>_xlfn.XLOOKUP(C229,'Data Base'!D:D,'Data Base'!O:O)</f>
        <v>Blossom - Documento a emitir</v>
      </c>
      <c r="G229" s="57" t="str">
        <f ca="1">IF(OR('Documentos Atendimentos '!H228="ATRASADO",
        AND('Documentos Emissão'!I227="ATRASADO",
            _xlfn.XLOOKUP(C229,'Documentos Emissão'!C:C,'Documentos Emissão'!G:G)&gt; 'Data Base'!$D$1,
            _xlfn.XLOOKUP(C229,'Documentos Emissão'!C:C,'Documentos Emissão'!G:G)&lt;='Data Base'!$D$1+6)),
    "JUSTIFICATIVA",
    "")</f>
        <v/>
      </c>
      <c r="H229" s="56"/>
    </row>
    <row r="230" spans="2:8" hidden="1" x14ac:dyDescent="0.25">
      <c r="B230" s="53" t="e">
        <f>_xlfn.XLOOKUP(C230,'Data Base'!D:D,'Data Base'!B:B)</f>
        <v>#N/A</v>
      </c>
      <c r="C230" s="53" t="s">
        <v>234</v>
      </c>
      <c r="D230" s="53" t="e">
        <f>_xlfn.XLOOKUP(C230,'LD-ELFA'!F:F,'LD-ELFA'!H:H)</f>
        <v>#N/A</v>
      </c>
      <c r="E230" s="53" t="e">
        <f>_xlfn.XLOOKUP(C230,'LD-ELFA'!F:F,'LD-ELFA'!Q:Q)</f>
        <v>#N/A</v>
      </c>
      <c r="F230" s="56" t="str">
        <f>_xlfn.XLOOKUP(C230,'Data Base'!D:D,'Data Base'!O:O)</f>
        <v>Documento Removido</v>
      </c>
      <c r="G230" s="57" t="e">
        <f ca="1">IF(OR('Documentos Atendimentos '!H229="ATRASADO",
        AND('Documentos Emissão'!I228="ATRASADO",
            _xlfn.XLOOKUP(C230,'Documentos Emissão'!C:C,'Documentos Emissão'!G:G)&gt; 'Data Base'!$D$1,
            _xlfn.XLOOKUP(C230,'Documentos Emissão'!C:C,'Documentos Emissão'!G:G)&lt;='Data Base'!$D$1+6)),
    "JUSTIFICATIVA",
    "")</f>
        <v>#N/A</v>
      </c>
      <c r="H230" s="56"/>
    </row>
    <row r="231" spans="2:8" x14ac:dyDescent="0.25">
      <c r="B231" s="53" t="str">
        <f>_xlfn.XLOOKUP(C231,'Data Base'!D:D,'Data Base'!B:B)</f>
        <v>ME - Mecanica</v>
      </c>
      <c r="C231" s="53" t="s">
        <v>235</v>
      </c>
      <c r="D231" s="53" t="str">
        <f>_xlfn.XLOOKUP(C231,'LD-ELFA'!F:F,'LD-ELFA'!H:H)</f>
        <v>FD-A1-1411-M-PB-4001</v>
      </c>
      <c r="E231" s="53" t="str">
        <f>_xlfn.XLOOKUP(C231,'LD-ELFA'!F:F,'LD-ELFA'!Q:Q)</f>
        <v>FOLHA DE DADOS</v>
      </c>
      <c r="F231" s="56" t="str">
        <f>_xlfn.XLOOKUP(C231,'Data Base'!D:D,'Data Base'!O:O)</f>
        <v>Blossom - Documento a emitir</v>
      </c>
      <c r="G231" s="57" t="str">
        <f ca="1">IF(OR('Documentos Atendimentos '!H230="ATRASADO",
        AND('Documentos Emissão'!I229="ATRASADO",
            _xlfn.XLOOKUP(C231,'Documentos Emissão'!C:C,'Documentos Emissão'!G:G)&gt; 'Data Base'!$D$1,
            _xlfn.XLOOKUP(C231,'Documentos Emissão'!C:C,'Documentos Emissão'!G:G)&lt;='Data Base'!$D$1+6)),
    "JUSTIFICATIVA",
    "")</f>
        <v/>
      </c>
      <c r="H231" s="56"/>
    </row>
    <row r="232" spans="2:8" hidden="1" x14ac:dyDescent="0.25">
      <c r="B232" s="53" t="str">
        <f>_xlfn.XLOOKUP(C232,'Data Base'!D:D,'Data Base'!B:B)</f>
        <v>ME - Mecanica</v>
      </c>
      <c r="C232" s="53" t="s">
        <v>236</v>
      </c>
      <c r="D232" s="53" t="str">
        <f>_xlfn.XLOOKUP(C232,'LD-ELFA'!F:F,'LD-ELFA'!H:H)</f>
        <v>FD-A1-1201-M-PB-4000</v>
      </c>
      <c r="E232" s="53" t="str">
        <f>_xlfn.XLOOKUP(C232,'LD-ELFA'!F:F,'LD-ELFA'!Q:Q)</f>
        <v>ESPECIFICAÇÃO TÉCNICA</v>
      </c>
      <c r="F232" s="56" t="str">
        <f>_xlfn.XLOOKUP(C232,'Data Base'!D:D,'Data Base'!O:O)</f>
        <v>Blossom - Documento a emitir</v>
      </c>
      <c r="G232" s="57" t="str">
        <f ca="1">IF(OR('Documentos Atendimentos '!H231="ATRASADO",
        AND('Documentos Emissão'!I230="ATRASADO",
            _xlfn.XLOOKUP(C232,'Documentos Emissão'!C:C,'Documentos Emissão'!G:G)&gt; 'Data Base'!$D$1,
            _xlfn.XLOOKUP(C232,'Documentos Emissão'!C:C,'Documentos Emissão'!G:G)&lt;='Data Base'!$D$1+6)),
    "JUSTIFICATIVA",
    "")</f>
        <v>JUSTIFICATIVA</v>
      </c>
      <c r="H232" s="56"/>
    </row>
    <row r="233" spans="2:8" hidden="1" x14ac:dyDescent="0.25">
      <c r="B233" s="53" t="str">
        <f>_xlfn.XLOOKUP(C233,'Data Base'!D:D,'Data Base'!B:B)</f>
        <v>ME - Mecanica</v>
      </c>
      <c r="C233" s="53" t="s">
        <v>237</v>
      </c>
      <c r="D233" s="53" t="str">
        <f>_xlfn.XLOOKUP(C233,'LD-ELFA'!F:F,'LD-ELFA'!H:H)</f>
        <v>FD-A1-1602-M-PB-4000</v>
      </c>
      <c r="E233" s="53" t="str">
        <f>_xlfn.XLOOKUP(C233,'LD-ELFA'!F:F,'LD-ELFA'!Q:Q)</f>
        <v>FOLHA DE DADOS</v>
      </c>
      <c r="F233" s="56" t="str">
        <f>_xlfn.XLOOKUP(C233,'Data Base'!D:D,'Data Base'!O:O)</f>
        <v>Blossom - Documento a emitir</v>
      </c>
      <c r="G233" s="57" t="str">
        <f ca="1">IF(OR('Documentos Atendimentos '!H232="ATRASADO",
        AND('Documentos Emissão'!I231="ATRASADO",
            _xlfn.XLOOKUP(C233,'Documentos Emissão'!C:C,'Documentos Emissão'!G:G)&gt; 'Data Base'!$D$1,
            _xlfn.XLOOKUP(C233,'Documentos Emissão'!C:C,'Documentos Emissão'!G:G)&lt;='Data Base'!$D$1+6)),
    "JUSTIFICATIVA",
    "")</f>
        <v/>
      </c>
      <c r="H233" s="56"/>
    </row>
    <row r="234" spans="2:8" x14ac:dyDescent="0.25">
      <c r="B234" s="53" t="str">
        <f>_xlfn.XLOOKUP(C234,'Data Base'!D:D,'Data Base'!B:B)</f>
        <v>ME - Mecanica</v>
      </c>
      <c r="C234" s="53" t="s">
        <v>238</v>
      </c>
      <c r="D234" s="53" t="str">
        <f>_xlfn.XLOOKUP(C234,'LD-ELFA'!F:F,'LD-ELFA'!H:H)</f>
        <v>LE-A1-1000-M-PB-0001</v>
      </c>
      <c r="E234" s="53" t="str">
        <f>_xlfn.XLOOKUP(C234,'LD-ELFA'!F:F,'LD-ELFA'!Q:Q)</f>
        <v>LISTA DE EQUIPAMENTOS MECÂNICOS</v>
      </c>
      <c r="F234" s="56" t="str">
        <f>_xlfn.XLOOKUP(C234,'Data Base'!D:D,'Data Base'!O:O)</f>
        <v>Cliente - Atendimento de Comentário</v>
      </c>
      <c r="G234" s="57" t="str">
        <f ca="1">IF(OR('Documentos Atendimentos '!H233="ATRASADO",
        AND('Documentos Emissão'!I232="ATRASADO",
            _xlfn.XLOOKUP(C234,'Documentos Emissão'!C:C,'Documentos Emissão'!G:G)&gt; 'Data Base'!$D$1,
            _xlfn.XLOOKUP(C234,'Documentos Emissão'!C:C,'Documentos Emissão'!G:G)&lt;='Data Base'!$D$1+6)),
    "JUSTIFICATIVA",
    "")</f>
        <v/>
      </c>
      <c r="H234" s="56"/>
    </row>
    <row r="235" spans="2:8" hidden="1" x14ac:dyDescent="0.25">
      <c r="B235" s="53" t="e">
        <f>_xlfn.XLOOKUP(C235,'Data Base'!D:D,'Data Base'!B:B)</f>
        <v>#N/A</v>
      </c>
      <c r="C235" s="53" t="s">
        <v>239</v>
      </c>
      <c r="D235" s="53" t="e">
        <f>_xlfn.XLOOKUP(C235,'LD-ELFA'!F:F,'LD-ELFA'!H:H)</f>
        <v>#N/A</v>
      </c>
      <c r="E235" s="53" t="e">
        <f>_xlfn.XLOOKUP(C235,'LD-ELFA'!F:F,'LD-ELFA'!Q:Q)</f>
        <v>#N/A</v>
      </c>
      <c r="F235" s="56" t="str">
        <f>_xlfn.XLOOKUP(C235,'Data Base'!D:D,'Data Base'!O:O)</f>
        <v>Documento Removido</v>
      </c>
      <c r="G235" s="57" t="e">
        <f ca="1">IF(OR('Documentos Atendimentos '!H234="ATRASADO",
        AND('Documentos Emissão'!I233="ATRASADO",
            _xlfn.XLOOKUP(C235,'Documentos Emissão'!C:C,'Documentos Emissão'!G:G)&gt; 'Data Base'!$D$1,
            _xlfn.XLOOKUP(C235,'Documentos Emissão'!C:C,'Documentos Emissão'!G:G)&lt;='Data Base'!$D$1+6)),
    "JUSTIFICATIVA",
    "")</f>
        <v>#N/A</v>
      </c>
      <c r="H235" s="56"/>
    </row>
    <row r="236" spans="2:8" hidden="1" x14ac:dyDescent="0.25">
      <c r="B236" s="53" t="str">
        <f>_xlfn.XLOOKUP(C236,'Data Base'!D:D,'Data Base'!B:B)</f>
        <v>ME - Mecanica</v>
      </c>
      <c r="C236" s="53" t="s">
        <v>240</v>
      </c>
      <c r="D236" s="53" t="str">
        <f>_xlfn.XLOOKUP(C236,'LD-ELFA'!F:F,'LD-ELFA'!H:H)</f>
        <v>MC-A1-1000-M-PB-0001</v>
      </c>
      <c r="E236" s="53" t="str">
        <f>_xlfn.XLOOKUP(C236,'LD-ELFA'!F:F,'LD-ELFA'!Q:Q)</f>
        <v>MEMÓRIA DE CÁLCULO</v>
      </c>
      <c r="F236" s="56" t="str">
        <f>_xlfn.XLOOKUP(C236,'Data Base'!D:D,'Data Base'!O:O)</f>
        <v>Blossom - Documento a emitir</v>
      </c>
      <c r="G236" s="57" t="str">
        <f ca="1">IF(OR('Documentos Atendimentos '!H235="ATRASADO",
        AND('Documentos Emissão'!I234="ATRASADO",
            _xlfn.XLOOKUP(C236,'Documentos Emissão'!C:C,'Documentos Emissão'!G:G)&gt; 'Data Base'!$D$1,
            _xlfn.XLOOKUP(C236,'Documentos Emissão'!C:C,'Documentos Emissão'!G:G)&lt;='Data Base'!$D$1+6)),
    "JUSTIFICATIVA",
    "")</f>
        <v/>
      </c>
      <c r="H236" s="56"/>
    </row>
    <row r="237" spans="2:8" hidden="1" x14ac:dyDescent="0.25">
      <c r="B237" s="53" t="str">
        <f>_xlfn.XLOOKUP(C237,'Data Base'!D:D,'Data Base'!B:B)</f>
        <v>ME - Mecanica</v>
      </c>
      <c r="C237" s="53" t="s">
        <v>241</v>
      </c>
      <c r="D237" s="53" t="str">
        <f>_xlfn.XLOOKUP(C237,'LD-ELFA'!F:F,'LD-ELFA'!H:H)</f>
        <v>MC-A1-1000-M-PB-0002</v>
      </c>
      <c r="E237" s="53" t="str">
        <f>_xlfn.XLOOKUP(C237,'LD-ELFA'!F:F,'LD-ELFA'!Q:Q)</f>
        <v>MEMÓRIAL DE CÁLCULO</v>
      </c>
      <c r="F237" s="56" t="str">
        <f>_xlfn.XLOOKUP(C237,'Data Base'!D:D,'Data Base'!O:O)</f>
        <v>Blossom - Atendimento de Comentário</v>
      </c>
      <c r="G237" s="57" t="str">
        <f ca="1">IF(OR('Documentos Atendimentos '!H236="ATRASADO",
        AND('Documentos Emissão'!I235="ATRASADO",
            _xlfn.XLOOKUP(C237,'Documentos Emissão'!C:C,'Documentos Emissão'!G:G)&gt; 'Data Base'!$D$1,
            _xlfn.XLOOKUP(C237,'Documentos Emissão'!C:C,'Documentos Emissão'!G:G)&lt;='Data Base'!$D$1+6)),
    "JUSTIFICATIVA",
    "")</f>
        <v/>
      </c>
      <c r="H237" s="56"/>
    </row>
    <row r="238" spans="2:8" hidden="1" x14ac:dyDescent="0.25">
      <c r="B238" s="53" t="e">
        <f>_xlfn.XLOOKUP(C238,'Data Base'!D:D,'Data Base'!B:B)</f>
        <v>#N/A</v>
      </c>
      <c r="C238" s="53" t="s">
        <v>242</v>
      </c>
      <c r="D238" s="53" t="e">
        <f>_xlfn.XLOOKUP(C238,'LD-ELFA'!F:F,'LD-ELFA'!H:H)</f>
        <v>#N/A</v>
      </c>
      <c r="E238" s="53" t="e">
        <f>_xlfn.XLOOKUP(C238,'LD-ELFA'!F:F,'LD-ELFA'!Q:Q)</f>
        <v>#N/A</v>
      </c>
      <c r="F238" s="56" t="str">
        <f>_xlfn.XLOOKUP(C238,'Data Base'!D:D,'Data Base'!O:O)</f>
        <v>Documento Removido</v>
      </c>
      <c r="G238" s="57" t="e">
        <f ca="1">IF(OR('Documentos Atendimentos '!H237="ATRASADO",
        AND('Documentos Emissão'!I236="ATRASADO",
            _xlfn.XLOOKUP(C238,'Documentos Emissão'!C:C,'Documentos Emissão'!G:G)&gt; 'Data Base'!$D$1,
            _xlfn.XLOOKUP(C238,'Documentos Emissão'!C:C,'Documentos Emissão'!G:G)&lt;='Data Base'!$D$1+6)),
    "JUSTIFICATIVA",
    "")</f>
        <v>#N/A</v>
      </c>
      <c r="H238" s="56"/>
    </row>
    <row r="239" spans="2:8" hidden="1" x14ac:dyDescent="0.25">
      <c r="B239" s="53" t="str">
        <f>_xlfn.XLOOKUP(C239,'Data Base'!D:D,'Data Base'!B:B)</f>
        <v>ME - Mecanica</v>
      </c>
      <c r="C239" s="53" t="s">
        <v>243</v>
      </c>
      <c r="D239" s="53" t="str">
        <f>_xlfn.XLOOKUP(C239,'LD-ELFA'!F:F,'LD-ELFA'!H:H)</f>
        <v>MC-A1-1411-M-PB-4000</v>
      </c>
      <c r="E239" s="53" t="str">
        <f>_xlfn.XLOOKUP(C239,'LD-ELFA'!F:F,'LD-ELFA'!Q:Q)</f>
        <v>MEMÓRIA DE CÁLCULO</v>
      </c>
      <c r="F239" s="56" t="str">
        <f>_xlfn.XLOOKUP(C239,'Data Base'!D:D,'Data Base'!O:O)</f>
        <v>Blossom - Documento a emitir</v>
      </c>
      <c r="G239" s="57" t="str">
        <f ca="1">IF(OR('Documentos Atendimentos '!H238="ATRASADO",
        AND('Documentos Emissão'!I237="ATRASADO",
            _xlfn.XLOOKUP(C239,'Documentos Emissão'!C:C,'Documentos Emissão'!G:G)&gt; 'Data Base'!$D$1,
            _xlfn.XLOOKUP(C239,'Documentos Emissão'!C:C,'Documentos Emissão'!G:G)&lt;='Data Base'!$D$1+6)),
    "JUSTIFICATIVA",
    "")</f>
        <v/>
      </c>
      <c r="H239" s="56"/>
    </row>
    <row r="240" spans="2:8" hidden="1" x14ac:dyDescent="0.25">
      <c r="B240" s="53" t="str">
        <f>_xlfn.XLOOKUP(C240,'Data Base'!D:D,'Data Base'!B:B)</f>
        <v>ME - Mecanica</v>
      </c>
      <c r="C240" s="53" t="s">
        <v>244</v>
      </c>
      <c r="D240" s="53" t="str">
        <f>_xlfn.XLOOKUP(C240,'LD-ELFA'!F:F,'LD-ELFA'!H:H)</f>
        <v>MC-A1-1411-M-PB-4001</v>
      </c>
      <c r="E240" s="53" t="str">
        <f>_xlfn.XLOOKUP(C240,'LD-ELFA'!F:F,'LD-ELFA'!Q:Q)</f>
        <v>MEMÓRIA DE CÁLCULO</v>
      </c>
      <c r="F240" s="56" t="str">
        <f>_xlfn.XLOOKUP(C240,'Data Base'!D:D,'Data Base'!O:O)</f>
        <v>Blossom - Atendimento de Comentário</v>
      </c>
      <c r="G240" s="57" t="str">
        <f ca="1">IF(OR('Documentos Atendimentos '!H239="ATRASADO",
        AND('Documentos Emissão'!I238="ATRASADO",
            _xlfn.XLOOKUP(C240,'Documentos Emissão'!C:C,'Documentos Emissão'!G:G)&gt; 'Data Base'!$D$1,
            _xlfn.XLOOKUP(C240,'Documentos Emissão'!C:C,'Documentos Emissão'!G:G)&lt;='Data Base'!$D$1+6)),
    "JUSTIFICATIVA",
    "")</f>
        <v/>
      </c>
      <c r="H240" s="56"/>
    </row>
    <row r="241" spans="2:8" hidden="1" x14ac:dyDescent="0.25">
      <c r="B241" s="53" t="str">
        <f>_xlfn.XLOOKUP(C241,'Data Base'!D:D,'Data Base'!B:B)</f>
        <v>ME - Mecanica</v>
      </c>
      <c r="C241" s="53" t="s">
        <v>245</v>
      </c>
      <c r="D241" s="53" t="str">
        <f>_xlfn.XLOOKUP(C241,'LD-ELFA'!F:F,'LD-ELFA'!H:H)</f>
        <v>MC-A1-1411-M-PB-4002</v>
      </c>
      <c r="E241" s="53" t="str">
        <f>_xlfn.XLOOKUP(C241,'LD-ELFA'!F:F,'LD-ELFA'!Q:Q)</f>
        <v>MEMÓRIA DE CÁLCULO</v>
      </c>
      <c r="F241" s="56" t="str">
        <f>_xlfn.XLOOKUP(C241,'Data Base'!D:D,'Data Base'!O:O)</f>
        <v>Cliente - Atendimento de Comentário</v>
      </c>
      <c r="G241" s="57" t="str">
        <f ca="1">IF(OR('Documentos Atendimentos '!H240="ATRASADO",
        AND('Documentos Emissão'!I239="ATRASADO",
            _xlfn.XLOOKUP(C241,'Documentos Emissão'!C:C,'Documentos Emissão'!G:G)&gt; 'Data Base'!$D$1,
            _xlfn.XLOOKUP(C241,'Documentos Emissão'!C:C,'Documentos Emissão'!G:G)&lt;='Data Base'!$D$1+6)),
    "JUSTIFICATIVA",
    "")</f>
        <v/>
      </c>
      <c r="H241" s="56"/>
    </row>
    <row r="242" spans="2:8" hidden="1" x14ac:dyDescent="0.25">
      <c r="B242" s="53" t="e">
        <f>_xlfn.XLOOKUP(C242,'Data Base'!D:D,'Data Base'!B:B)</f>
        <v>#N/A</v>
      </c>
      <c r="C242" s="53" t="s">
        <v>246</v>
      </c>
      <c r="D242" s="53" t="e">
        <f>_xlfn.XLOOKUP(C242,'LD-ELFA'!F:F,'LD-ELFA'!H:H)</f>
        <v>#N/A</v>
      </c>
      <c r="E242" s="53" t="e">
        <f>_xlfn.XLOOKUP(C242,'LD-ELFA'!F:F,'LD-ELFA'!Q:Q)</f>
        <v>#N/A</v>
      </c>
      <c r="F242" s="56" t="str">
        <f>_xlfn.XLOOKUP(C242,'Data Base'!D:D,'Data Base'!O:O)</f>
        <v>Documento Removido</v>
      </c>
      <c r="G242" s="57" t="e">
        <f ca="1">IF(OR('Documentos Atendimentos '!H241="ATRASADO",
        AND('Documentos Emissão'!I240="ATRASADO",
            _xlfn.XLOOKUP(C242,'Documentos Emissão'!C:C,'Documentos Emissão'!G:G)&gt; 'Data Base'!$D$1,
            _xlfn.XLOOKUP(C242,'Documentos Emissão'!C:C,'Documentos Emissão'!G:G)&lt;='Data Base'!$D$1+6)),
    "JUSTIFICATIVA",
    "")</f>
        <v>#N/A</v>
      </c>
      <c r="H242" s="56"/>
    </row>
    <row r="243" spans="2:8" hidden="1" x14ac:dyDescent="0.25">
      <c r="B243" s="53" t="e">
        <f>_xlfn.XLOOKUP(C243,'Data Base'!D:D,'Data Base'!B:B)</f>
        <v>#N/A</v>
      </c>
      <c r="C243" s="53" t="s">
        <v>247</v>
      </c>
      <c r="D243" s="53" t="e">
        <f>_xlfn.XLOOKUP(C243,'LD-ELFA'!F:F,'LD-ELFA'!H:H)</f>
        <v>#N/A</v>
      </c>
      <c r="E243" s="53" t="e">
        <f>_xlfn.XLOOKUP(C243,'LD-ELFA'!F:F,'LD-ELFA'!Q:Q)</f>
        <v>#N/A</v>
      </c>
      <c r="F243" s="56" t="str">
        <f>_xlfn.XLOOKUP(C243,'Data Base'!D:D,'Data Base'!O:O)</f>
        <v>Documento Removido</v>
      </c>
      <c r="G243" s="57" t="e">
        <f ca="1">IF(OR('Documentos Atendimentos '!H242="ATRASADO",
        AND('Documentos Emissão'!I241="ATRASADO",
            _xlfn.XLOOKUP(C243,'Documentos Emissão'!C:C,'Documentos Emissão'!G:G)&gt; 'Data Base'!$D$1,
            _xlfn.XLOOKUP(C243,'Documentos Emissão'!C:C,'Documentos Emissão'!G:G)&lt;='Data Base'!$D$1+6)),
    "JUSTIFICATIVA",
    "")</f>
        <v>#N/A</v>
      </c>
      <c r="H243" s="56"/>
    </row>
    <row r="244" spans="2:8" hidden="1" x14ac:dyDescent="0.25">
      <c r="B244" s="53" t="e">
        <f>_xlfn.XLOOKUP(C244,'Data Base'!D:D,'Data Base'!B:B)</f>
        <v>#N/A</v>
      </c>
      <c r="C244" s="53" t="s">
        <v>248</v>
      </c>
      <c r="D244" s="53" t="e">
        <f>_xlfn.XLOOKUP(C244,'LD-ELFA'!F:F,'LD-ELFA'!H:H)</f>
        <v>#N/A</v>
      </c>
      <c r="E244" s="53" t="e">
        <f>_xlfn.XLOOKUP(C244,'LD-ELFA'!F:F,'LD-ELFA'!Q:Q)</f>
        <v>#N/A</v>
      </c>
      <c r="F244" s="56" t="str">
        <f>_xlfn.XLOOKUP(C244,'Data Base'!D:D,'Data Base'!O:O)</f>
        <v>Documento Removido</v>
      </c>
      <c r="G244" s="57" t="e">
        <f ca="1">IF(OR('Documentos Atendimentos '!H243="ATRASADO",
        AND('Documentos Emissão'!I242="ATRASADO",
            _xlfn.XLOOKUP(C244,'Documentos Emissão'!C:C,'Documentos Emissão'!G:G)&gt; 'Data Base'!$D$1,
            _xlfn.XLOOKUP(C244,'Documentos Emissão'!C:C,'Documentos Emissão'!G:G)&lt;='Data Base'!$D$1+6)),
    "JUSTIFICATIVA",
    "")</f>
        <v>#N/A</v>
      </c>
      <c r="H244" s="56"/>
    </row>
    <row r="245" spans="2:8" hidden="1" x14ac:dyDescent="0.25">
      <c r="B245" s="53" t="str">
        <f>_xlfn.XLOOKUP(C245,'Data Base'!D:D,'Data Base'!B:B)</f>
        <v>ME - Mecanica</v>
      </c>
      <c r="C245" s="53" t="s">
        <v>249</v>
      </c>
      <c r="D245" s="53" t="str">
        <f>_xlfn.XLOOKUP(C245,'LD-ELFA'!F:F,'LD-ELFA'!H:H)</f>
        <v>MC-A1-1001-M-PB-4000</v>
      </c>
      <c r="E245" s="53" t="str">
        <f>_xlfn.XLOOKUP(C245,'LD-ELFA'!F:F,'LD-ELFA'!Q:Q)</f>
        <v>MEMÓRIA DE CÁLCULO</v>
      </c>
      <c r="F245" s="56" t="str">
        <f>_xlfn.XLOOKUP(C245,'Data Base'!D:D,'Data Base'!O:O)</f>
        <v>Blossom - Documento a emitir</v>
      </c>
      <c r="G245" s="57" t="str">
        <f ca="1">IF(OR('Documentos Atendimentos '!H244="ATRASADO",
        AND('Documentos Emissão'!I243="ATRASADO",
            _xlfn.XLOOKUP(C245,'Documentos Emissão'!C:C,'Documentos Emissão'!G:G)&gt; 'Data Base'!$D$1,
            _xlfn.XLOOKUP(C245,'Documentos Emissão'!C:C,'Documentos Emissão'!G:G)&lt;='Data Base'!$D$1+6)),
    "JUSTIFICATIVA",
    "")</f>
        <v/>
      </c>
      <c r="H245" s="56"/>
    </row>
    <row r="246" spans="2:8" hidden="1" x14ac:dyDescent="0.25">
      <c r="B246" s="53" t="str">
        <f>_xlfn.XLOOKUP(C246,'Data Base'!D:D,'Data Base'!B:B)</f>
        <v>ME - Mecanica</v>
      </c>
      <c r="C246" s="53" t="s">
        <v>250</v>
      </c>
      <c r="D246" s="53" t="str">
        <f>_xlfn.XLOOKUP(C246,'LD-ELFA'!F:F,'LD-ELFA'!H:H)</f>
        <v>MC-A1-1803-M-PB-0001</v>
      </c>
      <c r="E246" s="53" t="str">
        <f>_xlfn.XLOOKUP(C246,'LD-ELFA'!F:F,'LD-ELFA'!Q:Q)</f>
        <v>MEMÓRIA DE CÁLCULO</v>
      </c>
      <c r="F246" s="56" t="str">
        <f>_xlfn.XLOOKUP(C246,'Data Base'!D:D,'Data Base'!O:O)</f>
        <v>Blossom - Documento a emitir</v>
      </c>
      <c r="G246" s="57" t="str">
        <f ca="1">IF(OR('Documentos Atendimentos '!H245="ATRASADO",
        AND('Documentos Emissão'!I244="ATRASADO",
            _xlfn.XLOOKUP(C246,'Documentos Emissão'!C:C,'Documentos Emissão'!G:G)&gt; 'Data Base'!$D$1,
            _xlfn.XLOOKUP(C246,'Documentos Emissão'!C:C,'Documentos Emissão'!G:G)&lt;='Data Base'!$D$1+6)),
    "JUSTIFICATIVA",
    "")</f>
        <v/>
      </c>
      <c r="H246" s="56"/>
    </row>
    <row r="247" spans="2:8" hidden="1" x14ac:dyDescent="0.25">
      <c r="B247" s="53" t="str">
        <f>_xlfn.XLOOKUP(C247,'Data Base'!D:D,'Data Base'!B:B)</f>
        <v>ME - Mecanica</v>
      </c>
      <c r="C247" s="53" t="s">
        <v>251</v>
      </c>
      <c r="D247" s="53" t="str">
        <f>_xlfn.XLOOKUP(C247,'LD-ELFA'!F:F,'LD-ELFA'!H:H)</f>
        <v>MC-A1-1000-M-PB-0003</v>
      </c>
      <c r="E247" s="53" t="str">
        <f>_xlfn.XLOOKUP(C247,'LD-ELFA'!F:F,'LD-ELFA'!Q:Q)</f>
        <v xml:space="preserve">MEMÓRIA DE CÁLCULO </v>
      </c>
      <c r="F247" s="56" t="str">
        <f>_xlfn.XLOOKUP(C247,'Data Base'!D:D,'Data Base'!O:O)</f>
        <v>Blossom - Atendimento de Comentário</v>
      </c>
      <c r="G247" s="57" t="str">
        <f ca="1">IF(OR('Documentos Atendimentos '!H246="ATRASADO",
        AND('Documentos Emissão'!I245="ATRASADO",
            _xlfn.XLOOKUP(C247,'Documentos Emissão'!C:C,'Documentos Emissão'!G:G)&gt; 'Data Base'!$D$1,
            _xlfn.XLOOKUP(C247,'Documentos Emissão'!C:C,'Documentos Emissão'!G:G)&lt;='Data Base'!$D$1+6)),
    "JUSTIFICATIVA",
    "")</f>
        <v/>
      </c>
      <c r="H247" s="56"/>
    </row>
    <row r="248" spans="2:8" hidden="1" x14ac:dyDescent="0.25">
      <c r="B248" s="53" t="str">
        <f>_xlfn.XLOOKUP(C248,'Data Base'!D:D,'Data Base'!B:B)</f>
        <v>ME - Mecanica</v>
      </c>
      <c r="C248" s="53" t="s">
        <v>252</v>
      </c>
      <c r="D248" s="53" t="str">
        <f>_xlfn.XLOOKUP(C248,'LD-ELFA'!F:F,'LD-ELFA'!H:H)</f>
        <v>MC-A1-1316-M-PB-4000</v>
      </c>
      <c r="E248" s="53" t="str">
        <f>_xlfn.XLOOKUP(C248,'LD-ELFA'!F:F,'LD-ELFA'!Q:Q)</f>
        <v>MEMÓRIA DE CÁLCULO</v>
      </c>
      <c r="F248" s="56" t="str">
        <f>_xlfn.XLOOKUP(C248,'Data Base'!D:D,'Data Base'!O:O)</f>
        <v>Cliente - Atendimento de Comentário</v>
      </c>
      <c r="G248" s="57" t="str">
        <f ca="1">IF(OR('Documentos Atendimentos '!H247="ATRASADO",
        AND('Documentos Emissão'!I246="ATRASADO",
            _xlfn.XLOOKUP(C248,'Documentos Emissão'!C:C,'Documentos Emissão'!G:G)&gt; 'Data Base'!$D$1,
            _xlfn.XLOOKUP(C248,'Documentos Emissão'!C:C,'Documentos Emissão'!G:G)&lt;='Data Base'!$D$1+6)),
    "JUSTIFICATIVA",
    "")</f>
        <v/>
      </c>
      <c r="H248" s="56"/>
    </row>
    <row r="249" spans="2:8" hidden="1" x14ac:dyDescent="0.25">
      <c r="B249" s="53" t="str">
        <f>_xlfn.XLOOKUP(C249,'Data Base'!D:D,'Data Base'!B:B)</f>
        <v>ME - Mecanica</v>
      </c>
      <c r="C249" s="53" t="s">
        <v>253</v>
      </c>
      <c r="D249" s="53" t="str">
        <f>_xlfn.XLOOKUP(C249,'LD-ELFA'!F:F,'LD-ELFA'!H:H)</f>
        <v>MC-A1-1201-M-PB-0001</v>
      </c>
      <c r="E249" s="53" t="str">
        <f>_xlfn.XLOOKUP(C249,'LD-ELFA'!F:F,'LD-ELFA'!Q:Q)</f>
        <v xml:space="preserve">MEMÓRIA DE CÁLCULO </v>
      </c>
      <c r="F249" s="56" t="str">
        <f>_xlfn.XLOOKUP(C249,'Data Base'!D:D,'Data Base'!O:O)</f>
        <v>Blossom - Atendimento de Comentário</v>
      </c>
      <c r="G249" s="57" t="str">
        <f ca="1">IF(OR('Documentos Atendimentos '!H248="ATRASADO",
        AND('Documentos Emissão'!I247="ATRASADO",
            _xlfn.XLOOKUP(C249,'Documentos Emissão'!C:C,'Documentos Emissão'!G:G)&gt; 'Data Base'!$D$1,
            _xlfn.XLOOKUP(C249,'Documentos Emissão'!C:C,'Documentos Emissão'!G:G)&lt;='Data Base'!$D$1+6)),
    "JUSTIFICATIVA",
    "")</f>
        <v/>
      </c>
      <c r="H249" s="56"/>
    </row>
    <row r="250" spans="2:8" hidden="1" x14ac:dyDescent="0.25">
      <c r="B250" s="53" t="str">
        <f>_xlfn.XLOOKUP(C250,'Data Base'!D:D,'Data Base'!B:B)</f>
        <v>ME - Mecanica</v>
      </c>
      <c r="C250" s="53" t="s">
        <v>254</v>
      </c>
      <c r="D250" s="53" t="str">
        <f>_xlfn.XLOOKUP(C250,'LD-ELFA'!F:F,'LD-ELFA'!H:H)</f>
        <v>PQ-A1-1000-M-PB-0001</v>
      </c>
      <c r="E250" s="53" t="str">
        <f>_xlfn.XLOOKUP(C250,'LD-ELFA'!F:F,'LD-ELFA'!Q:Q)</f>
        <v>PLANILHA DE QUANTIDADES</v>
      </c>
      <c r="F250" s="56" t="str">
        <f>_xlfn.XLOOKUP(C250,'Data Base'!D:D,'Data Base'!O:O)</f>
        <v>Blossom - Documento a emitir</v>
      </c>
      <c r="G250" s="57" t="str">
        <f ca="1">IF(OR('Documentos Atendimentos '!H249="ATRASADO",
        AND('Documentos Emissão'!I248="ATRASADO",
            _xlfn.XLOOKUP(C250,'Documentos Emissão'!C:C,'Documentos Emissão'!G:G)&gt; 'Data Base'!$D$1,
            _xlfn.XLOOKUP(C250,'Documentos Emissão'!C:C,'Documentos Emissão'!G:G)&lt;='Data Base'!$D$1+6)),
    "JUSTIFICATIVA",
    "")</f>
        <v/>
      </c>
      <c r="H250" s="56"/>
    </row>
    <row r="251" spans="2:8" hidden="1" x14ac:dyDescent="0.25">
      <c r="B251" s="53" t="str">
        <f>_xlfn.XLOOKUP(C251,'Data Base'!D:D,'Data Base'!B:B)</f>
        <v>ME - Mecanica</v>
      </c>
      <c r="C251" s="53" t="s">
        <v>255</v>
      </c>
      <c r="D251" s="53" t="str">
        <f>_xlfn.XLOOKUP(C251,'LD-ELFA'!F:F,'LD-ELFA'!H:H)</f>
        <v>PQ-A1-1000-M-PB-0002</v>
      </c>
      <c r="E251" s="53" t="str">
        <f>_xlfn.XLOOKUP(C251,'LD-ELFA'!F:F,'LD-ELFA'!Q:Q)</f>
        <v>PLANILHA DE QUANTIDADES</v>
      </c>
      <c r="F251" s="56" t="str">
        <f>_xlfn.XLOOKUP(C251,'Data Base'!D:D,'Data Base'!O:O)</f>
        <v>Blossom - Documento a emitir</v>
      </c>
      <c r="G251" s="57" t="str">
        <f ca="1">IF(OR('Documentos Atendimentos '!H250="ATRASADO",
        AND('Documentos Emissão'!I249="ATRASADO",
            _xlfn.XLOOKUP(C251,'Documentos Emissão'!C:C,'Documentos Emissão'!G:G)&gt; 'Data Base'!$D$1,
            _xlfn.XLOOKUP(C251,'Documentos Emissão'!C:C,'Documentos Emissão'!G:G)&lt;='Data Base'!$D$1+6)),
    "JUSTIFICATIVA",
    "")</f>
        <v/>
      </c>
      <c r="H251" s="56"/>
    </row>
    <row r="252" spans="2:8" hidden="1" x14ac:dyDescent="0.25">
      <c r="B252" s="53" t="str">
        <f>_xlfn.XLOOKUP(C252,'Data Base'!D:D,'Data Base'!B:B)</f>
        <v>ME - Mecanica</v>
      </c>
      <c r="C252" s="53" t="s">
        <v>256</v>
      </c>
      <c r="D252" s="53" t="str">
        <f>_xlfn.XLOOKUP(C252,'LD-ELFA'!F:F,'LD-ELFA'!H:H)</f>
        <v>PQ-A1-1000-G-PB-0005</v>
      </c>
      <c r="E252" s="53" t="str">
        <f>_xlfn.XLOOKUP(C252,'LD-ELFA'!F:F,'LD-ELFA'!Q:Q)</f>
        <v>PLANILHA QUANTIDADES</v>
      </c>
      <c r="F252" s="56" t="str">
        <f>_xlfn.XLOOKUP(C252,'Data Base'!D:D,'Data Base'!O:O)</f>
        <v>Blossom - Documento a emitir</v>
      </c>
      <c r="G252" s="57" t="str">
        <f ca="1">IF(OR('Documentos Atendimentos '!H251="ATRASADO",
        AND('Documentos Emissão'!I250="ATRASADO",
            _xlfn.XLOOKUP(C252,'Documentos Emissão'!C:C,'Documentos Emissão'!G:G)&gt; 'Data Base'!$D$1,
            _xlfn.XLOOKUP(C252,'Documentos Emissão'!C:C,'Documentos Emissão'!G:G)&lt;='Data Base'!$D$1+6)),
    "JUSTIFICATIVA",
    "")</f>
        <v/>
      </c>
      <c r="H252" s="56"/>
    </row>
    <row r="253" spans="2:8" x14ac:dyDescent="0.25">
      <c r="B253" s="53" t="str">
        <f>_xlfn.XLOOKUP(C253,'Data Base'!D:D,'Data Base'!B:B)</f>
        <v>PC - Planejamento E Controle</v>
      </c>
      <c r="C253" s="53" t="s">
        <v>257</v>
      </c>
      <c r="D253" s="53" t="str">
        <f>_xlfn.XLOOKUP(C253,'LD-ELFA'!F:F,'LD-ELFA'!H:H)</f>
        <v>CR-A1-1000-F-PB-4000</v>
      </c>
      <c r="E253" s="53" t="str">
        <f>_xlfn.XLOOKUP(C253,'LD-ELFA'!F:F,'LD-ELFA'!Q:Q)</f>
        <v>CRONOGRAMA DETALHADO</v>
      </c>
      <c r="F253" s="56" t="str">
        <f>_xlfn.XLOOKUP(C253,'Data Base'!D:D,'Data Base'!O:O)</f>
        <v>Documento Concluído</v>
      </c>
      <c r="G253" s="57" t="str">
        <f ca="1">IF(OR('Documentos Atendimentos '!H252="ATRASADO",
        AND('Documentos Emissão'!I251="ATRASADO",
            _xlfn.XLOOKUP(C253,'Documentos Emissão'!C:C,'Documentos Emissão'!G:G)&gt; 'Data Base'!$D$1,
            _xlfn.XLOOKUP(C253,'Documentos Emissão'!C:C,'Documentos Emissão'!G:G)&lt;='Data Base'!$D$1+6)),
    "JUSTIFICATIVA",
    "")</f>
        <v/>
      </c>
      <c r="H253" s="56"/>
    </row>
    <row r="254" spans="2:8" hidden="1" x14ac:dyDescent="0.25">
      <c r="B254" s="53" t="str">
        <f>_xlfn.XLOOKUP(C254,'Data Base'!D:D,'Data Base'!B:B)</f>
        <v>TU - Tubulacao</v>
      </c>
      <c r="C254" s="53" t="s">
        <v>258</v>
      </c>
      <c r="D254" s="53" t="str">
        <f>_xlfn.XLOOKUP(C254,'LD-ELFA'!F:F,'LD-ELFA'!H:H)</f>
        <v>EG-A1-1000-T-PB-0001</v>
      </c>
      <c r="E254" s="53" t="str">
        <f>_xlfn.XLOOKUP(C254,'LD-ELFA'!F:F,'LD-ELFA'!Q:Q)</f>
        <v>ESPECIFICAÇÃO GERAL</v>
      </c>
      <c r="F254" s="56" t="str">
        <f>_xlfn.XLOOKUP(C254,'Data Base'!D:D,'Data Base'!O:O)</f>
        <v>Blossom - Documento a emitir</v>
      </c>
      <c r="G254" s="57" t="str">
        <f ca="1">IF(OR('Documentos Atendimentos '!H253="ATRASADO",
        AND('Documentos Emissão'!I252="ATRASADO",
            _xlfn.XLOOKUP(C254,'Documentos Emissão'!C:C,'Documentos Emissão'!G:G)&gt; 'Data Base'!$D$1,
            _xlfn.XLOOKUP(C254,'Documentos Emissão'!C:C,'Documentos Emissão'!G:G)&lt;='Data Base'!$D$1+6)),
    "JUSTIFICATIVA",
    "")</f>
        <v/>
      </c>
      <c r="H254" s="56"/>
    </row>
    <row r="255" spans="2:8" hidden="1" x14ac:dyDescent="0.25">
      <c r="B255" s="53" t="e">
        <f>_xlfn.XLOOKUP(C255,'Data Base'!D:D,'Data Base'!B:B)</f>
        <v>#N/A</v>
      </c>
      <c r="C255" s="53" t="s">
        <v>259</v>
      </c>
      <c r="D255" s="53" t="e">
        <f>_xlfn.XLOOKUP(C255,'LD-ELFA'!F:F,'LD-ELFA'!H:H)</f>
        <v>#N/A</v>
      </c>
      <c r="E255" s="53" t="e">
        <f>_xlfn.XLOOKUP(C255,'LD-ELFA'!F:F,'LD-ELFA'!Q:Q)</f>
        <v>#N/A</v>
      </c>
      <c r="F255" s="56" t="str">
        <f>_xlfn.XLOOKUP(C255,'Data Base'!D:D,'Data Base'!O:O)</f>
        <v>Documento Removido</v>
      </c>
      <c r="G255" s="57" t="e">
        <f ca="1">IF(OR('Documentos Atendimentos '!H254="ATRASADO",
        AND('Documentos Emissão'!I253="ATRASADO",
            _xlfn.XLOOKUP(C255,'Documentos Emissão'!C:C,'Documentos Emissão'!G:G)&gt; 'Data Base'!$D$1,
            _xlfn.XLOOKUP(C255,'Documentos Emissão'!C:C,'Documentos Emissão'!G:G)&lt;='Data Base'!$D$1+6)),
    "JUSTIFICATIVA",
    "")</f>
        <v>#N/A</v>
      </c>
      <c r="H255" s="56"/>
    </row>
    <row r="256" spans="2:8" hidden="1" x14ac:dyDescent="0.25">
      <c r="B256" s="53" t="str">
        <f>_xlfn.XLOOKUP(C256,'Data Base'!D:D,'Data Base'!B:B)</f>
        <v>TU - Tubulacao</v>
      </c>
      <c r="C256" s="53" t="s">
        <v>260</v>
      </c>
      <c r="D256" s="53" t="str">
        <f>_xlfn.XLOOKUP(C256,'LD-ELFA'!F:F,'LD-ELFA'!H:H)</f>
        <v>MC-A1-1000-T-PB-0001</v>
      </c>
      <c r="E256" s="53" t="str">
        <f>_xlfn.XLOOKUP(C256,'LD-ELFA'!F:F,'LD-ELFA'!Q:Q)</f>
        <v>MEMÓRIA DE CÁLCULO</v>
      </c>
      <c r="F256" s="56" t="str">
        <f>_xlfn.XLOOKUP(C256,'Data Base'!D:D,'Data Base'!O:O)</f>
        <v>Blossom - Documento a emitir</v>
      </c>
      <c r="G256" s="57" t="str">
        <f ca="1">IF(OR('Documentos Atendimentos '!H255="ATRASADO",
        AND('Documentos Emissão'!I254="ATRASADO",
            _xlfn.XLOOKUP(C256,'Documentos Emissão'!C:C,'Documentos Emissão'!G:G)&gt; 'Data Base'!$D$1,
            _xlfn.XLOOKUP(C256,'Documentos Emissão'!C:C,'Documentos Emissão'!G:G)&lt;='Data Base'!$D$1+6)),
    "JUSTIFICATIVA",
    "")</f>
        <v/>
      </c>
      <c r="H256" s="56"/>
    </row>
    <row r="257" spans="2:8" hidden="1" x14ac:dyDescent="0.25">
      <c r="B257" s="53" t="str">
        <f>_xlfn.XLOOKUP(C257,'Data Base'!D:D,'Data Base'!B:B)</f>
        <v>TU - Tubulacao</v>
      </c>
      <c r="C257" s="53" t="s">
        <v>261</v>
      </c>
      <c r="D257" s="53" t="str">
        <f>_xlfn.XLOOKUP(C257,'LD-ELFA'!F:F,'LD-ELFA'!H:H)</f>
        <v>PQ-A1-1000-T-PB-0001</v>
      </c>
      <c r="E257" s="53" t="str">
        <f>_xlfn.XLOOKUP(C257,'LD-ELFA'!F:F,'LD-ELFA'!Q:Q)</f>
        <v>PLANILHA DE QUANTIDADES</v>
      </c>
      <c r="F257" s="56" t="str">
        <f>_xlfn.XLOOKUP(C257,'Data Base'!D:D,'Data Base'!O:O)</f>
        <v>Blossom - Documento a emitir</v>
      </c>
      <c r="G257" s="57" t="str">
        <f ca="1">IF(OR('Documentos Atendimentos '!H256="ATRASADO",
        AND('Documentos Emissão'!I255="ATRASADO",
            _xlfn.XLOOKUP(C257,'Documentos Emissão'!C:C,'Documentos Emissão'!G:G)&gt; 'Data Base'!$D$1,
            _xlfn.XLOOKUP(C257,'Documentos Emissão'!C:C,'Documentos Emissão'!G:G)&lt;='Data Base'!$D$1+6)),
    "JUSTIFICATIVA",
    "")</f>
        <v/>
      </c>
      <c r="H257" s="56"/>
    </row>
    <row r="258" spans="2:8" hidden="1" x14ac:dyDescent="0.25">
      <c r="B258" s="53" t="str">
        <f>_xlfn.XLOOKUP(C258,'Data Base'!D:D,'Data Base'!B:B)</f>
        <v>UT - Sistema De Utilidades</v>
      </c>
      <c r="C258" s="53" t="s">
        <v>262</v>
      </c>
      <c r="D258" s="53" t="str">
        <f>_xlfn.XLOOKUP(C258,'LD-ELFA'!F:F,'LD-ELFA'!H:H)</f>
        <v>ET-A1-1803-M-PB-0001</v>
      </c>
      <c r="E258" s="53" t="str">
        <f>_xlfn.XLOOKUP(C258,'LD-ELFA'!F:F,'LD-ELFA'!Q:Q)</f>
        <v>ESPECIFICAÇÃO TÉCNICA</v>
      </c>
      <c r="F258" s="56" t="str">
        <f>_xlfn.XLOOKUP(C258,'Data Base'!D:D,'Data Base'!O:O)</f>
        <v>Blossom - Documento a emitir</v>
      </c>
      <c r="G258" s="57" t="str">
        <f ca="1">IF(OR('Documentos Atendimentos '!H257="ATRASADO",
        AND('Documentos Emissão'!I256="ATRASADO",
            _xlfn.XLOOKUP(C258,'Documentos Emissão'!C:C,'Documentos Emissão'!G:G)&gt; 'Data Base'!$D$1,
            _xlfn.XLOOKUP(C258,'Documentos Emissão'!C:C,'Documentos Emissão'!G:G)&lt;='Data Base'!$D$1+6)),
    "JUSTIFICATIVA",
    "")</f>
        <v/>
      </c>
      <c r="H258" s="56"/>
    </row>
    <row r="259" spans="2:8" hidden="1" x14ac:dyDescent="0.25">
      <c r="B259" s="53" t="str">
        <f>_xlfn.XLOOKUP(C259,'Data Base'!D:D,'Data Base'!B:B)</f>
        <v>UT - Sistema De Utilidades</v>
      </c>
      <c r="C259" s="53" t="s">
        <v>263</v>
      </c>
      <c r="D259" s="53" t="str">
        <f>_xlfn.XLOOKUP(C259,'LD-ELFA'!F:F,'LD-ELFA'!H:H)</f>
        <v>ET-A1-1805-M-PB-0001</v>
      </c>
      <c r="E259" s="53" t="str">
        <f>_xlfn.XLOOKUP(C259,'LD-ELFA'!F:F,'LD-ELFA'!Q:Q)</f>
        <v>ESPECIFICAÇÃO TÉCNICA</v>
      </c>
      <c r="F259" s="56" t="str">
        <f>_xlfn.XLOOKUP(C259,'Data Base'!D:D,'Data Base'!O:O)</f>
        <v>Blossom - Documento a emitir</v>
      </c>
      <c r="G259" s="57" t="str">
        <f ca="1">IF(OR('Documentos Atendimentos '!H258="ATRASADO",
        AND('Documentos Emissão'!I257="ATRASADO",
            _xlfn.XLOOKUP(C259,'Documentos Emissão'!C:C,'Documentos Emissão'!G:G)&gt; 'Data Base'!$D$1,
            _xlfn.XLOOKUP(C259,'Documentos Emissão'!C:C,'Documentos Emissão'!G:G)&lt;='Data Base'!$D$1+6)),
    "JUSTIFICATIVA",
    "")</f>
        <v/>
      </c>
      <c r="H259" s="56"/>
    </row>
    <row r="260" spans="2:8" hidden="1" x14ac:dyDescent="0.25">
      <c r="B260" s="53" t="str">
        <f>_xlfn.XLOOKUP(C260,'Data Base'!D:D,'Data Base'!B:B)</f>
        <v>UT - Sistema De Utilidades</v>
      </c>
      <c r="C260" s="53" t="s">
        <v>264</v>
      </c>
      <c r="D260" s="53" t="str">
        <f>_xlfn.XLOOKUP(C260,'LD-ELFA'!F:F,'LD-ELFA'!H:H)</f>
        <v>FD-A1-1803-M-PB-0001</v>
      </c>
      <c r="E260" s="53" t="str">
        <f>_xlfn.XLOOKUP(C260,'LD-ELFA'!F:F,'LD-ELFA'!Q:Q)</f>
        <v>FOLHA DE DADOS</v>
      </c>
      <c r="F260" s="56" t="str">
        <f>_xlfn.XLOOKUP(C260,'Data Base'!D:D,'Data Base'!O:O)</f>
        <v>Blossom - Documento a emitir</v>
      </c>
      <c r="G260" s="57" t="str">
        <f ca="1">IF(OR('Documentos Atendimentos '!H259="ATRASADO",
        AND('Documentos Emissão'!I258="ATRASADO",
            _xlfn.XLOOKUP(C260,'Documentos Emissão'!C:C,'Documentos Emissão'!G:G)&gt; 'Data Base'!$D$1,
            _xlfn.XLOOKUP(C260,'Documentos Emissão'!C:C,'Documentos Emissão'!G:G)&lt;='Data Base'!$D$1+6)),
    "JUSTIFICATIVA",
    "")</f>
        <v/>
      </c>
      <c r="H260" s="56"/>
    </row>
    <row r="261" spans="2:8" hidden="1" x14ac:dyDescent="0.25">
      <c r="B261" s="53" t="str">
        <f>_xlfn.XLOOKUP(C261,'Data Base'!D:D,'Data Base'!B:B)</f>
        <v>UT - Sistema De Utilidades</v>
      </c>
      <c r="C261" s="53" t="s">
        <v>265</v>
      </c>
      <c r="D261" s="53" t="str">
        <f>_xlfn.XLOOKUP(C261,'LD-ELFA'!F:F,'LD-ELFA'!H:H)</f>
        <v>DE-A1-1000-U-PB-0013</v>
      </c>
      <c r="E261" s="53" t="str">
        <f>_xlfn.XLOOKUP(C261,'LD-ELFA'!F:F,'LD-ELFA'!Q:Q)</f>
        <v>FLUXOGRAMA DE ENGENHARIA - P&amp;ID</v>
      </c>
      <c r="F261" s="56" t="str">
        <f>_xlfn.XLOOKUP(C261,'Data Base'!D:D,'Data Base'!O:O)</f>
        <v>Blossom - Documento a emitir</v>
      </c>
      <c r="G261" s="57" t="str">
        <f ca="1">IF(OR('Documentos Atendimentos '!H260="ATRASADO",
        AND('Documentos Emissão'!I259="ATRASADO",
            _xlfn.XLOOKUP(C261,'Documentos Emissão'!C:C,'Documentos Emissão'!G:G)&gt; 'Data Base'!$D$1,
            _xlfn.XLOOKUP(C261,'Documentos Emissão'!C:C,'Documentos Emissão'!G:G)&lt;='Data Base'!$D$1+6)),
    "JUSTIFICATIVA",
    "")</f>
        <v/>
      </c>
      <c r="H261" s="56"/>
    </row>
    <row r="262" spans="2:8" hidden="1" x14ac:dyDescent="0.25">
      <c r="B262" s="53" t="str">
        <f>_xlfn.XLOOKUP(C262,'Data Base'!D:D,'Data Base'!B:B)</f>
        <v>UT - Sistema De Utilidades</v>
      </c>
      <c r="C262" s="53" t="s">
        <v>266</v>
      </c>
      <c r="D262" s="53" t="str">
        <f>_xlfn.XLOOKUP(C262,'LD-ELFA'!F:F,'LD-ELFA'!H:H)</f>
        <v>DE-A1-1802-U-PB-0001</v>
      </c>
      <c r="E262" s="53" t="str">
        <f>_xlfn.XLOOKUP(C262,'LD-ELFA'!F:F,'LD-ELFA'!Q:Q)</f>
        <v>FLUXOGRAMA DE ENGENHARIA - P&amp;ID</v>
      </c>
      <c r="F262" s="56" t="str">
        <f>_xlfn.XLOOKUP(C262,'Data Base'!D:D,'Data Base'!O:O)</f>
        <v>Blossom - Documento a emitir</v>
      </c>
      <c r="G262" s="57" t="str">
        <f ca="1">IF(OR('Documentos Atendimentos '!H261="ATRASADO",
        AND('Documentos Emissão'!I260="ATRASADO",
            _xlfn.XLOOKUP(C262,'Documentos Emissão'!C:C,'Documentos Emissão'!G:G)&gt; 'Data Base'!$D$1,
            _xlfn.XLOOKUP(C262,'Documentos Emissão'!C:C,'Documentos Emissão'!G:G)&lt;='Data Base'!$D$1+6)),
    "JUSTIFICATIVA",
    "")</f>
        <v/>
      </c>
      <c r="H262" s="56"/>
    </row>
    <row r="263" spans="2:8" hidden="1" x14ac:dyDescent="0.25">
      <c r="B263" s="53" t="str">
        <f>_xlfn.XLOOKUP(C263,'Data Base'!D:D,'Data Base'!B:B)</f>
        <v>UT - Sistema De Utilidades</v>
      </c>
      <c r="C263" s="53" t="s">
        <v>267</v>
      </c>
      <c r="D263" s="53" t="str">
        <f>_xlfn.XLOOKUP(C263,'LD-ELFA'!F:F,'LD-ELFA'!H:H)</f>
        <v>DE-A1-1803-U-PB-0001</v>
      </c>
      <c r="E263" s="53" t="str">
        <f>_xlfn.XLOOKUP(C263,'LD-ELFA'!F:F,'LD-ELFA'!Q:Q)</f>
        <v>FLUXOGRAMA DE ENGENHARIA - P&amp;ID</v>
      </c>
      <c r="F263" s="56" t="str">
        <f>_xlfn.XLOOKUP(C263,'Data Base'!D:D,'Data Base'!O:O)</f>
        <v>Blossom - Documento a emitir</v>
      </c>
      <c r="G263" s="57" t="str">
        <f ca="1">IF(OR('Documentos Atendimentos '!H262="ATRASADO",
        AND('Documentos Emissão'!I261="ATRASADO",
            _xlfn.XLOOKUP(C263,'Documentos Emissão'!C:C,'Documentos Emissão'!G:G)&gt; 'Data Base'!$D$1,
            _xlfn.XLOOKUP(C263,'Documentos Emissão'!C:C,'Documentos Emissão'!G:G)&lt;='Data Base'!$D$1+6)),
    "JUSTIFICATIVA",
    "")</f>
        <v/>
      </c>
      <c r="H263" s="56"/>
    </row>
    <row r="264" spans="2:8" hidden="1" x14ac:dyDescent="0.25">
      <c r="B264" s="53" t="str">
        <f>_xlfn.XLOOKUP(C264,'Data Base'!D:D,'Data Base'!B:B)</f>
        <v>UT - Sistema De Utilidades</v>
      </c>
      <c r="C264" s="53" t="s">
        <v>268</v>
      </c>
      <c r="D264" s="53" t="str">
        <f>_xlfn.XLOOKUP(C264,'LD-ELFA'!F:F,'LD-ELFA'!H:H)</f>
        <v>DE-A1-1803-U-PB-0002</v>
      </c>
      <c r="E264" s="53" t="str">
        <f>_xlfn.XLOOKUP(C264,'LD-ELFA'!F:F,'LD-ELFA'!Q:Q)</f>
        <v>FLUXOGRAMA DE ENGENHARIA - P&amp;ID</v>
      </c>
      <c r="F264" s="56" t="str">
        <f>_xlfn.XLOOKUP(C264,'Data Base'!D:D,'Data Base'!O:O)</f>
        <v>Blossom - Documento a emitir</v>
      </c>
      <c r="G264" s="57" t="str">
        <f ca="1">IF(OR('Documentos Atendimentos '!H263="ATRASADO",
        AND('Documentos Emissão'!I262="ATRASADO",
            _xlfn.XLOOKUP(C264,'Documentos Emissão'!C:C,'Documentos Emissão'!G:G)&gt; 'Data Base'!$D$1,
            _xlfn.XLOOKUP(C264,'Documentos Emissão'!C:C,'Documentos Emissão'!G:G)&lt;='Data Base'!$D$1+6)),
    "JUSTIFICATIVA",
    "")</f>
        <v/>
      </c>
      <c r="H264" s="56"/>
    </row>
    <row r="265" spans="2:8" hidden="1" x14ac:dyDescent="0.25">
      <c r="B265" s="53" t="str">
        <f>_xlfn.XLOOKUP(C265,'Data Base'!D:D,'Data Base'!B:B)</f>
        <v>UT - Sistema De Utilidades</v>
      </c>
      <c r="C265" s="53" t="s">
        <v>269</v>
      </c>
      <c r="D265" s="53" t="str">
        <f>_xlfn.XLOOKUP(C265,'LD-ELFA'!F:F,'LD-ELFA'!H:H)</f>
        <v>DE-A1-1803-U-PB-0003</v>
      </c>
      <c r="E265" s="53" t="str">
        <f>_xlfn.XLOOKUP(C265,'LD-ELFA'!F:F,'LD-ELFA'!Q:Q)</f>
        <v>FLUXOGRAMA DE ENGENHARIA - P&amp;ID</v>
      </c>
      <c r="F265" s="56" t="str">
        <f>_xlfn.XLOOKUP(C265,'Data Base'!D:D,'Data Base'!O:O)</f>
        <v>Blossom - Documento a emitir</v>
      </c>
      <c r="G265" s="57" t="str">
        <f ca="1">IF(OR('Documentos Atendimentos '!H264="ATRASADO",
        AND('Documentos Emissão'!I263="ATRASADO",
            _xlfn.XLOOKUP(C265,'Documentos Emissão'!C:C,'Documentos Emissão'!G:G)&gt; 'Data Base'!$D$1,
            _xlfn.XLOOKUP(C265,'Documentos Emissão'!C:C,'Documentos Emissão'!G:G)&lt;='Data Base'!$D$1+6)),
    "JUSTIFICATIVA",
    "")</f>
        <v/>
      </c>
      <c r="H265" s="56"/>
    </row>
    <row r="266" spans="2:8" hidden="1" x14ac:dyDescent="0.25">
      <c r="B266" s="53" t="str">
        <f>_xlfn.XLOOKUP(C266,'Data Base'!D:D,'Data Base'!B:B)</f>
        <v>UT - Sistema De Utilidades</v>
      </c>
      <c r="C266" s="53" t="s">
        <v>270</v>
      </c>
      <c r="D266" s="53" t="str">
        <f>_xlfn.XLOOKUP(C266,'LD-ELFA'!F:F,'LD-ELFA'!H:H)</f>
        <v>DE-A1-1802-U-PB-0002</v>
      </c>
      <c r="E266" s="53" t="str">
        <f>_xlfn.XLOOKUP(C266,'LD-ELFA'!F:F,'LD-ELFA'!Q:Q)</f>
        <v>FLUXOGRAMA DE ENGENHARIA - P&amp;ID</v>
      </c>
      <c r="F266" s="56" t="str">
        <f>_xlfn.XLOOKUP(C266,'Data Base'!D:D,'Data Base'!O:O)</f>
        <v>Blossom - Documento a emitir</v>
      </c>
      <c r="G266" s="57" t="str">
        <f ca="1">IF(OR('Documentos Atendimentos '!H265="ATRASADO",
        AND('Documentos Emissão'!I264="ATRASADO",
            _xlfn.XLOOKUP(C266,'Documentos Emissão'!C:C,'Documentos Emissão'!G:G)&gt; 'Data Base'!$D$1,
            _xlfn.XLOOKUP(C266,'Documentos Emissão'!C:C,'Documentos Emissão'!G:G)&lt;='Data Base'!$D$1+6)),
    "JUSTIFICATIVA",
    "")</f>
        <v/>
      </c>
      <c r="H266" s="56"/>
    </row>
    <row r="267" spans="2:8" hidden="1" x14ac:dyDescent="0.25">
      <c r="B267" s="53" t="str">
        <f>_xlfn.XLOOKUP(C267,'Data Base'!D:D,'Data Base'!B:B)</f>
        <v>UT - Sistema De Utilidades</v>
      </c>
      <c r="C267" s="53" t="s">
        <v>271</v>
      </c>
      <c r="D267" s="53" t="str">
        <f>_xlfn.XLOOKUP(C267,'LD-ELFA'!F:F,'LD-ELFA'!H:H)</f>
        <v>DE-A1-1805-U-PB-0001</v>
      </c>
      <c r="E267" s="53" t="str">
        <f>_xlfn.XLOOKUP(C267,'LD-ELFA'!F:F,'LD-ELFA'!Q:Q)</f>
        <v>FLUXOGRAMA DE ENGENHARIA - P&amp;ID</v>
      </c>
      <c r="F267" s="56" t="str">
        <f>_xlfn.XLOOKUP(C267,'Data Base'!D:D,'Data Base'!O:O)</f>
        <v>Blossom - Documento a emitir</v>
      </c>
      <c r="G267" s="57" t="str">
        <f ca="1">IF(OR('Documentos Atendimentos '!H266="ATRASADO",
        AND('Documentos Emissão'!I265="ATRASADO",
            _xlfn.XLOOKUP(C267,'Documentos Emissão'!C:C,'Documentos Emissão'!G:G)&gt; 'Data Base'!$D$1,
            _xlfn.XLOOKUP(C267,'Documentos Emissão'!C:C,'Documentos Emissão'!G:G)&lt;='Data Base'!$D$1+6)),
    "JUSTIFICATIVA",
    "")</f>
        <v/>
      </c>
      <c r="H267" s="56"/>
    </row>
    <row r="268" spans="2:8" hidden="1" x14ac:dyDescent="0.25">
      <c r="B268" s="53" t="str">
        <f>_xlfn.XLOOKUP(C268,'Data Base'!D:D,'Data Base'!B:B)</f>
        <v>UT - Sistema De Utilidades</v>
      </c>
      <c r="C268" s="53" t="s">
        <v>272</v>
      </c>
      <c r="D268" s="53" t="str">
        <f>_xlfn.XLOOKUP(C268,'LD-ELFA'!F:F,'LD-ELFA'!H:H)</f>
        <v>DE-A1-1805-U-PB-0003</v>
      </c>
      <c r="E268" s="53" t="str">
        <f>_xlfn.XLOOKUP(C268,'LD-ELFA'!F:F,'LD-ELFA'!Q:Q)</f>
        <v>FLUXOGRAMA DE ENGENHARIA - P&amp;ID</v>
      </c>
      <c r="F268" s="56" t="str">
        <f>_xlfn.XLOOKUP(C268,'Data Base'!D:D,'Data Base'!O:O)</f>
        <v>Blossom - Documento a emitir</v>
      </c>
      <c r="G268" s="57" t="str">
        <f ca="1">IF(OR('Documentos Atendimentos '!H267="ATRASADO",
        AND('Documentos Emissão'!I266="ATRASADO",
            _xlfn.XLOOKUP(C268,'Documentos Emissão'!C:C,'Documentos Emissão'!G:G)&gt; 'Data Base'!$D$1,
            _xlfn.XLOOKUP(C268,'Documentos Emissão'!C:C,'Documentos Emissão'!G:G)&lt;='Data Base'!$D$1+6)),
    "JUSTIFICATIVA",
    "")</f>
        <v/>
      </c>
      <c r="H268" s="56"/>
    </row>
    <row r="269" spans="2:8" hidden="1" x14ac:dyDescent="0.25">
      <c r="B269" s="53" t="str">
        <f>_xlfn.XLOOKUP(C269,'Data Base'!D:D,'Data Base'!B:B)</f>
        <v>UT - Sistema De Utilidades</v>
      </c>
      <c r="C269" s="53" t="s">
        <v>273</v>
      </c>
      <c r="D269" s="53" t="str">
        <f>_xlfn.XLOOKUP(C269,'LD-ELFA'!F:F,'LD-ELFA'!H:H)</f>
        <v>DE-A1-1805-U-PB-0002</v>
      </c>
      <c r="E269" s="53" t="str">
        <f>_xlfn.XLOOKUP(C269,'LD-ELFA'!F:F,'LD-ELFA'!Q:Q)</f>
        <v>UFD</v>
      </c>
      <c r="F269" s="56" t="str">
        <f>_xlfn.XLOOKUP(C269,'Data Base'!D:D,'Data Base'!O:O)</f>
        <v>Blossom - Documento a emitir</v>
      </c>
      <c r="G269" s="57" t="str">
        <f ca="1">IF(OR('Documentos Atendimentos '!H268="ATRASADO",
        AND('Documentos Emissão'!I267="ATRASADO",
            _xlfn.XLOOKUP(C269,'Documentos Emissão'!C:C,'Documentos Emissão'!G:G)&gt; 'Data Base'!$D$1,
            _xlfn.XLOOKUP(C269,'Documentos Emissão'!C:C,'Documentos Emissão'!G:G)&lt;='Data Base'!$D$1+6)),
    "JUSTIFICATIVA",
    "")</f>
        <v/>
      </c>
      <c r="H269" s="56"/>
    </row>
    <row r="270" spans="2:8" hidden="1" x14ac:dyDescent="0.25">
      <c r="B270" s="53" t="str">
        <f>_xlfn.XLOOKUP(C270,'Data Base'!D:D,'Data Base'!B:B)</f>
        <v>UT - Sistema De Utilidades</v>
      </c>
      <c r="C270" s="53" t="s">
        <v>274</v>
      </c>
      <c r="D270" s="53" t="str">
        <f>_xlfn.XLOOKUP(C270,'LD-ELFA'!F:F,'LD-ELFA'!H:H)</f>
        <v>DE-A1-1801-U-PB-0003</v>
      </c>
      <c r="E270" s="53" t="str">
        <f>_xlfn.XLOOKUP(C270,'LD-ELFA'!F:F,'LD-ELFA'!Q:Q)</f>
        <v>UFD</v>
      </c>
      <c r="F270" s="56" t="str">
        <f>_xlfn.XLOOKUP(C270,'Data Base'!D:D,'Data Base'!O:O)</f>
        <v>Blossom - Documento a emitir</v>
      </c>
      <c r="G270" s="57" t="str">
        <f ca="1">IF(OR('Documentos Atendimentos '!H269="ATRASADO",
        AND('Documentos Emissão'!I268="ATRASADO",
            _xlfn.XLOOKUP(C270,'Documentos Emissão'!C:C,'Documentos Emissão'!G:G)&gt; 'Data Base'!$D$1,
            _xlfn.XLOOKUP(C270,'Documentos Emissão'!C:C,'Documentos Emissão'!G:G)&lt;='Data Base'!$D$1+6)),
    "JUSTIFICATIVA",
    "")</f>
        <v/>
      </c>
      <c r="H270" s="56"/>
    </row>
    <row r="271" spans="2:8" hidden="1" x14ac:dyDescent="0.25">
      <c r="B271" s="53" t="str">
        <f>_xlfn.XLOOKUP(C271,'Data Base'!D:D,'Data Base'!B:B)</f>
        <v>UT - Sistema De Utilidades</v>
      </c>
      <c r="C271" s="53" t="s">
        <v>275</v>
      </c>
      <c r="D271" s="53" t="str">
        <f>_xlfn.XLOOKUP(C271,'LD-ELFA'!F:F,'LD-ELFA'!H:H)</f>
        <v>DE-A1-1800-U-PB-0001</v>
      </c>
      <c r="E271" s="53" t="str">
        <f>_xlfn.XLOOKUP(C271,'LD-ELFA'!F:F,'LD-ELFA'!Q:Q)</f>
        <v>UFD</v>
      </c>
      <c r="F271" s="56" t="str">
        <f>_xlfn.XLOOKUP(C271,'Data Base'!D:D,'Data Base'!O:O)</f>
        <v>Blossom - Documento a emitir</v>
      </c>
      <c r="G271" s="57" t="str">
        <f ca="1">IF(OR('Documentos Atendimentos '!H270="ATRASADO",
        AND('Documentos Emissão'!I269="ATRASADO",
            _xlfn.XLOOKUP(C271,'Documentos Emissão'!C:C,'Documentos Emissão'!G:G)&gt; 'Data Base'!$D$1,
            _xlfn.XLOOKUP(C271,'Documentos Emissão'!C:C,'Documentos Emissão'!G:G)&lt;='Data Base'!$D$1+6)),
    "JUSTIFICATIVA",
    "")</f>
        <v/>
      </c>
      <c r="H271" s="56"/>
    </row>
    <row r="272" spans="2:8" hidden="1" x14ac:dyDescent="0.25">
      <c r="B272" s="53" t="str">
        <f>_xlfn.XLOOKUP(C272,'Data Base'!D:D,'Data Base'!B:B)</f>
        <v>UT - Sistema De Utilidades</v>
      </c>
      <c r="C272" s="53" t="s">
        <v>276</v>
      </c>
      <c r="D272" s="53" t="str">
        <f>_xlfn.XLOOKUP(C272,'LD-ELFA'!F:F,'LD-ELFA'!H:H)</f>
        <v>DE-A1-1801-U-PB-0002</v>
      </c>
      <c r="E272" s="53" t="str">
        <f>_xlfn.XLOOKUP(C272,'LD-ELFA'!F:F,'LD-ELFA'!Q:Q)</f>
        <v>FLUXOGRAMA DE ENGENHARIA - P&amp;ID</v>
      </c>
      <c r="F272" s="56" t="str">
        <f>_xlfn.XLOOKUP(C272,'Data Base'!D:D,'Data Base'!O:O)</f>
        <v>Blossom - Documento a emitir</v>
      </c>
      <c r="G272" s="57" t="str">
        <f ca="1">IF(OR('Documentos Atendimentos '!H271="ATRASADO",
        AND('Documentos Emissão'!I270="ATRASADO",
            _xlfn.XLOOKUP(C272,'Documentos Emissão'!C:C,'Documentos Emissão'!G:G)&gt; 'Data Base'!$D$1,
            _xlfn.XLOOKUP(C272,'Documentos Emissão'!C:C,'Documentos Emissão'!G:G)&lt;='Data Base'!$D$1+6)),
    "JUSTIFICATIVA",
    "")</f>
        <v/>
      </c>
      <c r="H272" s="56"/>
    </row>
    <row r="273" spans="2:8" hidden="1" x14ac:dyDescent="0.25">
      <c r="B273" s="53" t="str">
        <f>_xlfn.XLOOKUP(C273,'Data Base'!D:D,'Data Base'!B:B)</f>
        <v>UT - Sistema De Utilidades</v>
      </c>
      <c r="C273" s="53" t="s">
        <v>277</v>
      </c>
      <c r="D273" s="53" t="str">
        <f>_xlfn.XLOOKUP(C273,'LD-ELFA'!F:F,'LD-ELFA'!H:H)</f>
        <v>DE-A1-1801-U-PB-0004</v>
      </c>
      <c r="E273" s="53" t="str">
        <f>_xlfn.XLOOKUP(C273,'LD-ELFA'!F:F,'LD-ELFA'!Q:Q)</f>
        <v>FLUXOGRAMA DE ENGENHARIA - P&amp;ID</v>
      </c>
      <c r="F273" s="56" t="str">
        <f>_xlfn.XLOOKUP(C273,'Data Base'!D:D,'Data Base'!O:O)</f>
        <v>Blossom - Documento a emitir</v>
      </c>
      <c r="G273" s="57" t="str">
        <f ca="1">IF(OR('Documentos Atendimentos '!H272="ATRASADO",
        AND('Documentos Emissão'!I271="ATRASADO",
            _xlfn.XLOOKUP(C273,'Documentos Emissão'!C:C,'Documentos Emissão'!G:G)&gt; 'Data Base'!$D$1,
            _xlfn.XLOOKUP(C273,'Documentos Emissão'!C:C,'Documentos Emissão'!G:G)&lt;='Data Base'!$D$1+6)),
    "JUSTIFICATIVA",
    "")</f>
        <v/>
      </c>
      <c r="H273" s="56"/>
    </row>
    <row r="274" spans="2:8" hidden="1" x14ac:dyDescent="0.25">
      <c r="B274" s="53" t="e">
        <f>_xlfn.XLOOKUP(C274,'Data Base'!D:D,'Data Base'!B:B)</f>
        <v>#N/A</v>
      </c>
      <c r="C274" s="53" t="s">
        <v>278</v>
      </c>
      <c r="D274" s="53" t="e">
        <f>_xlfn.XLOOKUP(C274,'LD-ELFA'!F:F,'LD-ELFA'!H:H)</f>
        <v>#N/A</v>
      </c>
      <c r="E274" s="53" t="e">
        <f>_xlfn.XLOOKUP(C274,'LD-ELFA'!F:F,'LD-ELFA'!Q:Q)</f>
        <v>#N/A</v>
      </c>
      <c r="F274" s="56" t="str">
        <f>_xlfn.XLOOKUP(C274,'Data Base'!D:D,'Data Base'!O:O)</f>
        <v>Documento Removido</v>
      </c>
      <c r="G274" s="57" t="e">
        <f ca="1">IF(OR('Documentos Atendimentos '!H273="ATRASADO",
        AND('Documentos Emissão'!I272="ATRASADO",
            _xlfn.XLOOKUP(C274,'Documentos Emissão'!C:C,'Documentos Emissão'!G:G)&gt; 'Data Base'!$D$1,
            _xlfn.XLOOKUP(C274,'Documentos Emissão'!C:C,'Documentos Emissão'!G:G)&lt;='Data Base'!$D$1+6)),
    "JUSTIFICATIVA",
    "")</f>
        <v>#N/A</v>
      </c>
      <c r="H274" s="56"/>
    </row>
    <row r="275" spans="2:8" hidden="1" x14ac:dyDescent="0.25">
      <c r="B275" s="53" t="str">
        <f>_xlfn.XLOOKUP(C275,'Data Base'!D:D,'Data Base'!B:B)</f>
        <v>UT - Sistema De Utilidades</v>
      </c>
      <c r="C275" s="53" t="s">
        <v>279</v>
      </c>
      <c r="D275" s="53" t="str">
        <f>_xlfn.XLOOKUP(C275,'LD-ELFA'!F:F,'LD-ELFA'!H:H)</f>
        <v>LL-A1-1000-U-PB-0001</v>
      </c>
      <c r="E275" s="53" t="str">
        <f>_xlfn.XLOOKUP(C275,'LD-ELFA'!F:F,'LD-ELFA'!Q:Q)</f>
        <v>LISTA DE LINHAS</v>
      </c>
      <c r="F275" s="56" t="str">
        <f>_xlfn.XLOOKUP(C275,'Data Base'!D:D,'Data Base'!O:O)</f>
        <v>Blossom - Documento a emitir</v>
      </c>
      <c r="G275" s="57" t="str">
        <f ca="1">IF(OR('Documentos Atendimentos '!H274="ATRASADO",
        AND('Documentos Emissão'!I273="ATRASADO",
            _xlfn.XLOOKUP(C275,'Documentos Emissão'!C:C,'Documentos Emissão'!G:G)&gt; 'Data Base'!$D$1,
            _xlfn.XLOOKUP(C275,'Documentos Emissão'!C:C,'Documentos Emissão'!G:G)&lt;='Data Base'!$D$1+6)),
    "JUSTIFICATIVA",
    "")</f>
        <v/>
      </c>
      <c r="H275" s="56"/>
    </row>
    <row r="276" spans="2:8" hidden="1" x14ac:dyDescent="0.25">
      <c r="B276" s="53" t="str">
        <f>_xlfn.XLOOKUP(C276,'Data Base'!D:D,'Data Base'!B:B)</f>
        <v>UT - Sistema De Utilidades</v>
      </c>
      <c r="C276" s="53" t="s">
        <v>280</v>
      </c>
      <c r="D276" s="53" t="str">
        <f>_xlfn.XLOOKUP(C276,'LD-ELFA'!F:F,'LD-ELFA'!H:H)</f>
        <v>MC-A1-1803-U-PB-0001</v>
      </c>
      <c r="E276" s="53" t="str">
        <f>_xlfn.XLOOKUP(C276,'LD-ELFA'!F:F,'LD-ELFA'!Q:Q)</f>
        <v>MEMÓRIA DE CÁLCULO</v>
      </c>
      <c r="F276" s="56" t="str">
        <f>_xlfn.XLOOKUP(C276,'Data Base'!D:D,'Data Base'!O:O)</f>
        <v>Blossom - Documento a emitir</v>
      </c>
      <c r="G276" s="57" t="str">
        <f ca="1">IF(OR('Documentos Atendimentos '!H275="ATRASADO",
        AND('Documentos Emissão'!I274="ATRASADO",
            _xlfn.XLOOKUP(C276,'Documentos Emissão'!C:C,'Documentos Emissão'!G:G)&gt; 'Data Base'!$D$1,
            _xlfn.XLOOKUP(C276,'Documentos Emissão'!C:C,'Documentos Emissão'!G:G)&lt;='Data Base'!$D$1+6)),
    "JUSTIFICATIVA",
    "")</f>
        <v/>
      </c>
      <c r="H276" s="56"/>
    </row>
    <row r="277" spans="2:8" hidden="1" x14ac:dyDescent="0.25">
      <c r="B277" s="53" t="str">
        <f>_xlfn.XLOOKUP(C277,'Data Base'!D:D,'Data Base'!B:B)</f>
        <v>UT - Sistema De Utilidades</v>
      </c>
      <c r="C277" s="53" t="s">
        <v>281</v>
      </c>
      <c r="D277" s="53" t="str">
        <f>_xlfn.XLOOKUP(C277,'LD-ELFA'!F:F,'LD-ELFA'!H:H)</f>
        <v>MC-A1-1805-U-PB-0001</v>
      </c>
      <c r="E277" s="53" t="str">
        <f>_xlfn.XLOOKUP(C277,'LD-ELFA'!F:F,'LD-ELFA'!Q:Q)</f>
        <v>MEMÓRIA DE CÁLCULO</v>
      </c>
      <c r="F277" s="56" t="str">
        <f>_xlfn.XLOOKUP(C277,'Data Base'!D:D,'Data Base'!O:O)</f>
        <v>Blossom - Atendimento de Comentário</v>
      </c>
      <c r="G277" s="57" t="str">
        <f ca="1">IF(OR('Documentos Atendimentos '!H276="ATRASADO",
        AND('Documentos Emissão'!I275="ATRASADO",
            _xlfn.XLOOKUP(C277,'Documentos Emissão'!C:C,'Documentos Emissão'!G:G)&gt; 'Data Base'!$D$1,
            _xlfn.XLOOKUP(C277,'Documentos Emissão'!C:C,'Documentos Emissão'!G:G)&lt;='Data Base'!$D$1+6)),
    "JUSTIFICATIVA",
    "")</f>
        <v/>
      </c>
      <c r="H277" s="56"/>
    </row>
    <row r="278" spans="2:8" hidden="1" x14ac:dyDescent="0.25">
      <c r="B278" s="53" t="e">
        <f>_xlfn.XLOOKUP(C278,'Data Base'!D:D,'Data Base'!B:B)</f>
        <v>#N/A</v>
      </c>
      <c r="C278" s="53" t="s">
        <v>282</v>
      </c>
      <c r="D278" s="53" t="e">
        <f>_xlfn.XLOOKUP(C278,'LD-ELFA'!F:F,'LD-ELFA'!H:H)</f>
        <v>#N/A</v>
      </c>
      <c r="E278" s="53" t="e">
        <f>_xlfn.XLOOKUP(C278,'LD-ELFA'!F:F,'LD-ELFA'!Q:Q)</f>
        <v>#N/A</v>
      </c>
      <c r="F278" s="56" t="str">
        <f>_xlfn.XLOOKUP(C278,'Data Base'!D:D,'Data Base'!O:O)</f>
        <v>Documento Removido</v>
      </c>
      <c r="G278" s="57" t="e">
        <f ca="1">IF(OR('Documentos Atendimentos '!H277="ATRASADO",
        AND('Documentos Emissão'!I276="ATRASADO",
            _xlfn.XLOOKUP(C278,'Documentos Emissão'!C:C,'Documentos Emissão'!G:G)&gt; 'Data Base'!$D$1,
            _xlfn.XLOOKUP(C278,'Documentos Emissão'!C:C,'Documentos Emissão'!G:G)&lt;='Data Base'!$D$1+6)),
    "JUSTIFICATIVA",
    "")</f>
        <v>#N/A</v>
      </c>
      <c r="H278" s="56"/>
    </row>
    <row r="279" spans="2:8" hidden="1" x14ac:dyDescent="0.25">
      <c r="B279" s="53" t="str">
        <f>_xlfn.XLOOKUP(C279,'Data Base'!D:D,'Data Base'!B:B)</f>
        <v>UT - Sistema De Utilidades</v>
      </c>
      <c r="C279" s="53" t="s">
        <v>283</v>
      </c>
      <c r="D279" s="53" t="str">
        <f>_xlfn.XLOOKUP(C279,'LD-ELFA'!F:F,'LD-ELFA'!H:H)</f>
        <v>MC-A1-1800-U-PB-0001</v>
      </c>
      <c r="E279" s="53" t="str">
        <f>_xlfn.XLOOKUP(C279,'LD-ELFA'!F:F,'LD-ELFA'!Q:Q)</f>
        <v>MEMÓRIA DE CÁLCULO</v>
      </c>
      <c r="F279" s="56" t="str">
        <f>_xlfn.XLOOKUP(C279,'Data Base'!D:D,'Data Base'!O:O)</f>
        <v>Blossom - Documento a emitir</v>
      </c>
      <c r="G279" s="57" t="str">
        <f ca="1">IF(OR('Documentos Atendimentos '!H278="ATRASADO",
        AND('Documentos Emissão'!I277="ATRASADO",
            _xlfn.XLOOKUP(C279,'Documentos Emissão'!C:C,'Documentos Emissão'!G:G)&gt; 'Data Base'!$D$1,
            _xlfn.XLOOKUP(C279,'Documentos Emissão'!C:C,'Documentos Emissão'!G:G)&lt;='Data Base'!$D$1+6)),
    "JUSTIFICATIVA",
    "")</f>
        <v/>
      </c>
      <c r="H279" s="56"/>
    </row>
    <row r="280" spans="2:8" hidden="1" x14ac:dyDescent="0.25">
      <c r="B280" s="53" t="str">
        <f>_xlfn.XLOOKUP(C280,'Data Base'!D:D,'Data Base'!B:B)</f>
        <v>UT - Sistema De Utilidades</v>
      </c>
      <c r="C280" s="53" t="s">
        <v>284</v>
      </c>
      <c r="D280" s="53" t="str">
        <f>_xlfn.XLOOKUP(C280,'LD-ELFA'!F:F,'LD-ELFA'!H:H)</f>
        <v>MC-A1-1801-U-PB-0001</v>
      </c>
      <c r="E280" s="53" t="str">
        <f>_xlfn.XLOOKUP(C280,'LD-ELFA'!F:F,'LD-ELFA'!Q:Q)</f>
        <v>MEMÓRIA DE CÁLCULO</v>
      </c>
      <c r="F280" s="56" t="str">
        <f>_xlfn.XLOOKUP(C280,'Data Base'!D:D,'Data Base'!O:O)</f>
        <v>Blossom - Documento a emitir</v>
      </c>
      <c r="G280" s="57" t="str">
        <f ca="1">IF(OR('Documentos Atendimentos '!H279="ATRASADO",
        AND('Documentos Emissão'!I278="ATRASADO",
            _xlfn.XLOOKUP(C280,'Documentos Emissão'!C:C,'Documentos Emissão'!G:G)&gt; 'Data Base'!$D$1,
            _xlfn.XLOOKUP(C280,'Documentos Emissão'!C:C,'Documentos Emissão'!G:G)&lt;='Data Base'!$D$1+6)),
    "JUSTIFICATIVA",
    "")</f>
        <v/>
      </c>
      <c r="H280" s="56"/>
    </row>
    <row r="281" spans="2:8" hidden="1" x14ac:dyDescent="0.25">
      <c r="B281" s="53" t="str">
        <f>_xlfn.XLOOKUP(C281,'Data Base'!D:D,'Data Base'!B:B)</f>
        <v>UT - Sistema De Utilidades</v>
      </c>
      <c r="C281" s="53" t="s">
        <v>285</v>
      </c>
      <c r="D281" s="53" t="str">
        <f>_xlfn.XLOOKUP(C281,'LD-ELFA'!F:F,'LD-ELFA'!H:H)</f>
        <v>MC-A1-1900-U-PB-0001</v>
      </c>
      <c r="E281" s="53" t="str">
        <f>_xlfn.XLOOKUP(C281,'LD-ELFA'!F:F,'LD-ELFA'!Q:Q)</f>
        <v>MEMÓRIA DE CÁLCULO</v>
      </c>
      <c r="F281" s="56" t="str">
        <f>_xlfn.XLOOKUP(C281,'Data Base'!D:D,'Data Base'!O:O)</f>
        <v>Blossom - Documento a emitir</v>
      </c>
      <c r="G281" s="57" t="str">
        <f ca="1">IF(OR('Documentos Atendimentos '!H280="ATRASADO",
        AND('Documentos Emissão'!I279="ATRASADO",
            _xlfn.XLOOKUP(C281,'Documentos Emissão'!C:C,'Documentos Emissão'!G:G)&gt; 'Data Base'!$D$1,
            _xlfn.XLOOKUP(C281,'Documentos Emissão'!C:C,'Documentos Emissão'!G:G)&lt;='Data Base'!$D$1+6)),
    "JUSTIFICATIVA",
    "")</f>
        <v/>
      </c>
      <c r="H281" s="56"/>
    </row>
    <row r="282" spans="2:8" hidden="1" x14ac:dyDescent="0.25">
      <c r="B282" s="53" t="str">
        <f>_xlfn.XLOOKUP(C282,'Data Base'!D:D,'Data Base'!B:B)</f>
        <v>UT - Sistema De Utilidades</v>
      </c>
      <c r="C282" s="53" t="s">
        <v>286</v>
      </c>
      <c r="D282" s="53" t="str">
        <f>_xlfn.XLOOKUP(C282,'LD-ELFA'!F:F,'LD-ELFA'!H:H)</f>
        <v>RL-A1-2100-U-PB-4000</v>
      </c>
      <c r="E282" s="53" t="str">
        <f>_xlfn.XLOOKUP(C282,'LD-ELFA'!F:F,'LD-ELFA'!Q:Q)</f>
        <v>RELATÓRIO TÉCNICO</v>
      </c>
      <c r="F282" s="56" t="str">
        <f>_xlfn.XLOOKUP(C282,'Data Base'!D:D,'Data Base'!O:O)</f>
        <v>Blossom - Atendimento de Comentário</v>
      </c>
      <c r="G282" s="57" t="str">
        <f ca="1">IF(OR('Documentos Atendimentos '!H281="ATRASADO",
        AND('Documentos Emissão'!I280="ATRASADO",
            _xlfn.XLOOKUP(C282,'Documentos Emissão'!C:C,'Documentos Emissão'!G:G)&gt; 'Data Base'!$D$1,
            _xlfn.XLOOKUP(C282,'Documentos Emissão'!C:C,'Documentos Emissão'!G:G)&lt;='Data Base'!$D$1+6)),
    "JUSTIFICATIVA",
    "")</f>
        <v/>
      </c>
      <c r="H282" s="56"/>
    </row>
  </sheetData>
  <autoFilter ref="B3:G282" xr:uid="{00000000-0009-0000-0000-00000B000000}">
    <filterColumn colId="5">
      <filters>
        <filter val="JUSTIFICATIVA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LD-ELFA</vt:lpstr>
      <vt:lpstr>Data Base</vt:lpstr>
      <vt:lpstr>Planilha2</vt:lpstr>
      <vt:lpstr>CR-Fechado</vt:lpstr>
      <vt:lpstr>Cronograma</vt:lpstr>
      <vt:lpstr>Planilha1</vt:lpstr>
      <vt:lpstr>Gráficos</vt:lpstr>
      <vt:lpstr>Documentos Emissão</vt:lpstr>
      <vt:lpstr>Documentos Aprovação</vt:lpstr>
      <vt:lpstr>JMC</vt:lpstr>
      <vt:lpstr>Documentos Atendimentos </vt:lpstr>
      <vt:lpstr>Justificativa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Martins Moura Lemos Carneiro</dc:creator>
  <cp:lastModifiedBy>Carolina Almeida Martins</cp:lastModifiedBy>
  <dcterms:created xsi:type="dcterms:W3CDTF">2024-11-06T16:32:56Z</dcterms:created>
  <dcterms:modified xsi:type="dcterms:W3CDTF">2026-07-14T15:43:23Z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0x0101002873106042E0B44A85588AEF998FB837</vt:lpwstr>
  </property>
  <property fmtid="{D5CDD505-2E9C-101B-9397-08002B2CF9AE}" pid="3" name="MediaServiceImageTags">
    <vt:lpwstr/>
  </property>
</Properties>
</file>